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defaultThemeVersion="166925"/>
  <mc:AlternateContent xmlns:mc="http://schemas.openxmlformats.org/markup-compatibility/2006">
    <mc:Choice Requires="x15">
      <x15ac:absPath xmlns:x15ac="http://schemas.microsoft.com/office/spreadsheetml/2010/11/ac" url="C:\Users\tiwar\Documents\PROJECTS\mastek_excel\"/>
    </mc:Choice>
  </mc:AlternateContent>
  <xr:revisionPtr revIDLastSave="0" documentId="8_{416DB6D3-07BE-4E9B-AA6B-6B41314606AA}" xr6:coauthVersionLast="47" xr6:coauthVersionMax="47" xr10:uidLastSave="{00000000-0000-0000-0000-000000000000}"/>
  <bookViews>
    <workbookView xWindow="-108" yWindow="-108" windowWidth="23256" windowHeight="12456" activeTab="1" xr2:uid="{510638DC-5F5A-46A0-9010-460FC2DCD5D4}"/>
  </bookViews>
  <sheets>
    <sheet name="README" sheetId="1" r:id="rId1"/>
    <sheet name="Cleaned_Data" sheetId="9" r:id="rId2"/>
    <sheet name="Raw_Data" sheetId="2" r:id="rId3"/>
    <sheet name="Dim_Calendar" sheetId="3" r:id="rId4"/>
    <sheet name="Dim_Category" sheetId="4" r:id="rId5"/>
    <sheet name="Budget" sheetId="5" r:id="rId6"/>
    <sheet name="Monthly_Summary" sheetId="6" r:id="rId7"/>
    <sheet name="Dashboard" sheetId="10" r:id="rId8"/>
    <sheet name="Business_Questions" sheetId="11" r:id="rId9"/>
    <sheet name="Insights" sheetId="12" r:id="rId10"/>
  </sheets>
  <definedNames>
    <definedName name="_xlcn.WorksheetConnection_MastekBudgetProject.xlsmDim_Calendar1" hidden="1">Dim_Calendar[]</definedName>
    <definedName name="_xlcn.WorksheetConnection_MastekBudgetProject.xlsmDim_Category1" hidden="1">Dim_Category[]</definedName>
    <definedName name="_xlcn.WorksheetConnection_MastekBudgetProject.xlsmRaw_Data_Table1" hidden="1">Raw_Data_Table[]</definedName>
    <definedName name="ExternalData_1" localSheetId="1" hidden="1">Cleaned_Data!$A$1:$J$3263</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_Data_Table" name="Raw_Data_Table" connection="WorksheetConnection_MastekBudgetProject.xlsm!Raw_Data_Table"/>
          <x15:modelTable id="Dim_Category" name="Dim_Category" connection="WorksheetConnection_MastekBudgetProject.xlsm!Dim_Category"/>
          <x15:modelTable id="Dim_Calendar" name="Dim_Calendar" connection="WorksheetConnection_MastekBudgetProject.xlsm!Dim_Calendar"/>
        </x15:modelTables>
        <x15:modelRelationships>
          <x15:modelRelationship fromTable="Raw_Data_Table" fromColumn="Date" toTable="Dim_Calendar" toColumn="Date"/>
          <x15:modelRelationship fromTable="Raw_Data_Table" fromColumn="Category" toTable="Dim_Category" toColumn="Categor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2" i="10" l="1"/>
  <c r="F12" i="10"/>
  <c r="B12" i="10"/>
  <c r="J6" i="10"/>
  <c r="F6" i="10"/>
  <c r="B6" i="10"/>
  <c r="E5" i="6"/>
  <c r="E6" i="6"/>
  <c r="E7" i="6"/>
  <c r="E8" i="6"/>
  <c r="E9" i="6"/>
  <c r="E10" i="6"/>
  <c r="E11" i="6"/>
  <c r="E12" i="6"/>
  <c r="E13" i="6"/>
  <c r="E14" i="6"/>
  <c r="E15" i="6"/>
  <c r="E16" i="6"/>
  <c r="E17" i="6"/>
  <c r="E18" i="6"/>
  <c r="E19" i="6"/>
  <c r="E20" i="6"/>
  <c r="E21" i="6"/>
  <c r="E22" i="6"/>
  <c r="E23" i="6"/>
  <c r="E24" i="6"/>
  <c r="E25" i="6"/>
  <c r="E26" i="6"/>
  <c r="E27" i="6"/>
  <c r="E4" i="6"/>
  <c r="F5" i="6"/>
  <c r="F6" i="6"/>
  <c r="F7" i="6"/>
  <c r="F8" i="6"/>
  <c r="F9" i="6"/>
  <c r="F10" i="6"/>
  <c r="F11" i="6"/>
  <c r="F12" i="6"/>
  <c r="F13" i="6"/>
  <c r="F14" i="6"/>
  <c r="F15" i="6"/>
  <c r="F16" i="6"/>
  <c r="F17" i="6"/>
  <c r="F18" i="6"/>
  <c r="F19" i="6"/>
  <c r="F20" i="6"/>
  <c r="F21" i="6"/>
  <c r="F22" i="6"/>
  <c r="F23" i="6"/>
  <c r="F24" i="6"/>
  <c r="F25" i="6"/>
  <c r="F26" i="6"/>
  <c r="F27" i="6"/>
  <c r="F4" i="6"/>
  <c r="L2"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L505" i="9"/>
  <c r="L506" i="9"/>
  <c r="L507" i="9"/>
  <c r="L508" i="9"/>
  <c r="L509" i="9"/>
  <c r="L510" i="9"/>
  <c r="L511" i="9"/>
  <c r="L512" i="9"/>
  <c r="L513" i="9"/>
  <c r="L514" i="9"/>
  <c r="L515" i="9"/>
  <c r="L516" i="9"/>
  <c r="L517" i="9"/>
  <c r="L518" i="9"/>
  <c r="L519" i="9"/>
  <c r="L520" i="9"/>
  <c r="L521" i="9"/>
  <c r="L522" i="9"/>
  <c r="L523" i="9"/>
  <c r="L524" i="9"/>
  <c r="L525" i="9"/>
  <c r="L526" i="9"/>
  <c r="L527" i="9"/>
  <c r="L528" i="9"/>
  <c r="L529" i="9"/>
  <c r="L530" i="9"/>
  <c r="L531" i="9"/>
  <c r="L532" i="9"/>
  <c r="L533" i="9"/>
  <c r="L534" i="9"/>
  <c r="L535" i="9"/>
  <c r="L536" i="9"/>
  <c r="L537" i="9"/>
  <c r="L538" i="9"/>
  <c r="L539" i="9"/>
  <c r="L540" i="9"/>
  <c r="L541" i="9"/>
  <c r="L542" i="9"/>
  <c r="L543" i="9"/>
  <c r="L544" i="9"/>
  <c r="L545" i="9"/>
  <c r="L546" i="9"/>
  <c r="L547" i="9"/>
  <c r="L548" i="9"/>
  <c r="L549" i="9"/>
  <c r="L550" i="9"/>
  <c r="L551" i="9"/>
  <c r="L552" i="9"/>
  <c r="L553" i="9"/>
  <c r="L554" i="9"/>
  <c r="L555" i="9"/>
  <c r="L556" i="9"/>
  <c r="L557" i="9"/>
  <c r="L558" i="9"/>
  <c r="L559" i="9"/>
  <c r="L560" i="9"/>
  <c r="L561" i="9"/>
  <c r="L562" i="9"/>
  <c r="L563" i="9"/>
  <c r="L564" i="9"/>
  <c r="L565" i="9"/>
  <c r="L566" i="9"/>
  <c r="L567" i="9"/>
  <c r="L568" i="9"/>
  <c r="L569" i="9"/>
  <c r="L570" i="9"/>
  <c r="L571" i="9"/>
  <c r="L572" i="9"/>
  <c r="L573" i="9"/>
  <c r="L574" i="9"/>
  <c r="L575" i="9"/>
  <c r="L576" i="9"/>
  <c r="L577" i="9"/>
  <c r="L578" i="9"/>
  <c r="L579" i="9"/>
  <c r="L580" i="9"/>
  <c r="L581" i="9"/>
  <c r="L582" i="9"/>
  <c r="L583" i="9"/>
  <c r="L584" i="9"/>
  <c r="L585" i="9"/>
  <c r="L586" i="9"/>
  <c r="L587" i="9"/>
  <c r="L588" i="9"/>
  <c r="L589" i="9"/>
  <c r="L590" i="9"/>
  <c r="L591" i="9"/>
  <c r="L592" i="9"/>
  <c r="L593" i="9"/>
  <c r="L594" i="9"/>
  <c r="L595" i="9"/>
  <c r="L596" i="9"/>
  <c r="L597" i="9"/>
  <c r="L598" i="9"/>
  <c r="L599" i="9"/>
  <c r="L600" i="9"/>
  <c r="L601" i="9"/>
  <c r="L602" i="9"/>
  <c r="L603" i="9"/>
  <c r="L604" i="9"/>
  <c r="L605" i="9"/>
  <c r="L606" i="9"/>
  <c r="L607" i="9"/>
  <c r="L608" i="9"/>
  <c r="L609" i="9"/>
  <c r="L610" i="9"/>
  <c r="L611" i="9"/>
  <c r="L612" i="9"/>
  <c r="L613" i="9"/>
  <c r="L614" i="9"/>
  <c r="L615" i="9"/>
  <c r="L616" i="9"/>
  <c r="L617" i="9"/>
  <c r="L618" i="9"/>
  <c r="L619" i="9"/>
  <c r="L620" i="9"/>
  <c r="L621" i="9"/>
  <c r="L622" i="9"/>
  <c r="L623" i="9"/>
  <c r="L624" i="9"/>
  <c r="L625" i="9"/>
  <c r="L626" i="9"/>
  <c r="L627" i="9"/>
  <c r="L628" i="9"/>
  <c r="L629" i="9"/>
  <c r="L630" i="9"/>
  <c r="L631" i="9"/>
  <c r="L632" i="9"/>
  <c r="L633" i="9"/>
  <c r="L634" i="9"/>
  <c r="L635" i="9"/>
  <c r="L636" i="9"/>
  <c r="L637" i="9"/>
  <c r="L638" i="9"/>
  <c r="L639" i="9"/>
  <c r="L640" i="9"/>
  <c r="L641" i="9"/>
  <c r="L642" i="9"/>
  <c r="L643" i="9"/>
  <c r="L644" i="9"/>
  <c r="L645" i="9"/>
  <c r="L646" i="9"/>
  <c r="L647" i="9"/>
  <c r="L648" i="9"/>
  <c r="L649" i="9"/>
  <c r="L650" i="9"/>
  <c r="L651" i="9"/>
  <c r="L652" i="9"/>
  <c r="L653" i="9"/>
  <c r="L654" i="9"/>
  <c r="L655" i="9"/>
  <c r="L656" i="9"/>
  <c r="L657" i="9"/>
  <c r="L658" i="9"/>
  <c r="L659" i="9"/>
  <c r="L660" i="9"/>
  <c r="L661" i="9"/>
  <c r="L662" i="9"/>
  <c r="L663" i="9"/>
  <c r="L664" i="9"/>
  <c r="L665" i="9"/>
  <c r="L666" i="9"/>
  <c r="L667" i="9"/>
  <c r="L668" i="9"/>
  <c r="L669" i="9"/>
  <c r="L670" i="9"/>
  <c r="L671" i="9"/>
  <c r="L672" i="9"/>
  <c r="L673" i="9"/>
  <c r="L674" i="9"/>
  <c r="L675" i="9"/>
  <c r="L676" i="9"/>
  <c r="L677" i="9"/>
  <c r="L678" i="9"/>
  <c r="L679" i="9"/>
  <c r="L680" i="9"/>
  <c r="L681" i="9"/>
  <c r="L682" i="9"/>
  <c r="L683" i="9"/>
  <c r="L684" i="9"/>
  <c r="L685" i="9"/>
  <c r="L686" i="9"/>
  <c r="L687" i="9"/>
  <c r="L688" i="9"/>
  <c r="L689" i="9"/>
  <c r="L690" i="9"/>
  <c r="L691" i="9"/>
  <c r="L692" i="9"/>
  <c r="L693" i="9"/>
  <c r="L694" i="9"/>
  <c r="L695" i="9"/>
  <c r="L696" i="9"/>
  <c r="L697" i="9"/>
  <c r="L698" i="9"/>
  <c r="L699" i="9"/>
  <c r="L700" i="9"/>
  <c r="L701" i="9"/>
  <c r="L702" i="9"/>
  <c r="L703" i="9"/>
  <c r="L704" i="9"/>
  <c r="L705" i="9"/>
  <c r="L706" i="9"/>
  <c r="L707" i="9"/>
  <c r="L708" i="9"/>
  <c r="L709" i="9"/>
  <c r="L710" i="9"/>
  <c r="L711" i="9"/>
  <c r="L712" i="9"/>
  <c r="L713" i="9"/>
  <c r="L714" i="9"/>
  <c r="L715" i="9"/>
  <c r="L716" i="9"/>
  <c r="L717" i="9"/>
  <c r="L718" i="9"/>
  <c r="L719" i="9"/>
  <c r="L720" i="9"/>
  <c r="L721" i="9"/>
  <c r="L722" i="9"/>
  <c r="L723" i="9"/>
  <c r="L724" i="9"/>
  <c r="L725" i="9"/>
  <c r="L726" i="9"/>
  <c r="L727" i="9"/>
  <c r="L728" i="9"/>
  <c r="L729" i="9"/>
  <c r="L730" i="9"/>
  <c r="L731" i="9"/>
  <c r="L732" i="9"/>
  <c r="L733" i="9"/>
  <c r="L734" i="9"/>
  <c r="L735" i="9"/>
  <c r="L736" i="9"/>
  <c r="L737" i="9"/>
  <c r="L738" i="9"/>
  <c r="L739" i="9"/>
  <c r="L740" i="9"/>
  <c r="L741" i="9"/>
  <c r="L742" i="9"/>
  <c r="L743" i="9"/>
  <c r="L744" i="9"/>
  <c r="L745" i="9"/>
  <c r="L746" i="9"/>
  <c r="L747" i="9"/>
  <c r="L748" i="9"/>
  <c r="L749" i="9"/>
  <c r="L750" i="9"/>
  <c r="L751" i="9"/>
  <c r="L752" i="9"/>
  <c r="L753" i="9"/>
  <c r="L754" i="9"/>
  <c r="L755" i="9"/>
  <c r="L756" i="9"/>
  <c r="L757" i="9"/>
  <c r="L758" i="9"/>
  <c r="L759" i="9"/>
  <c r="L760" i="9"/>
  <c r="L761" i="9"/>
  <c r="L762" i="9"/>
  <c r="L763" i="9"/>
  <c r="L764" i="9"/>
  <c r="L765" i="9"/>
  <c r="L766" i="9"/>
  <c r="L767" i="9"/>
  <c r="L768" i="9"/>
  <c r="L769" i="9"/>
  <c r="L770" i="9"/>
  <c r="L771" i="9"/>
  <c r="L772" i="9"/>
  <c r="L773" i="9"/>
  <c r="L774" i="9"/>
  <c r="L775" i="9"/>
  <c r="L776" i="9"/>
  <c r="L777" i="9"/>
  <c r="L778" i="9"/>
  <c r="L779" i="9"/>
  <c r="L780" i="9"/>
  <c r="L781" i="9"/>
  <c r="L782" i="9"/>
  <c r="L783" i="9"/>
  <c r="L784" i="9"/>
  <c r="L785" i="9"/>
  <c r="L786" i="9"/>
  <c r="L787" i="9"/>
  <c r="L788" i="9"/>
  <c r="L789" i="9"/>
  <c r="L790" i="9"/>
  <c r="L791" i="9"/>
  <c r="L792" i="9"/>
  <c r="L793" i="9"/>
  <c r="L794" i="9"/>
  <c r="L795" i="9"/>
  <c r="L796" i="9"/>
  <c r="L797" i="9"/>
  <c r="L798" i="9"/>
  <c r="L799" i="9"/>
  <c r="L800" i="9"/>
  <c r="L801" i="9"/>
  <c r="L802" i="9"/>
  <c r="L803" i="9"/>
  <c r="L804" i="9"/>
  <c r="L805" i="9"/>
  <c r="L806" i="9"/>
  <c r="L807" i="9"/>
  <c r="L808" i="9"/>
  <c r="L809" i="9"/>
  <c r="L810" i="9"/>
  <c r="L811" i="9"/>
  <c r="L812" i="9"/>
  <c r="L813" i="9"/>
  <c r="L814" i="9"/>
  <c r="L815" i="9"/>
  <c r="L816" i="9"/>
  <c r="L817" i="9"/>
  <c r="L818" i="9"/>
  <c r="L819" i="9"/>
  <c r="L820" i="9"/>
  <c r="L821" i="9"/>
  <c r="L822" i="9"/>
  <c r="L823" i="9"/>
  <c r="L824" i="9"/>
  <c r="L825" i="9"/>
  <c r="L826" i="9"/>
  <c r="L827" i="9"/>
  <c r="L828" i="9"/>
  <c r="L829" i="9"/>
  <c r="L830" i="9"/>
  <c r="L831" i="9"/>
  <c r="L832" i="9"/>
  <c r="L833" i="9"/>
  <c r="L834" i="9"/>
  <c r="L835" i="9"/>
  <c r="L836" i="9"/>
  <c r="L837" i="9"/>
  <c r="L838" i="9"/>
  <c r="L839" i="9"/>
  <c r="L840" i="9"/>
  <c r="L841" i="9"/>
  <c r="L842" i="9"/>
  <c r="L843" i="9"/>
  <c r="L844" i="9"/>
  <c r="L845" i="9"/>
  <c r="L846" i="9"/>
  <c r="L847" i="9"/>
  <c r="L848" i="9"/>
  <c r="L849" i="9"/>
  <c r="L850" i="9"/>
  <c r="L851" i="9"/>
  <c r="L852" i="9"/>
  <c r="L853" i="9"/>
  <c r="L854" i="9"/>
  <c r="L855" i="9"/>
  <c r="L856" i="9"/>
  <c r="L857" i="9"/>
  <c r="L858" i="9"/>
  <c r="L859" i="9"/>
  <c r="L860" i="9"/>
  <c r="L861" i="9"/>
  <c r="L862" i="9"/>
  <c r="L863" i="9"/>
  <c r="L864" i="9"/>
  <c r="L865" i="9"/>
  <c r="L866" i="9"/>
  <c r="L867" i="9"/>
  <c r="L868" i="9"/>
  <c r="L869" i="9"/>
  <c r="L870" i="9"/>
  <c r="L871" i="9"/>
  <c r="L872" i="9"/>
  <c r="L873" i="9"/>
  <c r="L874" i="9"/>
  <c r="L875" i="9"/>
  <c r="L876" i="9"/>
  <c r="L877" i="9"/>
  <c r="L878" i="9"/>
  <c r="L879" i="9"/>
  <c r="L880" i="9"/>
  <c r="L881" i="9"/>
  <c r="L882" i="9"/>
  <c r="L883" i="9"/>
  <c r="L884" i="9"/>
  <c r="L885" i="9"/>
  <c r="L886" i="9"/>
  <c r="L887" i="9"/>
  <c r="L888" i="9"/>
  <c r="L889" i="9"/>
  <c r="L890" i="9"/>
  <c r="L891" i="9"/>
  <c r="L892" i="9"/>
  <c r="L893" i="9"/>
  <c r="L894" i="9"/>
  <c r="L895" i="9"/>
  <c r="L896" i="9"/>
  <c r="L897" i="9"/>
  <c r="L898" i="9"/>
  <c r="L899" i="9"/>
  <c r="L900" i="9"/>
  <c r="L901" i="9"/>
  <c r="L902" i="9"/>
  <c r="L903" i="9"/>
  <c r="L904" i="9"/>
  <c r="L905" i="9"/>
  <c r="L906" i="9"/>
  <c r="L907" i="9"/>
  <c r="L908" i="9"/>
  <c r="L909" i="9"/>
  <c r="L910" i="9"/>
  <c r="L911" i="9"/>
  <c r="L912" i="9"/>
  <c r="L913" i="9"/>
  <c r="L914" i="9"/>
  <c r="L915" i="9"/>
  <c r="L916" i="9"/>
  <c r="L917" i="9"/>
  <c r="L918" i="9"/>
  <c r="L919" i="9"/>
  <c r="L920" i="9"/>
  <c r="L921" i="9"/>
  <c r="L922" i="9"/>
  <c r="L923" i="9"/>
  <c r="L924" i="9"/>
  <c r="L925" i="9"/>
  <c r="L926" i="9"/>
  <c r="L927" i="9"/>
  <c r="L928" i="9"/>
  <c r="L929" i="9"/>
  <c r="L930" i="9"/>
  <c r="L931" i="9"/>
  <c r="L932" i="9"/>
  <c r="L933" i="9"/>
  <c r="L934" i="9"/>
  <c r="L935" i="9"/>
  <c r="L936" i="9"/>
  <c r="L937" i="9"/>
  <c r="L938" i="9"/>
  <c r="L939" i="9"/>
  <c r="L940" i="9"/>
  <c r="L941" i="9"/>
  <c r="L942" i="9"/>
  <c r="L943" i="9"/>
  <c r="L944" i="9"/>
  <c r="L945" i="9"/>
  <c r="L946" i="9"/>
  <c r="L947" i="9"/>
  <c r="L948" i="9"/>
  <c r="L949" i="9"/>
  <c r="L950" i="9"/>
  <c r="L951" i="9"/>
  <c r="L952" i="9"/>
  <c r="L953" i="9"/>
  <c r="L954" i="9"/>
  <c r="L955" i="9"/>
  <c r="L956" i="9"/>
  <c r="L957" i="9"/>
  <c r="L958" i="9"/>
  <c r="L959" i="9"/>
  <c r="L960" i="9"/>
  <c r="L961" i="9"/>
  <c r="L962" i="9"/>
  <c r="L963" i="9"/>
  <c r="L964" i="9"/>
  <c r="L965" i="9"/>
  <c r="L966" i="9"/>
  <c r="L967" i="9"/>
  <c r="L968" i="9"/>
  <c r="L969" i="9"/>
  <c r="L970" i="9"/>
  <c r="L971" i="9"/>
  <c r="L972" i="9"/>
  <c r="L973" i="9"/>
  <c r="L974" i="9"/>
  <c r="L975" i="9"/>
  <c r="L976" i="9"/>
  <c r="L977" i="9"/>
  <c r="L978" i="9"/>
  <c r="L979" i="9"/>
  <c r="L980" i="9"/>
  <c r="L981" i="9"/>
  <c r="L982" i="9"/>
  <c r="L983" i="9"/>
  <c r="L984" i="9"/>
  <c r="L985" i="9"/>
  <c r="L986" i="9"/>
  <c r="L987" i="9"/>
  <c r="L988" i="9"/>
  <c r="L989" i="9"/>
  <c r="L990" i="9"/>
  <c r="L991" i="9"/>
  <c r="L992" i="9"/>
  <c r="L993" i="9"/>
  <c r="L994" i="9"/>
  <c r="L995" i="9"/>
  <c r="L996" i="9"/>
  <c r="L997" i="9"/>
  <c r="L998" i="9"/>
  <c r="L999" i="9"/>
  <c r="L1000" i="9"/>
  <c r="L1001" i="9"/>
  <c r="L1002" i="9"/>
  <c r="L1003" i="9"/>
  <c r="L1004" i="9"/>
  <c r="L1005" i="9"/>
  <c r="L1006" i="9"/>
  <c r="L1007" i="9"/>
  <c r="L1008" i="9"/>
  <c r="L1009" i="9"/>
  <c r="L1010" i="9"/>
  <c r="L1011" i="9"/>
  <c r="L1012" i="9"/>
  <c r="L1013" i="9"/>
  <c r="L1014" i="9"/>
  <c r="L1015" i="9"/>
  <c r="L1016" i="9"/>
  <c r="L1017" i="9"/>
  <c r="L1018" i="9"/>
  <c r="L1019" i="9"/>
  <c r="L1020" i="9"/>
  <c r="L1021" i="9"/>
  <c r="L1022" i="9"/>
  <c r="L1023" i="9"/>
  <c r="L1024" i="9"/>
  <c r="L1025" i="9"/>
  <c r="L1026" i="9"/>
  <c r="L1027" i="9"/>
  <c r="L1028" i="9"/>
  <c r="L1029" i="9"/>
  <c r="L1030" i="9"/>
  <c r="L1031" i="9"/>
  <c r="L1032" i="9"/>
  <c r="L1033" i="9"/>
  <c r="L1034" i="9"/>
  <c r="L1035" i="9"/>
  <c r="L1036" i="9"/>
  <c r="L1037" i="9"/>
  <c r="L1038" i="9"/>
  <c r="L1039" i="9"/>
  <c r="L1040" i="9"/>
  <c r="L1041" i="9"/>
  <c r="L1042" i="9"/>
  <c r="L1043" i="9"/>
  <c r="L1044" i="9"/>
  <c r="L1045" i="9"/>
  <c r="L1046" i="9"/>
  <c r="L1047" i="9"/>
  <c r="L1048" i="9"/>
  <c r="L1049" i="9"/>
  <c r="L1050" i="9"/>
  <c r="L1051" i="9"/>
  <c r="L1052" i="9"/>
  <c r="L1053" i="9"/>
  <c r="L1054" i="9"/>
  <c r="L1055" i="9"/>
  <c r="L1056" i="9"/>
  <c r="L1057" i="9"/>
  <c r="L1058" i="9"/>
  <c r="L1059" i="9"/>
  <c r="L1060" i="9"/>
  <c r="L1061" i="9"/>
  <c r="L1062" i="9"/>
  <c r="L1063" i="9"/>
  <c r="L1064" i="9"/>
  <c r="L1065" i="9"/>
  <c r="L1066" i="9"/>
  <c r="L1067" i="9"/>
  <c r="L1068" i="9"/>
  <c r="L1069" i="9"/>
  <c r="L1070" i="9"/>
  <c r="L1071" i="9"/>
  <c r="L1072" i="9"/>
  <c r="L1073" i="9"/>
  <c r="L1074" i="9"/>
  <c r="L1075" i="9"/>
  <c r="L1076" i="9"/>
  <c r="L1077" i="9"/>
  <c r="L1078" i="9"/>
  <c r="L1079" i="9"/>
  <c r="L1080" i="9"/>
  <c r="L1081" i="9"/>
  <c r="L1082" i="9"/>
  <c r="L1083" i="9"/>
  <c r="L1084" i="9"/>
  <c r="L1085" i="9"/>
  <c r="L1086" i="9"/>
  <c r="L1087" i="9"/>
  <c r="L1088" i="9"/>
  <c r="L1089" i="9"/>
  <c r="L1090" i="9"/>
  <c r="L1091" i="9"/>
  <c r="L1092" i="9"/>
  <c r="L1093" i="9"/>
  <c r="L1094" i="9"/>
  <c r="L1095" i="9"/>
  <c r="L1096" i="9"/>
  <c r="L1097" i="9"/>
  <c r="L1098" i="9"/>
  <c r="L1099" i="9"/>
  <c r="L1100" i="9"/>
  <c r="L1101" i="9"/>
  <c r="L1102" i="9"/>
  <c r="L1103" i="9"/>
  <c r="L1104" i="9"/>
  <c r="L1105" i="9"/>
  <c r="L1106" i="9"/>
  <c r="L1107" i="9"/>
  <c r="L1108" i="9"/>
  <c r="L1109" i="9"/>
  <c r="L1110" i="9"/>
  <c r="L1111" i="9"/>
  <c r="L1112" i="9"/>
  <c r="L1113" i="9"/>
  <c r="L1114" i="9"/>
  <c r="L1115" i="9"/>
  <c r="L1116" i="9"/>
  <c r="L1117" i="9"/>
  <c r="L1118" i="9"/>
  <c r="L1119" i="9"/>
  <c r="L1120" i="9"/>
  <c r="L1121" i="9"/>
  <c r="L1122" i="9"/>
  <c r="L1123" i="9"/>
  <c r="L1124" i="9"/>
  <c r="L1125" i="9"/>
  <c r="L1126" i="9"/>
  <c r="L1127" i="9"/>
  <c r="L1128" i="9"/>
  <c r="L1129" i="9"/>
  <c r="L1130" i="9"/>
  <c r="L1131" i="9"/>
  <c r="L1132" i="9"/>
  <c r="L1133" i="9"/>
  <c r="L1134" i="9"/>
  <c r="L1135" i="9"/>
  <c r="L1136" i="9"/>
  <c r="L1137" i="9"/>
  <c r="L1138" i="9"/>
  <c r="L1139" i="9"/>
  <c r="L1140" i="9"/>
  <c r="L1141" i="9"/>
  <c r="L1142" i="9"/>
  <c r="L1143" i="9"/>
  <c r="L1144" i="9"/>
  <c r="L1145" i="9"/>
  <c r="L1146" i="9"/>
  <c r="L1147" i="9"/>
  <c r="L1148" i="9"/>
  <c r="L1149" i="9"/>
  <c r="L1150" i="9"/>
  <c r="L1151" i="9"/>
  <c r="L1152" i="9"/>
  <c r="L1153" i="9"/>
  <c r="L1154" i="9"/>
  <c r="L1155" i="9"/>
  <c r="L1156" i="9"/>
  <c r="L1157" i="9"/>
  <c r="L1158" i="9"/>
  <c r="L1159" i="9"/>
  <c r="L1160" i="9"/>
  <c r="L1161" i="9"/>
  <c r="L1162" i="9"/>
  <c r="L1163" i="9"/>
  <c r="L1164" i="9"/>
  <c r="L1165" i="9"/>
  <c r="L1166" i="9"/>
  <c r="L1167" i="9"/>
  <c r="L1168" i="9"/>
  <c r="L1169" i="9"/>
  <c r="L1170" i="9"/>
  <c r="L1171" i="9"/>
  <c r="L1172" i="9"/>
  <c r="L1173" i="9"/>
  <c r="L1174" i="9"/>
  <c r="L1175" i="9"/>
  <c r="L1176" i="9"/>
  <c r="L1177" i="9"/>
  <c r="L1178" i="9"/>
  <c r="L1179" i="9"/>
  <c r="L1180" i="9"/>
  <c r="L1181" i="9"/>
  <c r="L1182" i="9"/>
  <c r="L1183" i="9"/>
  <c r="L1184" i="9"/>
  <c r="L1185" i="9"/>
  <c r="L1186" i="9"/>
  <c r="L1187" i="9"/>
  <c r="L1188" i="9"/>
  <c r="L1189" i="9"/>
  <c r="L1190" i="9"/>
  <c r="L1191" i="9"/>
  <c r="L1192" i="9"/>
  <c r="L1193" i="9"/>
  <c r="L1194" i="9"/>
  <c r="L1195" i="9"/>
  <c r="L1196" i="9"/>
  <c r="L1197" i="9"/>
  <c r="L1198" i="9"/>
  <c r="L1199" i="9"/>
  <c r="L1200" i="9"/>
  <c r="L1201" i="9"/>
  <c r="L1202" i="9"/>
  <c r="L1203" i="9"/>
  <c r="L1204" i="9"/>
  <c r="L1205" i="9"/>
  <c r="L1206" i="9"/>
  <c r="L1207" i="9"/>
  <c r="L1208" i="9"/>
  <c r="L1209" i="9"/>
  <c r="L1210" i="9"/>
  <c r="L1211" i="9"/>
  <c r="L1212" i="9"/>
  <c r="L1213" i="9"/>
  <c r="L1214" i="9"/>
  <c r="L1215" i="9"/>
  <c r="L1216" i="9"/>
  <c r="L1217" i="9"/>
  <c r="L1218" i="9"/>
  <c r="L1219" i="9"/>
  <c r="L1220" i="9"/>
  <c r="L1221" i="9"/>
  <c r="L1222" i="9"/>
  <c r="L1223" i="9"/>
  <c r="L1224" i="9"/>
  <c r="L1225" i="9"/>
  <c r="L1226" i="9"/>
  <c r="L1227" i="9"/>
  <c r="L1228" i="9"/>
  <c r="L1229" i="9"/>
  <c r="L1230" i="9"/>
  <c r="L1231" i="9"/>
  <c r="L1232" i="9"/>
  <c r="L1233" i="9"/>
  <c r="L1234" i="9"/>
  <c r="L1235" i="9"/>
  <c r="L1236" i="9"/>
  <c r="L1237" i="9"/>
  <c r="L1238" i="9"/>
  <c r="L1239" i="9"/>
  <c r="L1240" i="9"/>
  <c r="L1241" i="9"/>
  <c r="L1242" i="9"/>
  <c r="L1243" i="9"/>
  <c r="L1244" i="9"/>
  <c r="L1245" i="9"/>
  <c r="L1246" i="9"/>
  <c r="L1247" i="9"/>
  <c r="L1248" i="9"/>
  <c r="L1249" i="9"/>
  <c r="L1250" i="9"/>
  <c r="L1251" i="9"/>
  <c r="L1252" i="9"/>
  <c r="L1253" i="9"/>
  <c r="L1254" i="9"/>
  <c r="L1255" i="9"/>
  <c r="L1256" i="9"/>
  <c r="L1257" i="9"/>
  <c r="L1258" i="9"/>
  <c r="L1259" i="9"/>
  <c r="L1260" i="9"/>
  <c r="L1261" i="9"/>
  <c r="L1262" i="9"/>
  <c r="L1263" i="9"/>
  <c r="L1264" i="9"/>
  <c r="L1265" i="9"/>
  <c r="L1266" i="9"/>
  <c r="L1267" i="9"/>
  <c r="L1268" i="9"/>
  <c r="L1269" i="9"/>
  <c r="L1270" i="9"/>
  <c r="L1271" i="9"/>
  <c r="L1272" i="9"/>
  <c r="L1273" i="9"/>
  <c r="L1274" i="9"/>
  <c r="L1275" i="9"/>
  <c r="L1276" i="9"/>
  <c r="L1277" i="9"/>
  <c r="L1278" i="9"/>
  <c r="L1279" i="9"/>
  <c r="L1280" i="9"/>
  <c r="L1281" i="9"/>
  <c r="L1282" i="9"/>
  <c r="L1283" i="9"/>
  <c r="L1284" i="9"/>
  <c r="L1285" i="9"/>
  <c r="L1286" i="9"/>
  <c r="L1287" i="9"/>
  <c r="L1288" i="9"/>
  <c r="L1289" i="9"/>
  <c r="L1290" i="9"/>
  <c r="L1291" i="9"/>
  <c r="L1292" i="9"/>
  <c r="L1293" i="9"/>
  <c r="L1294" i="9"/>
  <c r="L1295" i="9"/>
  <c r="L1296" i="9"/>
  <c r="L1297" i="9"/>
  <c r="L1298" i="9"/>
  <c r="L1299" i="9"/>
  <c r="L1300" i="9"/>
  <c r="L1301" i="9"/>
  <c r="L1302" i="9"/>
  <c r="L1303" i="9"/>
  <c r="L1304" i="9"/>
  <c r="L1305" i="9"/>
  <c r="L1306" i="9"/>
  <c r="L1307" i="9"/>
  <c r="L1308" i="9"/>
  <c r="L1309" i="9"/>
  <c r="L1310" i="9"/>
  <c r="L1311" i="9"/>
  <c r="L1312" i="9"/>
  <c r="L1313" i="9"/>
  <c r="L1314" i="9"/>
  <c r="L1315" i="9"/>
  <c r="L1316" i="9"/>
  <c r="L1317" i="9"/>
  <c r="L1318" i="9"/>
  <c r="L1319" i="9"/>
  <c r="L1320" i="9"/>
  <c r="L1321" i="9"/>
  <c r="L1322" i="9"/>
  <c r="L1323" i="9"/>
  <c r="L1324" i="9"/>
  <c r="L1325" i="9"/>
  <c r="L1326" i="9"/>
  <c r="L1327" i="9"/>
  <c r="L1328" i="9"/>
  <c r="L1329" i="9"/>
  <c r="L1330" i="9"/>
  <c r="L1331" i="9"/>
  <c r="L1332" i="9"/>
  <c r="L1333" i="9"/>
  <c r="L1334" i="9"/>
  <c r="L1335" i="9"/>
  <c r="L1336" i="9"/>
  <c r="L1337" i="9"/>
  <c r="L1338" i="9"/>
  <c r="L1339" i="9"/>
  <c r="L1340" i="9"/>
  <c r="L1341" i="9"/>
  <c r="L1342" i="9"/>
  <c r="L1343" i="9"/>
  <c r="L1344" i="9"/>
  <c r="L1345" i="9"/>
  <c r="L1346" i="9"/>
  <c r="L1347" i="9"/>
  <c r="L1348" i="9"/>
  <c r="L1349" i="9"/>
  <c r="L1350" i="9"/>
  <c r="L1351" i="9"/>
  <c r="L1352" i="9"/>
  <c r="L1353" i="9"/>
  <c r="L1354" i="9"/>
  <c r="L1355" i="9"/>
  <c r="L1356" i="9"/>
  <c r="L1357" i="9"/>
  <c r="L1358" i="9"/>
  <c r="L1359" i="9"/>
  <c r="L1360" i="9"/>
  <c r="L1361" i="9"/>
  <c r="L1362" i="9"/>
  <c r="L1363" i="9"/>
  <c r="L1364" i="9"/>
  <c r="L1365" i="9"/>
  <c r="L1366" i="9"/>
  <c r="L1367" i="9"/>
  <c r="L1368" i="9"/>
  <c r="L1369" i="9"/>
  <c r="L1370" i="9"/>
  <c r="L1371" i="9"/>
  <c r="L1372" i="9"/>
  <c r="L1373" i="9"/>
  <c r="L1374" i="9"/>
  <c r="L1375" i="9"/>
  <c r="L1376" i="9"/>
  <c r="L1377" i="9"/>
  <c r="L1378" i="9"/>
  <c r="L1379" i="9"/>
  <c r="L1380" i="9"/>
  <c r="L1381" i="9"/>
  <c r="L1382" i="9"/>
  <c r="L1383" i="9"/>
  <c r="L1384" i="9"/>
  <c r="L1385" i="9"/>
  <c r="L1386" i="9"/>
  <c r="L1387" i="9"/>
  <c r="L1388" i="9"/>
  <c r="L1389" i="9"/>
  <c r="L1390" i="9"/>
  <c r="L1391" i="9"/>
  <c r="L1392" i="9"/>
  <c r="L1393" i="9"/>
  <c r="L1394" i="9"/>
  <c r="L1395" i="9"/>
  <c r="L1396" i="9"/>
  <c r="L1397" i="9"/>
  <c r="L1398" i="9"/>
  <c r="L1399" i="9"/>
  <c r="L1400" i="9"/>
  <c r="L1401" i="9"/>
  <c r="L1402" i="9"/>
  <c r="L1403" i="9"/>
  <c r="L1404" i="9"/>
  <c r="L1405" i="9"/>
  <c r="L1406" i="9"/>
  <c r="L1407" i="9"/>
  <c r="L1408" i="9"/>
  <c r="L1409" i="9"/>
  <c r="L1410" i="9"/>
  <c r="L1411" i="9"/>
  <c r="L1412" i="9"/>
  <c r="L1413" i="9"/>
  <c r="L1414" i="9"/>
  <c r="L1415" i="9"/>
  <c r="L1416" i="9"/>
  <c r="L1417" i="9"/>
  <c r="L1418" i="9"/>
  <c r="L1419" i="9"/>
  <c r="L1420" i="9"/>
  <c r="L1421" i="9"/>
  <c r="L1422" i="9"/>
  <c r="L1423" i="9"/>
  <c r="L1424" i="9"/>
  <c r="L1425" i="9"/>
  <c r="L1426" i="9"/>
  <c r="L1427" i="9"/>
  <c r="L1428" i="9"/>
  <c r="L1429" i="9"/>
  <c r="L1430" i="9"/>
  <c r="L1431" i="9"/>
  <c r="L1432" i="9"/>
  <c r="L1433" i="9"/>
  <c r="L1434" i="9"/>
  <c r="L1435" i="9"/>
  <c r="L1436" i="9"/>
  <c r="L1437" i="9"/>
  <c r="L1438" i="9"/>
  <c r="L1439" i="9"/>
  <c r="L1440" i="9"/>
  <c r="L1441" i="9"/>
  <c r="L1442" i="9"/>
  <c r="L1443" i="9"/>
  <c r="L1444" i="9"/>
  <c r="L1445" i="9"/>
  <c r="L1446" i="9"/>
  <c r="L1447" i="9"/>
  <c r="L1448" i="9"/>
  <c r="L1449" i="9"/>
  <c r="L1450" i="9"/>
  <c r="L1451" i="9"/>
  <c r="L1452" i="9"/>
  <c r="L1453" i="9"/>
  <c r="L1454" i="9"/>
  <c r="L1455" i="9"/>
  <c r="L1456" i="9"/>
  <c r="L1457" i="9"/>
  <c r="L1458" i="9"/>
  <c r="L1459" i="9"/>
  <c r="L1460" i="9"/>
  <c r="L1461" i="9"/>
  <c r="L1462" i="9"/>
  <c r="L1463" i="9"/>
  <c r="L1464" i="9"/>
  <c r="L1465" i="9"/>
  <c r="L1466" i="9"/>
  <c r="L1467" i="9"/>
  <c r="L1468" i="9"/>
  <c r="L1469" i="9"/>
  <c r="L1470" i="9"/>
  <c r="L1471" i="9"/>
  <c r="L1472" i="9"/>
  <c r="L1473" i="9"/>
  <c r="L1474" i="9"/>
  <c r="L1475" i="9"/>
  <c r="L1476" i="9"/>
  <c r="L1477" i="9"/>
  <c r="L1478" i="9"/>
  <c r="L1479" i="9"/>
  <c r="L1480" i="9"/>
  <c r="L1481" i="9"/>
  <c r="L1482" i="9"/>
  <c r="L1483" i="9"/>
  <c r="L1484" i="9"/>
  <c r="L1485" i="9"/>
  <c r="L1486" i="9"/>
  <c r="L1487" i="9"/>
  <c r="L1488" i="9"/>
  <c r="L1489" i="9"/>
  <c r="L1490" i="9"/>
  <c r="L1491" i="9"/>
  <c r="L1492" i="9"/>
  <c r="L1493" i="9"/>
  <c r="L1494" i="9"/>
  <c r="L1495" i="9"/>
  <c r="L1496" i="9"/>
  <c r="L1497" i="9"/>
  <c r="L1498" i="9"/>
  <c r="L1499" i="9"/>
  <c r="L1500" i="9"/>
  <c r="L1501" i="9"/>
  <c r="L1502" i="9"/>
  <c r="L1503" i="9"/>
  <c r="L1504" i="9"/>
  <c r="L1505" i="9"/>
  <c r="L1506" i="9"/>
  <c r="L1507" i="9"/>
  <c r="L1508" i="9"/>
  <c r="L1509" i="9"/>
  <c r="L1510" i="9"/>
  <c r="L1511" i="9"/>
  <c r="L1512" i="9"/>
  <c r="L1513" i="9"/>
  <c r="L1514" i="9"/>
  <c r="L1515" i="9"/>
  <c r="L1516" i="9"/>
  <c r="L1517" i="9"/>
  <c r="L1518" i="9"/>
  <c r="L1519" i="9"/>
  <c r="L1520" i="9"/>
  <c r="L1521" i="9"/>
  <c r="L1522" i="9"/>
  <c r="L1523" i="9"/>
  <c r="L1524" i="9"/>
  <c r="L1525" i="9"/>
  <c r="L1526" i="9"/>
  <c r="L1527" i="9"/>
  <c r="L1528" i="9"/>
  <c r="L1529" i="9"/>
  <c r="L1530" i="9"/>
  <c r="L1531" i="9"/>
  <c r="L1532" i="9"/>
  <c r="L1533" i="9"/>
  <c r="L1534" i="9"/>
  <c r="L1535" i="9"/>
  <c r="L1536" i="9"/>
  <c r="L1537" i="9"/>
  <c r="L1538" i="9"/>
  <c r="L1539" i="9"/>
  <c r="L1540" i="9"/>
  <c r="L1541" i="9"/>
  <c r="L1542" i="9"/>
  <c r="L1543" i="9"/>
  <c r="L1544" i="9"/>
  <c r="L1545" i="9"/>
  <c r="L1546" i="9"/>
  <c r="L1547" i="9"/>
  <c r="L1548" i="9"/>
  <c r="L1549" i="9"/>
  <c r="L1550" i="9"/>
  <c r="L1551" i="9"/>
  <c r="L1552" i="9"/>
  <c r="L1553" i="9"/>
  <c r="L1554" i="9"/>
  <c r="L1555" i="9"/>
  <c r="L1556" i="9"/>
  <c r="L1557" i="9"/>
  <c r="L1558" i="9"/>
  <c r="L1559" i="9"/>
  <c r="L1560" i="9"/>
  <c r="L1561" i="9"/>
  <c r="L1562" i="9"/>
  <c r="L1563" i="9"/>
  <c r="L1564" i="9"/>
  <c r="L1565" i="9"/>
  <c r="L1566" i="9"/>
  <c r="L1567" i="9"/>
  <c r="L1568" i="9"/>
  <c r="L1569" i="9"/>
  <c r="L1570" i="9"/>
  <c r="L1571" i="9"/>
  <c r="L1572" i="9"/>
  <c r="L1573" i="9"/>
  <c r="L1574" i="9"/>
  <c r="L1575" i="9"/>
  <c r="L1576" i="9"/>
  <c r="L1577" i="9"/>
  <c r="L1578" i="9"/>
  <c r="L1579" i="9"/>
  <c r="L1580" i="9"/>
  <c r="L1581" i="9"/>
  <c r="L1582" i="9"/>
  <c r="L1583" i="9"/>
  <c r="L1584" i="9"/>
  <c r="L1585" i="9"/>
  <c r="L1586" i="9"/>
  <c r="L1587" i="9"/>
  <c r="L1588" i="9"/>
  <c r="L1589" i="9"/>
  <c r="L1590" i="9"/>
  <c r="L1591" i="9"/>
  <c r="L1592" i="9"/>
  <c r="L1593" i="9"/>
  <c r="L1594" i="9"/>
  <c r="L1595" i="9"/>
  <c r="L1596" i="9"/>
  <c r="L1597" i="9"/>
  <c r="L1598" i="9"/>
  <c r="L1599" i="9"/>
  <c r="L1600" i="9"/>
  <c r="L1601" i="9"/>
  <c r="L1602" i="9"/>
  <c r="L1603" i="9"/>
  <c r="L1604" i="9"/>
  <c r="L1605" i="9"/>
  <c r="L1606" i="9"/>
  <c r="L1607" i="9"/>
  <c r="L1608" i="9"/>
  <c r="L1609" i="9"/>
  <c r="L1610" i="9"/>
  <c r="L1611" i="9"/>
  <c r="L1612" i="9"/>
  <c r="L1613" i="9"/>
  <c r="L1614" i="9"/>
  <c r="L1615" i="9"/>
  <c r="L1616" i="9"/>
  <c r="L1617" i="9"/>
  <c r="L1618" i="9"/>
  <c r="L1619" i="9"/>
  <c r="L1620" i="9"/>
  <c r="L1621" i="9"/>
  <c r="L1622" i="9"/>
  <c r="L1623" i="9"/>
  <c r="L1624" i="9"/>
  <c r="L1625" i="9"/>
  <c r="L1626" i="9"/>
  <c r="L1627" i="9"/>
  <c r="L1628" i="9"/>
  <c r="L1629" i="9"/>
  <c r="L1630" i="9"/>
  <c r="L1631" i="9"/>
  <c r="L1632" i="9"/>
  <c r="L1633" i="9"/>
  <c r="L1634" i="9"/>
  <c r="L1635" i="9"/>
  <c r="L1636" i="9"/>
  <c r="L1637" i="9"/>
  <c r="L1638" i="9"/>
  <c r="L1639" i="9"/>
  <c r="L1640" i="9"/>
  <c r="L1641" i="9"/>
  <c r="L1642" i="9"/>
  <c r="L1643" i="9"/>
  <c r="L1644" i="9"/>
  <c r="L1645" i="9"/>
  <c r="L1646" i="9"/>
  <c r="L1647" i="9"/>
  <c r="L1648" i="9"/>
  <c r="L1649" i="9"/>
  <c r="L1650" i="9"/>
  <c r="L1651" i="9"/>
  <c r="L1652" i="9"/>
  <c r="L1653" i="9"/>
  <c r="L1654" i="9"/>
  <c r="L1655" i="9"/>
  <c r="L1656" i="9"/>
  <c r="L1657" i="9"/>
  <c r="L1658" i="9"/>
  <c r="L1659" i="9"/>
  <c r="L1660" i="9"/>
  <c r="L1661" i="9"/>
  <c r="L1662" i="9"/>
  <c r="L1663" i="9"/>
  <c r="L1664" i="9"/>
  <c r="L1665" i="9"/>
  <c r="L1666" i="9"/>
  <c r="L1667" i="9"/>
  <c r="L1668" i="9"/>
  <c r="L1669" i="9"/>
  <c r="L1670" i="9"/>
  <c r="L1671" i="9"/>
  <c r="L1672" i="9"/>
  <c r="L1673" i="9"/>
  <c r="L1674" i="9"/>
  <c r="L1675" i="9"/>
  <c r="L1676" i="9"/>
  <c r="L1677" i="9"/>
  <c r="L1678" i="9"/>
  <c r="L1679" i="9"/>
  <c r="L1680" i="9"/>
  <c r="L1681" i="9"/>
  <c r="L1682" i="9"/>
  <c r="L1683" i="9"/>
  <c r="L1684" i="9"/>
  <c r="L1685" i="9"/>
  <c r="L1686" i="9"/>
  <c r="L1687" i="9"/>
  <c r="L1688" i="9"/>
  <c r="L1689" i="9"/>
  <c r="L1690" i="9"/>
  <c r="L1691" i="9"/>
  <c r="L1692" i="9"/>
  <c r="L1693" i="9"/>
  <c r="L1694" i="9"/>
  <c r="L1695" i="9"/>
  <c r="L1696" i="9"/>
  <c r="L1697" i="9"/>
  <c r="L1698" i="9"/>
  <c r="L1699" i="9"/>
  <c r="L1700" i="9"/>
  <c r="L1701" i="9"/>
  <c r="L1702" i="9"/>
  <c r="L1703" i="9"/>
  <c r="L1704" i="9"/>
  <c r="L1705" i="9"/>
  <c r="L1706" i="9"/>
  <c r="L1707" i="9"/>
  <c r="L1708" i="9"/>
  <c r="L1709" i="9"/>
  <c r="L1710" i="9"/>
  <c r="L1711" i="9"/>
  <c r="L1712" i="9"/>
  <c r="L1713" i="9"/>
  <c r="L1714" i="9"/>
  <c r="L1715" i="9"/>
  <c r="L1716" i="9"/>
  <c r="L1717" i="9"/>
  <c r="L1718" i="9"/>
  <c r="L1719" i="9"/>
  <c r="L1720" i="9"/>
  <c r="L1721" i="9"/>
  <c r="L1722" i="9"/>
  <c r="L1723" i="9"/>
  <c r="L1724" i="9"/>
  <c r="L1725" i="9"/>
  <c r="L1726" i="9"/>
  <c r="L1727" i="9"/>
  <c r="L1728" i="9"/>
  <c r="L1729" i="9"/>
  <c r="L1730" i="9"/>
  <c r="L1731" i="9"/>
  <c r="L1732" i="9"/>
  <c r="L1733" i="9"/>
  <c r="L1734" i="9"/>
  <c r="L1735" i="9"/>
  <c r="L1736" i="9"/>
  <c r="L1737" i="9"/>
  <c r="L1738" i="9"/>
  <c r="L1739" i="9"/>
  <c r="L1740" i="9"/>
  <c r="L1741" i="9"/>
  <c r="L1742" i="9"/>
  <c r="L1743" i="9"/>
  <c r="L1744" i="9"/>
  <c r="L1745" i="9"/>
  <c r="L1746" i="9"/>
  <c r="L1747" i="9"/>
  <c r="L1748" i="9"/>
  <c r="L1749" i="9"/>
  <c r="L1750" i="9"/>
  <c r="L1751" i="9"/>
  <c r="L1752" i="9"/>
  <c r="L1753" i="9"/>
  <c r="L1754" i="9"/>
  <c r="L1755" i="9"/>
  <c r="L1756" i="9"/>
  <c r="L1757" i="9"/>
  <c r="L1758" i="9"/>
  <c r="L1759" i="9"/>
  <c r="L1760" i="9"/>
  <c r="L1761" i="9"/>
  <c r="L1762" i="9"/>
  <c r="L1763" i="9"/>
  <c r="L1764" i="9"/>
  <c r="L1765" i="9"/>
  <c r="L1766" i="9"/>
  <c r="L1767" i="9"/>
  <c r="L1768" i="9"/>
  <c r="L1769" i="9"/>
  <c r="L1770" i="9"/>
  <c r="L1771" i="9"/>
  <c r="L1772" i="9"/>
  <c r="L1773" i="9"/>
  <c r="L1774" i="9"/>
  <c r="L1775" i="9"/>
  <c r="L1776" i="9"/>
  <c r="L1777" i="9"/>
  <c r="L1778" i="9"/>
  <c r="L1779" i="9"/>
  <c r="L1780" i="9"/>
  <c r="L1781" i="9"/>
  <c r="L1782" i="9"/>
  <c r="L1783" i="9"/>
  <c r="L1784" i="9"/>
  <c r="L1785" i="9"/>
  <c r="L1786" i="9"/>
  <c r="L1787" i="9"/>
  <c r="L1788" i="9"/>
  <c r="L1789" i="9"/>
  <c r="L1790" i="9"/>
  <c r="L1791" i="9"/>
  <c r="L1792" i="9"/>
  <c r="L1793" i="9"/>
  <c r="L1794" i="9"/>
  <c r="L1795" i="9"/>
  <c r="L1796" i="9"/>
  <c r="L1797" i="9"/>
  <c r="L1798" i="9"/>
  <c r="L1799" i="9"/>
  <c r="L1800" i="9"/>
  <c r="L1801" i="9"/>
  <c r="L1802" i="9"/>
  <c r="L1803" i="9"/>
  <c r="L1804" i="9"/>
  <c r="L1805" i="9"/>
  <c r="L1806" i="9"/>
  <c r="L1807" i="9"/>
  <c r="L1808" i="9"/>
  <c r="L1809" i="9"/>
  <c r="L1810" i="9"/>
  <c r="L1811" i="9"/>
  <c r="L1812" i="9"/>
  <c r="L1813" i="9"/>
  <c r="L1814" i="9"/>
  <c r="L1815" i="9"/>
  <c r="L1816" i="9"/>
  <c r="L1817" i="9"/>
  <c r="L1818" i="9"/>
  <c r="L1819" i="9"/>
  <c r="L1820" i="9"/>
  <c r="L1821" i="9"/>
  <c r="L1822" i="9"/>
  <c r="L1823" i="9"/>
  <c r="L1824" i="9"/>
  <c r="L1825" i="9"/>
  <c r="L1826" i="9"/>
  <c r="L1827" i="9"/>
  <c r="L1828" i="9"/>
  <c r="L1829" i="9"/>
  <c r="L1830" i="9"/>
  <c r="L1831" i="9"/>
  <c r="L1832" i="9"/>
  <c r="L1833" i="9"/>
  <c r="L1834" i="9"/>
  <c r="L1835" i="9"/>
  <c r="L1836" i="9"/>
  <c r="L1837" i="9"/>
  <c r="L1838" i="9"/>
  <c r="L1839" i="9"/>
  <c r="L1840" i="9"/>
  <c r="L1841" i="9"/>
  <c r="L1842" i="9"/>
  <c r="L1843" i="9"/>
  <c r="L1844" i="9"/>
  <c r="L1845" i="9"/>
  <c r="L1846" i="9"/>
  <c r="L1847" i="9"/>
  <c r="L1848" i="9"/>
  <c r="L1849" i="9"/>
  <c r="L1850" i="9"/>
  <c r="L1851" i="9"/>
  <c r="L1852" i="9"/>
  <c r="L1853" i="9"/>
  <c r="L1854" i="9"/>
  <c r="L1855" i="9"/>
  <c r="L1856" i="9"/>
  <c r="L1857" i="9"/>
  <c r="L1858" i="9"/>
  <c r="L1859" i="9"/>
  <c r="L1860" i="9"/>
  <c r="L1861" i="9"/>
  <c r="L1862" i="9"/>
  <c r="L1863" i="9"/>
  <c r="L1864" i="9"/>
  <c r="L1865" i="9"/>
  <c r="L1866" i="9"/>
  <c r="L1867" i="9"/>
  <c r="L1868" i="9"/>
  <c r="L1869" i="9"/>
  <c r="L1870" i="9"/>
  <c r="L1871" i="9"/>
  <c r="L1872" i="9"/>
  <c r="L1873" i="9"/>
  <c r="L1874" i="9"/>
  <c r="L1875" i="9"/>
  <c r="L1876" i="9"/>
  <c r="L1877" i="9"/>
  <c r="L1878" i="9"/>
  <c r="L1879" i="9"/>
  <c r="L1880" i="9"/>
  <c r="L1881" i="9"/>
  <c r="L1882" i="9"/>
  <c r="L1883" i="9"/>
  <c r="L1884" i="9"/>
  <c r="L1885" i="9"/>
  <c r="L1886" i="9"/>
  <c r="L1887" i="9"/>
  <c r="L1888" i="9"/>
  <c r="L1889" i="9"/>
  <c r="L1890" i="9"/>
  <c r="L1891" i="9"/>
  <c r="L1892" i="9"/>
  <c r="L1893" i="9"/>
  <c r="L1894" i="9"/>
  <c r="L1895" i="9"/>
  <c r="L1896" i="9"/>
  <c r="L1897" i="9"/>
  <c r="L1898" i="9"/>
  <c r="L1899" i="9"/>
  <c r="L1900" i="9"/>
  <c r="L1901" i="9"/>
  <c r="L1902" i="9"/>
  <c r="L1903" i="9"/>
  <c r="L1904" i="9"/>
  <c r="L1905" i="9"/>
  <c r="L1906" i="9"/>
  <c r="L1907" i="9"/>
  <c r="L1908" i="9"/>
  <c r="L1909" i="9"/>
  <c r="L1910" i="9"/>
  <c r="L1911" i="9"/>
  <c r="L1912" i="9"/>
  <c r="L1913" i="9"/>
  <c r="L1914" i="9"/>
  <c r="L1915" i="9"/>
  <c r="L1916" i="9"/>
  <c r="L1917" i="9"/>
  <c r="L1918" i="9"/>
  <c r="L1919" i="9"/>
  <c r="L1920" i="9"/>
  <c r="L1921" i="9"/>
  <c r="L1922" i="9"/>
  <c r="L1923" i="9"/>
  <c r="L1924" i="9"/>
  <c r="L1925" i="9"/>
  <c r="L1926" i="9"/>
  <c r="L1927" i="9"/>
  <c r="L1928" i="9"/>
  <c r="L1929" i="9"/>
  <c r="L1930" i="9"/>
  <c r="L1931" i="9"/>
  <c r="L1932" i="9"/>
  <c r="L1933" i="9"/>
  <c r="L1934" i="9"/>
  <c r="L1935" i="9"/>
  <c r="L1936" i="9"/>
  <c r="L1937" i="9"/>
  <c r="L1938" i="9"/>
  <c r="L1939" i="9"/>
  <c r="L1940" i="9"/>
  <c r="L1941" i="9"/>
  <c r="L1942" i="9"/>
  <c r="L1943" i="9"/>
  <c r="L1944" i="9"/>
  <c r="L1945" i="9"/>
  <c r="L1946" i="9"/>
  <c r="L1947" i="9"/>
  <c r="L1948" i="9"/>
  <c r="L1949" i="9"/>
  <c r="L1950" i="9"/>
  <c r="L1951" i="9"/>
  <c r="L1952" i="9"/>
  <c r="L1953" i="9"/>
  <c r="L1954" i="9"/>
  <c r="L1955" i="9"/>
  <c r="L1956" i="9"/>
  <c r="L1957" i="9"/>
  <c r="L1958" i="9"/>
  <c r="L1959" i="9"/>
  <c r="L1960" i="9"/>
  <c r="L1961" i="9"/>
  <c r="L1962" i="9"/>
  <c r="L1963" i="9"/>
  <c r="L1964" i="9"/>
  <c r="L1965" i="9"/>
  <c r="L1966" i="9"/>
  <c r="L1967" i="9"/>
  <c r="L1968" i="9"/>
  <c r="L1969" i="9"/>
  <c r="L1970" i="9"/>
  <c r="L1971" i="9"/>
  <c r="L1972" i="9"/>
  <c r="L1973" i="9"/>
  <c r="L1974" i="9"/>
  <c r="L1975" i="9"/>
  <c r="L1976" i="9"/>
  <c r="L1977" i="9"/>
  <c r="L1978" i="9"/>
  <c r="L1979" i="9"/>
  <c r="L1980" i="9"/>
  <c r="L1981" i="9"/>
  <c r="L1982" i="9"/>
  <c r="L1983" i="9"/>
  <c r="L1984" i="9"/>
  <c r="L1985" i="9"/>
  <c r="L1986" i="9"/>
  <c r="L1987" i="9"/>
  <c r="L1988" i="9"/>
  <c r="L1989" i="9"/>
  <c r="L1990" i="9"/>
  <c r="L1991" i="9"/>
  <c r="L1992" i="9"/>
  <c r="L1993" i="9"/>
  <c r="L1994" i="9"/>
  <c r="L1995" i="9"/>
  <c r="L1996" i="9"/>
  <c r="L1997" i="9"/>
  <c r="L1998" i="9"/>
  <c r="L1999" i="9"/>
  <c r="L2000" i="9"/>
  <c r="L2001" i="9"/>
  <c r="L2002" i="9"/>
  <c r="L2003" i="9"/>
  <c r="L2004" i="9"/>
  <c r="L2005" i="9"/>
  <c r="L2006" i="9"/>
  <c r="L2007" i="9"/>
  <c r="L2008" i="9"/>
  <c r="L2009" i="9"/>
  <c r="L2010" i="9"/>
  <c r="L2011" i="9"/>
  <c r="L2012" i="9"/>
  <c r="L2013" i="9"/>
  <c r="L2014" i="9"/>
  <c r="L2015" i="9"/>
  <c r="L2016" i="9"/>
  <c r="L2017" i="9"/>
  <c r="L2018" i="9"/>
  <c r="L2019" i="9"/>
  <c r="L2020" i="9"/>
  <c r="L2021" i="9"/>
  <c r="L2022" i="9"/>
  <c r="L2023" i="9"/>
  <c r="L2024" i="9"/>
  <c r="L2025" i="9"/>
  <c r="L2026" i="9"/>
  <c r="L2027" i="9"/>
  <c r="L2028" i="9"/>
  <c r="L2029" i="9"/>
  <c r="L2030" i="9"/>
  <c r="L2031" i="9"/>
  <c r="L2032" i="9"/>
  <c r="L2033" i="9"/>
  <c r="L2034" i="9"/>
  <c r="L2035" i="9"/>
  <c r="L2036" i="9"/>
  <c r="L2037" i="9"/>
  <c r="L2038" i="9"/>
  <c r="L2039" i="9"/>
  <c r="L2040" i="9"/>
  <c r="L2041" i="9"/>
  <c r="L2042" i="9"/>
  <c r="L2043" i="9"/>
  <c r="L2044" i="9"/>
  <c r="L2045" i="9"/>
  <c r="L2046" i="9"/>
  <c r="L2047" i="9"/>
  <c r="L2048" i="9"/>
  <c r="L2049" i="9"/>
  <c r="L2050" i="9"/>
  <c r="L2051" i="9"/>
  <c r="L2052" i="9"/>
  <c r="L2053" i="9"/>
  <c r="L2054" i="9"/>
  <c r="L2055" i="9"/>
  <c r="L2056" i="9"/>
  <c r="L2057" i="9"/>
  <c r="L2058" i="9"/>
  <c r="L2059" i="9"/>
  <c r="L2060" i="9"/>
  <c r="L2061" i="9"/>
  <c r="L2062" i="9"/>
  <c r="L2063" i="9"/>
  <c r="L2064" i="9"/>
  <c r="L2065" i="9"/>
  <c r="L2066" i="9"/>
  <c r="L2067" i="9"/>
  <c r="L2068" i="9"/>
  <c r="L2069" i="9"/>
  <c r="L2070" i="9"/>
  <c r="L2071" i="9"/>
  <c r="L2072" i="9"/>
  <c r="L2073" i="9"/>
  <c r="L2074" i="9"/>
  <c r="L2075" i="9"/>
  <c r="L2076" i="9"/>
  <c r="L2077" i="9"/>
  <c r="L2078" i="9"/>
  <c r="L2079" i="9"/>
  <c r="L2080" i="9"/>
  <c r="L2081" i="9"/>
  <c r="L2082" i="9"/>
  <c r="L2083" i="9"/>
  <c r="L2084" i="9"/>
  <c r="L2085" i="9"/>
  <c r="L2086" i="9"/>
  <c r="L2087" i="9"/>
  <c r="L2088" i="9"/>
  <c r="L2089" i="9"/>
  <c r="L2090" i="9"/>
  <c r="L2091" i="9"/>
  <c r="L2092" i="9"/>
  <c r="L2093" i="9"/>
  <c r="L2094" i="9"/>
  <c r="L2095" i="9"/>
  <c r="L2096" i="9"/>
  <c r="L2097" i="9"/>
  <c r="L2098" i="9"/>
  <c r="L2099" i="9"/>
  <c r="L2100" i="9"/>
  <c r="L2101" i="9"/>
  <c r="L2102" i="9"/>
  <c r="L2103" i="9"/>
  <c r="L2104" i="9"/>
  <c r="L2105" i="9"/>
  <c r="L2106" i="9"/>
  <c r="L2107" i="9"/>
  <c r="L2108" i="9"/>
  <c r="L2109" i="9"/>
  <c r="L2110" i="9"/>
  <c r="L2111" i="9"/>
  <c r="L2112" i="9"/>
  <c r="L2113" i="9"/>
  <c r="L2114" i="9"/>
  <c r="L2115" i="9"/>
  <c r="L2116" i="9"/>
  <c r="L2117" i="9"/>
  <c r="L2118" i="9"/>
  <c r="L2119" i="9"/>
  <c r="L2120" i="9"/>
  <c r="L2121" i="9"/>
  <c r="L2122" i="9"/>
  <c r="L2123" i="9"/>
  <c r="L2124" i="9"/>
  <c r="L2125" i="9"/>
  <c r="L2126" i="9"/>
  <c r="L2127" i="9"/>
  <c r="L2128" i="9"/>
  <c r="L2129" i="9"/>
  <c r="L2130" i="9"/>
  <c r="L2131" i="9"/>
  <c r="L2132" i="9"/>
  <c r="L2133" i="9"/>
  <c r="L2134" i="9"/>
  <c r="L2135" i="9"/>
  <c r="L2136" i="9"/>
  <c r="L2137" i="9"/>
  <c r="L2138" i="9"/>
  <c r="L2139" i="9"/>
  <c r="L2140" i="9"/>
  <c r="L2141" i="9"/>
  <c r="L2142" i="9"/>
  <c r="L2143" i="9"/>
  <c r="L2144" i="9"/>
  <c r="L2145" i="9"/>
  <c r="L2146" i="9"/>
  <c r="L2147" i="9"/>
  <c r="L2148" i="9"/>
  <c r="L2149" i="9"/>
  <c r="L2150" i="9"/>
  <c r="L2151" i="9"/>
  <c r="L2152" i="9"/>
  <c r="L2153" i="9"/>
  <c r="L2154" i="9"/>
  <c r="L2155" i="9"/>
  <c r="L2156" i="9"/>
  <c r="L2157" i="9"/>
  <c r="L2158" i="9"/>
  <c r="L2159" i="9"/>
  <c r="L2160" i="9"/>
  <c r="L2161" i="9"/>
  <c r="L2162" i="9"/>
  <c r="L2163" i="9"/>
  <c r="L2164" i="9"/>
  <c r="L2165" i="9"/>
  <c r="L2166" i="9"/>
  <c r="L2167" i="9"/>
  <c r="L2168" i="9"/>
  <c r="L2169" i="9"/>
  <c r="L2170" i="9"/>
  <c r="L2171" i="9"/>
  <c r="L2172" i="9"/>
  <c r="L2173" i="9"/>
  <c r="L2174" i="9"/>
  <c r="L2175" i="9"/>
  <c r="L2176" i="9"/>
  <c r="L2177" i="9"/>
  <c r="L2178" i="9"/>
  <c r="L2179" i="9"/>
  <c r="L2180" i="9"/>
  <c r="L2181" i="9"/>
  <c r="L2182" i="9"/>
  <c r="L2183" i="9"/>
  <c r="L2184" i="9"/>
  <c r="L2185" i="9"/>
  <c r="L2186" i="9"/>
  <c r="L2187" i="9"/>
  <c r="L2188" i="9"/>
  <c r="L2189" i="9"/>
  <c r="L2190" i="9"/>
  <c r="L2191" i="9"/>
  <c r="L2192" i="9"/>
  <c r="L2193" i="9"/>
  <c r="L2194" i="9"/>
  <c r="L2195" i="9"/>
  <c r="L2196" i="9"/>
  <c r="L2197" i="9"/>
  <c r="L2198" i="9"/>
  <c r="L2199" i="9"/>
  <c r="L2200" i="9"/>
  <c r="L2201" i="9"/>
  <c r="L2202" i="9"/>
  <c r="L2203" i="9"/>
  <c r="L2204" i="9"/>
  <c r="L2205" i="9"/>
  <c r="L2206" i="9"/>
  <c r="L2207" i="9"/>
  <c r="L2208" i="9"/>
  <c r="L2209" i="9"/>
  <c r="L2210" i="9"/>
  <c r="L2211" i="9"/>
  <c r="L2212" i="9"/>
  <c r="L2213" i="9"/>
  <c r="L2214" i="9"/>
  <c r="L2215" i="9"/>
  <c r="L2216" i="9"/>
  <c r="L2217" i="9"/>
  <c r="L2218" i="9"/>
  <c r="L2219" i="9"/>
  <c r="L2220" i="9"/>
  <c r="L2221" i="9"/>
  <c r="L2222" i="9"/>
  <c r="L2223" i="9"/>
  <c r="L2224" i="9"/>
  <c r="L2225" i="9"/>
  <c r="L2226" i="9"/>
  <c r="L2227" i="9"/>
  <c r="L2228" i="9"/>
  <c r="L2229" i="9"/>
  <c r="L2230" i="9"/>
  <c r="L2231" i="9"/>
  <c r="L2232" i="9"/>
  <c r="L2233" i="9"/>
  <c r="L2234" i="9"/>
  <c r="L2235" i="9"/>
  <c r="L2236" i="9"/>
  <c r="L2237" i="9"/>
  <c r="L2238" i="9"/>
  <c r="L2239" i="9"/>
  <c r="L2240" i="9"/>
  <c r="L2241" i="9"/>
  <c r="L2242" i="9"/>
  <c r="L2243" i="9"/>
  <c r="L2244" i="9"/>
  <c r="L2245" i="9"/>
  <c r="L2246" i="9"/>
  <c r="L2247" i="9"/>
  <c r="L2248" i="9"/>
  <c r="L2249" i="9"/>
  <c r="L2250" i="9"/>
  <c r="L2251" i="9"/>
  <c r="L2252" i="9"/>
  <c r="L2253" i="9"/>
  <c r="L2254" i="9"/>
  <c r="L2255" i="9"/>
  <c r="L2256" i="9"/>
  <c r="L2257" i="9"/>
  <c r="L2258" i="9"/>
  <c r="L2259" i="9"/>
  <c r="L2260" i="9"/>
  <c r="L2261" i="9"/>
  <c r="L2262" i="9"/>
  <c r="L2263" i="9"/>
  <c r="L2264" i="9"/>
  <c r="L2265" i="9"/>
  <c r="L2266" i="9"/>
  <c r="L2267" i="9"/>
  <c r="L2268" i="9"/>
  <c r="L2269" i="9"/>
  <c r="L2270" i="9"/>
  <c r="L2271" i="9"/>
  <c r="L2272" i="9"/>
  <c r="L2273" i="9"/>
  <c r="L2274" i="9"/>
  <c r="L2275" i="9"/>
  <c r="L2276" i="9"/>
  <c r="L2277" i="9"/>
  <c r="L2278" i="9"/>
  <c r="L2279" i="9"/>
  <c r="L2280" i="9"/>
  <c r="L2281" i="9"/>
  <c r="L2282" i="9"/>
  <c r="L2283" i="9"/>
  <c r="L2284" i="9"/>
  <c r="L2285" i="9"/>
  <c r="L2286" i="9"/>
  <c r="L2287" i="9"/>
  <c r="L2288" i="9"/>
  <c r="L2289" i="9"/>
  <c r="L2290" i="9"/>
  <c r="L2291" i="9"/>
  <c r="L2292" i="9"/>
  <c r="L2293" i="9"/>
  <c r="L2294" i="9"/>
  <c r="L2295" i="9"/>
  <c r="L2296" i="9"/>
  <c r="L2297" i="9"/>
  <c r="L2298" i="9"/>
  <c r="L2299" i="9"/>
  <c r="L2300" i="9"/>
  <c r="L2301" i="9"/>
  <c r="L2302" i="9"/>
  <c r="L2303" i="9"/>
  <c r="L2304" i="9"/>
  <c r="L2305" i="9"/>
  <c r="L2306" i="9"/>
  <c r="L2307" i="9"/>
  <c r="L2308" i="9"/>
  <c r="L2309" i="9"/>
  <c r="L2310" i="9"/>
  <c r="L2311" i="9"/>
  <c r="L2312" i="9"/>
  <c r="L2313" i="9"/>
  <c r="L2314" i="9"/>
  <c r="L2315" i="9"/>
  <c r="L2316" i="9"/>
  <c r="L2317" i="9"/>
  <c r="L2318" i="9"/>
  <c r="L2319" i="9"/>
  <c r="L2320" i="9"/>
  <c r="L2321" i="9"/>
  <c r="L2322" i="9"/>
  <c r="L2323" i="9"/>
  <c r="L2324" i="9"/>
  <c r="L2325" i="9"/>
  <c r="L2326" i="9"/>
  <c r="L2327" i="9"/>
  <c r="L2328" i="9"/>
  <c r="L2329" i="9"/>
  <c r="L2330" i="9"/>
  <c r="L2331" i="9"/>
  <c r="L2332" i="9"/>
  <c r="L2333" i="9"/>
  <c r="L2334" i="9"/>
  <c r="L2335" i="9"/>
  <c r="L2336" i="9"/>
  <c r="L2337" i="9"/>
  <c r="L2338" i="9"/>
  <c r="L2339" i="9"/>
  <c r="L2340" i="9"/>
  <c r="L2341" i="9"/>
  <c r="L2342" i="9"/>
  <c r="L2343" i="9"/>
  <c r="L2344" i="9"/>
  <c r="L2345" i="9"/>
  <c r="L2346" i="9"/>
  <c r="L2347" i="9"/>
  <c r="L2348" i="9"/>
  <c r="L2349" i="9"/>
  <c r="L2350" i="9"/>
  <c r="L2351" i="9"/>
  <c r="L2352" i="9"/>
  <c r="L2353" i="9"/>
  <c r="L2354" i="9"/>
  <c r="L2355" i="9"/>
  <c r="L2356" i="9"/>
  <c r="L2357" i="9"/>
  <c r="L2358" i="9"/>
  <c r="L2359" i="9"/>
  <c r="L2360" i="9"/>
  <c r="L2361" i="9"/>
  <c r="L2362" i="9"/>
  <c r="L2363" i="9"/>
  <c r="L2364" i="9"/>
  <c r="L2365" i="9"/>
  <c r="L2366" i="9"/>
  <c r="L2367" i="9"/>
  <c r="L2368" i="9"/>
  <c r="L2369" i="9"/>
  <c r="L2370" i="9"/>
  <c r="L2371" i="9"/>
  <c r="L2372" i="9"/>
  <c r="L2373" i="9"/>
  <c r="L2374" i="9"/>
  <c r="L2375" i="9"/>
  <c r="L2376" i="9"/>
  <c r="L2377" i="9"/>
  <c r="L2378" i="9"/>
  <c r="L2379" i="9"/>
  <c r="L2380" i="9"/>
  <c r="L2381" i="9"/>
  <c r="L2382" i="9"/>
  <c r="L2383" i="9"/>
  <c r="L2384" i="9"/>
  <c r="L2385" i="9"/>
  <c r="L2386" i="9"/>
  <c r="L2387" i="9"/>
  <c r="L2388" i="9"/>
  <c r="L2389" i="9"/>
  <c r="L2390" i="9"/>
  <c r="L2391" i="9"/>
  <c r="L2392" i="9"/>
  <c r="L2393" i="9"/>
  <c r="L2394" i="9"/>
  <c r="L2395" i="9"/>
  <c r="L2396" i="9"/>
  <c r="L2397" i="9"/>
  <c r="L2398" i="9"/>
  <c r="L2399" i="9"/>
  <c r="L2400" i="9"/>
  <c r="L2401" i="9"/>
  <c r="L2402" i="9"/>
  <c r="L2403" i="9"/>
  <c r="L2404" i="9"/>
  <c r="L2405" i="9"/>
  <c r="L2406" i="9"/>
  <c r="L2407" i="9"/>
  <c r="L2408" i="9"/>
  <c r="L2409" i="9"/>
  <c r="L2410" i="9"/>
  <c r="L2411" i="9"/>
  <c r="L2412" i="9"/>
  <c r="L2413" i="9"/>
  <c r="L2414" i="9"/>
  <c r="L2415" i="9"/>
  <c r="L2416" i="9"/>
  <c r="L2417" i="9"/>
  <c r="L2418" i="9"/>
  <c r="L2419" i="9"/>
  <c r="L2420" i="9"/>
  <c r="L2421" i="9"/>
  <c r="L2422" i="9"/>
  <c r="L2423" i="9"/>
  <c r="L2424" i="9"/>
  <c r="L2425" i="9"/>
  <c r="L2426" i="9"/>
  <c r="L2427" i="9"/>
  <c r="L2428" i="9"/>
  <c r="L2429" i="9"/>
  <c r="L2430" i="9"/>
  <c r="L2431" i="9"/>
  <c r="L2432" i="9"/>
  <c r="L2433" i="9"/>
  <c r="L2434" i="9"/>
  <c r="L2435" i="9"/>
  <c r="L2436" i="9"/>
  <c r="L2437" i="9"/>
  <c r="L2438" i="9"/>
  <c r="L2439" i="9"/>
  <c r="L2440" i="9"/>
  <c r="L2441" i="9"/>
  <c r="L2442" i="9"/>
  <c r="L2443" i="9"/>
  <c r="L2444" i="9"/>
  <c r="L2445" i="9"/>
  <c r="L2446" i="9"/>
  <c r="L2447" i="9"/>
  <c r="L2448" i="9"/>
  <c r="L2449" i="9"/>
  <c r="L2450" i="9"/>
  <c r="L2451" i="9"/>
  <c r="L2452" i="9"/>
  <c r="L2453" i="9"/>
  <c r="L2454" i="9"/>
  <c r="L2455" i="9"/>
  <c r="L2456" i="9"/>
  <c r="L2457" i="9"/>
  <c r="L2458" i="9"/>
  <c r="L2459" i="9"/>
  <c r="L2460" i="9"/>
  <c r="L2461" i="9"/>
  <c r="L2462" i="9"/>
  <c r="L2463" i="9"/>
  <c r="L2464" i="9"/>
  <c r="L2465" i="9"/>
  <c r="L2466" i="9"/>
  <c r="L2467" i="9"/>
  <c r="L2468" i="9"/>
  <c r="L2469" i="9"/>
  <c r="L2470" i="9"/>
  <c r="L2471" i="9"/>
  <c r="L2472" i="9"/>
  <c r="L2473" i="9"/>
  <c r="L2474" i="9"/>
  <c r="L2475" i="9"/>
  <c r="L2476" i="9"/>
  <c r="L2477" i="9"/>
  <c r="L2478" i="9"/>
  <c r="L2479" i="9"/>
  <c r="L2480" i="9"/>
  <c r="L2481" i="9"/>
  <c r="L2482" i="9"/>
  <c r="L2483" i="9"/>
  <c r="L2484" i="9"/>
  <c r="L2485" i="9"/>
  <c r="L2486" i="9"/>
  <c r="L2487" i="9"/>
  <c r="L2488" i="9"/>
  <c r="L2489" i="9"/>
  <c r="L2490" i="9"/>
  <c r="L2491" i="9"/>
  <c r="L2492" i="9"/>
  <c r="L2493" i="9"/>
  <c r="L2494" i="9"/>
  <c r="L2495" i="9"/>
  <c r="L2496" i="9"/>
  <c r="L2497" i="9"/>
  <c r="L2498" i="9"/>
  <c r="L2499" i="9"/>
  <c r="L2500" i="9"/>
  <c r="L2501" i="9"/>
  <c r="L2502" i="9"/>
  <c r="L2503" i="9"/>
  <c r="L2504" i="9"/>
  <c r="L2505" i="9"/>
  <c r="L2506" i="9"/>
  <c r="L2507" i="9"/>
  <c r="L2508" i="9"/>
  <c r="L2509" i="9"/>
  <c r="L2510" i="9"/>
  <c r="L2511" i="9"/>
  <c r="L2512" i="9"/>
  <c r="L2513" i="9"/>
  <c r="L2514" i="9"/>
  <c r="L2515" i="9"/>
  <c r="L2516" i="9"/>
  <c r="L2517" i="9"/>
  <c r="L2518" i="9"/>
  <c r="L2519" i="9"/>
  <c r="L2520" i="9"/>
  <c r="L2521" i="9"/>
  <c r="L2522" i="9"/>
  <c r="L2523" i="9"/>
  <c r="L2524" i="9"/>
  <c r="L2525" i="9"/>
  <c r="L2526" i="9"/>
  <c r="L2527" i="9"/>
  <c r="L2528" i="9"/>
  <c r="L2529" i="9"/>
  <c r="L2530" i="9"/>
  <c r="L2531" i="9"/>
  <c r="L2532" i="9"/>
  <c r="L2533" i="9"/>
  <c r="L2534" i="9"/>
  <c r="L2535" i="9"/>
  <c r="L2536" i="9"/>
  <c r="L2537" i="9"/>
  <c r="L2538" i="9"/>
  <c r="L2539" i="9"/>
  <c r="L2540" i="9"/>
  <c r="L2541" i="9"/>
  <c r="L2542" i="9"/>
  <c r="L2543" i="9"/>
  <c r="L2544" i="9"/>
  <c r="L2545" i="9"/>
  <c r="L2546" i="9"/>
  <c r="L2547" i="9"/>
  <c r="L2548" i="9"/>
  <c r="L2549" i="9"/>
  <c r="L2550" i="9"/>
  <c r="L2551" i="9"/>
  <c r="L2552" i="9"/>
  <c r="L2553" i="9"/>
  <c r="L2554" i="9"/>
  <c r="L2555" i="9"/>
  <c r="L2556" i="9"/>
  <c r="L2557" i="9"/>
  <c r="L2558" i="9"/>
  <c r="L2559" i="9"/>
  <c r="L2560" i="9"/>
  <c r="L2561" i="9"/>
  <c r="L2562" i="9"/>
  <c r="L2563" i="9"/>
  <c r="L2564" i="9"/>
  <c r="L2565" i="9"/>
  <c r="L2566" i="9"/>
  <c r="L2567" i="9"/>
  <c r="L2568" i="9"/>
  <c r="L2569" i="9"/>
  <c r="L2570" i="9"/>
  <c r="L2571" i="9"/>
  <c r="L2572" i="9"/>
  <c r="L2573" i="9"/>
  <c r="L2574" i="9"/>
  <c r="L2575" i="9"/>
  <c r="L2576" i="9"/>
  <c r="L2577" i="9"/>
  <c r="L2578" i="9"/>
  <c r="L2579" i="9"/>
  <c r="L2580" i="9"/>
  <c r="L2581" i="9"/>
  <c r="L2582" i="9"/>
  <c r="L2583" i="9"/>
  <c r="L2584" i="9"/>
  <c r="L2585" i="9"/>
  <c r="L2586" i="9"/>
  <c r="L2587" i="9"/>
  <c r="L2588" i="9"/>
  <c r="L2589" i="9"/>
  <c r="L2590" i="9"/>
  <c r="L2591" i="9"/>
  <c r="L2592" i="9"/>
  <c r="L2593" i="9"/>
  <c r="L2594" i="9"/>
  <c r="L2595" i="9"/>
  <c r="L2596" i="9"/>
  <c r="L2597" i="9"/>
  <c r="L2598" i="9"/>
  <c r="L2599" i="9"/>
  <c r="L2600" i="9"/>
  <c r="L2601" i="9"/>
  <c r="L2602" i="9"/>
  <c r="L2603" i="9"/>
  <c r="L2604" i="9"/>
  <c r="L2605" i="9"/>
  <c r="L2606" i="9"/>
  <c r="L2607" i="9"/>
  <c r="L2608" i="9"/>
  <c r="L2609" i="9"/>
  <c r="L2610" i="9"/>
  <c r="L2611" i="9"/>
  <c r="L2612" i="9"/>
  <c r="L2613" i="9"/>
  <c r="L2614" i="9"/>
  <c r="L2615" i="9"/>
  <c r="L2616" i="9"/>
  <c r="L2617" i="9"/>
  <c r="L2618" i="9"/>
  <c r="L2619" i="9"/>
  <c r="L2620" i="9"/>
  <c r="L2621" i="9"/>
  <c r="L2622" i="9"/>
  <c r="L2623" i="9"/>
  <c r="L2624" i="9"/>
  <c r="L2625" i="9"/>
  <c r="L2626" i="9"/>
  <c r="L2627" i="9"/>
  <c r="L2628" i="9"/>
  <c r="L2629" i="9"/>
  <c r="L2630" i="9"/>
  <c r="L2631" i="9"/>
  <c r="L2632" i="9"/>
  <c r="L2633" i="9"/>
  <c r="L2634" i="9"/>
  <c r="L2635" i="9"/>
  <c r="L2636" i="9"/>
  <c r="L2637" i="9"/>
  <c r="L2638" i="9"/>
  <c r="L2639" i="9"/>
  <c r="L2640" i="9"/>
  <c r="L2641" i="9"/>
  <c r="L2642" i="9"/>
  <c r="L2643" i="9"/>
  <c r="L2644" i="9"/>
  <c r="L2645" i="9"/>
  <c r="L2646" i="9"/>
  <c r="L2647" i="9"/>
  <c r="L2648" i="9"/>
  <c r="L2649" i="9"/>
  <c r="L2650" i="9"/>
  <c r="L2651" i="9"/>
  <c r="L2652" i="9"/>
  <c r="L2653" i="9"/>
  <c r="L2654" i="9"/>
  <c r="L2655" i="9"/>
  <c r="L2656" i="9"/>
  <c r="L2657" i="9"/>
  <c r="L2658" i="9"/>
  <c r="L2659" i="9"/>
  <c r="L2660" i="9"/>
  <c r="L2661" i="9"/>
  <c r="L2662" i="9"/>
  <c r="L2663" i="9"/>
  <c r="L2664" i="9"/>
  <c r="L2665" i="9"/>
  <c r="L2666" i="9"/>
  <c r="L2667" i="9"/>
  <c r="L2668" i="9"/>
  <c r="L2669" i="9"/>
  <c r="L2670" i="9"/>
  <c r="L2671" i="9"/>
  <c r="L2672" i="9"/>
  <c r="L2673" i="9"/>
  <c r="L2674" i="9"/>
  <c r="L2675" i="9"/>
  <c r="L2676" i="9"/>
  <c r="L2677" i="9"/>
  <c r="L2678" i="9"/>
  <c r="L2679" i="9"/>
  <c r="L2680" i="9"/>
  <c r="L2681" i="9"/>
  <c r="L2682" i="9"/>
  <c r="L2683" i="9"/>
  <c r="L2684" i="9"/>
  <c r="L2685" i="9"/>
  <c r="L2686" i="9"/>
  <c r="L2687" i="9"/>
  <c r="L2688" i="9"/>
  <c r="L2689" i="9"/>
  <c r="L2690" i="9"/>
  <c r="L2691" i="9"/>
  <c r="L2692" i="9"/>
  <c r="L2693" i="9"/>
  <c r="L2694" i="9"/>
  <c r="L2695" i="9"/>
  <c r="L2696" i="9"/>
  <c r="L2697" i="9"/>
  <c r="L2698" i="9"/>
  <c r="L2699" i="9"/>
  <c r="L2700" i="9"/>
  <c r="L2701" i="9"/>
  <c r="L2702" i="9"/>
  <c r="L2703" i="9"/>
  <c r="L2704" i="9"/>
  <c r="L2705" i="9"/>
  <c r="L2706" i="9"/>
  <c r="L2707" i="9"/>
  <c r="L2708" i="9"/>
  <c r="L2709" i="9"/>
  <c r="L2710" i="9"/>
  <c r="L2711" i="9"/>
  <c r="L2712" i="9"/>
  <c r="L2713" i="9"/>
  <c r="L2714" i="9"/>
  <c r="L2715" i="9"/>
  <c r="L2716" i="9"/>
  <c r="L2717" i="9"/>
  <c r="L2718" i="9"/>
  <c r="L2719" i="9"/>
  <c r="L2720" i="9"/>
  <c r="L2721" i="9"/>
  <c r="L2722" i="9"/>
  <c r="L2723" i="9"/>
  <c r="L2724" i="9"/>
  <c r="L2725" i="9"/>
  <c r="L2726" i="9"/>
  <c r="L2727" i="9"/>
  <c r="L2728" i="9"/>
  <c r="L2729" i="9"/>
  <c r="L2730" i="9"/>
  <c r="L2731" i="9"/>
  <c r="L2732" i="9"/>
  <c r="L2733" i="9"/>
  <c r="L2734" i="9"/>
  <c r="L2735" i="9"/>
  <c r="L2736" i="9"/>
  <c r="L2737" i="9"/>
  <c r="L2738" i="9"/>
  <c r="L2739" i="9"/>
  <c r="L2740" i="9"/>
  <c r="L2741" i="9"/>
  <c r="L2742" i="9"/>
  <c r="L2743" i="9"/>
  <c r="L2744" i="9"/>
  <c r="L2745" i="9"/>
  <c r="L2746" i="9"/>
  <c r="L2747" i="9"/>
  <c r="L2748" i="9"/>
  <c r="L2749" i="9"/>
  <c r="L2750" i="9"/>
  <c r="L2751" i="9"/>
  <c r="L2752" i="9"/>
  <c r="L2753" i="9"/>
  <c r="L2754" i="9"/>
  <c r="L2755" i="9"/>
  <c r="L2756" i="9"/>
  <c r="L2757" i="9"/>
  <c r="L2758" i="9"/>
  <c r="L2759" i="9"/>
  <c r="L2760" i="9"/>
  <c r="L2761" i="9"/>
  <c r="L2762" i="9"/>
  <c r="L2763" i="9"/>
  <c r="L2764" i="9"/>
  <c r="L2765" i="9"/>
  <c r="L2766" i="9"/>
  <c r="L2767" i="9"/>
  <c r="L2768" i="9"/>
  <c r="L2769" i="9"/>
  <c r="L2770" i="9"/>
  <c r="L2771" i="9"/>
  <c r="L2772" i="9"/>
  <c r="L2773" i="9"/>
  <c r="L2774" i="9"/>
  <c r="L2775" i="9"/>
  <c r="L2776" i="9"/>
  <c r="L2777" i="9"/>
  <c r="L2778" i="9"/>
  <c r="L2779" i="9"/>
  <c r="L2780" i="9"/>
  <c r="L2781" i="9"/>
  <c r="L2782" i="9"/>
  <c r="L2783" i="9"/>
  <c r="L2784" i="9"/>
  <c r="L2785" i="9"/>
  <c r="L2786" i="9"/>
  <c r="L2787" i="9"/>
  <c r="L2788" i="9"/>
  <c r="L2789" i="9"/>
  <c r="L2790" i="9"/>
  <c r="L2791" i="9"/>
  <c r="L2792" i="9"/>
  <c r="L2793" i="9"/>
  <c r="L2794" i="9"/>
  <c r="L2795" i="9"/>
  <c r="L2796" i="9"/>
  <c r="L2797" i="9"/>
  <c r="L2798" i="9"/>
  <c r="L2799" i="9"/>
  <c r="L2800" i="9"/>
  <c r="L2801" i="9"/>
  <c r="L2802" i="9"/>
  <c r="L2803" i="9"/>
  <c r="L2804" i="9"/>
  <c r="L2805" i="9"/>
  <c r="L2806" i="9"/>
  <c r="L2807" i="9"/>
  <c r="L2808" i="9"/>
  <c r="L2809" i="9"/>
  <c r="L2810" i="9"/>
  <c r="L2811" i="9"/>
  <c r="L2812" i="9"/>
  <c r="L2813" i="9"/>
  <c r="L2814" i="9"/>
  <c r="L2815" i="9"/>
  <c r="L2816" i="9"/>
  <c r="L2817" i="9"/>
  <c r="L2818" i="9"/>
  <c r="L2819" i="9"/>
  <c r="L2820" i="9"/>
  <c r="L2821" i="9"/>
  <c r="L2822" i="9"/>
  <c r="L2823" i="9"/>
  <c r="L2824" i="9"/>
  <c r="L2825" i="9"/>
  <c r="L2826" i="9"/>
  <c r="L2827" i="9"/>
  <c r="L2828" i="9"/>
  <c r="L2829" i="9"/>
  <c r="L2830" i="9"/>
  <c r="L2831" i="9"/>
  <c r="L2832" i="9"/>
  <c r="L2833" i="9"/>
  <c r="L2834" i="9"/>
  <c r="L2835" i="9"/>
  <c r="L2836" i="9"/>
  <c r="L2837" i="9"/>
  <c r="L2838" i="9"/>
  <c r="L2839" i="9"/>
  <c r="L2840" i="9"/>
  <c r="L2841" i="9"/>
  <c r="L2842" i="9"/>
  <c r="L2843" i="9"/>
  <c r="L2844" i="9"/>
  <c r="L2845" i="9"/>
  <c r="L2846" i="9"/>
  <c r="L2847" i="9"/>
  <c r="L2848" i="9"/>
  <c r="L2849" i="9"/>
  <c r="L2850" i="9"/>
  <c r="L2851" i="9"/>
  <c r="L2852" i="9"/>
  <c r="L2853" i="9"/>
  <c r="L2854" i="9"/>
  <c r="L2855" i="9"/>
  <c r="L2856" i="9"/>
  <c r="L2857" i="9"/>
  <c r="L2858" i="9"/>
  <c r="L2859" i="9"/>
  <c r="L2860" i="9"/>
  <c r="L2861" i="9"/>
  <c r="L2862" i="9"/>
  <c r="L2863" i="9"/>
  <c r="L2864" i="9"/>
  <c r="L2865" i="9"/>
  <c r="L2866" i="9"/>
  <c r="L2867" i="9"/>
  <c r="L2868" i="9"/>
  <c r="L2869" i="9"/>
  <c r="L2870" i="9"/>
  <c r="L2871" i="9"/>
  <c r="L2872" i="9"/>
  <c r="L2873" i="9"/>
  <c r="L2874" i="9"/>
  <c r="L2875" i="9"/>
  <c r="L2876" i="9"/>
  <c r="L2877" i="9"/>
  <c r="L2878" i="9"/>
  <c r="L2879" i="9"/>
  <c r="L2880" i="9"/>
  <c r="L2881" i="9"/>
  <c r="L2882" i="9"/>
  <c r="L2883" i="9"/>
  <c r="L2884" i="9"/>
  <c r="L2885" i="9"/>
  <c r="L2886" i="9"/>
  <c r="L2887" i="9"/>
  <c r="L2888" i="9"/>
  <c r="L2889" i="9"/>
  <c r="L2890" i="9"/>
  <c r="L2891" i="9"/>
  <c r="L2892" i="9"/>
  <c r="L2893" i="9"/>
  <c r="L2894" i="9"/>
  <c r="L2895" i="9"/>
  <c r="L2896" i="9"/>
  <c r="L2897" i="9"/>
  <c r="L2898" i="9"/>
  <c r="L2899" i="9"/>
  <c r="L2900" i="9"/>
  <c r="L2901" i="9"/>
  <c r="L2902" i="9"/>
  <c r="L2903" i="9"/>
  <c r="L2904" i="9"/>
  <c r="L2905" i="9"/>
  <c r="L2906" i="9"/>
  <c r="L2907" i="9"/>
  <c r="L2908" i="9"/>
  <c r="L2909" i="9"/>
  <c r="L2910" i="9"/>
  <c r="L2911" i="9"/>
  <c r="L2912" i="9"/>
  <c r="L2913" i="9"/>
  <c r="L2914" i="9"/>
  <c r="L2915" i="9"/>
  <c r="L2916" i="9"/>
  <c r="L2917" i="9"/>
  <c r="L2918" i="9"/>
  <c r="L2919" i="9"/>
  <c r="L2920" i="9"/>
  <c r="L2921" i="9"/>
  <c r="L2922" i="9"/>
  <c r="L2923" i="9"/>
  <c r="L2924" i="9"/>
  <c r="L2925" i="9"/>
  <c r="L2926" i="9"/>
  <c r="L2927" i="9"/>
  <c r="L2928" i="9"/>
  <c r="L2929" i="9"/>
  <c r="L2930" i="9"/>
  <c r="L2931" i="9"/>
  <c r="L2932" i="9"/>
  <c r="L2933" i="9"/>
  <c r="L2934" i="9"/>
  <c r="L2935" i="9"/>
  <c r="L2936" i="9"/>
  <c r="L2937" i="9"/>
  <c r="L2938" i="9"/>
  <c r="L2939" i="9"/>
  <c r="L2940" i="9"/>
  <c r="L2941" i="9"/>
  <c r="L2942" i="9"/>
  <c r="L2943" i="9"/>
  <c r="L2944" i="9"/>
  <c r="L2945" i="9"/>
  <c r="L2946" i="9"/>
  <c r="L2947" i="9"/>
  <c r="L2948" i="9"/>
  <c r="L2949" i="9"/>
  <c r="L2950" i="9"/>
  <c r="L2951" i="9"/>
  <c r="L2952" i="9"/>
  <c r="L2953" i="9"/>
  <c r="L2954" i="9"/>
  <c r="L2955" i="9"/>
  <c r="L2956" i="9"/>
  <c r="L2957" i="9"/>
  <c r="L2958" i="9"/>
  <c r="L2959" i="9"/>
  <c r="L2960" i="9"/>
  <c r="L2961" i="9"/>
  <c r="L2962" i="9"/>
  <c r="L2963" i="9"/>
  <c r="L2964" i="9"/>
  <c r="L2965" i="9"/>
  <c r="L2966" i="9"/>
  <c r="L2967" i="9"/>
  <c r="L2968" i="9"/>
  <c r="L2969" i="9"/>
  <c r="L2970" i="9"/>
  <c r="L2971" i="9"/>
  <c r="L2972" i="9"/>
  <c r="L2973" i="9"/>
  <c r="L2974" i="9"/>
  <c r="L2975" i="9"/>
  <c r="L2976" i="9"/>
  <c r="L2977" i="9"/>
  <c r="L2978" i="9"/>
  <c r="L2979" i="9"/>
  <c r="L2980" i="9"/>
  <c r="L2981" i="9"/>
  <c r="L2982" i="9"/>
  <c r="L2983" i="9"/>
  <c r="L2984" i="9"/>
  <c r="L2985" i="9"/>
  <c r="L2986" i="9"/>
  <c r="L2987" i="9"/>
  <c r="L2988" i="9"/>
  <c r="L2989" i="9"/>
  <c r="L2990" i="9"/>
  <c r="L2991" i="9"/>
  <c r="L2992" i="9"/>
  <c r="L2993" i="9"/>
  <c r="L2994" i="9"/>
  <c r="L2995" i="9"/>
  <c r="L2996" i="9"/>
  <c r="L2997" i="9"/>
  <c r="L2998" i="9"/>
  <c r="L2999" i="9"/>
  <c r="L3000" i="9"/>
  <c r="L3001" i="9"/>
  <c r="L3002" i="9"/>
  <c r="L3003" i="9"/>
  <c r="L3004" i="9"/>
  <c r="L3005" i="9"/>
  <c r="L3006" i="9"/>
  <c r="L3007" i="9"/>
  <c r="L3008" i="9"/>
  <c r="L3009" i="9"/>
  <c r="L3010" i="9"/>
  <c r="L3011" i="9"/>
  <c r="L3012" i="9"/>
  <c r="L3013" i="9"/>
  <c r="L3014" i="9"/>
  <c r="L3015" i="9"/>
  <c r="L3016" i="9"/>
  <c r="L3017" i="9"/>
  <c r="L3018" i="9"/>
  <c r="L3019" i="9"/>
  <c r="L3020" i="9"/>
  <c r="L3021" i="9"/>
  <c r="L3022" i="9"/>
  <c r="L3023" i="9"/>
  <c r="L3024" i="9"/>
  <c r="L3025" i="9"/>
  <c r="L3026" i="9"/>
  <c r="L3027" i="9"/>
  <c r="L3028" i="9"/>
  <c r="L3029" i="9"/>
  <c r="L3030" i="9"/>
  <c r="L3031" i="9"/>
  <c r="L3032" i="9"/>
  <c r="L3033" i="9"/>
  <c r="L3034" i="9"/>
  <c r="L3035" i="9"/>
  <c r="L3036" i="9"/>
  <c r="L3037" i="9"/>
  <c r="L3038" i="9"/>
  <c r="L3039" i="9"/>
  <c r="L3040" i="9"/>
  <c r="L3041" i="9"/>
  <c r="L3042" i="9"/>
  <c r="L3043" i="9"/>
  <c r="L3044" i="9"/>
  <c r="L3045" i="9"/>
  <c r="L3046" i="9"/>
  <c r="L3047" i="9"/>
  <c r="L3048" i="9"/>
  <c r="L3049" i="9"/>
  <c r="L3050" i="9"/>
  <c r="L3051" i="9"/>
  <c r="L3052" i="9"/>
  <c r="L3053" i="9"/>
  <c r="L3054" i="9"/>
  <c r="L3055" i="9"/>
  <c r="L3056" i="9"/>
  <c r="L3057" i="9"/>
  <c r="L3058" i="9"/>
  <c r="L3059" i="9"/>
  <c r="L3060" i="9"/>
  <c r="L3061" i="9"/>
  <c r="L3062" i="9"/>
  <c r="L3063" i="9"/>
  <c r="L3064" i="9"/>
  <c r="L3065" i="9"/>
  <c r="L3066" i="9"/>
  <c r="L3067" i="9"/>
  <c r="L3068" i="9"/>
  <c r="L3069" i="9"/>
  <c r="L3070" i="9"/>
  <c r="L3071" i="9"/>
  <c r="L3072" i="9"/>
  <c r="L3073" i="9"/>
  <c r="L3074" i="9"/>
  <c r="L3075" i="9"/>
  <c r="L3076" i="9"/>
  <c r="L3077" i="9"/>
  <c r="L3078" i="9"/>
  <c r="L3079" i="9"/>
  <c r="L3080" i="9"/>
  <c r="L3081" i="9"/>
  <c r="L3082" i="9"/>
  <c r="L3083" i="9"/>
  <c r="L3084" i="9"/>
  <c r="L3085" i="9"/>
  <c r="L3086" i="9"/>
  <c r="L3087" i="9"/>
  <c r="L3088" i="9"/>
  <c r="L3089" i="9"/>
  <c r="L3090" i="9"/>
  <c r="L3091" i="9"/>
  <c r="L3092" i="9"/>
  <c r="L3093" i="9"/>
  <c r="L3094" i="9"/>
  <c r="L3095" i="9"/>
  <c r="L3096" i="9"/>
  <c r="L3097" i="9"/>
  <c r="L3098" i="9"/>
  <c r="L3099" i="9"/>
  <c r="L3100" i="9"/>
  <c r="L3101" i="9"/>
  <c r="L3102" i="9"/>
  <c r="L3103" i="9"/>
  <c r="L3104" i="9"/>
  <c r="L3105" i="9"/>
  <c r="L3106" i="9"/>
  <c r="L3107" i="9"/>
  <c r="L3108" i="9"/>
  <c r="L3109" i="9"/>
  <c r="L3110" i="9"/>
  <c r="L3111" i="9"/>
  <c r="L3112" i="9"/>
  <c r="L3113" i="9"/>
  <c r="L3114" i="9"/>
  <c r="L3115" i="9"/>
  <c r="L3116" i="9"/>
  <c r="L3117" i="9"/>
  <c r="L3118" i="9"/>
  <c r="L3119" i="9"/>
  <c r="L3120" i="9"/>
  <c r="L3121" i="9"/>
  <c r="L3122" i="9"/>
  <c r="L3123" i="9"/>
  <c r="L3124" i="9"/>
  <c r="L3125" i="9"/>
  <c r="L3126" i="9"/>
  <c r="L3127" i="9"/>
  <c r="L3128" i="9"/>
  <c r="L3129" i="9"/>
  <c r="L3130" i="9"/>
  <c r="L3131" i="9"/>
  <c r="L3132" i="9"/>
  <c r="L3133" i="9"/>
  <c r="L3134" i="9"/>
  <c r="L3135" i="9"/>
  <c r="L3136" i="9"/>
  <c r="L3137" i="9"/>
  <c r="L3138" i="9"/>
  <c r="L3139" i="9"/>
  <c r="L3140" i="9"/>
  <c r="L3141" i="9"/>
  <c r="L3142" i="9"/>
  <c r="L3143" i="9"/>
  <c r="L3144" i="9"/>
  <c r="L3145" i="9"/>
  <c r="L3146" i="9"/>
  <c r="L3147" i="9"/>
  <c r="L3148" i="9"/>
  <c r="L3149" i="9"/>
  <c r="L3150" i="9"/>
  <c r="L3151" i="9"/>
  <c r="L3152" i="9"/>
  <c r="L3153" i="9"/>
  <c r="L3154" i="9"/>
  <c r="L3155" i="9"/>
  <c r="L3156" i="9"/>
  <c r="L3157" i="9"/>
  <c r="L3158" i="9"/>
  <c r="L3159" i="9"/>
  <c r="L3160" i="9"/>
  <c r="L3161" i="9"/>
  <c r="L3162" i="9"/>
  <c r="L3163" i="9"/>
  <c r="L3164" i="9"/>
  <c r="L3165" i="9"/>
  <c r="L3166" i="9"/>
  <c r="L3167" i="9"/>
  <c r="L3168" i="9"/>
  <c r="L3169" i="9"/>
  <c r="L3170" i="9"/>
  <c r="L3171" i="9"/>
  <c r="L3172" i="9"/>
  <c r="L3173" i="9"/>
  <c r="L3174" i="9"/>
  <c r="L3175" i="9"/>
  <c r="L3176" i="9"/>
  <c r="L3177" i="9"/>
  <c r="L3178" i="9"/>
  <c r="L3179" i="9"/>
  <c r="L3180" i="9"/>
  <c r="L3181" i="9"/>
  <c r="L3182" i="9"/>
  <c r="L3183" i="9"/>
  <c r="L3184" i="9"/>
  <c r="L3185" i="9"/>
  <c r="L3186" i="9"/>
  <c r="L3187" i="9"/>
  <c r="L3188" i="9"/>
  <c r="L3189" i="9"/>
  <c r="L3190" i="9"/>
  <c r="L3191" i="9"/>
  <c r="L3192" i="9"/>
  <c r="L3193" i="9"/>
  <c r="L3194" i="9"/>
  <c r="L3195" i="9"/>
  <c r="L3196" i="9"/>
  <c r="L3197" i="9"/>
  <c r="L3198" i="9"/>
  <c r="L3199" i="9"/>
  <c r="L3200" i="9"/>
  <c r="L3201" i="9"/>
  <c r="L3202" i="9"/>
  <c r="L3203" i="9"/>
  <c r="L3204" i="9"/>
  <c r="L3205" i="9"/>
  <c r="L3206" i="9"/>
  <c r="L3207" i="9"/>
  <c r="L3208" i="9"/>
  <c r="L3209" i="9"/>
  <c r="L3210" i="9"/>
  <c r="L3211" i="9"/>
  <c r="L3212" i="9"/>
  <c r="L3213" i="9"/>
  <c r="L3214" i="9"/>
  <c r="L3215" i="9"/>
  <c r="L3216" i="9"/>
  <c r="L3217" i="9"/>
  <c r="L3218" i="9"/>
  <c r="L3219" i="9"/>
  <c r="L3220" i="9"/>
  <c r="L3221" i="9"/>
  <c r="L3222" i="9"/>
  <c r="L3223" i="9"/>
  <c r="L3224" i="9"/>
  <c r="L3225" i="9"/>
  <c r="L3226" i="9"/>
  <c r="L3227" i="9"/>
  <c r="L3228" i="9"/>
  <c r="L3229" i="9"/>
  <c r="L3230" i="9"/>
  <c r="L3231" i="9"/>
  <c r="L3232" i="9"/>
  <c r="L3233" i="9"/>
  <c r="L3234" i="9"/>
  <c r="L3235" i="9"/>
  <c r="L3236" i="9"/>
  <c r="L3237" i="9"/>
  <c r="L3238" i="9"/>
  <c r="L3239" i="9"/>
  <c r="L3240" i="9"/>
  <c r="L3241" i="9"/>
  <c r="L3242" i="9"/>
  <c r="L3243" i="9"/>
  <c r="L3244" i="9"/>
  <c r="L3245" i="9"/>
  <c r="L3246" i="9"/>
  <c r="L3247" i="9"/>
  <c r="L3248" i="9"/>
  <c r="L3249" i="9"/>
  <c r="L3250" i="9"/>
  <c r="L3251" i="9"/>
  <c r="L3252" i="9"/>
  <c r="L3253" i="9"/>
  <c r="L3254" i="9"/>
  <c r="L3255" i="9"/>
  <c r="L3256" i="9"/>
  <c r="L3257" i="9"/>
  <c r="L3258" i="9"/>
  <c r="L3259" i="9"/>
  <c r="L3260" i="9"/>
  <c r="L3261" i="9"/>
  <c r="L3262" i="9"/>
  <c r="L3263" i="9"/>
  <c r="K2" i="9"/>
  <c r="G5" i="6" s="1"/>
  <c r="H5" i="6" s="1"/>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D8" i="6" s="1"/>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D23" i="6" s="1"/>
  <c r="K121" i="9"/>
  <c r="K122" i="9"/>
  <c r="K123" i="9"/>
  <c r="K124" i="9"/>
  <c r="K125" i="9"/>
  <c r="K126" i="9"/>
  <c r="K127" i="9"/>
  <c r="K128" i="9"/>
  <c r="K129" i="9"/>
  <c r="K130" i="9"/>
  <c r="K131" i="9"/>
  <c r="K132" i="9"/>
  <c r="K133" i="9"/>
  <c r="K134" i="9"/>
  <c r="K135" i="9"/>
  <c r="K136" i="9"/>
  <c r="K137" i="9"/>
  <c r="K138" i="9"/>
  <c r="K139" i="9"/>
  <c r="K140" i="9"/>
  <c r="K141" i="9"/>
  <c r="K142" i="9"/>
  <c r="K143" i="9"/>
  <c r="K144" i="9"/>
  <c r="K145" i="9"/>
  <c r="K146" i="9"/>
  <c r="K147" i="9"/>
  <c r="K148" i="9"/>
  <c r="K149" i="9"/>
  <c r="K150" i="9"/>
  <c r="K151" i="9"/>
  <c r="K152" i="9"/>
  <c r="K153" i="9"/>
  <c r="K154" i="9"/>
  <c r="K155" i="9"/>
  <c r="K156" i="9"/>
  <c r="K157" i="9"/>
  <c r="K158" i="9"/>
  <c r="K159" i="9"/>
  <c r="K160" i="9"/>
  <c r="K161" i="9"/>
  <c r="K162" i="9"/>
  <c r="K163" i="9"/>
  <c r="K164" i="9"/>
  <c r="K165" i="9"/>
  <c r="K166" i="9"/>
  <c r="K167" i="9"/>
  <c r="K168" i="9"/>
  <c r="K169" i="9"/>
  <c r="K170" i="9"/>
  <c r="K171" i="9"/>
  <c r="K172" i="9"/>
  <c r="K173" i="9"/>
  <c r="K174" i="9"/>
  <c r="K175" i="9"/>
  <c r="K176" i="9"/>
  <c r="K177" i="9"/>
  <c r="K178" i="9"/>
  <c r="K179" i="9"/>
  <c r="K180" i="9"/>
  <c r="K181" i="9"/>
  <c r="K182" i="9"/>
  <c r="K183" i="9"/>
  <c r="K184" i="9"/>
  <c r="K185" i="9"/>
  <c r="K186" i="9"/>
  <c r="K187" i="9"/>
  <c r="K188" i="9"/>
  <c r="K189" i="9"/>
  <c r="K190" i="9"/>
  <c r="K191" i="9"/>
  <c r="K192" i="9"/>
  <c r="K193" i="9"/>
  <c r="K194" i="9"/>
  <c r="K195" i="9"/>
  <c r="K196" i="9"/>
  <c r="K197" i="9"/>
  <c r="K198" i="9"/>
  <c r="K199" i="9"/>
  <c r="K200" i="9"/>
  <c r="K201" i="9"/>
  <c r="K202" i="9"/>
  <c r="K203" i="9"/>
  <c r="K204" i="9"/>
  <c r="K205" i="9"/>
  <c r="K206" i="9"/>
  <c r="K207" i="9"/>
  <c r="K208" i="9"/>
  <c r="K209" i="9"/>
  <c r="K210" i="9"/>
  <c r="K211" i="9"/>
  <c r="K212" i="9"/>
  <c r="K213" i="9"/>
  <c r="K214" i="9"/>
  <c r="K215" i="9"/>
  <c r="K216" i="9"/>
  <c r="K217" i="9"/>
  <c r="K218" i="9"/>
  <c r="K219" i="9"/>
  <c r="K220" i="9"/>
  <c r="K221" i="9"/>
  <c r="K222" i="9"/>
  <c r="K223" i="9"/>
  <c r="K224" i="9"/>
  <c r="K225" i="9"/>
  <c r="K226" i="9"/>
  <c r="K227" i="9"/>
  <c r="K228" i="9"/>
  <c r="K229" i="9"/>
  <c r="K230" i="9"/>
  <c r="K231" i="9"/>
  <c r="K232" i="9"/>
  <c r="K233" i="9"/>
  <c r="K234" i="9"/>
  <c r="K235" i="9"/>
  <c r="K236" i="9"/>
  <c r="K237" i="9"/>
  <c r="K238" i="9"/>
  <c r="K239" i="9"/>
  <c r="K240" i="9"/>
  <c r="K241" i="9"/>
  <c r="K242" i="9"/>
  <c r="K243" i="9"/>
  <c r="K244" i="9"/>
  <c r="K245" i="9"/>
  <c r="K246" i="9"/>
  <c r="K247" i="9"/>
  <c r="K248" i="9"/>
  <c r="K249" i="9"/>
  <c r="K250" i="9"/>
  <c r="K251" i="9"/>
  <c r="K252" i="9"/>
  <c r="K253" i="9"/>
  <c r="K254" i="9"/>
  <c r="K255" i="9"/>
  <c r="K256" i="9"/>
  <c r="K257" i="9"/>
  <c r="K258" i="9"/>
  <c r="K259" i="9"/>
  <c r="K260" i="9"/>
  <c r="K261" i="9"/>
  <c r="K262" i="9"/>
  <c r="K263" i="9"/>
  <c r="K264" i="9"/>
  <c r="K265" i="9"/>
  <c r="K266" i="9"/>
  <c r="K267" i="9"/>
  <c r="K268" i="9"/>
  <c r="K269" i="9"/>
  <c r="K270" i="9"/>
  <c r="K271" i="9"/>
  <c r="K272" i="9"/>
  <c r="K273" i="9"/>
  <c r="K274" i="9"/>
  <c r="K275" i="9"/>
  <c r="K276" i="9"/>
  <c r="K277" i="9"/>
  <c r="K278" i="9"/>
  <c r="K279" i="9"/>
  <c r="K280" i="9"/>
  <c r="K281" i="9"/>
  <c r="K282" i="9"/>
  <c r="K283" i="9"/>
  <c r="K284" i="9"/>
  <c r="K285" i="9"/>
  <c r="K286" i="9"/>
  <c r="K287" i="9"/>
  <c r="K288" i="9"/>
  <c r="K289" i="9"/>
  <c r="K290" i="9"/>
  <c r="K291" i="9"/>
  <c r="K292" i="9"/>
  <c r="K293" i="9"/>
  <c r="K294" i="9"/>
  <c r="K295" i="9"/>
  <c r="K296" i="9"/>
  <c r="K297" i="9"/>
  <c r="K298" i="9"/>
  <c r="K299" i="9"/>
  <c r="K300" i="9"/>
  <c r="K301" i="9"/>
  <c r="K302" i="9"/>
  <c r="K303" i="9"/>
  <c r="K304" i="9"/>
  <c r="K305" i="9"/>
  <c r="K306" i="9"/>
  <c r="K307" i="9"/>
  <c r="K308" i="9"/>
  <c r="K309" i="9"/>
  <c r="K310" i="9"/>
  <c r="K311" i="9"/>
  <c r="K312" i="9"/>
  <c r="K313" i="9"/>
  <c r="K314" i="9"/>
  <c r="K315" i="9"/>
  <c r="K316" i="9"/>
  <c r="K317" i="9"/>
  <c r="K318" i="9"/>
  <c r="K319" i="9"/>
  <c r="K320" i="9"/>
  <c r="K321" i="9"/>
  <c r="K322" i="9"/>
  <c r="K323" i="9"/>
  <c r="K324" i="9"/>
  <c r="K325" i="9"/>
  <c r="K326" i="9"/>
  <c r="K327" i="9"/>
  <c r="K328" i="9"/>
  <c r="K329" i="9"/>
  <c r="K330" i="9"/>
  <c r="K331" i="9"/>
  <c r="K332" i="9"/>
  <c r="K333" i="9"/>
  <c r="K334" i="9"/>
  <c r="K335" i="9"/>
  <c r="K336" i="9"/>
  <c r="K337" i="9"/>
  <c r="K338" i="9"/>
  <c r="K339" i="9"/>
  <c r="K340" i="9"/>
  <c r="K341" i="9"/>
  <c r="K342" i="9"/>
  <c r="K343" i="9"/>
  <c r="K344" i="9"/>
  <c r="K345" i="9"/>
  <c r="K346" i="9"/>
  <c r="K347" i="9"/>
  <c r="K348" i="9"/>
  <c r="K349" i="9"/>
  <c r="K350" i="9"/>
  <c r="K351" i="9"/>
  <c r="K352" i="9"/>
  <c r="K353" i="9"/>
  <c r="K354" i="9"/>
  <c r="K355" i="9"/>
  <c r="K356" i="9"/>
  <c r="K357" i="9"/>
  <c r="K358" i="9"/>
  <c r="K359" i="9"/>
  <c r="K360" i="9"/>
  <c r="K361" i="9"/>
  <c r="K362" i="9"/>
  <c r="K363" i="9"/>
  <c r="K364" i="9"/>
  <c r="K365" i="9"/>
  <c r="K366" i="9"/>
  <c r="K367" i="9"/>
  <c r="K368" i="9"/>
  <c r="K369" i="9"/>
  <c r="K370" i="9"/>
  <c r="K371" i="9"/>
  <c r="K372" i="9"/>
  <c r="K373" i="9"/>
  <c r="K374" i="9"/>
  <c r="K375" i="9"/>
  <c r="K376" i="9"/>
  <c r="K377" i="9"/>
  <c r="K378" i="9"/>
  <c r="K379" i="9"/>
  <c r="K380" i="9"/>
  <c r="K381" i="9"/>
  <c r="K382" i="9"/>
  <c r="K383" i="9"/>
  <c r="K384" i="9"/>
  <c r="K385" i="9"/>
  <c r="K386" i="9"/>
  <c r="K387" i="9"/>
  <c r="K388" i="9"/>
  <c r="K389" i="9"/>
  <c r="K390" i="9"/>
  <c r="K391" i="9"/>
  <c r="K392" i="9"/>
  <c r="K393" i="9"/>
  <c r="K394" i="9"/>
  <c r="K395" i="9"/>
  <c r="K396" i="9"/>
  <c r="K397" i="9"/>
  <c r="K398" i="9"/>
  <c r="K399" i="9"/>
  <c r="K400" i="9"/>
  <c r="K401" i="9"/>
  <c r="K402" i="9"/>
  <c r="K403" i="9"/>
  <c r="K404" i="9"/>
  <c r="K405" i="9"/>
  <c r="K406" i="9"/>
  <c r="K407" i="9"/>
  <c r="K408" i="9"/>
  <c r="K409" i="9"/>
  <c r="K410" i="9"/>
  <c r="K411" i="9"/>
  <c r="K412" i="9"/>
  <c r="K413" i="9"/>
  <c r="K414" i="9"/>
  <c r="K415" i="9"/>
  <c r="K416" i="9"/>
  <c r="K417" i="9"/>
  <c r="K418" i="9"/>
  <c r="K419" i="9"/>
  <c r="K420" i="9"/>
  <c r="K421" i="9"/>
  <c r="K422" i="9"/>
  <c r="K423" i="9"/>
  <c r="K424" i="9"/>
  <c r="K425" i="9"/>
  <c r="K426" i="9"/>
  <c r="K427" i="9"/>
  <c r="K428" i="9"/>
  <c r="K429" i="9"/>
  <c r="K430" i="9"/>
  <c r="K431" i="9"/>
  <c r="K432" i="9"/>
  <c r="K433" i="9"/>
  <c r="K434" i="9"/>
  <c r="K435" i="9"/>
  <c r="K436" i="9"/>
  <c r="K437" i="9"/>
  <c r="K438" i="9"/>
  <c r="K439" i="9"/>
  <c r="K440" i="9"/>
  <c r="K441" i="9"/>
  <c r="K442" i="9"/>
  <c r="K443" i="9"/>
  <c r="K444" i="9"/>
  <c r="K445" i="9"/>
  <c r="K446" i="9"/>
  <c r="K447" i="9"/>
  <c r="K448" i="9"/>
  <c r="K449" i="9"/>
  <c r="K450" i="9"/>
  <c r="K451" i="9"/>
  <c r="K452" i="9"/>
  <c r="K453" i="9"/>
  <c r="K454" i="9"/>
  <c r="K455" i="9"/>
  <c r="K456" i="9"/>
  <c r="K457" i="9"/>
  <c r="K458" i="9"/>
  <c r="K459" i="9"/>
  <c r="K460" i="9"/>
  <c r="K461" i="9"/>
  <c r="K462" i="9"/>
  <c r="K463" i="9"/>
  <c r="K464" i="9"/>
  <c r="K465" i="9"/>
  <c r="K466" i="9"/>
  <c r="K467" i="9"/>
  <c r="K468" i="9"/>
  <c r="K469" i="9"/>
  <c r="K470" i="9"/>
  <c r="K471" i="9"/>
  <c r="K472" i="9"/>
  <c r="K473" i="9"/>
  <c r="K474" i="9"/>
  <c r="K475" i="9"/>
  <c r="K476" i="9"/>
  <c r="K477" i="9"/>
  <c r="K478" i="9"/>
  <c r="K479" i="9"/>
  <c r="K480" i="9"/>
  <c r="K481" i="9"/>
  <c r="K482" i="9"/>
  <c r="K483" i="9"/>
  <c r="K484" i="9"/>
  <c r="K485" i="9"/>
  <c r="K486" i="9"/>
  <c r="K487" i="9"/>
  <c r="K488" i="9"/>
  <c r="K489" i="9"/>
  <c r="K490" i="9"/>
  <c r="K491" i="9"/>
  <c r="K492" i="9"/>
  <c r="K493" i="9"/>
  <c r="K494" i="9"/>
  <c r="K495" i="9"/>
  <c r="K496" i="9"/>
  <c r="K497" i="9"/>
  <c r="K498" i="9"/>
  <c r="K499" i="9"/>
  <c r="K500" i="9"/>
  <c r="K501" i="9"/>
  <c r="K502" i="9"/>
  <c r="K503" i="9"/>
  <c r="K504" i="9"/>
  <c r="K505" i="9"/>
  <c r="K506" i="9"/>
  <c r="K507" i="9"/>
  <c r="K508" i="9"/>
  <c r="K509" i="9"/>
  <c r="K510" i="9"/>
  <c r="K511" i="9"/>
  <c r="K512" i="9"/>
  <c r="K513" i="9"/>
  <c r="K514" i="9"/>
  <c r="K515" i="9"/>
  <c r="K516" i="9"/>
  <c r="K517" i="9"/>
  <c r="K518" i="9"/>
  <c r="K519" i="9"/>
  <c r="K520" i="9"/>
  <c r="K521" i="9"/>
  <c r="K522" i="9"/>
  <c r="K523" i="9"/>
  <c r="K524" i="9"/>
  <c r="K525" i="9"/>
  <c r="K526" i="9"/>
  <c r="K527" i="9"/>
  <c r="K528" i="9"/>
  <c r="K529" i="9"/>
  <c r="K530" i="9"/>
  <c r="K531" i="9"/>
  <c r="K532" i="9"/>
  <c r="K533" i="9"/>
  <c r="K534" i="9"/>
  <c r="K535" i="9"/>
  <c r="K536" i="9"/>
  <c r="K537" i="9"/>
  <c r="K538" i="9"/>
  <c r="K539" i="9"/>
  <c r="K540" i="9"/>
  <c r="K541" i="9"/>
  <c r="K542" i="9"/>
  <c r="K543" i="9"/>
  <c r="K544" i="9"/>
  <c r="K545" i="9"/>
  <c r="K546" i="9"/>
  <c r="K547" i="9"/>
  <c r="K548" i="9"/>
  <c r="K549" i="9"/>
  <c r="K550" i="9"/>
  <c r="K551" i="9"/>
  <c r="K552" i="9"/>
  <c r="K553" i="9"/>
  <c r="K554" i="9"/>
  <c r="K555" i="9"/>
  <c r="K556" i="9"/>
  <c r="K557" i="9"/>
  <c r="K558" i="9"/>
  <c r="K559" i="9"/>
  <c r="K560" i="9"/>
  <c r="K561" i="9"/>
  <c r="K562" i="9"/>
  <c r="K563" i="9"/>
  <c r="K564" i="9"/>
  <c r="K565" i="9"/>
  <c r="K566" i="9"/>
  <c r="K567" i="9"/>
  <c r="K568" i="9"/>
  <c r="K569" i="9"/>
  <c r="K570" i="9"/>
  <c r="K571" i="9"/>
  <c r="K572" i="9"/>
  <c r="K573" i="9"/>
  <c r="K574" i="9"/>
  <c r="K575" i="9"/>
  <c r="K576" i="9"/>
  <c r="K577" i="9"/>
  <c r="K578" i="9"/>
  <c r="K579" i="9"/>
  <c r="K580" i="9"/>
  <c r="K581" i="9"/>
  <c r="K582" i="9"/>
  <c r="K583" i="9"/>
  <c r="K584" i="9"/>
  <c r="K585" i="9"/>
  <c r="K586" i="9"/>
  <c r="K587" i="9"/>
  <c r="K588" i="9"/>
  <c r="K589" i="9"/>
  <c r="K590" i="9"/>
  <c r="K591" i="9"/>
  <c r="K592" i="9"/>
  <c r="K593" i="9"/>
  <c r="K594" i="9"/>
  <c r="K595" i="9"/>
  <c r="K596" i="9"/>
  <c r="K597" i="9"/>
  <c r="K598" i="9"/>
  <c r="K599" i="9"/>
  <c r="K600" i="9"/>
  <c r="K601" i="9"/>
  <c r="K602" i="9"/>
  <c r="K603" i="9"/>
  <c r="K604" i="9"/>
  <c r="K605" i="9"/>
  <c r="K606" i="9"/>
  <c r="K607" i="9"/>
  <c r="K608" i="9"/>
  <c r="K609" i="9"/>
  <c r="K610" i="9"/>
  <c r="K611" i="9"/>
  <c r="K612" i="9"/>
  <c r="K613" i="9"/>
  <c r="K614" i="9"/>
  <c r="K615" i="9"/>
  <c r="K616" i="9"/>
  <c r="K617" i="9"/>
  <c r="K618" i="9"/>
  <c r="K619" i="9"/>
  <c r="K620" i="9"/>
  <c r="K621" i="9"/>
  <c r="K622" i="9"/>
  <c r="K623" i="9"/>
  <c r="K624" i="9"/>
  <c r="K625" i="9"/>
  <c r="K626" i="9"/>
  <c r="K627" i="9"/>
  <c r="K628" i="9"/>
  <c r="K629" i="9"/>
  <c r="K630" i="9"/>
  <c r="K631" i="9"/>
  <c r="K632" i="9"/>
  <c r="K633" i="9"/>
  <c r="K634" i="9"/>
  <c r="K635" i="9"/>
  <c r="K636" i="9"/>
  <c r="K637" i="9"/>
  <c r="K638" i="9"/>
  <c r="K639" i="9"/>
  <c r="K640" i="9"/>
  <c r="K641" i="9"/>
  <c r="K642" i="9"/>
  <c r="K643" i="9"/>
  <c r="K644" i="9"/>
  <c r="K645" i="9"/>
  <c r="K646" i="9"/>
  <c r="K647" i="9"/>
  <c r="K648" i="9"/>
  <c r="K649" i="9"/>
  <c r="K650" i="9"/>
  <c r="K651" i="9"/>
  <c r="K652" i="9"/>
  <c r="K653" i="9"/>
  <c r="K654" i="9"/>
  <c r="K655" i="9"/>
  <c r="K656" i="9"/>
  <c r="K657" i="9"/>
  <c r="K658" i="9"/>
  <c r="K659" i="9"/>
  <c r="K660" i="9"/>
  <c r="K661" i="9"/>
  <c r="K662" i="9"/>
  <c r="K663" i="9"/>
  <c r="K664" i="9"/>
  <c r="K665" i="9"/>
  <c r="K666" i="9"/>
  <c r="K667" i="9"/>
  <c r="K668" i="9"/>
  <c r="K669" i="9"/>
  <c r="K670" i="9"/>
  <c r="K671" i="9"/>
  <c r="K672" i="9"/>
  <c r="K673" i="9"/>
  <c r="K674" i="9"/>
  <c r="K675" i="9"/>
  <c r="K676" i="9"/>
  <c r="K677" i="9"/>
  <c r="K678" i="9"/>
  <c r="K679" i="9"/>
  <c r="K680" i="9"/>
  <c r="K681" i="9"/>
  <c r="K682" i="9"/>
  <c r="K683" i="9"/>
  <c r="K684" i="9"/>
  <c r="K685" i="9"/>
  <c r="K686" i="9"/>
  <c r="K687" i="9"/>
  <c r="K688" i="9"/>
  <c r="K689" i="9"/>
  <c r="K690" i="9"/>
  <c r="K691" i="9"/>
  <c r="K692" i="9"/>
  <c r="K693" i="9"/>
  <c r="K694" i="9"/>
  <c r="K695" i="9"/>
  <c r="K696" i="9"/>
  <c r="K697" i="9"/>
  <c r="K698" i="9"/>
  <c r="K699" i="9"/>
  <c r="K700" i="9"/>
  <c r="K701" i="9"/>
  <c r="K702" i="9"/>
  <c r="K703" i="9"/>
  <c r="K704" i="9"/>
  <c r="K705" i="9"/>
  <c r="K706" i="9"/>
  <c r="K707" i="9"/>
  <c r="K708" i="9"/>
  <c r="K709" i="9"/>
  <c r="K710" i="9"/>
  <c r="K711" i="9"/>
  <c r="K712" i="9"/>
  <c r="K713" i="9"/>
  <c r="K714" i="9"/>
  <c r="K715" i="9"/>
  <c r="K716" i="9"/>
  <c r="K717" i="9"/>
  <c r="K718" i="9"/>
  <c r="K719" i="9"/>
  <c r="K720" i="9"/>
  <c r="K721" i="9"/>
  <c r="K722" i="9"/>
  <c r="K723" i="9"/>
  <c r="K724" i="9"/>
  <c r="K725" i="9"/>
  <c r="K726" i="9"/>
  <c r="K727" i="9"/>
  <c r="K728" i="9"/>
  <c r="K729" i="9"/>
  <c r="K730" i="9"/>
  <c r="K731" i="9"/>
  <c r="K732" i="9"/>
  <c r="K733" i="9"/>
  <c r="K734" i="9"/>
  <c r="K735" i="9"/>
  <c r="K736" i="9"/>
  <c r="K737" i="9"/>
  <c r="K738" i="9"/>
  <c r="K739" i="9"/>
  <c r="K740" i="9"/>
  <c r="K741" i="9"/>
  <c r="K742" i="9"/>
  <c r="K743" i="9"/>
  <c r="K744" i="9"/>
  <c r="K745" i="9"/>
  <c r="K746" i="9"/>
  <c r="K747" i="9"/>
  <c r="K748" i="9"/>
  <c r="K749" i="9"/>
  <c r="K750" i="9"/>
  <c r="K751" i="9"/>
  <c r="K752" i="9"/>
  <c r="K753" i="9"/>
  <c r="K754" i="9"/>
  <c r="K755" i="9"/>
  <c r="K756" i="9"/>
  <c r="K757" i="9"/>
  <c r="K758" i="9"/>
  <c r="K759" i="9"/>
  <c r="K760" i="9"/>
  <c r="K761" i="9"/>
  <c r="K762" i="9"/>
  <c r="K763" i="9"/>
  <c r="K764" i="9"/>
  <c r="K765" i="9"/>
  <c r="K766" i="9"/>
  <c r="K767" i="9"/>
  <c r="K768" i="9"/>
  <c r="K769" i="9"/>
  <c r="K770" i="9"/>
  <c r="K771" i="9"/>
  <c r="K772" i="9"/>
  <c r="K773" i="9"/>
  <c r="K774" i="9"/>
  <c r="K775" i="9"/>
  <c r="K776" i="9"/>
  <c r="K777" i="9"/>
  <c r="K778" i="9"/>
  <c r="K779" i="9"/>
  <c r="K780" i="9"/>
  <c r="K781" i="9"/>
  <c r="K782" i="9"/>
  <c r="K783" i="9"/>
  <c r="K784" i="9"/>
  <c r="K785" i="9"/>
  <c r="K786" i="9"/>
  <c r="K787" i="9"/>
  <c r="K788" i="9"/>
  <c r="K789" i="9"/>
  <c r="K790" i="9"/>
  <c r="K791" i="9"/>
  <c r="K792" i="9"/>
  <c r="K793" i="9"/>
  <c r="K794" i="9"/>
  <c r="K795" i="9"/>
  <c r="K796" i="9"/>
  <c r="K797" i="9"/>
  <c r="K798" i="9"/>
  <c r="K799" i="9"/>
  <c r="K800" i="9"/>
  <c r="K801" i="9"/>
  <c r="K802" i="9"/>
  <c r="K803" i="9"/>
  <c r="K804" i="9"/>
  <c r="K805" i="9"/>
  <c r="K806" i="9"/>
  <c r="K807" i="9"/>
  <c r="K808" i="9"/>
  <c r="K809" i="9"/>
  <c r="K810" i="9"/>
  <c r="K811" i="9"/>
  <c r="K812" i="9"/>
  <c r="K813" i="9"/>
  <c r="K814" i="9"/>
  <c r="K815" i="9"/>
  <c r="K816" i="9"/>
  <c r="K817" i="9"/>
  <c r="K818" i="9"/>
  <c r="K819" i="9"/>
  <c r="K820" i="9"/>
  <c r="K821" i="9"/>
  <c r="K822" i="9"/>
  <c r="K823" i="9"/>
  <c r="K824" i="9"/>
  <c r="K825" i="9"/>
  <c r="K826" i="9"/>
  <c r="K827" i="9"/>
  <c r="K828" i="9"/>
  <c r="K829" i="9"/>
  <c r="K830" i="9"/>
  <c r="K831" i="9"/>
  <c r="K832" i="9"/>
  <c r="K833" i="9"/>
  <c r="K834" i="9"/>
  <c r="K835" i="9"/>
  <c r="K836" i="9"/>
  <c r="K837" i="9"/>
  <c r="K838" i="9"/>
  <c r="K839" i="9"/>
  <c r="K840" i="9"/>
  <c r="K841" i="9"/>
  <c r="K842" i="9"/>
  <c r="K843" i="9"/>
  <c r="K844" i="9"/>
  <c r="K845" i="9"/>
  <c r="K846" i="9"/>
  <c r="K847" i="9"/>
  <c r="K848" i="9"/>
  <c r="K849" i="9"/>
  <c r="K850" i="9"/>
  <c r="K851" i="9"/>
  <c r="K852" i="9"/>
  <c r="K853" i="9"/>
  <c r="K854" i="9"/>
  <c r="K855" i="9"/>
  <c r="K856" i="9"/>
  <c r="K857" i="9"/>
  <c r="K858" i="9"/>
  <c r="K859" i="9"/>
  <c r="K860" i="9"/>
  <c r="K861" i="9"/>
  <c r="K862" i="9"/>
  <c r="K863" i="9"/>
  <c r="K864" i="9"/>
  <c r="K865" i="9"/>
  <c r="K866" i="9"/>
  <c r="K867" i="9"/>
  <c r="K868" i="9"/>
  <c r="K869" i="9"/>
  <c r="K870" i="9"/>
  <c r="K871" i="9"/>
  <c r="K872" i="9"/>
  <c r="K873" i="9"/>
  <c r="K874" i="9"/>
  <c r="K875" i="9"/>
  <c r="K876" i="9"/>
  <c r="K877" i="9"/>
  <c r="K878" i="9"/>
  <c r="K879" i="9"/>
  <c r="K880" i="9"/>
  <c r="K881" i="9"/>
  <c r="K882" i="9"/>
  <c r="K883" i="9"/>
  <c r="K884" i="9"/>
  <c r="K885" i="9"/>
  <c r="K886" i="9"/>
  <c r="K887" i="9"/>
  <c r="K888" i="9"/>
  <c r="K889" i="9"/>
  <c r="K890" i="9"/>
  <c r="K891" i="9"/>
  <c r="K892" i="9"/>
  <c r="K893" i="9"/>
  <c r="K894" i="9"/>
  <c r="K895" i="9"/>
  <c r="K896" i="9"/>
  <c r="K897" i="9"/>
  <c r="K898" i="9"/>
  <c r="K899" i="9"/>
  <c r="K900" i="9"/>
  <c r="K901" i="9"/>
  <c r="K902" i="9"/>
  <c r="K903" i="9"/>
  <c r="K904" i="9"/>
  <c r="K905" i="9"/>
  <c r="K906" i="9"/>
  <c r="K907" i="9"/>
  <c r="K908" i="9"/>
  <c r="K909" i="9"/>
  <c r="K910" i="9"/>
  <c r="K911" i="9"/>
  <c r="K912" i="9"/>
  <c r="K913" i="9"/>
  <c r="K914" i="9"/>
  <c r="K915" i="9"/>
  <c r="K916" i="9"/>
  <c r="K917" i="9"/>
  <c r="K918" i="9"/>
  <c r="K919" i="9"/>
  <c r="K920" i="9"/>
  <c r="K921" i="9"/>
  <c r="K922" i="9"/>
  <c r="K923" i="9"/>
  <c r="K924" i="9"/>
  <c r="K925" i="9"/>
  <c r="K926" i="9"/>
  <c r="K927" i="9"/>
  <c r="K928" i="9"/>
  <c r="K929" i="9"/>
  <c r="K930" i="9"/>
  <c r="K931" i="9"/>
  <c r="K932" i="9"/>
  <c r="K933" i="9"/>
  <c r="K934" i="9"/>
  <c r="K935" i="9"/>
  <c r="K936" i="9"/>
  <c r="K937" i="9"/>
  <c r="K938" i="9"/>
  <c r="K939" i="9"/>
  <c r="K940" i="9"/>
  <c r="K941" i="9"/>
  <c r="K942" i="9"/>
  <c r="K943" i="9"/>
  <c r="K944" i="9"/>
  <c r="K945" i="9"/>
  <c r="K946" i="9"/>
  <c r="K947" i="9"/>
  <c r="K948" i="9"/>
  <c r="K949" i="9"/>
  <c r="K950" i="9"/>
  <c r="K951" i="9"/>
  <c r="K952" i="9"/>
  <c r="K953" i="9"/>
  <c r="K954" i="9"/>
  <c r="K955" i="9"/>
  <c r="K956" i="9"/>
  <c r="K957" i="9"/>
  <c r="K958" i="9"/>
  <c r="K959" i="9"/>
  <c r="K960" i="9"/>
  <c r="K961" i="9"/>
  <c r="K962" i="9"/>
  <c r="K963" i="9"/>
  <c r="K964" i="9"/>
  <c r="K965" i="9"/>
  <c r="K966" i="9"/>
  <c r="K967" i="9"/>
  <c r="K968" i="9"/>
  <c r="K969" i="9"/>
  <c r="K970" i="9"/>
  <c r="K971" i="9"/>
  <c r="K972" i="9"/>
  <c r="K973" i="9"/>
  <c r="K974" i="9"/>
  <c r="K975" i="9"/>
  <c r="K976" i="9"/>
  <c r="K977" i="9"/>
  <c r="K978" i="9"/>
  <c r="K979" i="9"/>
  <c r="K980" i="9"/>
  <c r="K981" i="9"/>
  <c r="K982" i="9"/>
  <c r="K983" i="9"/>
  <c r="K984" i="9"/>
  <c r="K985" i="9"/>
  <c r="K986" i="9"/>
  <c r="K987" i="9"/>
  <c r="K988" i="9"/>
  <c r="K989" i="9"/>
  <c r="K990" i="9"/>
  <c r="K991" i="9"/>
  <c r="K992" i="9"/>
  <c r="K993" i="9"/>
  <c r="K994" i="9"/>
  <c r="K995" i="9"/>
  <c r="K996" i="9"/>
  <c r="K997" i="9"/>
  <c r="K998" i="9"/>
  <c r="K999" i="9"/>
  <c r="K1000" i="9"/>
  <c r="K1001" i="9"/>
  <c r="K1002" i="9"/>
  <c r="K1003" i="9"/>
  <c r="K1004" i="9"/>
  <c r="K1005" i="9"/>
  <c r="K1006" i="9"/>
  <c r="K1007" i="9"/>
  <c r="K1008" i="9"/>
  <c r="K1009" i="9"/>
  <c r="K1010" i="9"/>
  <c r="K1011" i="9"/>
  <c r="K1012" i="9"/>
  <c r="K1013" i="9"/>
  <c r="K1014" i="9"/>
  <c r="K1015" i="9"/>
  <c r="K1016" i="9"/>
  <c r="K1017" i="9"/>
  <c r="K1018" i="9"/>
  <c r="K1019" i="9"/>
  <c r="K1020" i="9"/>
  <c r="K1021" i="9"/>
  <c r="K1022" i="9"/>
  <c r="K1023" i="9"/>
  <c r="K1024" i="9"/>
  <c r="K1025" i="9"/>
  <c r="K1026" i="9"/>
  <c r="K1027" i="9"/>
  <c r="K1028" i="9"/>
  <c r="K1029" i="9"/>
  <c r="K1030" i="9"/>
  <c r="K1031" i="9"/>
  <c r="K1032" i="9"/>
  <c r="K1033" i="9"/>
  <c r="K1034" i="9"/>
  <c r="K1035" i="9"/>
  <c r="K1036" i="9"/>
  <c r="K1037" i="9"/>
  <c r="K1038" i="9"/>
  <c r="K1039" i="9"/>
  <c r="K1040" i="9"/>
  <c r="K1041" i="9"/>
  <c r="K1042" i="9"/>
  <c r="K1043" i="9"/>
  <c r="K1044" i="9"/>
  <c r="K1045" i="9"/>
  <c r="K1046" i="9"/>
  <c r="K1047" i="9"/>
  <c r="K1048" i="9"/>
  <c r="K1049" i="9"/>
  <c r="K1050" i="9"/>
  <c r="K1051" i="9"/>
  <c r="K1052" i="9"/>
  <c r="K1053" i="9"/>
  <c r="K1054" i="9"/>
  <c r="K1055" i="9"/>
  <c r="K1056" i="9"/>
  <c r="K1057" i="9"/>
  <c r="K1058" i="9"/>
  <c r="K1059" i="9"/>
  <c r="K1060" i="9"/>
  <c r="K1061" i="9"/>
  <c r="K1062" i="9"/>
  <c r="K1063" i="9"/>
  <c r="K1064" i="9"/>
  <c r="K1065" i="9"/>
  <c r="K1066" i="9"/>
  <c r="K1067" i="9"/>
  <c r="K1068" i="9"/>
  <c r="K1069" i="9"/>
  <c r="K1070" i="9"/>
  <c r="K1071" i="9"/>
  <c r="K1072" i="9"/>
  <c r="K1073" i="9"/>
  <c r="K1074" i="9"/>
  <c r="K1075" i="9"/>
  <c r="K1076" i="9"/>
  <c r="K1077" i="9"/>
  <c r="K1078" i="9"/>
  <c r="K1079" i="9"/>
  <c r="K1080" i="9"/>
  <c r="K1081" i="9"/>
  <c r="K1082" i="9"/>
  <c r="K1083" i="9"/>
  <c r="K1084" i="9"/>
  <c r="K1085" i="9"/>
  <c r="K1086" i="9"/>
  <c r="K1087" i="9"/>
  <c r="K1088" i="9"/>
  <c r="K1089" i="9"/>
  <c r="K1090" i="9"/>
  <c r="K1091" i="9"/>
  <c r="K1092" i="9"/>
  <c r="K1093" i="9"/>
  <c r="K1094" i="9"/>
  <c r="K1095" i="9"/>
  <c r="K1096" i="9"/>
  <c r="K1097" i="9"/>
  <c r="K1098" i="9"/>
  <c r="K1099" i="9"/>
  <c r="K1100" i="9"/>
  <c r="K1101" i="9"/>
  <c r="K1102" i="9"/>
  <c r="K1103" i="9"/>
  <c r="K1104" i="9"/>
  <c r="K1105" i="9"/>
  <c r="K1106" i="9"/>
  <c r="K1107" i="9"/>
  <c r="K1108" i="9"/>
  <c r="K1109" i="9"/>
  <c r="K1110" i="9"/>
  <c r="K1111" i="9"/>
  <c r="K1112" i="9"/>
  <c r="K1113" i="9"/>
  <c r="K1114" i="9"/>
  <c r="K1115" i="9"/>
  <c r="K1116" i="9"/>
  <c r="K1117" i="9"/>
  <c r="K1118" i="9"/>
  <c r="K1119" i="9"/>
  <c r="K1120" i="9"/>
  <c r="K1121" i="9"/>
  <c r="K1122" i="9"/>
  <c r="K1123" i="9"/>
  <c r="K1124" i="9"/>
  <c r="K1125" i="9"/>
  <c r="K1126" i="9"/>
  <c r="K1127" i="9"/>
  <c r="K1128" i="9"/>
  <c r="K1129" i="9"/>
  <c r="K1130" i="9"/>
  <c r="K1131" i="9"/>
  <c r="K1132" i="9"/>
  <c r="K1133" i="9"/>
  <c r="K1134" i="9"/>
  <c r="K1135" i="9"/>
  <c r="K1136" i="9"/>
  <c r="K1137" i="9"/>
  <c r="K1138" i="9"/>
  <c r="K1139" i="9"/>
  <c r="K1140" i="9"/>
  <c r="K1141" i="9"/>
  <c r="K1142" i="9"/>
  <c r="K1143" i="9"/>
  <c r="K1144" i="9"/>
  <c r="K1145" i="9"/>
  <c r="K1146" i="9"/>
  <c r="K1147" i="9"/>
  <c r="K1148" i="9"/>
  <c r="K1149" i="9"/>
  <c r="K1150" i="9"/>
  <c r="K1151" i="9"/>
  <c r="K1152" i="9"/>
  <c r="K1153" i="9"/>
  <c r="K1154" i="9"/>
  <c r="K1155" i="9"/>
  <c r="K1156" i="9"/>
  <c r="K1157" i="9"/>
  <c r="K1158" i="9"/>
  <c r="K1159" i="9"/>
  <c r="K1160" i="9"/>
  <c r="K1161" i="9"/>
  <c r="K1162" i="9"/>
  <c r="K1163" i="9"/>
  <c r="K1164" i="9"/>
  <c r="K1165" i="9"/>
  <c r="K1166" i="9"/>
  <c r="K1167" i="9"/>
  <c r="K1168" i="9"/>
  <c r="K1169" i="9"/>
  <c r="K1170" i="9"/>
  <c r="K1171" i="9"/>
  <c r="K1172" i="9"/>
  <c r="K1173" i="9"/>
  <c r="K1174" i="9"/>
  <c r="K1175" i="9"/>
  <c r="K1176" i="9"/>
  <c r="K1177" i="9"/>
  <c r="K1178" i="9"/>
  <c r="K1179" i="9"/>
  <c r="K1180" i="9"/>
  <c r="K1181" i="9"/>
  <c r="K1182" i="9"/>
  <c r="K1183" i="9"/>
  <c r="K1184" i="9"/>
  <c r="K1185" i="9"/>
  <c r="K1186" i="9"/>
  <c r="K1187" i="9"/>
  <c r="K1188" i="9"/>
  <c r="K1189" i="9"/>
  <c r="K1190" i="9"/>
  <c r="K1191" i="9"/>
  <c r="K1192" i="9"/>
  <c r="K1193" i="9"/>
  <c r="K1194" i="9"/>
  <c r="K1195" i="9"/>
  <c r="K1196" i="9"/>
  <c r="K1197" i="9"/>
  <c r="K1198" i="9"/>
  <c r="K1199" i="9"/>
  <c r="K1200" i="9"/>
  <c r="K1201" i="9"/>
  <c r="K1202" i="9"/>
  <c r="K1203" i="9"/>
  <c r="K1204" i="9"/>
  <c r="K1205" i="9"/>
  <c r="K1206" i="9"/>
  <c r="K1207" i="9"/>
  <c r="K1208" i="9"/>
  <c r="K1209" i="9"/>
  <c r="K1210" i="9"/>
  <c r="K1211" i="9"/>
  <c r="K1212" i="9"/>
  <c r="K1213" i="9"/>
  <c r="K1214" i="9"/>
  <c r="K1215" i="9"/>
  <c r="K1216" i="9"/>
  <c r="K1217" i="9"/>
  <c r="K1218" i="9"/>
  <c r="K1219" i="9"/>
  <c r="K1220" i="9"/>
  <c r="K1221" i="9"/>
  <c r="K1222" i="9"/>
  <c r="K1223" i="9"/>
  <c r="K1224" i="9"/>
  <c r="K1225" i="9"/>
  <c r="K1226" i="9"/>
  <c r="K1227" i="9"/>
  <c r="K1228" i="9"/>
  <c r="K1229" i="9"/>
  <c r="K1230" i="9"/>
  <c r="K1231" i="9"/>
  <c r="K1232" i="9"/>
  <c r="K1233" i="9"/>
  <c r="K1234" i="9"/>
  <c r="K1235" i="9"/>
  <c r="K1236" i="9"/>
  <c r="K1237" i="9"/>
  <c r="K1238" i="9"/>
  <c r="K1239" i="9"/>
  <c r="K1240" i="9"/>
  <c r="K1241" i="9"/>
  <c r="K1242" i="9"/>
  <c r="K1243" i="9"/>
  <c r="K1244" i="9"/>
  <c r="K1245" i="9"/>
  <c r="K1246" i="9"/>
  <c r="K1247" i="9"/>
  <c r="K1248" i="9"/>
  <c r="K1249" i="9"/>
  <c r="K1250" i="9"/>
  <c r="K1251" i="9"/>
  <c r="K1252" i="9"/>
  <c r="K1253" i="9"/>
  <c r="K1254" i="9"/>
  <c r="K1255" i="9"/>
  <c r="K1256" i="9"/>
  <c r="K1257" i="9"/>
  <c r="K1258" i="9"/>
  <c r="K1259" i="9"/>
  <c r="K1260" i="9"/>
  <c r="K1261" i="9"/>
  <c r="K1262" i="9"/>
  <c r="K1263" i="9"/>
  <c r="K1264" i="9"/>
  <c r="K1265" i="9"/>
  <c r="K1266" i="9"/>
  <c r="K1267" i="9"/>
  <c r="K1268" i="9"/>
  <c r="K1269" i="9"/>
  <c r="K1270" i="9"/>
  <c r="K1271" i="9"/>
  <c r="K1272" i="9"/>
  <c r="K1273" i="9"/>
  <c r="K1274" i="9"/>
  <c r="K1275" i="9"/>
  <c r="K1276" i="9"/>
  <c r="K1277" i="9"/>
  <c r="K1278" i="9"/>
  <c r="K1279" i="9"/>
  <c r="K1280" i="9"/>
  <c r="K1281" i="9"/>
  <c r="K1282" i="9"/>
  <c r="K1283" i="9"/>
  <c r="K1284" i="9"/>
  <c r="K1285" i="9"/>
  <c r="K1286" i="9"/>
  <c r="K1287" i="9"/>
  <c r="K1288" i="9"/>
  <c r="K1289" i="9"/>
  <c r="K1290" i="9"/>
  <c r="K1291" i="9"/>
  <c r="K1292" i="9"/>
  <c r="K1293" i="9"/>
  <c r="K1294" i="9"/>
  <c r="K1295" i="9"/>
  <c r="K1296" i="9"/>
  <c r="K1297" i="9"/>
  <c r="K1298" i="9"/>
  <c r="K1299" i="9"/>
  <c r="K1300" i="9"/>
  <c r="K1301" i="9"/>
  <c r="K1302" i="9"/>
  <c r="K1303" i="9"/>
  <c r="K1304" i="9"/>
  <c r="K1305" i="9"/>
  <c r="K1306" i="9"/>
  <c r="K1307" i="9"/>
  <c r="K1308" i="9"/>
  <c r="K1309" i="9"/>
  <c r="K1310" i="9"/>
  <c r="K1311" i="9"/>
  <c r="K1312" i="9"/>
  <c r="K1313" i="9"/>
  <c r="K1314" i="9"/>
  <c r="K1315" i="9"/>
  <c r="K1316" i="9"/>
  <c r="K1317" i="9"/>
  <c r="K1318" i="9"/>
  <c r="K1319" i="9"/>
  <c r="K1320" i="9"/>
  <c r="K1321" i="9"/>
  <c r="K1322" i="9"/>
  <c r="K1323" i="9"/>
  <c r="K1324" i="9"/>
  <c r="K1325" i="9"/>
  <c r="K1326" i="9"/>
  <c r="K1327" i="9"/>
  <c r="K1328" i="9"/>
  <c r="K1329" i="9"/>
  <c r="K1330" i="9"/>
  <c r="K1331" i="9"/>
  <c r="K1332" i="9"/>
  <c r="K1333" i="9"/>
  <c r="K1334" i="9"/>
  <c r="K1335" i="9"/>
  <c r="K1336" i="9"/>
  <c r="K1337" i="9"/>
  <c r="K1338" i="9"/>
  <c r="K1339" i="9"/>
  <c r="K1340" i="9"/>
  <c r="K1341" i="9"/>
  <c r="K1342" i="9"/>
  <c r="K1343" i="9"/>
  <c r="K1344" i="9"/>
  <c r="K1345" i="9"/>
  <c r="K1346" i="9"/>
  <c r="K1347" i="9"/>
  <c r="K1348" i="9"/>
  <c r="K1349" i="9"/>
  <c r="K1350" i="9"/>
  <c r="K1351" i="9"/>
  <c r="K1352" i="9"/>
  <c r="K1353" i="9"/>
  <c r="K1354" i="9"/>
  <c r="K1355" i="9"/>
  <c r="K1356" i="9"/>
  <c r="K1357" i="9"/>
  <c r="K1358" i="9"/>
  <c r="K1359" i="9"/>
  <c r="K1360" i="9"/>
  <c r="K1361" i="9"/>
  <c r="K1362" i="9"/>
  <c r="K1363" i="9"/>
  <c r="K1364" i="9"/>
  <c r="K1365" i="9"/>
  <c r="K1366" i="9"/>
  <c r="K1367" i="9"/>
  <c r="K1368" i="9"/>
  <c r="K1369" i="9"/>
  <c r="K1370" i="9"/>
  <c r="K1371" i="9"/>
  <c r="K1372" i="9"/>
  <c r="K1373" i="9"/>
  <c r="K1374" i="9"/>
  <c r="K1375" i="9"/>
  <c r="K1376" i="9"/>
  <c r="K1377" i="9"/>
  <c r="K1378" i="9"/>
  <c r="K1379" i="9"/>
  <c r="K1380" i="9"/>
  <c r="K1381" i="9"/>
  <c r="K1382" i="9"/>
  <c r="K1383" i="9"/>
  <c r="K1384" i="9"/>
  <c r="K1385" i="9"/>
  <c r="K1386" i="9"/>
  <c r="K1387" i="9"/>
  <c r="K1388" i="9"/>
  <c r="K1389" i="9"/>
  <c r="K1390" i="9"/>
  <c r="K1391" i="9"/>
  <c r="K1392" i="9"/>
  <c r="K1393" i="9"/>
  <c r="K1394" i="9"/>
  <c r="K1395" i="9"/>
  <c r="K1396" i="9"/>
  <c r="K1397" i="9"/>
  <c r="K1398" i="9"/>
  <c r="K1399" i="9"/>
  <c r="K1400" i="9"/>
  <c r="K1401" i="9"/>
  <c r="K1402" i="9"/>
  <c r="K1403" i="9"/>
  <c r="K1404" i="9"/>
  <c r="K1405" i="9"/>
  <c r="K1406" i="9"/>
  <c r="K1407" i="9"/>
  <c r="K1408" i="9"/>
  <c r="K1409" i="9"/>
  <c r="K1410" i="9"/>
  <c r="K1411" i="9"/>
  <c r="K1412" i="9"/>
  <c r="K1413" i="9"/>
  <c r="K1414" i="9"/>
  <c r="K1415" i="9"/>
  <c r="K1416" i="9"/>
  <c r="K1417" i="9"/>
  <c r="K1418" i="9"/>
  <c r="K1419" i="9"/>
  <c r="K1420" i="9"/>
  <c r="K1421" i="9"/>
  <c r="K1422" i="9"/>
  <c r="K1423" i="9"/>
  <c r="K1424" i="9"/>
  <c r="K1425" i="9"/>
  <c r="K1426" i="9"/>
  <c r="K1427" i="9"/>
  <c r="K1428" i="9"/>
  <c r="K1429" i="9"/>
  <c r="K1430" i="9"/>
  <c r="K1431" i="9"/>
  <c r="K1432" i="9"/>
  <c r="K1433" i="9"/>
  <c r="K1434" i="9"/>
  <c r="K1435" i="9"/>
  <c r="K1436" i="9"/>
  <c r="K1437" i="9"/>
  <c r="K1438" i="9"/>
  <c r="K1439" i="9"/>
  <c r="K1440" i="9"/>
  <c r="K1441" i="9"/>
  <c r="K1442" i="9"/>
  <c r="K1443" i="9"/>
  <c r="K1444" i="9"/>
  <c r="K1445" i="9"/>
  <c r="K1446" i="9"/>
  <c r="K1447" i="9"/>
  <c r="K1448" i="9"/>
  <c r="K1449" i="9"/>
  <c r="K1450" i="9"/>
  <c r="K1451" i="9"/>
  <c r="K1452" i="9"/>
  <c r="K1453" i="9"/>
  <c r="K1454" i="9"/>
  <c r="K1455" i="9"/>
  <c r="K1456" i="9"/>
  <c r="K1457" i="9"/>
  <c r="K1458" i="9"/>
  <c r="K1459" i="9"/>
  <c r="K1460" i="9"/>
  <c r="K1461" i="9"/>
  <c r="K1462" i="9"/>
  <c r="K1463" i="9"/>
  <c r="K1464" i="9"/>
  <c r="K1465" i="9"/>
  <c r="K1466" i="9"/>
  <c r="K1467" i="9"/>
  <c r="K1468" i="9"/>
  <c r="K1469" i="9"/>
  <c r="K1470" i="9"/>
  <c r="K1471" i="9"/>
  <c r="K1472" i="9"/>
  <c r="K1473" i="9"/>
  <c r="K1474" i="9"/>
  <c r="K1475" i="9"/>
  <c r="K1476" i="9"/>
  <c r="K1477" i="9"/>
  <c r="K1478" i="9"/>
  <c r="K1479" i="9"/>
  <c r="K1480" i="9"/>
  <c r="K1481" i="9"/>
  <c r="K1482" i="9"/>
  <c r="K1483" i="9"/>
  <c r="K1484" i="9"/>
  <c r="K1485" i="9"/>
  <c r="K1486" i="9"/>
  <c r="K1487" i="9"/>
  <c r="K1488" i="9"/>
  <c r="K1489" i="9"/>
  <c r="K1490" i="9"/>
  <c r="K1491" i="9"/>
  <c r="K1492" i="9"/>
  <c r="K1493" i="9"/>
  <c r="K1494" i="9"/>
  <c r="K1495" i="9"/>
  <c r="K1496" i="9"/>
  <c r="K1497" i="9"/>
  <c r="K1498" i="9"/>
  <c r="K1499" i="9"/>
  <c r="K1500" i="9"/>
  <c r="K1501" i="9"/>
  <c r="K1502" i="9"/>
  <c r="K1503" i="9"/>
  <c r="K1504" i="9"/>
  <c r="K1505" i="9"/>
  <c r="K1506" i="9"/>
  <c r="K1507" i="9"/>
  <c r="K1508" i="9"/>
  <c r="K1509" i="9"/>
  <c r="K1510" i="9"/>
  <c r="K1511" i="9"/>
  <c r="K1512" i="9"/>
  <c r="K1513" i="9"/>
  <c r="K1514" i="9"/>
  <c r="K1515" i="9"/>
  <c r="K1516" i="9"/>
  <c r="K1517" i="9"/>
  <c r="K1518" i="9"/>
  <c r="K1519" i="9"/>
  <c r="K1520" i="9"/>
  <c r="K1521" i="9"/>
  <c r="K1522" i="9"/>
  <c r="K1523" i="9"/>
  <c r="K1524" i="9"/>
  <c r="K1525" i="9"/>
  <c r="K1526" i="9"/>
  <c r="K1527" i="9"/>
  <c r="K1528" i="9"/>
  <c r="K1529" i="9"/>
  <c r="K1530" i="9"/>
  <c r="K1531" i="9"/>
  <c r="K1532" i="9"/>
  <c r="K1533" i="9"/>
  <c r="K1534" i="9"/>
  <c r="K1535" i="9"/>
  <c r="K1536" i="9"/>
  <c r="K1537" i="9"/>
  <c r="K1538" i="9"/>
  <c r="K1539" i="9"/>
  <c r="K1540" i="9"/>
  <c r="K1541" i="9"/>
  <c r="K1542" i="9"/>
  <c r="K1543" i="9"/>
  <c r="K1544" i="9"/>
  <c r="K1545" i="9"/>
  <c r="K1546" i="9"/>
  <c r="K1547" i="9"/>
  <c r="K1548" i="9"/>
  <c r="K1549" i="9"/>
  <c r="K1550" i="9"/>
  <c r="K1551" i="9"/>
  <c r="K1552" i="9"/>
  <c r="K1553" i="9"/>
  <c r="K1554" i="9"/>
  <c r="K1555" i="9"/>
  <c r="K1556" i="9"/>
  <c r="K1557" i="9"/>
  <c r="K1558" i="9"/>
  <c r="K1559" i="9"/>
  <c r="K1560" i="9"/>
  <c r="K1561" i="9"/>
  <c r="K1562" i="9"/>
  <c r="K1563" i="9"/>
  <c r="K1564" i="9"/>
  <c r="K1565" i="9"/>
  <c r="K1566" i="9"/>
  <c r="K1567" i="9"/>
  <c r="K1568" i="9"/>
  <c r="K1569" i="9"/>
  <c r="K1570" i="9"/>
  <c r="K1571" i="9"/>
  <c r="K1572" i="9"/>
  <c r="K1573" i="9"/>
  <c r="K1574" i="9"/>
  <c r="K1575" i="9"/>
  <c r="K1576" i="9"/>
  <c r="K1577" i="9"/>
  <c r="K1578" i="9"/>
  <c r="K1579" i="9"/>
  <c r="K1580" i="9"/>
  <c r="K1581" i="9"/>
  <c r="K1582" i="9"/>
  <c r="K1583" i="9"/>
  <c r="K1584" i="9"/>
  <c r="K1585" i="9"/>
  <c r="K1586" i="9"/>
  <c r="K1587" i="9"/>
  <c r="K1588" i="9"/>
  <c r="K1589" i="9"/>
  <c r="K1590" i="9"/>
  <c r="K1591" i="9"/>
  <c r="K1592" i="9"/>
  <c r="K1593" i="9"/>
  <c r="K1594" i="9"/>
  <c r="K1595" i="9"/>
  <c r="K1596" i="9"/>
  <c r="K1597" i="9"/>
  <c r="K1598" i="9"/>
  <c r="K1599" i="9"/>
  <c r="K1600" i="9"/>
  <c r="K1601" i="9"/>
  <c r="K1602" i="9"/>
  <c r="K1603" i="9"/>
  <c r="K1604" i="9"/>
  <c r="K1605" i="9"/>
  <c r="K1606" i="9"/>
  <c r="K1607" i="9"/>
  <c r="K1608" i="9"/>
  <c r="K1609" i="9"/>
  <c r="K1610" i="9"/>
  <c r="K1611" i="9"/>
  <c r="K1612" i="9"/>
  <c r="K1613" i="9"/>
  <c r="K1614" i="9"/>
  <c r="K1615" i="9"/>
  <c r="K1616" i="9"/>
  <c r="K1617" i="9"/>
  <c r="K1618" i="9"/>
  <c r="K1619" i="9"/>
  <c r="K1620" i="9"/>
  <c r="K1621" i="9"/>
  <c r="K1622" i="9"/>
  <c r="K1623" i="9"/>
  <c r="K1624" i="9"/>
  <c r="K1625" i="9"/>
  <c r="K1626" i="9"/>
  <c r="K1627" i="9"/>
  <c r="K1628" i="9"/>
  <c r="K1629" i="9"/>
  <c r="K1630" i="9"/>
  <c r="K1631" i="9"/>
  <c r="K1632" i="9"/>
  <c r="K1633" i="9"/>
  <c r="K1634" i="9"/>
  <c r="K1635" i="9"/>
  <c r="K1636" i="9"/>
  <c r="K1637" i="9"/>
  <c r="K1638" i="9"/>
  <c r="K1639" i="9"/>
  <c r="K1640" i="9"/>
  <c r="K1641" i="9"/>
  <c r="K1642" i="9"/>
  <c r="K1643" i="9"/>
  <c r="K1644" i="9"/>
  <c r="K1645" i="9"/>
  <c r="K1646" i="9"/>
  <c r="K1647" i="9"/>
  <c r="K1648" i="9"/>
  <c r="K1649" i="9"/>
  <c r="K1650" i="9"/>
  <c r="K1651" i="9"/>
  <c r="K1652" i="9"/>
  <c r="K1653" i="9"/>
  <c r="K1654" i="9"/>
  <c r="K1655" i="9"/>
  <c r="K1656" i="9"/>
  <c r="K1657" i="9"/>
  <c r="K1658" i="9"/>
  <c r="K1659" i="9"/>
  <c r="K1660" i="9"/>
  <c r="K1661" i="9"/>
  <c r="K1662" i="9"/>
  <c r="K1663" i="9"/>
  <c r="K1664" i="9"/>
  <c r="K1665" i="9"/>
  <c r="K1666" i="9"/>
  <c r="K1667" i="9"/>
  <c r="K1668" i="9"/>
  <c r="K1669" i="9"/>
  <c r="K1670" i="9"/>
  <c r="K1671" i="9"/>
  <c r="K1672" i="9"/>
  <c r="K1673" i="9"/>
  <c r="K1674" i="9"/>
  <c r="K1675" i="9"/>
  <c r="K1676" i="9"/>
  <c r="K1677" i="9"/>
  <c r="K1678" i="9"/>
  <c r="K1679" i="9"/>
  <c r="K1680" i="9"/>
  <c r="K1681" i="9"/>
  <c r="K1682" i="9"/>
  <c r="K1683" i="9"/>
  <c r="K1684" i="9"/>
  <c r="K1685" i="9"/>
  <c r="K1686" i="9"/>
  <c r="K1687" i="9"/>
  <c r="K1688" i="9"/>
  <c r="K1689" i="9"/>
  <c r="K1690" i="9"/>
  <c r="K1691" i="9"/>
  <c r="K1692" i="9"/>
  <c r="K1693" i="9"/>
  <c r="K1694" i="9"/>
  <c r="K1695" i="9"/>
  <c r="K1696" i="9"/>
  <c r="K1697" i="9"/>
  <c r="K1698" i="9"/>
  <c r="K1699" i="9"/>
  <c r="K1700" i="9"/>
  <c r="K1701" i="9"/>
  <c r="K1702" i="9"/>
  <c r="K1703" i="9"/>
  <c r="K1704" i="9"/>
  <c r="K1705" i="9"/>
  <c r="K1706" i="9"/>
  <c r="K1707" i="9"/>
  <c r="K1708" i="9"/>
  <c r="K1709" i="9"/>
  <c r="K1710" i="9"/>
  <c r="K1711" i="9"/>
  <c r="K1712" i="9"/>
  <c r="K1713" i="9"/>
  <c r="K1714" i="9"/>
  <c r="K1715" i="9"/>
  <c r="K1716" i="9"/>
  <c r="K1717" i="9"/>
  <c r="K1718" i="9"/>
  <c r="K1719" i="9"/>
  <c r="K1720" i="9"/>
  <c r="K1721" i="9"/>
  <c r="K1722" i="9"/>
  <c r="K1723" i="9"/>
  <c r="K1724" i="9"/>
  <c r="K1725" i="9"/>
  <c r="K1726" i="9"/>
  <c r="K1727" i="9"/>
  <c r="K1728" i="9"/>
  <c r="K1729" i="9"/>
  <c r="K1730" i="9"/>
  <c r="K1731" i="9"/>
  <c r="K1732" i="9"/>
  <c r="K1733" i="9"/>
  <c r="K1734" i="9"/>
  <c r="K1735" i="9"/>
  <c r="K1736" i="9"/>
  <c r="K1737" i="9"/>
  <c r="K1738" i="9"/>
  <c r="K1739" i="9"/>
  <c r="K1740" i="9"/>
  <c r="K1741" i="9"/>
  <c r="K1742" i="9"/>
  <c r="K1743" i="9"/>
  <c r="K1744" i="9"/>
  <c r="K1745" i="9"/>
  <c r="K1746" i="9"/>
  <c r="K1747" i="9"/>
  <c r="K1748" i="9"/>
  <c r="K1749" i="9"/>
  <c r="K1750" i="9"/>
  <c r="K1751" i="9"/>
  <c r="K1752" i="9"/>
  <c r="K1753" i="9"/>
  <c r="K1754" i="9"/>
  <c r="K1755" i="9"/>
  <c r="K1756" i="9"/>
  <c r="K1757" i="9"/>
  <c r="K1758" i="9"/>
  <c r="K1759" i="9"/>
  <c r="K1760" i="9"/>
  <c r="K1761" i="9"/>
  <c r="K1762" i="9"/>
  <c r="K1763" i="9"/>
  <c r="K1764" i="9"/>
  <c r="K1765" i="9"/>
  <c r="K1766" i="9"/>
  <c r="K1767" i="9"/>
  <c r="K1768" i="9"/>
  <c r="K1769" i="9"/>
  <c r="K1770" i="9"/>
  <c r="K1771" i="9"/>
  <c r="K1772" i="9"/>
  <c r="K1773" i="9"/>
  <c r="K1774" i="9"/>
  <c r="K1775" i="9"/>
  <c r="K1776" i="9"/>
  <c r="K1777" i="9"/>
  <c r="K1778" i="9"/>
  <c r="K1779" i="9"/>
  <c r="K1780" i="9"/>
  <c r="K1781" i="9"/>
  <c r="K1782" i="9"/>
  <c r="K1783" i="9"/>
  <c r="K1784" i="9"/>
  <c r="K1785" i="9"/>
  <c r="K1786" i="9"/>
  <c r="K1787" i="9"/>
  <c r="K1788" i="9"/>
  <c r="K1789" i="9"/>
  <c r="K1790" i="9"/>
  <c r="K1791" i="9"/>
  <c r="K1792" i="9"/>
  <c r="K1793" i="9"/>
  <c r="K1794" i="9"/>
  <c r="K1795" i="9"/>
  <c r="K1796" i="9"/>
  <c r="K1797" i="9"/>
  <c r="K1798" i="9"/>
  <c r="K1799" i="9"/>
  <c r="K1800" i="9"/>
  <c r="K1801" i="9"/>
  <c r="K1802" i="9"/>
  <c r="K1803" i="9"/>
  <c r="K1804" i="9"/>
  <c r="K1805" i="9"/>
  <c r="K1806" i="9"/>
  <c r="K1807" i="9"/>
  <c r="K1808" i="9"/>
  <c r="K1809" i="9"/>
  <c r="K1810" i="9"/>
  <c r="K1811" i="9"/>
  <c r="K1812" i="9"/>
  <c r="K1813" i="9"/>
  <c r="K1814" i="9"/>
  <c r="K1815" i="9"/>
  <c r="K1816" i="9"/>
  <c r="K1817" i="9"/>
  <c r="K1818" i="9"/>
  <c r="K1819" i="9"/>
  <c r="K1820" i="9"/>
  <c r="K1821" i="9"/>
  <c r="K1822" i="9"/>
  <c r="K1823" i="9"/>
  <c r="K1824" i="9"/>
  <c r="K1825" i="9"/>
  <c r="K1826" i="9"/>
  <c r="K1827" i="9"/>
  <c r="K1828" i="9"/>
  <c r="K1829" i="9"/>
  <c r="K1830" i="9"/>
  <c r="K1831" i="9"/>
  <c r="K1832" i="9"/>
  <c r="K1833" i="9"/>
  <c r="K1834" i="9"/>
  <c r="K1835" i="9"/>
  <c r="K1836" i="9"/>
  <c r="K1837" i="9"/>
  <c r="K1838" i="9"/>
  <c r="K1839" i="9"/>
  <c r="K1840" i="9"/>
  <c r="K1841" i="9"/>
  <c r="K1842" i="9"/>
  <c r="K1843" i="9"/>
  <c r="K1844" i="9"/>
  <c r="K1845" i="9"/>
  <c r="K1846" i="9"/>
  <c r="K1847" i="9"/>
  <c r="K1848" i="9"/>
  <c r="K1849" i="9"/>
  <c r="K1850" i="9"/>
  <c r="K1851" i="9"/>
  <c r="K1852" i="9"/>
  <c r="K1853" i="9"/>
  <c r="K1854" i="9"/>
  <c r="K1855" i="9"/>
  <c r="K1856" i="9"/>
  <c r="K1857" i="9"/>
  <c r="K1858" i="9"/>
  <c r="K1859" i="9"/>
  <c r="K1860" i="9"/>
  <c r="K1861" i="9"/>
  <c r="K1862" i="9"/>
  <c r="K1863" i="9"/>
  <c r="K1864" i="9"/>
  <c r="K1865" i="9"/>
  <c r="K1866" i="9"/>
  <c r="K1867" i="9"/>
  <c r="K1868" i="9"/>
  <c r="K1869" i="9"/>
  <c r="K1870" i="9"/>
  <c r="K1871" i="9"/>
  <c r="K1872" i="9"/>
  <c r="K1873" i="9"/>
  <c r="K1874" i="9"/>
  <c r="K1875" i="9"/>
  <c r="K1876" i="9"/>
  <c r="K1877" i="9"/>
  <c r="K1878" i="9"/>
  <c r="K1879" i="9"/>
  <c r="K1880" i="9"/>
  <c r="K1881" i="9"/>
  <c r="K1882" i="9"/>
  <c r="K1883" i="9"/>
  <c r="K1884" i="9"/>
  <c r="K1885" i="9"/>
  <c r="K1886" i="9"/>
  <c r="K1887" i="9"/>
  <c r="K1888" i="9"/>
  <c r="K1889" i="9"/>
  <c r="K1890" i="9"/>
  <c r="K1891" i="9"/>
  <c r="K1892" i="9"/>
  <c r="K1893" i="9"/>
  <c r="K1894" i="9"/>
  <c r="K1895" i="9"/>
  <c r="K1896" i="9"/>
  <c r="K1897" i="9"/>
  <c r="K1898" i="9"/>
  <c r="K1899" i="9"/>
  <c r="K1900" i="9"/>
  <c r="K1901" i="9"/>
  <c r="K1902" i="9"/>
  <c r="K1903" i="9"/>
  <c r="K1904" i="9"/>
  <c r="K1905" i="9"/>
  <c r="K1906" i="9"/>
  <c r="K1907" i="9"/>
  <c r="K1908" i="9"/>
  <c r="K1909" i="9"/>
  <c r="K1910" i="9"/>
  <c r="K1911" i="9"/>
  <c r="K1912" i="9"/>
  <c r="K1913" i="9"/>
  <c r="K1914" i="9"/>
  <c r="K1915" i="9"/>
  <c r="K1916" i="9"/>
  <c r="K1917" i="9"/>
  <c r="K1918" i="9"/>
  <c r="K1919" i="9"/>
  <c r="K1920" i="9"/>
  <c r="K1921" i="9"/>
  <c r="K1922" i="9"/>
  <c r="K1923" i="9"/>
  <c r="K1924" i="9"/>
  <c r="K1925" i="9"/>
  <c r="K1926" i="9"/>
  <c r="K1927" i="9"/>
  <c r="K1928" i="9"/>
  <c r="K1929" i="9"/>
  <c r="K1930" i="9"/>
  <c r="K1931" i="9"/>
  <c r="K1932" i="9"/>
  <c r="K1933" i="9"/>
  <c r="K1934" i="9"/>
  <c r="K1935" i="9"/>
  <c r="K1936" i="9"/>
  <c r="K1937" i="9"/>
  <c r="K1938" i="9"/>
  <c r="K1939" i="9"/>
  <c r="K1940" i="9"/>
  <c r="K1941" i="9"/>
  <c r="K1942" i="9"/>
  <c r="K1943" i="9"/>
  <c r="K1944" i="9"/>
  <c r="K1945" i="9"/>
  <c r="K1946" i="9"/>
  <c r="K1947" i="9"/>
  <c r="K1948" i="9"/>
  <c r="K1949" i="9"/>
  <c r="K1950" i="9"/>
  <c r="K1951" i="9"/>
  <c r="K1952" i="9"/>
  <c r="K1953" i="9"/>
  <c r="K1954" i="9"/>
  <c r="K1955" i="9"/>
  <c r="K1956" i="9"/>
  <c r="K1957" i="9"/>
  <c r="K1958" i="9"/>
  <c r="K1959" i="9"/>
  <c r="K1960" i="9"/>
  <c r="K1961" i="9"/>
  <c r="K1962" i="9"/>
  <c r="K1963" i="9"/>
  <c r="K1964" i="9"/>
  <c r="K1965" i="9"/>
  <c r="K1966" i="9"/>
  <c r="K1967" i="9"/>
  <c r="K1968" i="9"/>
  <c r="K1969" i="9"/>
  <c r="K1970" i="9"/>
  <c r="K1971" i="9"/>
  <c r="K1972" i="9"/>
  <c r="K1973" i="9"/>
  <c r="K1974" i="9"/>
  <c r="K1975" i="9"/>
  <c r="K1976" i="9"/>
  <c r="K1977" i="9"/>
  <c r="K1978" i="9"/>
  <c r="K1979" i="9"/>
  <c r="K1980" i="9"/>
  <c r="K1981" i="9"/>
  <c r="K1982" i="9"/>
  <c r="K1983" i="9"/>
  <c r="K1984" i="9"/>
  <c r="K1985" i="9"/>
  <c r="K1986" i="9"/>
  <c r="K1987" i="9"/>
  <c r="K1988" i="9"/>
  <c r="K1989" i="9"/>
  <c r="K1990" i="9"/>
  <c r="K1991" i="9"/>
  <c r="K1992" i="9"/>
  <c r="K1993" i="9"/>
  <c r="K1994" i="9"/>
  <c r="K1995" i="9"/>
  <c r="K1996" i="9"/>
  <c r="K1997" i="9"/>
  <c r="K1998" i="9"/>
  <c r="K1999" i="9"/>
  <c r="K2000" i="9"/>
  <c r="K2001" i="9"/>
  <c r="K2002" i="9"/>
  <c r="K2003" i="9"/>
  <c r="K2004" i="9"/>
  <c r="K2005" i="9"/>
  <c r="K2006" i="9"/>
  <c r="K2007" i="9"/>
  <c r="K2008" i="9"/>
  <c r="K2009" i="9"/>
  <c r="K2010" i="9"/>
  <c r="K2011" i="9"/>
  <c r="K2012" i="9"/>
  <c r="K2013" i="9"/>
  <c r="K2014" i="9"/>
  <c r="K2015" i="9"/>
  <c r="K2016" i="9"/>
  <c r="K2017" i="9"/>
  <c r="K2018" i="9"/>
  <c r="K2019" i="9"/>
  <c r="K2020" i="9"/>
  <c r="K2021" i="9"/>
  <c r="K2022" i="9"/>
  <c r="K2023" i="9"/>
  <c r="K2024" i="9"/>
  <c r="K2025" i="9"/>
  <c r="K2026" i="9"/>
  <c r="K2027" i="9"/>
  <c r="K2028" i="9"/>
  <c r="K2029" i="9"/>
  <c r="K2030" i="9"/>
  <c r="K2031" i="9"/>
  <c r="K2032" i="9"/>
  <c r="K2033" i="9"/>
  <c r="K2034" i="9"/>
  <c r="K2035" i="9"/>
  <c r="K2036" i="9"/>
  <c r="K2037" i="9"/>
  <c r="K2038" i="9"/>
  <c r="K2039" i="9"/>
  <c r="K2040" i="9"/>
  <c r="K2041" i="9"/>
  <c r="K2042" i="9"/>
  <c r="K2043" i="9"/>
  <c r="K2044" i="9"/>
  <c r="K2045" i="9"/>
  <c r="K2046" i="9"/>
  <c r="K2047" i="9"/>
  <c r="K2048" i="9"/>
  <c r="K2049" i="9"/>
  <c r="K2050" i="9"/>
  <c r="K2051" i="9"/>
  <c r="K2052" i="9"/>
  <c r="K2053" i="9"/>
  <c r="K2054" i="9"/>
  <c r="K2055" i="9"/>
  <c r="K2056" i="9"/>
  <c r="K2057" i="9"/>
  <c r="K2058" i="9"/>
  <c r="K2059" i="9"/>
  <c r="K2060" i="9"/>
  <c r="K2061" i="9"/>
  <c r="K2062" i="9"/>
  <c r="K2063" i="9"/>
  <c r="K2064" i="9"/>
  <c r="K2065" i="9"/>
  <c r="K2066" i="9"/>
  <c r="K2067" i="9"/>
  <c r="K2068" i="9"/>
  <c r="K2069" i="9"/>
  <c r="K2070" i="9"/>
  <c r="K2071" i="9"/>
  <c r="K2072" i="9"/>
  <c r="K2073" i="9"/>
  <c r="K2074" i="9"/>
  <c r="K2075" i="9"/>
  <c r="K2076" i="9"/>
  <c r="K2077" i="9"/>
  <c r="K2078" i="9"/>
  <c r="K2079" i="9"/>
  <c r="K2080" i="9"/>
  <c r="K2081" i="9"/>
  <c r="K2082" i="9"/>
  <c r="K2083" i="9"/>
  <c r="K2084" i="9"/>
  <c r="K2085" i="9"/>
  <c r="K2086" i="9"/>
  <c r="K2087" i="9"/>
  <c r="K2088" i="9"/>
  <c r="K2089" i="9"/>
  <c r="K2090" i="9"/>
  <c r="K2091" i="9"/>
  <c r="K2092" i="9"/>
  <c r="K2093" i="9"/>
  <c r="K2094" i="9"/>
  <c r="K2095" i="9"/>
  <c r="K2096" i="9"/>
  <c r="K2097" i="9"/>
  <c r="K2098" i="9"/>
  <c r="K2099" i="9"/>
  <c r="K2100" i="9"/>
  <c r="K2101" i="9"/>
  <c r="K2102" i="9"/>
  <c r="K2103" i="9"/>
  <c r="K2104" i="9"/>
  <c r="K2105" i="9"/>
  <c r="K2106" i="9"/>
  <c r="K2107" i="9"/>
  <c r="K2108" i="9"/>
  <c r="K2109" i="9"/>
  <c r="K2110" i="9"/>
  <c r="K2111" i="9"/>
  <c r="K2112" i="9"/>
  <c r="K2113" i="9"/>
  <c r="K2114" i="9"/>
  <c r="K2115" i="9"/>
  <c r="K2116" i="9"/>
  <c r="K2117" i="9"/>
  <c r="K2118" i="9"/>
  <c r="K2119" i="9"/>
  <c r="K2120" i="9"/>
  <c r="K2121" i="9"/>
  <c r="K2122" i="9"/>
  <c r="K2123" i="9"/>
  <c r="K2124" i="9"/>
  <c r="K2125" i="9"/>
  <c r="K2126" i="9"/>
  <c r="K2127" i="9"/>
  <c r="K2128" i="9"/>
  <c r="K2129" i="9"/>
  <c r="K2130" i="9"/>
  <c r="K2131" i="9"/>
  <c r="K2132" i="9"/>
  <c r="K2133" i="9"/>
  <c r="K2134" i="9"/>
  <c r="K2135" i="9"/>
  <c r="K2136" i="9"/>
  <c r="K2137" i="9"/>
  <c r="K2138" i="9"/>
  <c r="K2139" i="9"/>
  <c r="K2140" i="9"/>
  <c r="K2141" i="9"/>
  <c r="K2142" i="9"/>
  <c r="K2143" i="9"/>
  <c r="K2144" i="9"/>
  <c r="K2145" i="9"/>
  <c r="K2146" i="9"/>
  <c r="K2147" i="9"/>
  <c r="K2148" i="9"/>
  <c r="K2149" i="9"/>
  <c r="K2150" i="9"/>
  <c r="K2151" i="9"/>
  <c r="K2152" i="9"/>
  <c r="K2153" i="9"/>
  <c r="K2154" i="9"/>
  <c r="K2155" i="9"/>
  <c r="K2156" i="9"/>
  <c r="K2157" i="9"/>
  <c r="K2158" i="9"/>
  <c r="K2159" i="9"/>
  <c r="K2160" i="9"/>
  <c r="K2161" i="9"/>
  <c r="K2162" i="9"/>
  <c r="K2163" i="9"/>
  <c r="K2164" i="9"/>
  <c r="K2165" i="9"/>
  <c r="K2166" i="9"/>
  <c r="K2167" i="9"/>
  <c r="K2168" i="9"/>
  <c r="K2169" i="9"/>
  <c r="K2170" i="9"/>
  <c r="K2171" i="9"/>
  <c r="K2172" i="9"/>
  <c r="K2173" i="9"/>
  <c r="K2174" i="9"/>
  <c r="K2175" i="9"/>
  <c r="K2176" i="9"/>
  <c r="K2177" i="9"/>
  <c r="K2178" i="9"/>
  <c r="K2179" i="9"/>
  <c r="K2180" i="9"/>
  <c r="K2181" i="9"/>
  <c r="K2182" i="9"/>
  <c r="K2183" i="9"/>
  <c r="K2184" i="9"/>
  <c r="K2185" i="9"/>
  <c r="K2186" i="9"/>
  <c r="K2187" i="9"/>
  <c r="K2188" i="9"/>
  <c r="K2189" i="9"/>
  <c r="K2190" i="9"/>
  <c r="K2191" i="9"/>
  <c r="K2192" i="9"/>
  <c r="K2193" i="9"/>
  <c r="K2194" i="9"/>
  <c r="K2195" i="9"/>
  <c r="K2196" i="9"/>
  <c r="K2197" i="9"/>
  <c r="K2198" i="9"/>
  <c r="K2199" i="9"/>
  <c r="K2200" i="9"/>
  <c r="K2201" i="9"/>
  <c r="K2202" i="9"/>
  <c r="K2203" i="9"/>
  <c r="K2204" i="9"/>
  <c r="K2205" i="9"/>
  <c r="K2206" i="9"/>
  <c r="K2207" i="9"/>
  <c r="K2208" i="9"/>
  <c r="K2209" i="9"/>
  <c r="K2210" i="9"/>
  <c r="K2211" i="9"/>
  <c r="K2212" i="9"/>
  <c r="K2213" i="9"/>
  <c r="K2214" i="9"/>
  <c r="K2215" i="9"/>
  <c r="K2216" i="9"/>
  <c r="K2217" i="9"/>
  <c r="K2218" i="9"/>
  <c r="K2219" i="9"/>
  <c r="K2220" i="9"/>
  <c r="K2221" i="9"/>
  <c r="K2222" i="9"/>
  <c r="K2223" i="9"/>
  <c r="K2224" i="9"/>
  <c r="K2225" i="9"/>
  <c r="K2226" i="9"/>
  <c r="K2227" i="9"/>
  <c r="K2228" i="9"/>
  <c r="K2229" i="9"/>
  <c r="K2230" i="9"/>
  <c r="K2231" i="9"/>
  <c r="K2232" i="9"/>
  <c r="K2233" i="9"/>
  <c r="K2234" i="9"/>
  <c r="K2235" i="9"/>
  <c r="K2236" i="9"/>
  <c r="K2237" i="9"/>
  <c r="K2238" i="9"/>
  <c r="K2239" i="9"/>
  <c r="K2240" i="9"/>
  <c r="K2241" i="9"/>
  <c r="K2242" i="9"/>
  <c r="K2243" i="9"/>
  <c r="K2244" i="9"/>
  <c r="K2245" i="9"/>
  <c r="K2246" i="9"/>
  <c r="K2247" i="9"/>
  <c r="K2248" i="9"/>
  <c r="K2249" i="9"/>
  <c r="K2250" i="9"/>
  <c r="K2251" i="9"/>
  <c r="K2252" i="9"/>
  <c r="K2253" i="9"/>
  <c r="K2254" i="9"/>
  <c r="K2255" i="9"/>
  <c r="K2256" i="9"/>
  <c r="K2257" i="9"/>
  <c r="K2258" i="9"/>
  <c r="K2259" i="9"/>
  <c r="K2260" i="9"/>
  <c r="K2261" i="9"/>
  <c r="K2262" i="9"/>
  <c r="K2263" i="9"/>
  <c r="K2264" i="9"/>
  <c r="K2265" i="9"/>
  <c r="K2266" i="9"/>
  <c r="K2267" i="9"/>
  <c r="K2268" i="9"/>
  <c r="K2269" i="9"/>
  <c r="K2270" i="9"/>
  <c r="K2271" i="9"/>
  <c r="K2272" i="9"/>
  <c r="K2273" i="9"/>
  <c r="K2274" i="9"/>
  <c r="K2275" i="9"/>
  <c r="K2276" i="9"/>
  <c r="K2277" i="9"/>
  <c r="K2278" i="9"/>
  <c r="K2279" i="9"/>
  <c r="K2280" i="9"/>
  <c r="K2281" i="9"/>
  <c r="K2282" i="9"/>
  <c r="K2283" i="9"/>
  <c r="K2284" i="9"/>
  <c r="K2285" i="9"/>
  <c r="K2286" i="9"/>
  <c r="K2287" i="9"/>
  <c r="K2288" i="9"/>
  <c r="K2289" i="9"/>
  <c r="K2290" i="9"/>
  <c r="K2291" i="9"/>
  <c r="K2292" i="9"/>
  <c r="K2293" i="9"/>
  <c r="K2294" i="9"/>
  <c r="K2295" i="9"/>
  <c r="K2296" i="9"/>
  <c r="K2297" i="9"/>
  <c r="K2298" i="9"/>
  <c r="K2299" i="9"/>
  <c r="K2300" i="9"/>
  <c r="K2301" i="9"/>
  <c r="K2302" i="9"/>
  <c r="K2303" i="9"/>
  <c r="K2304" i="9"/>
  <c r="K2305" i="9"/>
  <c r="K2306" i="9"/>
  <c r="K2307" i="9"/>
  <c r="K2308" i="9"/>
  <c r="K2309" i="9"/>
  <c r="K2310" i="9"/>
  <c r="K2311" i="9"/>
  <c r="K2312" i="9"/>
  <c r="K2313" i="9"/>
  <c r="K2314" i="9"/>
  <c r="K2315" i="9"/>
  <c r="K2316" i="9"/>
  <c r="K2317" i="9"/>
  <c r="K2318" i="9"/>
  <c r="K2319" i="9"/>
  <c r="K2320" i="9"/>
  <c r="K2321" i="9"/>
  <c r="K2322" i="9"/>
  <c r="K2323" i="9"/>
  <c r="K2324" i="9"/>
  <c r="K2325" i="9"/>
  <c r="K2326" i="9"/>
  <c r="K2327" i="9"/>
  <c r="K2328" i="9"/>
  <c r="K2329" i="9"/>
  <c r="K2330" i="9"/>
  <c r="K2331" i="9"/>
  <c r="K2332" i="9"/>
  <c r="K2333" i="9"/>
  <c r="K2334" i="9"/>
  <c r="K2335" i="9"/>
  <c r="K2336" i="9"/>
  <c r="K2337" i="9"/>
  <c r="K2338" i="9"/>
  <c r="K2339" i="9"/>
  <c r="K2340" i="9"/>
  <c r="K2341" i="9"/>
  <c r="K2342" i="9"/>
  <c r="K2343" i="9"/>
  <c r="K2344" i="9"/>
  <c r="K2345" i="9"/>
  <c r="K2346" i="9"/>
  <c r="K2347" i="9"/>
  <c r="K2348" i="9"/>
  <c r="K2349" i="9"/>
  <c r="K2350" i="9"/>
  <c r="K2351" i="9"/>
  <c r="K2352" i="9"/>
  <c r="K2353" i="9"/>
  <c r="K2354" i="9"/>
  <c r="K2355" i="9"/>
  <c r="K2356" i="9"/>
  <c r="K2357" i="9"/>
  <c r="K2358" i="9"/>
  <c r="K2359" i="9"/>
  <c r="K2360" i="9"/>
  <c r="K2361" i="9"/>
  <c r="K2362" i="9"/>
  <c r="K2363" i="9"/>
  <c r="K2364" i="9"/>
  <c r="K2365" i="9"/>
  <c r="K2366" i="9"/>
  <c r="K2367" i="9"/>
  <c r="K2368" i="9"/>
  <c r="K2369" i="9"/>
  <c r="K2370" i="9"/>
  <c r="K2371" i="9"/>
  <c r="K2372" i="9"/>
  <c r="K2373" i="9"/>
  <c r="K2374" i="9"/>
  <c r="K2375" i="9"/>
  <c r="K2376" i="9"/>
  <c r="K2377" i="9"/>
  <c r="K2378" i="9"/>
  <c r="K2379" i="9"/>
  <c r="K2380" i="9"/>
  <c r="K2381" i="9"/>
  <c r="K2382" i="9"/>
  <c r="K2383" i="9"/>
  <c r="K2384" i="9"/>
  <c r="K2385" i="9"/>
  <c r="K2386" i="9"/>
  <c r="K2387" i="9"/>
  <c r="K2388" i="9"/>
  <c r="K2389" i="9"/>
  <c r="K2390" i="9"/>
  <c r="K2391" i="9"/>
  <c r="K2392" i="9"/>
  <c r="K2393" i="9"/>
  <c r="K2394" i="9"/>
  <c r="K2395" i="9"/>
  <c r="K2396" i="9"/>
  <c r="K2397" i="9"/>
  <c r="K2398" i="9"/>
  <c r="K2399" i="9"/>
  <c r="K2400" i="9"/>
  <c r="K2401" i="9"/>
  <c r="K2402" i="9"/>
  <c r="K2403" i="9"/>
  <c r="K2404" i="9"/>
  <c r="K2405" i="9"/>
  <c r="K2406" i="9"/>
  <c r="K2407" i="9"/>
  <c r="K2408" i="9"/>
  <c r="K2409" i="9"/>
  <c r="K2410" i="9"/>
  <c r="K2411" i="9"/>
  <c r="K2412" i="9"/>
  <c r="K2413" i="9"/>
  <c r="K2414" i="9"/>
  <c r="K2415" i="9"/>
  <c r="K2416" i="9"/>
  <c r="K2417" i="9"/>
  <c r="K2418" i="9"/>
  <c r="K2419" i="9"/>
  <c r="K2420" i="9"/>
  <c r="K2421" i="9"/>
  <c r="K2422" i="9"/>
  <c r="K2423" i="9"/>
  <c r="K2424" i="9"/>
  <c r="K2425" i="9"/>
  <c r="K2426" i="9"/>
  <c r="K2427" i="9"/>
  <c r="K2428" i="9"/>
  <c r="K2429" i="9"/>
  <c r="K2430" i="9"/>
  <c r="K2431" i="9"/>
  <c r="K2432" i="9"/>
  <c r="K2433" i="9"/>
  <c r="K2434" i="9"/>
  <c r="K2435" i="9"/>
  <c r="K2436" i="9"/>
  <c r="K2437" i="9"/>
  <c r="K2438" i="9"/>
  <c r="K2439" i="9"/>
  <c r="K2440" i="9"/>
  <c r="K2441" i="9"/>
  <c r="K2442" i="9"/>
  <c r="K2443" i="9"/>
  <c r="K2444" i="9"/>
  <c r="K2445" i="9"/>
  <c r="K2446" i="9"/>
  <c r="K2447" i="9"/>
  <c r="K2448" i="9"/>
  <c r="K2449" i="9"/>
  <c r="K2450" i="9"/>
  <c r="K2451" i="9"/>
  <c r="K2452" i="9"/>
  <c r="K2453" i="9"/>
  <c r="K2454" i="9"/>
  <c r="K2455" i="9"/>
  <c r="K2456" i="9"/>
  <c r="K2457" i="9"/>
  <c r="K2458" i="9"/>
  <c r="K2459" i="9"/>
  <c r="K2460" i="9"/>
  <c r="K2461" i="9"/>
  <c r="K2462" i="9"/>
  <c r="K2463" i="9"/>
  <c r="K2464" i="9"/>
  <c r="K2465" i="9"/>
  <c r="K2466" i="9"/>
  <c r="K2467" i="9"/>
  <c r="K2468" i="9"/>
  <c r="K2469" i="9"/>
  <c r="K2470" i="9"/>
  <c r="K2471" i="9"/>
  <c r="K2472" i="9"/>
  <c r="K2473" i="9"/>
  <c r="K2474" i="9"/>
  <c r="K2475" i="9"/>
  <c r="K2476" i="9"/>
  <c r="K2477" i="9"/>
  <c r="K2478" i="9"/>
  <c r="K2479" i="9"/>
  <c r="K2480" i="9"/>
  <c r="K2481" i="9"/>
  <c r="K2482" i="9"/>
  <c r="K2483" i="9"/>
  <c r="K2484" i="9"/>
  <c r="K2485" i="9"/>
  <c r="K2486" i="9"/>
  <c r="K2487" i="9"/>
  <c r="K2488" i="9"/>
  <c r="K2489" i="9"/>
  <c r="K2490" i="9"/>
  <c r="K2491" i="9"/>
  <c r="K2492" i="9"/>
  <c r="K2493" i="9"/>
  <c r="K2494" i="9"/>
  <c r="K2495" i="9"/>
  <c r="K2496" i="9"/>
  <c r="K2497" i="9"/>
  <c r="K2498" i="9"/>
  <c r="K2499" i="9"/>
  <c r="K2500" i="9"/>
  <c r="K2501" i="9"/>
  <c r="K2502" i="9"/>
  <c r="K2503" i="9"/>
  <c r="K2504" i="9"/>
  <c r="K2505" i="9"/>
  <c r="K2506" i="9"/>
  <c r="K2507" i="9"/>
  <c r="K2508" i="9"/>
  <c r="K2509" i="9"/>
  <c r="K2510" i="9"/>
  <c r="K2511" i="9"/>
  <c r="K2512" i="9"/>
  <c r="K2513" i="9"/>
  <c r="K2514" i="9"/>
  <c r="K2515" i="9"/>
  <c r="K2516" i="9"/>
  <c r="K2517" i="9"/>
  <c r="K2518" i="9"/>
  <c r="K2519" i="9"/>
  <c r="K2520" i="9"/>
  <c r="K2521" i="9"/>
  <c r="K2522" i="9"/>
  <c r="K2523" i="9"/>
  <c r="K2524" i="9"/>
  <c r="K2525" i="9"/>
  <c r="K2526" i="9"/>
  <c r="K2527" i="9"/>
  <c r="K2528" i="9"/>
  <c r="K2529" i="9"/>
  <c r="K2530" i="9"/>
  <c r="K2531" i="9"/>
  <c r="K2532" i="9"/>
  <c r="K2533" i="9"/>
  <c r="K2534" i="9"/>
  <c r="K2535" i="9"/>
  <c r="K2536" i="9"/>
  <c r="K2537" i="9"/>
  <c r="K2538" i="9"/>
  <c r="K2539" i="9"/>
  <c r="K2540" i="9"/>
  <c r="K2541" i="9"/>
  <c r="K2542" i="9"/>
  <c r="K2543" i="9"/>
  <c r="K2544" i="9"/>
  <c r="K2545" i="9"/>
  <c r="K2546" i="9"/>
  <c r="K2547" i="9"/>
  <c r="K2548" i="9"/>
  <c r="K2549" i="9"/>
  <c r="K2550" i="9"/>
  <c r="K2551" i="9"/>
  <c r="K2552" i="9"/>
  <c r="K2553" i="9"/>
  <c r="K2554" i="9"/>
  <c r="K2555" i="9"/>
  <c r="K2556" i="9"/>
  <c r="K2557" i="9"/>
  <c r="K2558" i="9"/>
  <c r="K2559" i="9"/>
  <c r="K2560" i="9"/>
  <c r="K2561" i="9"/>
  <c r="K2562" i="9"/>
  <c r="K2563" i="9"/>
  <c r="K2564" i="9"/>
  <c r="K2565" i="9"/>
  <c r="K2566" i="9"/>
  <c r="K2567" i="9"/>
  <c r="K2568" i="9"/>
  <c r="K2569" i="9"/>
  <c r="K2570" i="9"/>
  <c r="K2571" i="9"/>
  <c r="K2572" i="9"/>
  <c r="K2573" i="9"/>
  <c r="K2574" i="9"/>
  <c r="K2575" i="9"/>
  <c r="K2576" i="9"/>
  <c r="K2577" i="9"/>
  <c r="K2578" i="9"/>
  <c r="K2579" i="9"/>
  <c r="K2580" i="9"/>
  <c r="K2581" i="9"/>
  <c r="K2582" i="9"/>
  <c r="K2583" i="9"/>
  <c r="K2584" i="9"/>
  <c r="K2585" i="9"/>
  <c r="K2586" i="9"/>
  <c r="K2587" i="9"/>
  <c r="K2588" i="9"/>
  <c r="K2589" i="9"/>
  <c r="K2590" i="9"/>
  <c r="K2591" i="9"/>
  <c r="K2592" i="9"/>
  <c r="K2593" i="9"/>
  <c r="K2594" i="9"/>
  <c r="K2595" i="9"/>
  <c r="K2596" i="9"/>
  <c r="K2597" i="9"/>
  <c r="K2598" i="9"/>
  <c r="K2599" i="9"/>
  <c r="K2600" i="9"/>
  <c r="K2601" i="9"/>
  <c r="K2602" i="9"/>
  <c r="K2603" i="9"/>
  <c r="K2604" i="9"/>
  <c r="K2605" i="9"/>
  <c r="K2606" i="9"/>
  <c r="K2607" i="9"/>
  <c r="K2608" i="9"/>
  <c r="K2609" i="9"/>
  <c r="K2610" i="9"/>
  <c r="K2611" i="9"/>
  <c r="K2612" i="9"/>
  <c r="K2613" i="9"/>
  <c r="K2614" i="9"/>
  <c r="K2615" i="9"/>
  <c r="K2616" i="9"/>
  <c r="K2617" i="9"/>
  <c r="K2618" i="9"/>
  <c r="K2619" i="9"/>
  <c r="K2620" i="9"/>
  <c r="K2621" i="9"/>
  <c r="K2622" i="9"/>
  <c r="K2623" i="9"/>
  <c r="K2624" i="9"/>
  <c r="K2625" i="9"/>
  <c r="K2626" i="9"/>
  <c r="K2627" i="9"/>
  <c r="K2628" i="9"/>
  <c r="K2629" i="9"/>
  <c r="K2630" i="9"/>
  <c r="K2631" i="9"/>
  <c r="K2632" i="9"/>
  <c r="K2633" i="9"/>
  <c r="K2634" i="9"/>
  <c r="K2635" i="9"/>
  <c r="K2636" i="9"/>
  <c r="K2637" i="9"/>
  <c r="K2638" i="9"/>
  <c r="K2639" i="9"/>
  <c r="K2640" i="9"/>
  <c r="K2641" i="9"/>
  <c r="K2642" i="9"/>
  <c r="K2643" i="9"/>
  <c r="K2644" i="9"/>
  <c r="K2645" i="9"/>
  <c r="K2646" i="9"/>
  <c r="K2647" i="9"/>
  <c r="K2648" i="9"/>
  <c r="K2649" i="9"/>
  <c r="K2650" i="9"/>
  <c r="K2651" i="9"/>
  <c r="K2652" i="9"/>
  <c r="K2653" i="9"/>
  <c r="K2654" i="9"/>
  <c r="K2655" i="9"/>
  <c r="K2656" i="9"/>
  <c r="K2657" i="9"/>
  <c r="K2658" i="9"/>
  <c r="K2659" i="9"/>
  <c r="K2660" i="9"/>
  <c r="K2661" i="9"/>
  <c r="K2662" i="9"/>
  <c r="K2663" i="9"/>
  <c r="K2664" i="9"/>
  <c r="K2665" i="9"/>
  <c r="K2666" i="9"/>
  <c r="K2667" i="9"/>
  <c r="K2668" i="9"/>
  <c r="K2669" i="9"/>
  <c r="K2670" i="9"/>
  <c r="K2671" i="9"/>
  <c r="K2672" i="9"/>
  <c r="K2673" i="9"/>
  <c r="K2674" i="9"/>
  <c r="K2675" i="9"/>
  <c r="K2676" i="9"/>
  <c r="K2677" i="9"/>
  <c r="K2678" i="9"/>
  <c r="K2679" i="9"/>
  <c r="K2680" i="9"/>
  <c r="K2681" i="9"/>
  <c r="K2682" i="9"/>
  <c r="K2683" i="9"/>
  <c r="K2684" i="9"/>
  <c r="K2685" i="9"/>
  <c r="K2686" i="9"/>
  <c r="K2687" i="9"/>
  <c r="K2688" i="9"/>
  <c r="K2689" i="9"/>
  <c r="K2690" i="9"/>
  <c r="K2691" i="9"/>
  <c r="K2692" i="9"/>
  <c r="K2693" i="9"/>
  <c r="K2694" i="9"/>
  <c r="K2695" i="9"/>
  <c r="K2696" i="9"/>
  <c r="K2697" i="9"/>
  <c r="K2698" i="9"/>
  <c r="K2699" i="9"/>
  <c r="K2700" i="9"/>
  <c r="K2701" i="9"/>
  <c r="K2702" i="9"/>
  <c r="K2703" i="9"/>
  <c r="K2704" i="9"/>
  <c r="K2705" i="9"/>
  <c r="K2706" i="9"/>
  <c r="K2707" i="9"/>
  <c r="K2708" i="9"/>
  <c r="K2709" i="9"/>
  <c r="K2710" i="9"/>
  <c r="K2711" i="9"/>
  <c r="K2712" i="9"/>
  <c r="K2713" i="9"/>
  <c r="K2714" i="9"/>
  <c r="K2715" i="9"/>
  <c r="K2716" i="9"/>
  <c r="K2717" i="9"/>
  <c r="K2718" i="9"/>
  <c r="K2719" i="9"/>
  <c r="K2720" i="9"/>
  <c r="K2721" i="9"/>
  <c r="K2722" i="9"/>
  <c r="K2723" i="9"/>
  <c r="K2724" i="9"/>
  <c r="K2725" i="9"/>
  <c r="K2726" i="9"/>
  <c r="K2727" i="9"/>
  <c r="K2728" i="9"/>
  <c r="K2729" i="9"/>
  <c r="K2730" i="9"/>
  <c r="K2731" i="9"/>
  <c r="K2732" i="9"/>
  <c r="K2733" i="9"/>
  <c r="K2734" i="9"/>
  <c r="K2735" i="9"/>
  <c r="K2736" i="9"/>
  <c r="K2737" i="9"/>
  <c r="K2738" i="9"/>
  <c r="K2739" i="9"/>
  <c r="K2740" i="9"/>
  <c r="K2741" i="9"/>
  <c r="K2742" i="9"/>
  <c r="K2743" i="9"/>
  <c r="K2744" i="9"/>
  <c r="K2745" i="9"/>
  <c r="K2746" i="9"/>
  <c r="K2747" i="9"/>
  <c r="K2748" i="9"/>
  <c r="K2749" i="9"/>
  <c r="K2750" i="9"/>
  <c r="K2751" i="9"/>
  <c r="K2752" i="9"/>
  <c r="K2753" i="9"/>
  <c r="K2754" i="9"/>
  <c r="K2755" i="9"/>
  <c r="K2756" i="9"/>
  <c r="K2757" i="9"/>
  <c r="K2758" i="9"/>
  <c r="K2759" i="9"/>
  <c r="K2760" i="9"/>
  <c r="K2761" i="9"/>
  <c r="K2762" i="9"/>
  <c r="K2763" i="9"/>
  <c r="K2764" i="9"/>
  <c r="K2765" i="9"/>
  <c r="K2766" i="9"/>
  <c r="K2767" i="9"/>
  <c r="K2768" i="9"/>
  <c r="K2769" i="9"/>
  <c r="K2770" i="9"/>
  <c r="K2771" i="9"/>
  <c r="K2772" i="9"/>
  <c r="K2773" i="9"/>
  <c r="K2774" i="9"/>
  <c r="K2775" i="9"/>
  <c r="K2776" i="9"/>
  <c r="K2777" i="9"/>
  <c r="K2778" i="9"/>
  <c r="K2779" i="9"/>
  <c r="K2780" i="9"/>
  <c r="K2781" i="9"/>
  <c r="K2782" i="9"/>
  <c r="K2783" i="9"/>
  <c r="K2784" i="9"/>
  <c r="K2785" i="9"/>
  <c r="K2786" i="9"/>
  <c r="K2787" i="9"/>
  <c r="K2788" i="9"/>
  <c r="K2789" i="9"/>
  <c r="K2790" i="9"/>
  <c r="K2791" i="9"/>
  <c r="K2792" i="9"/>
  <c r="K2793" i="9"/>
  <c r="K2794" i="9"/>
  <c r="K2795" i="9"/>
  <c r="K2796" i="9"/>
  <c r="K2797" i="9"/>
  <c r="K2798" i="9"/>
  <c r="K2799" i="9"/>
  <c r="K2800" i="9"/>
  <c r="K2801" i="9"/>
  <c r="K2802" i="9"/>
  <c r="K2803" i="9"/>
  <c r="K2804" i="9"/>
  <c r="K2805" i="9"/>
  <c r="K2806" i="9"/>
  <c r="K2807" i="9"/>
  <c r="K2808" i="9"/>
  <c r="K2809" i="9"/>
  <c r="K2810" i="9"/>
  <c r="K2811" i="9"/>
  <c r="K2812" i="9"/>
  <c r="K2813" i="9"/>
  <c r="K2814" i="9"/>
  <c r="K2815" i="9"/>
  <c r="K2816" i="9"/>
  <c r="K2817" i="9"/>
  <c r="K2818" i="9"/>
  <c r="K2819" i="9"/>
  <c r="K2820" i="9"/>
  <c r="K2821" i="9"/>
  <c r="K2822" i="9"/>
  <c r="K2823" i="9"/>
  <c r="K2824" i="9"/>
  <c r="K2825" i="9"/>
  <c r="K2826" i="9"/>
  <c r="K2827" i="9"/>
  <c r="K2828" i="9"/>
  <c r="K2829" i="9"/>
  <c r="K2830" i="9"/>
  <c r="K2831" i="9"/>
  <c r="K2832" i="9"/>
  <c r="K2833" i="9"/>
  <c r="K2834" i="9"/>
  <c r="K2835" i="9"/>
  <c r="K2836" i="9"/>
  <c r="K2837" i="9"/>
  <c r="K2838" i="9"/>
  <c r="K2839" i="9"/>
  <c r="K2840" i="9"/>
  <c r="K2841" i="9"/>
  <c r="K2842" i="9"/>
  <c r="K2843" i="9"/>
  <c r="K2844" i="9"/>
  <c r="K2845" i="9"/>
  <c r="K2846" i="9"/>
  <c r="K2847" i="9"/>
  <c r="K2848" i="9"/>
  <c r="K2849" i="9"/>
  <c r="K2850" i="9"/>
  <c r="K2851" i="9"/>
  <c r="K2852" i="9"/>
  <c r="K2853" i="9"/>
  <c r="K2854" i="9"/>
  <c r="K2855" i="9"/>
  <c r="K2856" i="9"/>
  <c r="K2857" i="9"/>
  <c r="K2858" i="9"/>
  <c r="K2859" i="9"/>
  <c r="K2860" i="9"/>
  <c r="K2861" i="9"/>
  <c r="K2862" i="9"/>
  <c r="K2863" i="9"/>
  <c r="K2864" i="9"/>
  <c r="K2865" i="9"/>
  <c r="K2866" i="9"/>
  <c r="K2867" i="9"/>
  <c r="K2868" i="9"/>
  <c r="K2869" i="9"/>
  <c r="K2870" i="9"/>
  <c r="K2871" i="9"/>
  <c r="K2872" i="9"/>
  <c r="K2873" i="9"/>
  <c r="K2874" i="9"/>
  <c r="K2875" i="9"/>
  <c r="K2876" i="9"/>
  <c r="K2877" i="9"/>
  <c r="K2878" i="9"/>
  <c r="K2879" i="9"/>
  <c r="K2880" i="9"/>
  <c r="K2881" i="9"/>
  <c r="K2882" i="9"/>
  <c r="K2883" i="9"/>
  <c r="K2884" i="9"/>
  <c r="K2885" i="9"/>
  <c r="K2886" i="9"/>
  <c r="K2887" i="9"/>
  <c r="K2888" i="9"/>
  <c r="K2889" i="9"/>
  <c r="K2890" i="9"/>
  <c r="K2891" i="9"/>
  <c r="K2892" i="9"/>
  <c r="K2893" i="9"/>
  <c r="K2894" i="9"/>
  <c r="K2895" i="9"/>
  <c r="K2896" i="9"/>
  <c r="K2897" i="9"/>
  <c r="K2898" i="9"/>
  <c r="K2899" i="9"/>
  <c r="K2900" i="9"/>
  <c r="K2901" i="9"/>
  <c r="K2902" i="9"/>
  <c r="K2903" i="9"/>
  <c r="K2904" i="9"/>
  <c r="K2905" i="9"/>
  <c r="K2906" i="9"/>
  <c r="K2907" i="9"/>
  <c r="K2908" i="9"/>
  <c r="K2909" i="9"/>
  <c r="K2910" i="9"/>
  <c r="K2911" i="9"/>
  <c r="K2912" i="9"/>
  <c r="K2913" i="9"/>
  <c r="K2914" i="9"/>
  <c r="K2915" i="9"/>
  <c r="K2916" i="9"/>
  <c r="K2917" i="9"/>
  <c r="K2918" i="9"/>
  <c r="K2919" i="9"/>
  <c r="K2920" i="9"/>
  <c r="K2921" i="9"/>
  <c r="K2922" i="9"/>
  <c r="K2923" i="9"/>
  <c r="K2924" i="9"/>
  <c r="K2925" i="9"/>
  <c r="K2926" i="9"/>
  <c r="K2927" i="9"/>
  <c r="K2928" i="9"/>
  <c r="K2929" i="9"/>
  <c r="K2930" i="9"/>
  <c r="K2931" i="9"/>
  <c r="K2932" i="9"/>
  <c r="K2933" i="9"/>
  <c r="K2934" i="9"/>
  <c r="K2935" i="9"/>
  <c r="K2936" i="9"/>
  <c r="K2937" i="9"/>
  <c r="K2938" i="9"/>
  <c r="K2939" i="9"/>
  <c r="K2940" i="9"/>
  <c r="K2941" i="9"/>
  <c r="K2942" i="9"/>
  <c r="K2943" i="9"/>
  <c r="K2944" i="9"/>
  <c r="K2945" i="9"/>
  <c r="K2946" i="9"/>
  <c r="K2947" i="9"/>
  <c r="K2948" i="9"/>
  <c r="K2949" i="9"/>
  <c r="K2950" i="9"/>
  <c r="K2951" i="9"/>
  <c r="K2952" i="9"/>
  <c r="K2953" i="9"/>
  <c r="K2954" i="9"/>
  <c r="K2955" i="9"/>
  <c r="K2956" i="9"/>
  <c r="K2957" i="9"/>
  <c r="K2958" i="9"/>
  <c r="K2959" i="9"/>
  <c r="K2960" i="9"/>
  <c r="K2961" i="9"/>
  <c r="K2962" i="9"/>
  <c r="K2963" i="9"/>
  <c r="K2964" i="9"/>
  <c r="K2965" i="9"/>
  <c r="K2966" i="9"/>
  <c r="K2967" i="9"/>
  <c r="K2968" i="9"/>
  <c r="K2969" i="9"/>
  <c r="K2970" i="9"/>
  <c r="K2971" i="9"/>
  <c r="K2972" i="9"/>
  <c r="K2973" i="9"/>
  <c r="K2974" i="9"/>
  <c r="K2975" i="9"/>
  <c r="K2976" i="9"/>
  <c r="K2977" i="9"/>
  <c r="K2978" i="9"/>
  <c r="K2979" i="9"/>
  <c r="K2980" i="9"/>
  <c r="K2981" i="9"/>
  <c r="K2982" i="9"/>
  <c r="K2983" i="9"/>
  <c r="K2984" i="9"/>
  <c r="K2985" i="9"/>
  <c r="K2986" i="9"/>
  <c r="K2987" i="9"/>
  <c r="K2988" i="9"/>
  <c r="K2989" i="9"/>
  <c r="K2990" i="9"/>
  <c r="K2991" i="9"/>
  <c r="K2992" i="9"/>
  <c r="K2993" i="9"/>
  <c r="K2994" i="9"/>
  <c r="K2995" i="9"/>
  <c r="K2996" i="9"/>
  <c r="K2997" i="9"/>
  <c r="K2998" i="9"/>
  <c r="K2999" i="9"/>
  <c r="K3000" i="9"/>
  <c r="K3001" i="9"/>
  <c r="K3002" i="9"/>
  <c r="K3003" i="9"/>
  <c r="K3004" i="9"/>
  <c r="K3005" i="9"/>
  <c r="K3006" i="9"/>
  <c r="K3007" i="9"/>
  <c r="K3008" i="9"/>
  <c r="K3009" i="9"/>
  <c r="K3010" i="9"/>
  <c r="K3011" i="9"/>
  <c r="K3012" i="9"/>
  <c r="K3013" i="9"/>
  <c r="K3014" i="9"/>
  <c r="K3015" i="9"/>
  <c r="K3016" i="9"/>
  <c r="K3017" i="9"/>
  <c r="K3018" i="9"/>
  <c r="K3019" i="9"/>
  <c r="K3020" i="9"/>
  <c r="K3021" i="9"/>
  <c r="K3022" i="9"/>
  <c r="K3023" i="9"/>
  <c r="K3024" i="9"/>
  <c r="K3025" i="9"/>
  <c r="K3026" i="9"/>
  <c r="K3027" i="9"/>
  <c r="K3028" i="9"/>
  <c r="K3029" i="9"/>
  <c r="K3030" i="9"/>
  <c r="K3031" i="9"/>
  <c r="K3032" i="9"/>
  <c r="K3033" i="9"/>
  <c r="K3034" i="9"/>
  <c r="K3035" i="9"/>
  <c r="K3036" i="9"/>
  <c r="K3037" i="9"/>
  <c r="K3038" i="9"/>
  <c r="K3039" i="9"/>
  <c r="K3040" i="9"/>
  <c r="K3041" i="9"/>
  <c r="K3042" i="9"/>
  <c r="K3043" i="9"/>
  <c r="K3044" i="9"/>
  <c r="K3045" i="9"/>
  <c r="K3046" i="9"/>
  <c r="K3047" i="9"/>
  <c r="K3048" i="9"/>
  <c r="K3049" i="9"/>
  <c r="K3050" i="9"/>
  <c r="K3051" i="9"/>
  <c r="K3052" i="9"/>
  <c r="K3053" i="9"/>
  <c r="K3054" i="9"/>
  <c r="K3055" i="9"/>
  <c r="K3056" i="9"/>
  <c r="K3057" i="9"/>
  <c r="K3058" i="9"/>
  <c r="K3059" i="9"/>
  <c r="K3060" i="9"/>
  <c r="K3061" i="9"/>
  <c r="K3062" i="9"/>
  <c r="K3063" i="9"/>
  <c r="K3064" i="9"/>
  <c r="K3065" i="9"/>
  <c r="K3066" i="9"/>
  <c r="K3067" i="9"/>
  <c r="K3068" i="9"/>
  <c r="K3069" i="9"/>
  <c r="K3070" i="9"/>
  <c r="K3071" i="9"/>
  <c r="K3072" i="9"/>
  <c r="K3073" i="9"/>
  <c r="K3074" i="9"/>
  <c r="K3075" i="9"/>
  <c r="K3076" i="9"/>
  <c r="K3077" i="9"/>
  <c r="K3078" i="9"/>
  <c r="K3079" i="9"/>
  <c r="K3080" i="9"/>
  <c r="K3081" i="9"/>
  <c r="K3082" i="9"/>
  <c r="K3083" i="9"/>
  <c r="K3084" i="9"/>
  <c r="K3085" i="9"/>
  <c r="K3086" i="9"/>
  <c r="K3087" i="9"/>
  <c r="K3088" i="9"/>
  <c r="K3089" i="9"/>
  <c r="K3090" i="9"/>
  <c r="K3091" i="9"/>
  <c r="K3092" i="9"/>
  <c r="K3093" i="9"/>
  <c r="K3094" i="9"/>
  <c r="K3095" i="9"/>
  <c r="K3096" i="9"/>
  <c r="K3097" i="9"/>
  <c r="K3098" i="9"/>
  <c r="K3099" i="9"/>
  <c r="K3100" i="9"/>
  <c r="K3101" i="9"/>
  <c r="K3102" i="9"/>
  <c r="K3103" i="9"/>
  <c r="K3104" i="9"/>
  <c r="K3105" i="9"/>
  <c r="K3106" i="9"/>
  <c r="K3107" i="9"/>
  <c r="K3108" i="9"/>
  <c r="K3109" i="9"/>
  <c r="K3110" i="9"/>
  <c r="K3111" i="9"/>
  <c r="K3112" i="9"/>
  <c r="K3113" i="9"/>
  <c r="K3114" i="9"/>
  <c r="K3115" i="9"/>
  <c r="K3116" i="9"/>
  <c r="K3117" i="9"/>
  <c r="K3118" i="9"/>
  <c r="K3119" i="9"/>
  <c r="K3120" i="9"/>
  <c r="K3121" i="9"/>
  <c r="K3122" i="9"/>
  <c r="K3123" i="9"/>
  <c r="K3124" i="9"/>
  <c r="K3125" i="9"/>
  <c r="K3126" i="9"/>
  <c r="K3127" i="9"/>
  <c r="K3128" i="9"/>
  <c r="K3129" i="9"/>
  <c r="K3130" i="9"/>
  <c r="K3131" i="9"/>
  <c r="K3132" i="9"/>
  <c r="K3133" i="9"/>
  <c r="K3134" i="9"/>
  <c r="K3135" i="9"/>
  <c r="K3136" i="9"/>
  <c r="K3137" i="9"/>
  <c r="K3138" i="9"/>
  <c r="K3139" i="9"/>
  <c r="K3140" i="9"/>
  <c r="K3141" i="9"/>
  <c r="K3142" i="9"/>
  <c r="K3143" i="9"/>
  <c r="K3144" i="9"/>
  <c r="K3145" i="9"/>
  <c r="K3146" i="9"/>
  <c r="K3147" i="9"/>
  <c r="K3148" i="9"/>
  <c r="K3149" i="9"/>
  <c r="K3150" i="9"/>
  <c r="K3151" i="9"/>
  <c r="K3152" i="9"/>
  <c r="K3153" i="9"/>
  <c r="K3154" i="9"/>
  <c r="K3155" i="9"/>
  <c r="K3156" i="9"/>
  <c r="K3157" i="9"/>
  <c r="K3158" i="9"/>
  <c r="K3159" i="9"/>
  <c r="K3160" i="9"/>
  <c r="K3161" i="9"/>
  <c r="K3162" i="9"/>
  <c r="K3163" i="9"/>
  <c r="K3164" i="9"/>
  <c r="K3165" i="9"/>
  <c r="K3166" i="9"/>
  <c r="K3167" i="9"/>
  <c r="K3168" i="9"/>
  <c r="K3169" i="9"/>
  <c r="K3170" i="9"/>
  <c r="K3171" i="9"/>
  <c r="K3172" i="9"/>
  <c r="K3173" i="9"/>
  <c r="K3174" i="9"/>
  <c r="K3175" i="9"/>
  <c r="K3176" i="9"/>
  <c r="K3177" i="9"/>
  <c r="K3178" i="9"/>
  <c r="K3179" i="9"/>
  <c r="K3180" i="9"/>
  <c r="K3181" i="9"/>
  <c r="K3182" i="9"/>
  <c r="K3183" i="9"/>
  <c r="K3184" i="9"/>
  <c r="K3185" i="9"/>
  <c r="K3186" i="9"/>
  <c r="K3187" i="9"/>
  <c r="K3188" i="9"/>
  <c r="K3189" i="9"/>
  <c r="K3190" i="9"/>
  <c r="K3191" i="9"/>
  <c r="K3192" i="9"/>
  <c r="K3193" i="9"/>
  <c r="K3194" i="9"/>
  <c r="K3195" i="9"/>
  <c r="K3196" i="9"/>
  <c r="K3197" i="9"/>
  <c r="K3198" i="9"/>
  <c r="K3199" i="9"/>
  <c r="K3200" i="9"/>
  <c r="K3201" i="9"/>
  <c r="K3202" i="9"/>
  <c r="K3203" i="9"/>
  <c r="K3204" i="9"/>
  <c r="K3205" i="9"/>
  <c r="K3206" i="9"/>
  <c r="K3207" i="9"/>
  <c r="K3208" i="9"/>
  <c r="K3209" i="9"/>
  <c r="K3210" i="9"/>
  <c r="K3211" i="9"/>
  <c r="K3212" i="9"/>
  <c r="K3213" i="9"/>
  <c r="K3214" i="9"/>
  <c r="K3215" i="9"/>
  <c r="K3216" i="9"/>
  <c r="K3217" i="9"/>
  <c r="K3218" i="9"/>
  <c r="K3219" i="9"/>
  <c r="K3220" i="9"/>
  <c r="K3221" i="9"/>
  <c r="K3222" i="9"/>
  <c r="K3223" i="9"/>
  <c r="K3224" i="9"/>
  <c r="K3225" i="9"/>
  <c r="K3226" i="9"/>
  <c r="K3227" i="9"/>
  <c r="K3228" i="9"/>
  <c r="K3229" i="9"/>
  <c r="K3230" i="9"/>
  <c r="K3231" i="9"/>
  <c r="K3232" i="9"/>
  <c r="K3233" i="9"/>
  <c r="K3234" i="9"/>
  <c r="K3235" i="9"/>
  <c r="K3236" i="9"/>
  <c r="K3237" i="9"/>
  <c r="K3238" i="9"/>
  <c r="K3239" i="9"/>
  <c r="K3240" i="9"/>
  <c r="K3241" i="9"/>
  <c r="K3242" i="9"/>
  <c r="K3243" i="9"/>
  <c r="K3244" i="9"/>
  <c r="K3245" i="9"/>
  <c r="K3246" i="9"/>
  <c r="K3247" i="9"/>
  <c r="K3248" i="9"/>
  <c r="K3249" i="9"/>
  <c r="K3250" i="9"/>
  <c r="K3251" i="9"/>
  <c r="K3252" i="9"/>
  <c r="K3253" i="9"/>
  <c r="K3254" i="9"/>
  <c r="K3255" i="9"/>
  <c r="K3256" i="9"/>
  <c r="K3257" i="9"/>
  <c r="K3258" i="9"/>
  <c r="K3259" i="9"/>
  <c r="K3260" i="9"/>
  <c r="K3261" i="9"/>
  <c r="K3262" i="9"/>
  <c r="K3263" i="9"/>
  <c r="J4" i="6"/>
  <c r="E14" i="5"/>
  <c r="D14" i="5"/>
  <c r="C14" i="5"/>
  <c r="B14" i="5"/>
  <c r="D6" i="5"/>
  <c r="E6" i="5"/>
  <c r="D7" i="5"/>
  <c r="E7" i="5"/>
  <c r="D8" i="5"/>
  <c r="E8" i="5"/>
  <c r="D9" i="5"/>
  <c r="E9" i="5"/>
  <c r="D10" i="5"/>
  <c r="E10" i="5"/>
  <c r="D11" i="5"/>
  <c r="E11" i="5"/>
  <c r="D12" i="5"/>
  <c r="E12" i="5"/>
  <c r="D13" i="5"/>
  <c r="E13" i="5"/>
  <c r="E5" i="5"/>
  <c r="D5" i="5"/>
  <c r="A3" i="3"/>
  <c r="D3" i="3" s="1"/>
  <c r="D2" i="3"/>
  <c r="B2" i="3"/>
  <c r="G27" i="6" l="1"/>
  <c r="H27" i="6" s="1"/>
  <c r="G8" i="6"/>
  <c r="H8" i="6" s="1"/>
  <c r="G19" i="6"/>
  <c r="H19" i="6" s="1"/>
  <c r="G14" i="6"/>
  <c r="H14" i="6" s="1"/>
  <c r="G15" i="6"/>
  <c r="H15" i="6" s="1"/>
  <c r="G25" i="6"/>
  <c r="H25" i="6" s="1"/>
  <c r="G24" i="6"/>
  <c r="H24" i="6" s="1"/>
  <c r="G11" i="6"/>
  <c r="H11" i="6" s="1"/>
  <c r="G10" i="6"/>
  <c r="H10" i="6" s="1"/>
  <c r="G9" i="6"/>
  <c r="H9" i="6" s="1"/>
  <c r="D27" i="6"/>
  <c r="D15" i="6"/>
  <c r="I15" i="6" s="1"/>
  <c r="D26" i="6"/>
  <c r="G26" i="6"/>
  <c r="H26" i="6" s="1"/>
  <c r="G13" i="6"/>
  <c r="H13" i="6" s="1"/>
  <c r="G12" i="6"/>
  <c r="H12" i="6" s="1"/>
  <c r="D11" i="6"/>
  <c r="I11" i="6" s="1"/>
  <c r="D4" i="6"/>
  <c r="I4" i="6" s="1"/>
  <c r="K4" i="6" s="1"/>
  <c r="D16" i="6"/>
  <c r="I16" i="6" s="1"/>
  <c r="G4" i="6"/>
  <c r="H4" i="6" s="1"/>
  <c r="G16" i="6"/>
  <c r="H16" i="6" s="1"/>
  <c r="D25" i="6"/>
  <c r="D24" i="6"/>
  <c r="G23" i="6"/>
  <c r="H23" i="6" s="1"/>
  <c r="D22" i="6"/>
  <c r="G22" i="6"/>
  <c r="H22" i="6" s="1"/>
  <c r="D9" i="6"/>
  <c r="I9" i="6" s="1"/>
  <c r="G21" i="6"/>
  <c r="H21" i="6" s="1"/>
  <c r="D20" i="6"/>
  <c r="G20" i="6"/>
  <c r="H20" i="6" s="1"/>
  <c r="D19" i="6"/>
  <c r="I19" i="6" s="1"/>
  <c r="D18" i="6"/>
  <c r="I18" i="6" s="1"/>
  <c r="D6" i="6"/>
  <c r="G18" i="6"/>
  <c r="H18" i="6" s="1"/>
  <c r="G6" i="6"/>
  <c r="H6" i="6" s="1"/>
  <c r="D14" i="6"/>
  <c r="D13" i="6"/>
  <c r="I13" i="6" s="1"/>
  <c r="D12" i="6"/>
  <c r="D10" i="6"/>
  <c r="I10" i="6" s="1"/>
  <c r="D21" i="6"/>
  <c r="I21" i="6" s="1"/>
  <c r="D7" i="6"/>
  <c r="D17" i="6"/>
  <c r="I17" i="6" s="1"/>
  <c r="D5" i="6"/>
  <c r="I5" i="6" s="1"/>
  <c r="J5" i="6" s="1"/>
  <c r="G17" i="6"/>
  <c r="H17" i="6" s="1"/>
  <c r="I27" i="6"/>
  <c r="I25" i="6"/>
  <c r="I14" i="6"/>
  <c r="I24" i="6"/>
  <c r="I23" i="6"/>
  <c r="I22" i="6"/>
  <c r="I8" i="6"/>
  <c r="A4" i="3"/>
  <c r="B3" i="3"/>
  <c r="J11" i="6" l="1"/>
  <c r="J10" i="6"/>
  <c r="J22" i="6"/>
  <c r="J25" i="6"/>
  <c r="J19" i="6"/>
  <c r="J16" i="6"/>
  <c r="J17" i="6"/>
  <c r="K5" i="6"/>
  <c r="K6" i="6"/>
  <c r="K7" i="6" s="1"/>
  <c r="K8" i="6" s="1"/>
  <c r="K9" i="6" s="1"/>
  <c r="K10" i="6" s="1"/>
  <c r="K11" i="6" s="1"/>
  <c r="K12" i="6" s="1"/>
  <c r="K13" i="6" s="1"/>
  <c r="K14" i="6" s="1"/>
  <c r="K15" i="6" s="1"/>
  <c r="J13" i="6"/>
  <c r="I7" i="6"/>
  <c r="J8" i="6" s="1"/>
  <c r="G7" i="6"/>
  <c r="H7" i="6" s="1"/>
  <c r="I20" i="6"/>
  <c r="J20" i="6" s="1"/>
  <c r="K16" i="6"/>
  <c r="K17" i="6" s="1"/>
  <c r="K18" i="6" s="1"/>
  <c r="K19" i="6" s="1"/>
  <c r="K20" i="6" s="1"/>
  <c r="K21" i="6" s="1"/>
  <c r="K22" i="6" s="1"/>
  <c r="K23" i="6" s="1"/>
  <c r="K24" i="6" s="1"/>
  <c r="K25" i="6" s="1"/>
  <c r="K26" i="6" s="1"/>
  <c r="K27" i="6" s="1"/>
  <c r="I12" i="6"/>
  <c r="J12" i="6" s="1"/>
  <c r="I26" i="6"/>
  <c r="J26" i="6" s="1"/>
  <c r="J27" i="6"/>
  <c r="I6" i="6"/>
  <c r="J6" i="6" s="1"/>
  <c r="J18" i="6"/>
  <c r="J24" i="6"/>
  <c r="J23" i="6"/>
  <c r="J14" i="6"/>
  <c r="J9" i="6"/>
  <c r="J15" i="6"/>
  <c r="A5" i="3"/>
  <c r="B4" i="3"/>
  <c r="D4" i="3"/>
  <c r="J21" i="6" l="1"/>
  <c r="J7" i="6"/>
  <c r="A6" i="3"/>
  <c r="B5" i="3"/>
  <c r="D5" i="3"/>
  <c r="A7" i="3" l="1"/>
  <c r="B6" i="3"/>
  <c r="D6" i="3"/>
  <c r="A8" i="3" l="1"/>
  <c r="B7" i="3"/>
  <c r="D7" i="3"/>
  <c r="A9" i="3" l="1"/>
  <c r="B8" i="3"/>
  <c r="D8" i="3"/>
  <c r="A10" i="3" l="1"/>
  <c r="B9" i="3"/>
  <c r="D9" i="3"/>
  <c r="A11" i="3" l="1"/>
  <c r="D10" i="3"/>
  <c r="B10" i="3"/>
  <c r="A12" i="3" l="1"/>
  <c r="B11" i="3"/>
  <c r="D11" i="3"/>
  <c r="A13" i="3" l="1"/>
  <c r="B12" i="3"/>
  <c r="D12" i="3"/>
  <c r="A14" i="3" l="1"/>
  <c r="B13" i="3"/>
  <c r="D13" i="3"/>
  <c r="A15" i="3" l="1"/>
  <c r="B14" i="3"/>
  <c r="D14" i="3"/>
  <c r="A16" i="3" l="1"/>
  <c r="D15" i="3"/>
  <c r="B15" i="3"/>
  <c r="A17" i="3" l="1"/>
  <c r="B16" i="3"/>
  <c r="D16" i="3"/>
  <c r="A18" i="3" l="1"/>
  <c r="B17" i="3"/>
  <c r="D17" i="3"/>
  <c r="A19" i="3" l="1"/>
  <c r="B18" i="3"/>
  <c r="D18" i="3"/>
  <c r="A20" i="3" l="1"/>
  <c r="B19" i="3"/>
  <c r="D19" i="3"/>
  <c r="A21" i="3" l="1"/>
  <c r="B20" i="3"/>
  <c r="D20" i="3"/>
  <c r="A22" i="3" l="1"/>
  <c r="B21" i="3"/>
  <c r="D21" i="3"/>
  <c r="A23" i="3" l="1"/>
  <c r="B22" i="3"/>
  <c r="D22" i="3"/>
  <c r="A24" i="3" l="1"/>
  <c r="B23" i="3"/>
  <c r="D23" i="3"/>
  <c r="A25" i="3" l="1"/>
  <c r="B24" i="3"/>
  <c r="D24" i="3"/>
  <c r="A26" i="3" l="1"/>
  <c r="B25" i="3"/>
  <c r="D25" i="3"/>
  <c r="A27" i="3" l="1"/>
  <c r="B26" i="3"/>
  <c r="D26" i="3"/>
  <c r="A28" i="3" l="1"/>
  <c r="D27" i="3"/>
  <c r="B27" i="3"/>
  <c r="A29" i="3" l="1"/>
  <c r="B28" i="3"/>
  <c r="D28" i="3"/>
  <c r="A30" i="3" l="1"/>
  <c r="B29" i="3"/>
  <c r="D29" i="3"/>
  <c r="A31" i="3" l="1"/>
  <c r="B30" i="3"/>
  <c r="D30" i="3"/>
  <c r="A32" i="3" l="1"/>
  <c r="B31" i="3"/>
  <c r="D31" i="3"/>
  <c r="A33" i="3" l="1"/>
  <c r="B32" i="3"/>
  <c r="C32" i="3"/>
  <c r="D32" i="3"/>
  <c r="A34" i="3" l="1"/>
  <c r="D33" i="3"/>
  <c r="C33" i="3"/>
  <c r="B33" i="3"/>
  <c r="A35" i="3" l="1"/>
  <c r="B34" i="3"/>
  <c r="C34" i="3"/>
  <c r="D34" i="3"/>
  <c r="A36" i="3" l="1"/>
  <c r="B35" i="3"/>
  <c r="C35" i="3"/>
  <c r="D35" i="3"/>
  <c r="A37" i="3" l="1"/>
  <c r="B36" i="3"/>
  <c r="C36" i="3"/>
  <c r="D36" i="3"/>
  <c r="A38" i="3" l="1"/>
  <c r="D37" i="3"/>
  <c r="C37" i="3"/>
  <c r="B37" i="3"/>
  <c r="A39" i="3" l="1"/>
  <c r="B38" i="3"/>
  <c r="C38" i="3"/>
  <c r="D38" i="3"/>
  <c r="A40" i="3" l="1"/>
  <c r="B39" i="3"/>
  <c r="C39" i="3"/>
  <c r="D39" i="3"/>
  <c r="A41" i="3" l="1"/>
  <c r="B40" i="3"/>
  <c r="C40" i="3"/>
  <c r="D40" i="3"/>
  <c r="A42" i="3" l="1"/>
  <c r="B41" i="3"/>
  <c r="D41" i="3"/>
  <c r="C41" i="3"/>
  <c r="A43" i="3" l="1"/>
  <c r="D42" i="3"/>
  <c r="B42" i="3"/>
  <c r="C42" i="3"/>
  <c r="A44" i="3" l="1"/>
  <c r="B43" i="3"/>
  <c r="C43" i="3"/>
  <c r="D43" i="3"/>
  <c r="A45" i="3" l="1"/>
  <c r="B44" i="3"/>
  <c r="C44" i="3"/>
  <c r="D44" i="3"/>
  <c r="A46" i="3" l="1"/>
  <c r="C45" i="3"/>
  <c r="D45" i="3"/>
  <c r="B45" i="3"/>
  <c r="A47" i="3" l="1"/>
  <c r="B46" i="3"/>
  <c r="C46" i="3"/>
  <c r="D46" i="3"/>
  <c r="A48" i="3" l="1"/>
  <c r="B47" i="3"/>
  <c r="C47" i="3"/>
  <c r="D47" i="3"/>
  <c r="A49" i="3" l="1"/>
  <c r="B48" i="3"/>
  <c r="C48" i="3"/>
  <c r="D48" i="3"/>
  <c r="A50" i="3" l="1"/>
  <c r="B49" i="3"/>
  <c r="C49" i="3"/>
  <c r="D49" i="3"/>
  <c r="A51" i="3" l="1"/>
  <c r="D50" i="3"/>
  <c r="C50" i="3"/>
  <c r="B50" i="3"/>
  <c r="A52" i="3" l="1"/>
  <c r="B51" i="3"/>
  <c r="C51" i="3"/>
  <c r="D51" i="3"/>
  <c r="A53" i="3" l="1"/>
  <c r="B52" i="3"/>
  <c r="C52" i="3"/>
  <c r="D52" i="3"/>
  <c r="A54" i="3" l="1"/>
  <c r="B53" i="3"/>
  <c r="C53" i="3"/>
  <c r="D53" i="3"/>
  <c r="A55" i="3" l="1"/>
  <c r="B54" i="3"/>
  <c r="C54" i="3"/>
  <c r="D54" i="3"/>
  <c r="A56" i="3" l="1"/>
  <c r="B55" i="3"/>
  <c r="C55" i="3"/>
  <c r="D55" i="3"/>
  <c r="A57" i="3" l="1"/>
  <c r="B56" i="3"/>
  <c r="C56" i="3"/>
  <c r="D56" i="3"/>
  <c r="A58" i="3" l="1"/>
  <c r="B57" i="3"/>
  <c r="C57" i="3"/>
  <c r="D57" i="3"/>
  <c r="A59" i="3" l="1"/>
  <c r="B58" i="3"/>
  <c r="C58" i="3"/>
  <c r="D58" i="3"/>
  <c r="A60" i="3" l="1"/>
  <c r="B59" i="3"/>
  <c r="C59" i="3"/>
  <c r="D59" i="3"/>
  <c r="A61" i="3" l="1"/>
  <c r="B60" i="3"/>
  <c r="C60" i="3"/>
  <c r="D60" i="3"/>
  <c r="A62" i="3" l="1"/>
  <c r="C61" i="3"/>
  <c r="D61" i="3"/>
  <c r="B61" i="3"/>
  <c r="A63" i="3" l="1"/>
  <c r="B62" i="3"/>
  <c r="D62" i="3"/>
  <c r="C62" i="3"/>
  <c r="A64" i="3" l="1"/>
  <c r="B63" i="3"/>
  <c r="C63" i="3"/>
  <c r="D63" i="3"/>
  <c r="A65" i="3" l="1"/>
  <c r="B64" i="3"/>
  <c r="C64" i="3"/>
  <c r="D64" i="3"/>
  <c r="A66" i="3" l="1"/>
  <c r="B65" i="3"/>
  <c r="C65" i="3"/>
  <c r="D65" i="3"/>
  <c r="A67" i="3" l="1"/>
  <c r="B66" i="3"/>
  <c r="C66" i="3"/>
  <c r="D66" i="3"/>
  <c r="A68" i="3" l="1"/>
  <c r="B67" i="3"/>
  <c r="C67" i="3"/>
  <c r="D67" i="3"/>
  <c r="A69" i="3" l="1"/>
  <c r="B68" i="3"/>
  <c r="C68" i="3"/>
  <c r="D68" i="3"/>
  <c r="A70" i="3" l="1"/>
  <c r="B69" i="3"/>
  <c r="C69" i="3"/>
  <c r="D69" i="3"/>
  <c r="A71" i="3" l="1"/>
  <c r="B70" i="3"/>
  <c r="C70" i="3"/>
  <c r="D70" i="3"/>
  <c r="A72" i="3" l="1"/>
  <c r="B71" i="3"/>
  <c r="C71" i="3"/>
  <c r="D71" i="3"/>
  <c r="A73" i="3" l="1"/>
  <c r="B72" i="3"/>
  <c r="C72" i="3"/>
  <c r="D72" i="3"/>
  <c r="A74" i="3" l="1"/>
  <c r="B73" i="3"/>
  <c r="C73" i="3"/>
  <c r="D73" i="3"/>
  <c r="A75" i="3" l="1"/>
  <c r="C74" i="3"/>
  <c r="D74" i="3"/>
  <c r="B74" i="3"/>
  <c r="A76" i="3" l="1"/>
  <c r="B75" i="3"/>
  <c r="D75" i="3"/>
  <c r="C75" i="3"/>
  <c r="A77" i="3" l="1"/>
  <c r="B76" i="3"/>
  <c r="C76" i="3"/>
  <c r="D76" i="3"/>
  <c r="A78" i="3" l="1"/>
  <c r="C77" i="3"/>
  <c r="D77" i="3"/>
  <c r="B77" i="3"/>
  <c r="A79" i="3" l="1"/>
  <c r="B78" i="3"/>
  <c r="C78" i="3"/>
  <c r="D78" i="3"/>
  <c r="A80" i="3" l="1"/>
  <c r="D79" i="3"/>
  <c r="C79" i="3"/>
  <c r="B79" i="3"/>
  <c r="A81" i="3" l="1"/>
  <c r="B80" i="3"/>
  <c r="C80" i="3"/>
  <c r="D80" i="3"/>
  <c r="A82" i="3" l="1"/>
  <c r="B81" i="3"/>
  <c r="C81" i="3"/>
  <c r="D81" i="3"/>
  <c r="A83" i="3" l="1"/>
  <c r="D82" i="3"/>
  <c r="C82" i="3"/>
  <c r="B82" i="3"/>
  <c r="A84" i="3" l="1"/>
  <c r="B83" i="3"/>
  <c r="C83" i="3"/>
  <c r="D83" i="3"/>
  <c r="A85" i="3" l="1"/>
  <c r="B84" i="3"/>
  <c r="C84" i="3"/>
  <c r="D84" i="3"/>
  <c r="A86" i="3" l="1"/>
  <c r="B85" i="3"/>
  <c r="C85" i="3"/>
  <c r="D85" i="3"/>
  <c r="A87" i="3" l="1"/>
  <c r="B86" i="3"/>
  <c r="C86" i="3"/>
  <c r="D86" i="3"/>
  <c r="A88" i="3" l="1"/>
  <c r="D87" i="3"/>
  <c r="B87" i="3"/>
  <c r="C87" i="3"/>
  <c r="A89" i="3" l="1"/>
  <c r="B88" i="3"/>
  <c r="C88" i="3"/>
  <c r="D88" i="3"/>
  <c r="A90" i="3" l="1"/>
  <c r="B89" i="3"/>
  <c r="D89" i="3"/>
  <c r="C89" i="3"/>
  <c r="A91" i="3" l="1"/>
  <c r="B90" i="3"/>
  <c r="C90" i="3"/>
  <c r="D90" i="3"/>
  <c r="A92" i="3" l="1"/>
  <c r="C91" i="3"/>
  <c r="D91" i="3"/>
  <c r="B91" i="3"/>
  <c r="A93" i="3" l="1"/>
  <c r="B92" i="3"/>
  <c r="C92" i="3"/>
  <c r="D92" i="3"/>
  <c r="A94" i="3" l="1"/>
  <c r="B93" i="3"/>
  <c r="C93" i="3"/>
  <c r="D93" i="3"/>
  <c r="A95" i="3" l="1"/>
  <c r="B94" i="3"/>
  <c r="C94" i="3"/>
  <c r="D94" i="3"/>
  <c r="A96" i="3" l="1"/>
  <c r="D95" i="3"/>
  <c r="C95" i="3"/>
  <c r="B95" i="3"/>
  <c r="A97" i="3" l="1"/>
  <c r="B96" i="3"/>
  <c r="C96" i="3"/>
  <c r="D96" i="3"/>
  <c r="A98" i="3" l="1"/>
  <c r="D97" i="3"/>
  <c r="B97" i="3"/>
  <c r="C97" i="3"/>
  <c r="A99" i="3" l="1"/>
  <c r="B98" i="3"/>
  <c r="C98" i="3"/>
  <c r="D98" i="3"/>
  <c r="A100" i="3" l="1"/>
  <c r="B99" i="3"/>
  <c r="C99" i="3"/>
  <c r="D99" i="3"/>
  <c r="A101" i="3" l="1"/>
  <c r="B100" i="3"/>
  <c r="C100" i="3"/>
  <c r="D100" i="3"/>
  <c r="A102" i="3" l="1"/>
  <c r="B101" i="3"/>
  <c r="C101" i="3"/>
  <c r="D101" i="3"/>
  <c r="A103" i="3" l="1"/>
  <c r="B102" i="3"/>
  <c r="C102" i="3"/>
  <c r="D102" i="3"/>
  <c r="A104" i="3" l="1"/>
  <c r="B103" i="3"/>
  <c r="C103" i="3"/>
  <c r="D103" i="3"/>
  <c r="A105" i="3" l="1"/>
  <c r="B104" i="3"/>
  <c r="C104" i="3"/>
  <c r="D104" i="3"/>
  <c r="A106" i="3" l="1"/>
  <c r="B105" i="3"/>
  <c r="C105" i="3"/>
  <c r="D105" i="3"/>
  <c r="A107" i="3" l="1"/>
  <c r="B106" i="3"/>
  <c r="C106" i="3"/>
  <c r="D106" i="3"/>
  <c r="A108" i="3" l="1"/>
  <c r="C107" i="3"/>
  <c r="D107" i="3"/>
  <c r="B107" i="3"/>
  <c r="A109" i="3" l="1"/>
  <c r="B108" i="3"/>
  <c r="C108" i="3"/>
  <c r="D108" i="3"/>
  <c r="A110" i="3" l="1"/>
  <c r="C109" i="3"/>
  <c r="D109" i="3"/>
  <c r="B109" i="3"/>
  <c r="A111" i="3" l="1"/>
  <c r="B110" i="3"/>
  <c r="C110" i="3"/>
  <c r="D110" i="3"/>
  <c r="A112" i="3" l="1"/>
  <c r="C111" i="3"/>
  <c r="D111" i="3"/>
  <c r="B111" i="3"/>
  <c r="A113" i="3" l="1"/>
  <c r="B112" i="3"/>
  <c r="C112" i="3"/>
  <c r="D112" i="3"/>
  <c r="A114" i="3" l="1"/>
  <c r="B113" i="3"/>
  <c r="C113" i="3"/>
  <c r="D113" i="3"/>
  <c r="A115" i="3" l="1"/>
  <c r="D114" i="3"/>
  <c r="B114" i="3"/>
  <c r="C114" i="3"/>
  <c r="A116" i="3" l="1"/>
  <c r="B115" i="3"/>
  <c r="C115" i="3"/>
  <c r="D115" i="3"/>
  <c r="A117" i="3" l="1"/>
  <c r="B116" i="3"/>
  <c r="C116" i="3"/>
  <c r="D116" i="3"/>
  <c r="A118" i="3" l="1"/>
  <c r="B117" i="3"/>
  <c r="C117" i="3"/>
  <c r="D117" i="3"/>
  <c r="A119" i="3" l="1"/>
  <c r="B118" i="3"/>
  <c r="C118" i="3"/>
  <c r="D118" i="3"/>
  <c r="A120" i="3" l="1"/>
  <c r="B119" i="3"/>
  <c r="C119" i="3"/>
  <c r="D119" i="3"/>
  <c r="A121" i="3" l="1"/>
  <c r="B120" i="3"/>
  <c r="C120" i="3"/>
  <c r="D120" i="3"/>
  <c r="A122" i="3" l="1"/>
  <c r="B121" i="3"/>
  <c r="C121" i="3"/>
  <c r="D121" i="3"/>
  <c r="A123" i="3" l="1"/>
  <c r="B122" i="3"/>
  <c r="C122" i="3"/>
  <c r="D122" i="3"/>
  <c r="A124" i="3" l="1"/>
  <c r="C123" i="3"/>
  <c r="D123" i="3"/>
  <c r="B123" i="3"/>
  <c r="A125" i="3" l="1"/>
  <c r="B124" i="3"/>
  <c r="C124" i="3"/>
  <c r="D124" i="3"/>
  <c r="A126" i="3" l="1"/>
  <c r="B125" i="3"/>
  <c r="C125" i="3"/>
  <c r="D125" i="3"/>
  <c r="A127" i="3" l="1"/>
  <c r="B126" i="3"/>
  <c r="D126" i="3"/>
  <c r="C126" i="3"/>
  <c r="A128" i="3" l="1"/>
  <c r="B127" i="3"/>
  <c r="C127" i="3"/>
  <c r="D127" i="3"/>
  <c r="A129" i="3" l="1"/>
  <c r="B128" i="3"/>
  <c r="C128" i="3"/>
  <c r="D128" i="3"/>
  <c r="A130" i="3" l="1"/>
  <c r="B129" i="3"/>
  <c r="C129" i="3"/>
  <c r="D129" i="3"/>
  <c r="A131" i="3" l="1"/>
  <c r="D130" i="3"/>
  <c r="B130" i="3"/>
  <c r="C130" i="3"/>
  <c r="A132" i="3" l="1"/>
  <c r="B131" i="3"/>
  <c r="C131" i="3"/>
  <c r="D131" i="3"/>
  <c r="A133" i="3" l="1"/>
  <c r="B132" i="3"/>
  <c r="C132" i="3"/>
  <c r="D132" i="3"/>
  <c r="A134" i="3" l="1"/>
  <c r="B133" i="3"/>
  <c r="C133" i="3"/>
  <c r="D133" i="3"/>
  <c r="A135" i="3" l="1"/>
  <c r="B134" i="3"/>
  <c r="C134" i="3"/>
  <c r="D134" i="3"/>
  <c r="A136" i="3" l="1"/>
  <c r="C135" i="3"/>
  <c r="D135" i="3"/>
  <c r="B135" i="3"/>
  <c r="A137" i="3" l="1"/>
  <c r="B136" i="3"/>
  <c r="C136" i="3"/>
  <c r="D136" i="3"/>
  <c r="A138" i="3" l="1"/>
  <c r="B137" i="3"/>
  <c r="C137" i="3"/>
  <c r="D137" i="3"/>
  <c r="A139" i="3" l="1"/>
  <c r="C138" i="3"/>
  <c r="D138" i="3"/>
  <c r="B138" i="3"/>
  <c r="A140" i="3" l="1"/>
  <c r="B139" i="3"/>
  <c r="C139" i="3"/>
  <c r="D139" i="3"/>
  <c r="A141" i="3" l="1"/>
  <c r="B140" i="3"/>
  <c r="C140" i="3"/>
  <c r="D140" i="3"/>
  <c r="A142" i="3" l="1"/>
  <c r="D141" i="3"/>
  <c r="B141" i="3"/>
  <c r="C141" i="3"/>
  <c r="A143" i="3" l="1"/>
  <c r="B142" i="3"/>
  <c r="C142" i="3"/>
  <c r="D142" i="3"/>
  <c r="A144" i="3" l="1"/>
  <c r="D143" i="3"/>
  <c r="B143" i="3"/>
  <c r="C143" i="3"/>
  <c r="A145" i="3" l="1"/>
  <c r="B144" i="3"/>
  <c r="C144" i="3"/>
  <c r="D144" i="3"/>
  <c r="A146" i="3" l="1"/>
  <c r="B145" i="3"/>
  <c r="C145" i="3"/>
  <c r="D145" i="3"/>
  <c r="A147" i="3" l="1"/>
  <c r="D146" i="3"/>
  <c r="B146" i="3"/>
  <c r="C146" i="3"/>
  <c r="A148" i="3" l="1"/>
  <c r="B147" i="3"/>
  <c r="C147" i="3"/>
  <c r="D147" i="3"/>
  <c r="A149" i="3" l="1"/>
  <c r="B148" i="3"/>
  <c r="C148" i="3"/>
  <c r="D148" i="3"/>
  <c r="A150" i="3" l="1"/>
  <c r="B149" i="3"/>
  <c r="C149" i="3"/>
  <c r="D149" i="3"/>
  <c r="A151" i="3" l="1"/>
  <c r="B150" i="3"/>
  <c r="C150" i="3"/>
  <c r="D150" i="3"/>
  <c r="A152" i="3" l="1"/>
  <c r="B151" i="3"/>
  <c r="C151" i="3"/>
  <c r="D151" i="3"/>
  <c r="A153" i="3" l="1"/>
  <c r="B152" i="3"/>
  <c r="C152" i="3"/>
  <c r="D152" i="3"/>
  <c r="A154" i="3" l="1"/>
  <c r="B153" i="3"/>
  <c r="C153" i="3"/>
  <c r="D153" i="3"/>
  <c r="A155" i="3" l="1"/>
  <c r="C154" i="3"/>
  <c r="D154" i="3"/>
  <c r="B154" i="3"/>
  <c r="A156" i="3" l="1"/>
  <c r="C155" i="3"/>
  <c r="D155" i="3"/>
  <c r="B155" i="3"/>
  <c r="A157" i="3" l="1"/>
  <c r="B156" i="3"/>
  <c r="C156" i="3"/>
  <c r="D156" i="3"/>
  <c r="A158" i="3" l="1"/>
  <c r="B157" i="3"/>
  <c r="C157" i="3"/>
  <c r="D157" i="3"/>
  <c r="A159" i="3" l="1"/>
  <c r="B158" i="3"/>
  <c r="C158" i="3"/>
  <c r="D158" i="3"/>
  <c r="A160" i="3" l="1"/>
  <c r="B159" i="3"/>
  <c r="D159" i="3"/>
  <c r="C159" i="3"/>
  <c r="A161" i="3" l="1"/>
  <c r="B160" i="3"/>
  <c r="C160" i="3"/>
  <c r="D160" i="3"/>
  <c r="A162" i="3" l="1"/>
  <c r="D161" i="3"/>
  <c r="B161" i="3"/>
  <c r="C161" i="3"/>
  <c r="A163" i="3" l="1"/>
  <c r="B162" i="3"/>
  <c r="C162" i="3"/>
  <c r="D162" i="3"/>
  <c r="A164" i="3" l="1"/>
  <c r="B163" i="3"/>
  <c r="C163" i="3"/>
  <c r="D163" i="3"/>
  <c r="A165" i="3" l="1"/>
  <c r="B164" i="3"/>
  <c r="C164" i="3"/>
  <c r="D164" i="3"/>
  <c r="A166" i="3" l="1"/>
  <c r="B165" i="3"/>
  <c r="C165" i="3"/>
  <c r="D165" i="3"/>
  <c r="A167" i="3" l="1"/>
  <c r="C166" i="3"/>
  <c r="D166" i="3"/>
  <c r="B166" i="3"/>
  <c r="A168" i="3" l="1"/>
  <c r="B167" i="3"/>
  <c r="C167" i="3"/>
  <c r="D167" i="3"/>
  <c r="A169" i="3" l="1"/>
  <c r="B168" i="3"/>
  <c r="C168" i="3"/>
  <c r="D168" i="3"/>
  <c r="A170" i="3" l="1"/>
  <c r="B169" i="3"/>
  <c r="C169" i="3"/>
  <c r="D169" i="3"/>
  <c r="A171" i="3" l="1"/>
  <c r="C170" i="3"/>
  <c r="D170" i="3"/>
  <c r="B170" i="3"/>
  <c r="A172" i="3" l="1"/>
  <c r="C171" i="3"/>
  <c r="D171" i="3"/>
  <c r="B171" i="3"/>
  <c r="A173" i="3" l="1"/>
  <c r="B172" i="3"/>
  <c r="C172" i="3"/>
  <c r="D172" i="3"/>
  <c r="A174" i="3" l="1"/>
  <c r="C173" i="3"/>
  <c r="D173" i="3"/>
  <c r="B173" i="3"/>
  <c r="A175" i="3" l="1"/>
  <c r="B174" i="3"/>
  <c r="C174" i="3"/>
  <c r="D174" i="3"/>
  <c r="A176" i="3" l="1"/>
  <c r="C175" i="3"/>
  <c r="B175" i="3"/>
  <c r="D175" i="3"/>
  <c r="A177" i="3" l="1"/>
  <c r="B176" i="3"/>
  <c r="C176" i="3"/>
  <c r="D176" i="3"/>
  <c r="A178" i="3" l="1"/>
  <c r="D177" i="3"/>
  <c r="C177" i="3"/>
  <c r="B177" i="3"/>
  <c r="A179" i="3" l="1"/>
  <c r="D178" i="3"/>
  <c r="B178" i="3"/>
  <c r="C178" i="3"/>
  <c r="A180" i="3" l="1"/>
  <c r="B179" i="3"/>
  <c r="C179" i="3"/>
  <c r="D179" i="3"/>
  <c r="A181" i="3" l="1"/>
  <c r="B180" i="3"/>
  <c r="C180" i="3"/>
  <c r="D180" i="3"/>
  <c r="A182" i="3" l="1"/>
  <c r="B181" i="3"/>
  <c r="C181" i="3"/>
  <c r="D181" i="3"/>
  <c r="A183" i="3" l="1"/>
  <c r="C182" i="3"/>
  <c r="D182" i="3"/>
  <c r="B182" i="3"/>
  <c r="A184" i="3" l="1"/>
  <c r="B183" i="3"/>
  <c r="D183" i="3"/>
  <c r="C183" i="3"/>
  <c r="A185" i="3" l="1"/>
  <c r="B184" i="3"/>
  <c r="C184" i="3"/>
  <c r="D184" i="3"/>
  <c r="A186" i="3" l="1"/>
  <c r="B185" i="3"/>
  <c r="C185" i="3"/>
  <c r="D185" i="3"/>
  <c r="A187" i="3" l="1"/>
  <c r="B186" i="3"/>
  <c r="C186" i="3"/>
  <c r="D186" i="3"/>
  <c r="A188" i="3" l="1"/>
  <c r="B187" i="3"/>
  <c r="C187" i="3"/>
  <c r="D187" i="3"/>
  <c r="A189" i="3" l="1"/>
  <c r="B188" i="3"/>
  <c r="C188" i="3"/>
  <c r="D188" i="3"/>
  <c r="A190" i="3" l="1"/>
  <c r="B189" i="3"/>
  <c r="C189" i="3"/>
  <c r="D189" i="3"/>
  <c r="A191" i="3" l="1"/>
  <c r="B190" i="3"/>
  <c r="D190" i="3"/>
  <c r="C190" i="3"/>
  <c r="A192" i="3" l="1"/>
  <c r="B191" i="3"/>
  <c r="C191" i="3"/>
  <c r="D191" i="3"/>
  <c r="A193" i="3" l="1"/>
  <c r="B192" i="3"/>
  <c r="C192" i="3"/>
  <c r="D192" i="3"/>
  <c r="A194" i="3" l="1"/>
  <c r="D193" i="3"/>
  <c r="B193" i="3"/>
  <c r="C193" i="3"/>
  <c r="A195" i="3" l="1"/>
  <c r="B194" i="3"/>
  <c r="D194" i="3"/>
  <c r="C194" i="3"/>
  <c r="A196" i="3" l="1"/>
  <c r="B195" i="3"/>
  <c r="C195" i="3"/>
  <c r="D195" i="3"/>
  <c r="A197" i="3" l="1"/>
  <c r="B196" i="3"/>
  <c r="C196" i="3"/>
  <c r="D196" i="3"/>
  <c r="A198" i="3" l="1"/>
  <c r="B197" i="3"/>
  <c r="C197" i="3"/>
  <c r="D197" i="3"/>
  <c r="A199" i="3" l="1"/>
  <c r="C198" i="3"/>
  <c r="D198" i="3"/>
  <c r="B198" i="3"/>
  <c r="A200" i="3" l="1"/>
  <c r="D199" i="3"/>
  <c r="B199" i="3"/>
  <c r="C199" i="3"/>
  <c r="A201" i="3" l="1"/>
  <c r="B200" i="3"/>
  <c r="C200" i="3"/>
  <c r="D200" i="3"/>
  <c r="A202" i="3" l="1"/>
  <c r="B201" i="3"/>
  <c r="C201" i="3"/>
  <c r="D201" i="3"/>
  <c r="A203" i="3" l="1"/>
  <c r="C202" i="3"/>
  <c r="D202" i="3"/>
  <c r="B202" i="3"/>
  <c r="A204" i="3" l="1"/>
  <c r="B203" i="3"/>
  <c r="C203" i="3"/>
  <c r="D203" i="3"/>
  <c r="A205" i="3" l="1"/>
  <c r="B204" i="3"/>
  <c r="C204" i="3"/>
  <c r="D204" i="3"/>
  <c r="A206" i="3" l="1"/>
  <c r="B205" i="3"/>
  <c r="D205" i="3"/>
  <c r="C205" i="3"/>
  <c r="A207" i="3" l="1"/>
  <c r="B206" i="3"/>
  <c r="C206" i="3"/>
  <c r="D206" i="3"/>
  <c r="A208" i="3" l="1"/>
  <c r="D207" i="3"/>
  <c r="B207" i="3"/>
  <c r="C207" i="3"/>
  <c r="A209" i="3" l="1"/>
  <c r="B208" i="3"/>
  <c r="C208" i="3"/>
  <c r="D208" i="3"/>
  <c r="A210" i="3" l="1"/>
  <c r="B209" i="3"/>
  <c r="C209" i="3"/>
  <c r="D209" i="3"/>
  <c r="A211" i="3" l="1"/>
  <c r="B210" i="3"/>
  <c r="D210" i="3"/>
  <c r="C210" i="3"/>
  <c r="A212" i="3" l="1"/>
  <c r="B211" i="3"/>
  <c r="C211" i="3"/>
  <c r="D211" i="3"/>
  <c r="A213" i="3" l="1"/>
  <c r="B212" i="3"/>
  <c r="C212" i="3"/>
  <c r="D212" i="3"/>
  <c r="A214" i="3" l="1"/>
  <c r="B213" i="3"/>
  <c r="C213" i="3"/>
  <c r="D213" i="3"/>
  <c r="A215" i="3" l="1"/>
  <c r="B214" i="3"/>
  <c r="C214" i="3"/>
  <c r="D214" i="3"/>
  <c r="A216" i="3" l="1"/>
  <c r="D215" i="3"/>
  <c r="C215" i="3"/>
  <c r="B215" i="3"/>
  <c r="A217" i="3" l="1"/>
  <c r="B216" i="3"/>
  <c r="C216" i="3"/>
  <c r="D216" i="3"/>
  <c r="A218" i="3" l="1"/>
  <c r="B217" i="3"/>
  <c r="C217" i="3"/>
  <c r="D217" i="3"/>
  <c r="A219" i="3" l="1"/>
  <c r="B218" i="3"/>
  <c r="C218" i="3"/>
  <c r="D218" i="3"/>
  <c r="A220" i="3" l="1"/>
  <c r="C219" i="3"/>
  <c r="D219" i="3"/>
  <c r="B219" i="3"/>
  <c r="A221" i="3" l="1"/>
  <c r="B220" i="3"/>
  <c r="C220" i="3"/>
  <c r="D220" i="3"/>
  <c r="A222" i="3" l="1"/>
  <c r="B221" i="3"/>
  <c r="C221" i="3"/>
  <c r="D221" i="3"/>
  <c r="A223" i="3" l="1"/>
  <c r="B222" i="3"/>
  <c r="C222" i="3"/>
  <c r="D222" i="3"/>
  <c r="A224" i="3" l="1"/>
  <c r="D223" i="3"/>
  <c r="C223" i="3"/>
  <c r="B223" i="3"/>
  <c r="A225" i="3" l="1"/>
  <c r="B224" i="3"/>
  <c r="C224" i="3"/>
  <c r="D224" i="3"/>
  <c r="A226" i="3" l="1"/>
  <c r="D225" i="3"/>
  <c r="B225" i="3"/>
  <c r="C225" i="3"/>
  <c r="A227" i="3" l="1"/>
  <c r="B226" i="3"/>
  <c r="C226" i="3"/>
  <c r="D226" i="3"/>
  <c r="A228" i="3" l="1"/>
  <c r="B227" i="3"/>
  <c r="C227" i="3"/>
  <c r="D227" i="3"/>
  <c r="A229" i="3" l="1"/>
  <c r="B228" i="3"/>
  <c r="C228" i="3"/>
  <c r="D228" i="3"/>
  <c r="A230" i="3" l="1"/>
  <c r="C229" i="3"/>
  <c r="D229" i="3"/>
  <c r="B229" i="3"/>
  <c r="A231" i="3" l="1"/>
  <c r="B230" i="3"/>
  <c r="D230" i="3"/>
  <c r="C230" i="3"/>
  <c r="A232" i="3" l="1"/>
  <c r="B231" i="3"/>
  <c r="C231" i="3"/>
  <c r="D231" i="3"/>
  <c r="A233" i="3" l="1"/>
  <c r="B232" i="3"/>
  <c r="C232" i="3"/>
  <c r="D232" i="3"/>
  <c r="A234" i="3" l="1"/>
  <c r="B233" i="3"/>
  <c r="C233" i="3"/>
  <c r="D233" i="3"/>
  <c r="A235" i="3" l="1"/>
  <c r="B234" i="3"/>
  <c r="C234" i="3"/>
  <c r="D234" i="3"/>
  <c r="A236" i="3" l="1"/>
  <c r="B235" i="3"/>
  <c r="C235" i="3"/>
  <c r="D235" i="3"/>
  <c r="A237" i="3" l="1"/>
  <c r="B236" i="3"/>
  <c r="C236" i="3"/>
  <c r="D236" i="3"/>
  <c r="A238" i="3" l="1"/>
  <c r="C237" i="3"/>
  <c r="D237" i="3"/>
  <c r="B237" i="3"/>
  <c r="A239" i="3" l="1"/>
  <c r="B238" i="3"/>
  <c r="C238" i="3"/>
  <c r="D238" i="3"/>
  <c r="A240" i="3" l="1"/>
  <c r="D239" i="3"/>
  <c r="B239" i="3"/>
  <c r="C239" i="3"/>
  <c r="A241" i="3" l="1"/>
  <c r="B240" i="3"/>
  <c r="C240" i="3"/>
  <c r="D240" i="3"/>
  <c r="A242" i="3" l="1"/>
  <c r="B241" i="3"/>
  <c r="D241" i="3"/>
  <c r="C241" i="3"/>
  <c r="A243" i="3" l="1"/>
  <c r="D242" i="3"/>
  <c r="B242" i="3"/>
  <c r="C242" i="3"/>
  <c r="A244" i="3" l="1"/>
  <c r="B243" i="3"/>
  <c r="C243" i="3"/>
  <c r="D243" i="3"/>
  <c r="A245" i="3" l="1"/>
  <c r="B244" i="3"/>
  <c r="C244" i="3"/>
  <c r="D244" i="3"/>
  <c r="A246" i="3" l="1"/>
  <c r="B245" i="3"/>
  <c r="C245" i="3"/>
  <c r="D245" i="3"/>
  <c r="A247" i="3" l="1"/>
  <c r="D246" i="3"/>
  <c r="B246" i="3"/>
  <c r="C246" i="3"/>
  <c r="A248" i="3" l="1"/>
  <c r="B247" i="3"/>
  <c r="C247" i="3"/>
  <c r="D247" i="3"/>
  <c r="A249" i="3" l="1"/>
  <c r="B248" i="3"/>
  <c r="C248" i="3"/>
  <c r="D248" i="3"/>
  <c r="A250" i="3" l="1"/>
  <c r="B249" i="3"/>
  <c r="C249" i="3"/>
  <c r="D249" i="3"/>
  <c r="A251" i="3" l="1"/>
  <c r="B250" i="3"/>
  <c r="C250" i="3"/>
  <c r="D250" i="3"/>
  <c r="A252" i="3" l="1"/>
  <c r="C251" i="3"/>
  <c r="B251" i="3"/>
  <c r="D251" i="3"/>
  <c r="A253" i="3" l="1"/>
  <c r="B252" i="3"/>
  <c r="C252" i="3"/>
  <c r="D252" i="3"/>
  <c r="A254" i="3" l="1"/>
  <c r="B253" i="3"/>
  <c r="C253" i="3"/>
  <c r="D253" i="3"/>
  <c r="A255" i="3" l="1"/>
  <c r="B254" i="3"/>
  <c r="D254" i="3"/>
  <c r="C254" i="3"/>
  <c r="A256" i="3" l="1"/>
  <c r="B255" i="3"/>
  <c r="C255" i="3"/>
  <c r="D255" i="3"/>
  <c r="A257" i="3" l="1"/>
  <c r="B256" i="3"/>
  <c r="C256" i="3"/>
  <c r="D256" i="3"/>
  <c r="A258" i="3" l="1"/>
  <c r="B257" i="3"/>
  <c r="D257" i="3"/>
  <c r="C257" i="3"/>
  <c r="A259" i="3" l="1"/>
  <c r="B258" i="3"/>
  <c r="C258" i="3"/>
  <c r="D258" i="3"/>
  <c r="A260" i="3" l="1"/>
  <c r="B259" i="3"/>
  <c r="D259" i="3"/>
  <c r="C259" i="3"/>
  <c r="A261" i="3" l="1"/>
  <c r="B260" i="3"/>
  <c r="C260" i="3"/>
  <c r="D260" i="3"/>
  <c r="A262" i="3" l="1"/>
  <c r="B261" i="3"/>
  <c r="C261" i="3"/>
  <c r="D261" i="3"/>
  <c r="A263" i="3" l="1"/>
  <c r="D262" i="3"/>
  <c r="B262" i="3"/>
  <c r="C262" i="3"/>
  <c r="A264" i="3" l="1"/>
  <c r="D263" i="3"/>
  <c r="B263" i="3"/>
  <c r="C263" i="3"/>
  <c r="A265" i="3" l="1"/>
  <c r="C264" i="3"/>
  <c r="B264" i="3"/>
  <c r="D264" i="3"/>
  <c r="A266" i="3" l="1"/>
  <c r="C265" i="3"/>
  <c r="D265" i="3"/>
  <c r="B265" i="3"/>
  <c r="A267" i="3" l="1"/>
  <c r="B266" i="3"/>
  <c r="C266" i="3"/>
  <c r="D266" i="3"/>
  <c r="A268" i="3" l="1"/>
  <c r="C267" i="3"/>
  <c r="B267" i="3"/>
  <c r="D267" i="3"/>
  <c r="A269" i="3" l="1"/>
  <c r="B268" i="3"/>
  <c r="D268" i="3"/>
  <c r="C268" i="3"/>
  <c r="A270" i="3" l="1"/>
  <c r="D269" i="3"/>
  <c r="B269" i="3"/>
  <c r="C269" i="3"/>
  <c r="A271" i="3" l="1"/>
  <c r="B270" i="3"/>
  <c r="C270" i="3"/>
  <c r="D270" i="3"/>
  <c r="A272" i="3" l="1"/>
  <c r="B271" i="3"/>
  <c r="D271" i="3"/>
  <c r="C271" i="3"/>
  <c r="A273" i="3" l="1"/>
  <c r="B272" i="3"/>
  <c r="C272" i="3"/>
  <c r="D272" i="3"/>
  <c r="A274" i="3" l="1"/>
  <c r="C273" i="3"/>
  <c r="D273" i="3"/>
  <c r="B273" i="3"/>
  <c r="A275" i="3" l="1"/>
  <c r="B274" i="3"/>
  <c r="C274" i="3"/>
  <c r="D274" i="3"/>
  <c r="A276" i="3" l="1"/>
  <c r="B275" i="3"/>
  <c r="C275" i="3"/>
  <c r="D275" i="3"/>
  <c r="A277" i="3" l="1"/>
  <c r="B276" i="3"/>
  <c r="C276" i="3"/>
  <c r="D276" i="3"/>
  <c r="A278" i="3" l="1"/>
  <c r="B277" i="3"/>
  <c r="C277" i="3"/>
  <c r="D277" i="3"/>
  <c r="A279" i="3" l="1"/>
  <c r="C278" i="3"/>
  <c r="D278" i="3"/>
  <c r="B278" i="3"/>
  <c r="A280" i="3" l="1"/>
  <c r="B279" i="3"/>
  <c r="C279" i="3"/>
  <c r="D279" i="3"/>
  <c r="A281" i="3" l="1"/>
  <c r="B280" i="3"/>
  <c r="D280" i="3"/>
  <c r="C280" i="3"/>
  <c r="A282" i="3" l="1"/>
  <c r="B281" i="3"/>
  <c r="C281" i="3"/>
  <c r="D281" i="3"/>
  <c r="A283" i="3" l="1"/>
  <c r="D282" i="3"/>
  <c r="C282" i="3"/>
  <c r="B282" i="3"/>
  <c r="A284" i="3" l="1"/>
  <c r="B283" i="3"/>
  <c r="C283" i="3"/>
  <c r="D283" i="3"/>
  <c r="A285" i="3" l="1"/>
  <c r="B284" i="3"/>
  <c r="C284" i="3"/>
  <c r="D284" i="3"/>
  <c r="A286" i="3" l="1"/>
  <c r="D285" i="3"/>
  <c r="B285" i="3"/>
  <c r="C285" i="3"/>
  <c r="A287" i="3" l="1"/>
  <c r="B286" i="3"/>
  <c r="C286" i="3"/>
  <c r="D286" i="3"/>
  <c r="A288" i="3" l="1"/>
  <c r="B287" i="3"/>
  <c r="C287" i="3"/>
  <c r="D287" i="3"/>
  <c r="A289" i="3" l="1"/>
  <c r="B288" i="3"/>
  <c r="C288" i="3"/>
  <c r="D288" i="3"/>
  <c r="A290" i="3" l="1"/>
  <c r="D289" i="3"/>
  <c r="B289" i="3"/>
  <c r="C289" i="3"/>
  <c r="A291" i="3" l="1"/>
  <c r="D290" i="3"/>
  <c r="B290" i="3"/>
  <c r="C290" i="3"/>
  <c r="A292" i="3" l="1"/>
  <c r="C291" i="3"/>
  <c r="D291" i="3"/>
  <c r="B291" i="3"/>
  <c r="A293" i="3" l="1"/>
  <c r="B292" i="3"/>
  <c r="C292" i="3"/>
  <c r="D292" i="3"/>
  <c r="A294" i="3" l="1"/>
  <c r="B293" i="3"/>
  <c r="D293" i="3"/>
  <c r="C293" i="3"/>
  <c r="A295" i="3" l="1"/>
  <c r="B294" i="3"/>
  <c r="C294" i="3"/>
  <c r="D294" i="3"/>
  <c r="A296" i="3" l="1"/>
  <c r="D295" i="3"/>
  <c r="B295" i="3"/>
  <c r="C295" i="3"/>
  <c r="A297" i="3" l="1"/>
  <c r="B296" i="3"/>
  <c r="C296" i="3"/>
  <c r="D296" i="3"/>
  <c r="A298" i="3" l="1"/>
  <c r="C297" i="3"/>
  <c r="D297" i="3"/>
  <c r="B297" i="3"/>
  <c r="A299" i="3" l="1"/>
  <c r="B298" i="3"/>
  <c r="C298" i="3"/>
  <c r="D298" i="3"/>
  <c r="A300" i="3" l="1"/>
  <c r="D299" i="3"/>
  <c r="C299" i="3"/>
  <c r="B299" i="3"/>
  <c r="A301" i="3" l="1"/>
  <c r="B300" i="3"/>
  <c r="C300" i="3"/>
  <c r="D300" i="3"/>
  <c r="A302" i="3" l="1"/>
  <c r="B301" i="3"/>
  <c r="C301" i="3"/>
  <c r="D301" i="3"/>
  <c r="A303" i="3" l="1"/>
  <c r="B302" i="3"/>
  <c r="C302" i="3"/>
  <c r="D302" i="3"/>
  <c r="A304" i="3" l="1"/>
  <c r="C303" i="3"/>
  <c r="D303" i="3"/>
  <c r="B303" i="3"/>
  <c r="A305" i="3" l="1"/>
  <c r="B304" i="3"/>
  <c r="D304" i="3"/>
  <c r="C304" i="3"/>
  <c r="A306" i="3" l="1"/>
  <c r="B305" i="3"/>
  <c r="C305" i="3"/>
  <c r="D305" i="3"/>
  <c r="A307" i="3" l="1"/>
  <c r="D306" i="3"/>
  <c r="B306" i="3"/>
  <c r="C306" i="3"/>
  <c r="A308" i="3" l="1"/>
  <c r="B307" i="3"/>
  <c r="C307" i="3"/>
  <c r="D307" i="3"/>
  <c r="A309" i="3" l="1"/>
  <c r="B308" i="3"/>
  <c r="D308" i="3"/>
  <c r="C308" i="3"/>
  <c r="A310" i="3" l="1"/>
  <c r="B309" i="3"/>
  <c r="C309" i="3"/>
  <c r="D309" i="3"/>
  <c r="A311" i="3" l="1"/>
  <c r="B310" i="3"/>
  <c r="C310" i="3"/>
  <c r="D310" i="3"/>
  <c r="A312" i="3" l="1"/>
  <c r="B311" i="3"/>
  <c r="C311" i="3"/>
  <c r="D311" i="3"/>
  <c r="A313" i="3" l="1"/>
  <c r="B312" i="3"/>
  <c r="C312" i="3"/>
  <c r="D312" i="3"/>
  <c r="A314" i="3" l="1"/>
  <c r="C313" i="3"/>
  <c r="D313" i="3"/>
  <c r="B313" i="3"/>
  <c r="A315" i="3" l="1"/>
  <c r="B314" i="3"/>
  <c r="C314" i="3"/>
  <c r="D314" i="3"/>
  <c r="A316" i="3" l="1"/>
  <c r="C315" i="3"/>
  <c r="D315" i="3"/>
  <c r="B315" i="3"/>
  <c r="A317" i="3" l="1"/>
  <c r="B316" i="3"/>
  <c r="C316" i="3"/>
  <c r="D316" i="3"/>
  <c r="A318" i="3" l="1"/>
  <c r="D317" i="3"/>
  <c r="C317" i="3"/>
  <c r="B317" i="3"/>
  <c r="A319" i="3" l="1"/>
  <c r="B318" i="3"/>
  <c r="C318" i="3"/>
  <c r="D318" i="3"/>
  <c r="A320" i="3" l="1"/>
  <c r="C319" i="3"/>
  <c r="D319" i="3"/>
  <c r="B319" i="3"/>
  <c r="A321" i="3" l="1"/>
  <c r="B320" i="3"/>
  <c r="D320" i="3"/>
  <c r="C320" i="3"/>
  <c r="A322" i="3" l="1"/>
  <c r="B321" i="3"/>
  <c r="C321" i="3"/>
  <c r="D321" i="3"/>
  <c r="A323" i="3" l="1"/>
  <c r="B322" i="3"/>
  <c r="C322" i="3"/>
  <c r="D322" i="3"/>
  <c r="A324" i="3" l="1"/>
  <c r="B323" i="3"/>
  <c r="C323" i="3"/>
  <c r="D323" i="3"/>
  <c r="A325" i="3" l="1"/>
  <c r="B324" i="3"/>
  <c r="C324" i="3"/>
  <c r="D324" i="3"/>
  <c r="A326" i="3" l="1"/>
  <c r="C325" i="3"/>
  <c r="B325" i="3"/>
  <c r="D325" i="3"/>
  <c r="A327" i="3" l="1"/>
  <c r="C326" i="3"/>
  <c r="D326" i="3"/>
  <c r="B326" i="3"/>
  <c r="A328" i="3" l="1"/>
  <c r="B327" i="3"/>
  <c r="C327" i="3"/>
  <c r="D327" i="3"/>
  <c r="A329" i="3" l="1"/>
  <c r="B328" i="3"/>
  <c r="D328" i="3"/>
  <c r="C328" i="3"/>
  <c r="A330" i="3" l="1"/>
  <c r="B329" i="3"/>
  <c r="C329" i="3"/>
  <c r="D329" i="3"/>
  <c r="A331" i="3" l="1"/>
  <c r="D330" i="3"/>
  <c r="C330" i="3"/>
  <c r="B330" i="3"/>
  <c r="A332" i="3" l="1"/>
  <c r="B331" i="3"/>
  <c r="C331" i="3"/>
  <c r="D331" i="3"/>
  <c r="A333" i="3" l="1"/>
  <c r="B332" i="3"/>
  <c r="C332" i="3"/>
  <c r="D332" i="3"/>
  <c r="A334" i="3" l="1"/>
  <c r="B333" i="3"/>
  <c r="C333" i="3"/>
  <c r="D333" i="3"/>
  <c r="A335" i="3" l="1"/>
  <c r="D334" i="3"/>
  <c r="B334" i="3"/>
  <c r="C334" i="3"/>
  <c r="A336" i="3" l="1"/>
  <c r="B335" i="3"/>
  <c r="C335" i="3"/>
  <c r="D335" i="3"/>
  <c r="A337" i="3" l="1"/>
  <c r="B336" i="3"/>
  <c r="C336" i="3"/>
  <c r="D336" i="3"/>
  <c r="A338" i="3" l="1"/>
  <c r="D337" i="3"/>
  <c r="C337" i="3"/>
  <c r="B337" i="3"/>
  <c r="A339" i="3" l="1"/>
  <c r="C338" i="3"/>
  <c r="D338" i="3"/>
  <c r="B338" i="3"/>
  <c r="A340" i="3" l="1"/>
  <c r="C339" i="3"/>
  <c r="D339" i="3"/>
  <c r="B339" i="3"/>
  <c r="A341" i="3" l="1"/>
  <c r="B340" i="3"/>
  <c r="C340" i="3"/>
  <c r="D340" i="3"/>
  <c r="A342" i="3" l="1"/>
  <c r="B341" i="3"/>
  <c r="C341" i="3"/>
  <c r="D341" i="3"/>
  <c r="A343" i="3" l="1"/>
  <c r="B342" i="3"/>
  <c r="C342" i="3"/>
  <c r="D342" i="3"/>
  <c r="A344" i="3" l="1"/>
  <c r="D343" i="3"/>
  <c r="C343" i="3"/>
  <c r="B343" i="3"/>
  <c r="A345" i="3" l="1"/>
  <c r="B344" i="3"/>
  <c r="C344" i="3"/>
  <c r="D344" i="3"/>
  <c r="A346" i="3" l="1"/>
  <c r="B345" i="3"/>
  <c r="C345" i="3"/>
  <c r="D345" i="3"/>
  <c r="A347" i="3" l="1"/>
  <c r="D346" i="3"/>
  <c r="B346" i="3"/>
  <c r="C346" i="3"/>
  <c r="A348" i="3" l="1"/>
  <c r="B347" i="3"/>
  <c r="D347" i="3"/>
  <c r="C347" i="3"/>
  <c r="A349" i="3" l="1"/>
  <c r="B348" i="3"/>
  <c r="C348" i="3"/>
  <c r="D348" i="3"/>
  <c r="A350" i="3" l="1"/>
  <c r="B349" i="3"/>
  <c r="C349" i="3"/>
  <c r="D349" i="3"/>
  <c r="A351" i="3" l="1"/>
  <c r="C350" i="3"/>
  <c r="D350" i="3"/>
  <c r="B350" i="3"/>
  <c r="A352" i="3" l="1"/>
  <c r="C351" i="3"/>
  <c r="B351" i="3"/>
  <c r="D351" i="3"/>
  <c r="A353" i="3" l="1"/>
  <c r="C352" i="3"/>
  <c r="D352" i="3"/>
  <c r="B352" i="3"/>
  <c r="A354" i="3" l="1"/>
  <c r="B353" i="3"/>
  <c r="D353" i="3"/>
  <c r="C353" i="3"/>
  <c r="A355" i="3" l="1"/>
  <c r="D354" i="3"/>
  <c r="B354" i="3"/>
  <c r="C354" i="3"/>
  <c r="A356" i="3" l="1"/>
  <c r="C355" i="3"/>
  <c r="D355" i="3"/>
  <c r="B355" i="3"/>
  <c r="A357" i="3" l="1"/>
  <c r="C356" i="3"/>
  <c r="D356" i="3"/>
  <c r="B356" i="3"/>
  <c r="A358" i="3" l="1"/>
  <c r="B357" i="3"/>
  <c r="C357" i="3"/>
  <c r="D357" i="3"/>
  <c r="A359" i="3" l="1"/>
  <c r="D358" i="3"/>
  <c r="B358" i="3"/>
  <c r="C358" i="3"/>
  <c r="A360" i="3" l="1"/>
  <c r="C359" i="3"/>
  <c r="D359" i="3"/>
  <c r="B359" i="3"/>
  <c r="A361" i="3" l="1"/>
  <c r="C360" i="3"/>
  <c r="D360" i="3"/>
  <c r="B360" i="3"/>
  <c r="A362" i="3" l="1"/>
  <c r="B361" i="3"/>
  <c r="C361" i="3"/>
  <c r="D361" i="3"/>
  <c r="A363" i="3" l="1"/>
  <c r="C362" i="3"/>
  <c r="D362" i="3"/>
  <c r="B362" i="3"/>
  <c r="A364" i="3" l="1"/>
  <c r="D363" i="3"/>
  <c r="B363" i="3"/>
  <c r="C363" i="3"/>
  <c r="A365" i="3" l="1"/>
  <c r="C364" i="3"/>
  <c r="D364" i="3"/>
  <c r="B364" i="3"/>
  <c r="A366" i="3" l="1"/>
  <c r="B365" i="3"/>
  <c r="D365" i="3"/>
  <c r="C365" i="3"/>
  <c r="A367" i="3" l="1"/>
  <c r="C366" i="3"/>
  <c r="D366" i="3"/>
  <c r="B366" i="3"/>
  <c r="A368" i="3" l="1"/>
  <c r="B367" i="3"/>
  <c r="C367" i="3"/>
  <c r="D367" i="3"/>
  <c r="A369" i="3" l="1"/>
  <c r="C368" i="3"/>
  <c r="D368" i="3"/>
  <c r="B368" i="3"/>
  <c r="A370" i="3" l="1"/>
  <c r="B369" i="3"/>
  <c r="C369" i="3"/>
  <c r="D369" i="3"/>
  <c r="A371" i="3" l="1"/>
  <c r="B370" i="3"/>
  <c r="C370" i="3"/>
  <c r="D370" i="3"/>
  <c r="A372" i="3" l="1"/>
  <c r="C371" i="3"/>
  <c r="D371" i="3"/>
  <c r="B371" i="3"/>
  <c r="A373" i="3" l="1"/>
  <c r="C372" i="3"/>
  <c r="D372" i="3"/>
  <c r="B372" i="3"/>
  <c r="A374" i="3" l="1"/>
  <c r="B373" i="3"/>
  <c r="C373" i="3"/>
  <c r="D373" i="3"/>
  <c r="A375" i="3" l="1"/>
  <c r="D374" i="3"/>
  <c r="B374" i="3"/>
  <c r="C374" i="3"/>
  <c r="A376" i="3" l="1"/>
  <c r="B375" i="3"/>
  <c r="C375" i="3"/>
  <c r="D375" i="3"/>
  <c r="A377" i="3" l="1"/>
  <c r="C376" i="3"/>
  <c r="D376" i="3"/>
  <c r="B376" i="3"/>
  <c r="A378" i="3" l="1"/>
  <c r="B377" i="3"/>
  <c r="C377" i="3"/>
  <c r="D377" i="3"/>
  <c r="A379" i="3" l="1"/>
  <c r="C378" i="3"/>
  <c r="B378" i="3"/>
  <c r="D378" i="3"/>
  <c r="A380" i="3" l="1"/>
  <c r="D379" i="3"/>
  <c r="C379" i="3"/>
  <c r="B379" i="3"/>
  <c r="A381" i="3" l="1"/>
  <c r="C380" i="3"/>
  <c r="D380" i="3"/>
  <c r="B380" i="3"/>
  <c r="A382" i="3" l="1"/>
  <c r="B381" i="3"/>
  <c r="C381" i="3"/>
  <c r="D381" i="3"/>
  <c r="A383" i="3" l="1"/>
  <c r="B382" i="3"/>
  <c r="C382" i="3"/>
  <c r="D382" i="3"/>
  <c r="A384" i="3" l="1"/>
  <c r="B383" i="3"/>
  <c r="C383" i="3"/>
  <c r="D383" i="3"/>
  <c r="A385" i="3" l="1"/>
  <c r="C384" i="3"/>
  <c r="D384" i="3"/>
  <c r="B384" i="3"/>
  <c r="A386" i="3" l="1"/>
  <c r="D385" i="3"/>
  <c r="B385" i="3"/>
  <c r="C385" i="3"/>
  <c r="A387" i="3" l="1"/>
  <c r="D386" i="3"/>
  <c r="C386" i="3"/>
  <c r="B386" i="3"/>
  <c r="A388" i="3" l="1"/>
  <c r="B387" i="3"/>
  <c r="C387" i="3"/>
  <c r="D387" i="3"/>
  <c r="A389" i="3" l="1"/>
  <c r="C388" i="3"/>
  <c r="D388" i="3"/>
  <c r="B388" i="3"/>
  <c r="A390" i="3" l="1"/>
  <c r="B389" i="3"/>
  <c r="C389" i="3"/>
  <c r="D389" i="3"/>
  <c r="A391" i="3" l="1"/>
  <c r="B390" i="3"/>
  <c r="C390" i="3"/>
  <c r="D390" i="3"/>
  <c r="A392" i="3" l="1"/>
  <c r="C391" i="3"/>
  <c r="D391" i="3"/>
  <c r="B391" i="3"/>
  <c r="A393" i="3" l="1"/>
  <c r="C392" i="3"/>
  <c r="D392" i="3"/>
  <c r="B392" i="3"/>
  <c r="A394" i="3" l="1"/>
  <c r="B393" i="3"/>
  <c r="C393" i="3"/>
  <c r="D393" i="3"/>
  <c r="A395" i="3" l="1"/>
  <c r="C394" i="3"/>
  <c r="D394" i="3"/>
  <c r="B394" i="3"/>
  <c r="A396" i="3" l="1"/>
  <c r="B395" i="3"/>
  <c r="C395" i="3"/>
  <c r="D395" i="3"/>
  <c r="A397" i="3" l="1"/>
  <c r="C396" i="3"/>
  <c r="D396" i="3"/>
  <c r="B396" i="3"/>
  <c r="A398" i="3" l="1"/>
  <c r="B397" i="3"/>
  <c r="D397" i="3"/>
  <c r="C397" i="3"/>
  <c r="A399" i="3" l="1"/>
  <c r="C398" i="3"/>
  <c r="D398" i="3"/>
  <c r="B398" i="3"/>
  <c r="A400" i="3" l="1"/>
  <c r="D399" i="3"/>
  <c r="B399" i="3"/>
  <c r="C399" i="3"/>
  <c r="A401" i="3" l="1"/>
  <c r="C400" i="3"/>
  <c r="D400" i="3"/>
  <c r="B400" i="3"/>
  <c r="A402" i="3" l="1"/>
  <c r="C401" i="3"/>
  <c r="D401" i="3"/>
  <c r="B401" i="3"/>
  <c r="A403" i="3" l="1"/>
  <c r="C402" i="3"/>
  <c r="B402" i="3"/>
  <c r="D402" i="3"/>
  <c r="A404" i="3" l="1"/>
  <c r="D403" i="3"/>
  <c r="B403" i="3"/>
  <c r="C403" i="3"/>
  <c r="A405" i="3" l="1"/>
  <c r="C404" i="3"/>
  <c r="D404" i="3"/>
  <c r="B404" i="3"/>
  <c r="A406" i="3" l="1"/>
  <c r="C405" i="3"/>
  <c r="D405" i="3"/>
  <c r="B405" i="3"/>
  <c r="A407" i="3" l="1"/>
  <c r="B406" i="3"/>
  <c r="C406" i="3"/>
  <c r="D406" i="3"/>
  <c r="A408" i="3" l="1"/>
  <c r="D407" i="3"/>
  <c r="C407" i="3"/>
  <c r="B407" i="3"/>
  <c r="A409" i="3" l="1"/>
  <c r="C408" i="3"/>
  <c r="D408" i="3"/>
  <c r="B408" i="3"/>
  <c r="A410" i="3" l="1"/>
  <c r="D409" i="3"/>
  <c r="B409" i="3"/>
  <c r="C409" i="3"/>
  <c r="A411" i="3" l="1"/>
  <c r="D410" i="3"/>
  <c r="B410" i="3"/>
  <c r="C410" i="3"/>
  <c r="A412" i="3" l="1"/>
  <c r="B411" i="3"/>
  <c r="C411" i="3"/>
  <c r="D411" i="3"/>
  <c r="A413" i="3" l="1"/>
  <c r="C412" i="3"/>
  <c r="D412" i="3"/>
  <c r="B412" i="3"/>
  <c r="A414" i="3" l="1"/>
  <c r="B413" i="3"/>
  <c r="C413" i="3"/>
  <c r="D413" i="3"/>
  <c r="A415" i="3" l="1"/>
  <c r="B414" i="3"/>
  <c r="C414" i="3"/>
  <c r="D414" i="3"/>
  <c r="A416" i="3" l="1"/>
  <c r="C415" i="3"/>
  <c r="D415" i="3"/>
  <c r="B415" i="3"/>
  <c r="A417" i="3" l="1"/>
  <c r="C416" i="3"/>
  <c r="D416" i="3"/>
  <c r="B416" i="3"/>
  <c r="A418" i="3" l="1"/>
  <c r="B417" i="3"/>
  <c r="C417" i="3"/>
  <c r="D417" i="3"/>
  <c r="A419" i="3" l="1"/>
  <c r="C418" i="3"/>
  <c r="D418" i="3"/>
  <c r="B418" i="3"/>
  <c r="A420" i="3" l="1"/>
  <c r="C419" i="3"/>
  <c r="B419" i="3"/>
  <c r="D419" i="3"/>
  <c r="A421" i="3" l="1"/>
  <c r="C420" i="3"/>
  <c r="D420" i="3"/>
  <c r="B420" i="3"/>
  <c r="A422" i="3" l="1"/>
  <c r="B421" i="3"/>
  <c r="D421" i="3"/>
  <c r="C421" i="3"/>
  <c r="A423" i="3" l="1"/>
  <c r="B422" i="3"/>
  <c r="C422" i="3"/>
  <c r="D422" i="3"/>
  <c r="A424" i="3" l="1"/>
  <c r="B423" i="3"/>
  <c r="D423" i="3"/>
  <c r="C423" i="3"/>
  <c r="A425" i="3" l="1"/>
  <c r="C424" i="3"/>
  <c r="D424" i="3"/>
  <c r="B424" i="3"/>
  <c r="A426" i="3" l="1"/>
  <c r="C425" i="3"/>
  <c r="D425" i="3"/>
  <c r="B425" i="3"/>
  <c r="A427" i="3" l="1"/>
  <c r="B426" i="3"/>
  <c r="C426" i="3"/>
  <c r="D426" i="3"/>
  <c r="A428" i="3" l="1"/>
  <c r="B427" i="3"/>
  <c r="C427" i="3"/>
  <c r="D427" i="3"/>
  <c r="A429" i="3" l="1"/>
  <c r="C428" i="3"/>
  <c r="D428" i="3"/>
  <c r="B428" i="3"/>
  <c r="A430" i="3" l="1"/>
  <c r="D429" i="3"/>
  <c r="C429" i="3"/>
  <c r="B429" i="3"/>
  <c r="A431" i="3" l="1"/>
  <c r="B430" i="3"/>
  <c r="C430" i="3"/>
  <c r="D430" i="3"/>
  <c r="A432" i="3" l="1"/>
  <c r="D431" i="3"/>
  <c r="C431" i="3"/>
  <c r="B431" i="3"/>
  <c r="A433" i="3" l="1"/>
  <c r="C432" i="3"/>
  <c r="D432" i="3"/>
  <c r="B432" i="3"/>
  <c r="A434" i="3" l="1"/>
  <c r="B433" i="3"/>
  <c r="C433" i="3"/>
  <c r="D433" i="3"/>
  <c r="A435" i="3" l="1"/>
  <c r="D434" i="3"/>
  <c r="B434" i="3"/>
  <c r="C434" i="3"/>
  <c r="A436" i="3" l="1"/>
  <c r="B435" i="3"/>
  <c r="C435" i="3"/>
  <c r="D435" i="3"/>
  <c r="A437" i="3" l="1"/>
  <c r="C436" i="3"/>
  <c r="D436" i="3"/>
  <c r="B436" i="3"/>
  <c r="A438" i="3" l="1"/>
  <c r="B437" i="3"/>
  <c r="D437" i="3"/>
  <c r="C437" i="3"/>
  <c r="A439" i="3" l="1"/>
  <c r="C438" i="3"/>
  <c r="D438" i="3"/>
  <c r="B438" i="3"/>
  <c r="A440" i="3" l="1"/>
  <c r="C439" i="3"/>
  <c r="D439" i="3"/>
  <c r="B439" i="3"/>
  <c r="A441" i="3" l="1"/>
  <c r="C440" i="3"/>
  <c r="D440" i="3"/>
  <c r="B440" i="3"/>
  <c r="A442" i="3" l="1"/>
  <c r="C441" i="3"/>
  <c r="D441" i="3"/>
  <c r="B441" i="3"/>
  <c r="A443" i="3" l="1"/>
  <c r="C442" i="3"/>
  <c r="D442" i="3"/>
  <c r="B442" i="3"/>
  <c r="A444" i="3" l="1"/>
  <c r="D443" i="3"/>
  <c r="B443" i="3"/>
  <c r="C443" i="3"/>
  <c r="A445" i="3" l="1"/>
  <c r="C444" i="3"/>
  <c r="D444" i="3"/>
  <c r="B444" i="3"/>
  <c r="A446" i="3" l="1"/>
  <c r="B445" i="3"/>
  <c r="C445" i="3"/>
  <c r="D445" i="3"/>
  <c r="A447" i="3" l="1"/>
  <c r="C446" i="3"/>
  <c r="D446" i="3"/>
  <c r="B446" i="3"/>
  <c r="A448" i="3" l="1"/>
  <c r="D447" i="3"/>
  <c r="B447" i="3"/>
  <c r="C447" i="3"/>
  <c r="A449" i="3" l="1"/>
  <c r="C448" i="3"/>
  <c r="D448" i="3"/>
  <c r="B448" i="3"/>
  <c r="A450" i="3" l="1"/>
  <c r="C449" i="3"/>
  <c r="D449" i="3"/>
  <c r="B449" i="3"/>
  <c r="A451" i="3" l="1"/>
  <c r="C450" i="3"/>
  <c r="D450" i="3"/>
  <c r="B450" i="3"/>
  <c r="A452" i="3" l="1"/>
  <c r="B451" i="3"/>
  <c r="C451" i="3"/>
  <c r="D451" i="3"/>
  <c r="A453" i="3" l="1"/>
  <c r="C452" i="3"/>
  <c r="D452" i="3"/>
  <c r="B452" i="3"/>
  <c r="A454" i="3" l="1"/>
  <c r="B453" i="3"/>
  <c r="C453" i="3"/>
  <c r="D453" i="3"/>
  <c r="A455" i="3" l="1"/>
  <c r="B454" i="3"/>
  <c r="C454" i="3"/>
  <c r="D454" i="3"/>
  <c r="A456" i="3" l="1"/>
  <c r="D455" i="3"/>
  <c r="C455" i="3"/>
  <c r="B455" i="3"/>
  <c r="A457" i="3" l="1"/>
  <c r="C456" i="3"/>
  <c r="D456" i="3"/>
  <c r="B456" i="3"/>
  <c r="A458" i="3" l="1"/>
  <c r="D457" i="3"/>
  <c r="B457" i="3"/>
  <c r="C457" i="3"/>
  <c r="A459" i="3" l="1"/>
  <c r="D458" i="3"/>
  <c r="B458" i="3"/>
  <c r="C458" i="3"/>
  <c r="A460" i="3" l="1"/>
  <c r="B459" i="3"/>
  <c r="D459" i="3"/>
  <c r="C459" i="3"/>
  <c r="A461" i="3" l="1"/>
  <c r="C460" i="3"/>
  <c r="D460" i="3"/>
  <c r="B460" i="3"/>
  <c r="A462" i="3" l="1"/>
  <c r="D461" i="3"/>
  <c r="B461" i="3"/>
  <c r="C461" i="3"/>
  <c r="A463" i="3" l="1"/>
  <c r="B462" i="3"/>
  <c r="C462" i="3"/>
  <c r="D462" i="3"/>
  <c r="A464" i="3" l="1"/>
  <c r="C463" i="3"/>
  <c r="D463" i="3"/>
  <c r="B463" i="3"/>
  <c r="A465" i="3" l="1"/>
  <c r="C464" i="3"/>
  <c r="D464" i="3"/>
  <c r="B464" i="3"/>
  <c r="A466" i="3" l="1"/>
  <c r="B465" i="3"/>
  <c r="D465" i="3"/>
  <c r="C465" i="3"/>
  <c r="A467" i="3" l="1"/>
  <c r="B466" i="3"/>
  <c r="C466" i="3"/>
  <c r="D466" i="3"/>
  <c r="A468" i="3" l="1"/>
  <c r="B467" i="3"/>
  <c r="C467" i="3"/>
  <c r="D467" i="3"/>
  <c r="A469" i="3" l="1"/>
  <c r="C468" i="3"/>
  <c r="D468" i="3"/>
  <c r="B468" i="3"/>
  <c r="A470" i="3" l="1"/>
  <c r="B469" i="3"/>
  <c r="C469" i="3"/>
  <c r="D469" i="3"/>
  <c r="A471" i="3" l="1"/>
  <c r="D470" i="3"/>
  <c r="C470" i="3"/>
  <c r="B470" i="3"/>
  <c r="A472" i="3" l="1"/>
  <c r="B471" i="3"/>
  <c r="C471" i="3"/>
  <c r="D471" i="3"/>
  <c r="A473" i="3" l="1"/>
  <c r="C472" i="3"/>
  <c r="D472" i="3"/>
  <c r="B472" i="3"/>
  <c r="A474" i="3" l="1"/>
  <c r="C473" i="3"/>
  <c r="D473" i="3"/>
  <c r="B473" i="3"/>
  <c r="A475" i="3" l="1"/>
  <c r="B474" i="3"/>
  <c r="C474" i="3"/>
  <c r="D474" i="3"/>
  <c r="A476" i="3" l="1"/>
  <c r="D475" i="3"/>
  <c r="B475" i="3"/>
  <c r="C475" i="3"/>
  <c r="A477" i="3" l="1"/>
  <c r="C476" i="3"/>
  <c r="D476" i="3"/>
  <c r="B476" i="3"/>
  <c r="A478" i="3" l="1"/>
  <c r="D477" i="3"/>
  <c r="B477" i="3"/>
  <c r="C477" i="3"/>
  <c r="A479" i="3" l="1"/>
  <c r="B478" i="3"/>
  <c r="C478" i="3"/>
  <c r="D478" i="3"/>
  <c r="A480" i="3" l="1"/>
  <c r="B479" i="3"/>
  <c r="C479" i="3"/>
  <c r="D479" i="3"/>
  <c r="A481" i="3" l="1"/>
  <c r="C480" i="3"/>
  <c r="D480" i="3"/>
  <c r="B480" i="3"/>
  <c r="A482" i="3" l="1"/>
  <c r="B481" i="3"/>
  <c r="C481" i="3"/>
  <c r="D481" i="3"/>
  <c r="A483" i="3" l="1"/>
  <c r="D482" i="3"/>
  <c r="B482" i="3"/>
  <c r="C482" i="3"/>
  <c r="A484" i="3" l="1"/>
  <c r="B483" i="3"/>
  <c r="D483" i="3"/>
  <c r="C483" i="3"/>
  <c r="A485" i="3" l="1"/>
  <c r="C484" i="3"/>
  <c r="D484" i="3"/>
  <c r="B484" i="3"/>
  <c r="A486" i="3" l="1"/>
  <c r="B485" i="3"/>
  <c r="C485" i="3"/>
  <c r="D485" i="3"/>
  <c r="A487" i="3" l="1"/>
  <c r="C486" i="3"/>
  <c r="D486" i="3"/>
  <c r="B486" i="3"/>
  <c r="A488" i="3" l="1"/>
  <c r="C487" i="3"/>
  <c r="D487" i="3"/>
  <c r="B487" i="3"/>
  <c r="A489" i="3" l="1"/>
  <c r="C488" i="3"/>
  <c r="D488" i="3"/>
  <c r="B488" i="3"/>
  <c r="A490" i="3" l="1"/>
  <c r="B489" i="3"/>
  <c r="D489" i="3"/>
  <c r="C489" i="3"/>
  <c r="A491" i="3" l="1"/>
  <c r="C490" i="3"/>
  <c r="D490" i="3"/>
  <c r="B490" i="3"/>
  <c r="A492" i="3" l="1"/>
  <c r="D491" i="3"/>
  <c r="B491" i="3"/>
  <c r="C491" i="3"/>
  <c r="A493" i="3" l="1"/>
  <c r="C492" i="3"/>
  <c r="D492" i="3"/>
  <c r="B492" i="3"/>
  <c r="A494" i="3" l="1"/>
  <c r="B493" i="3"/>
  <c r="C493" i="3"/>
  <c r="D493" i="3"/>
  <c r="A495" i="3" l="1"/>
  <c r="B494" i="3"/>
  <c r="C494" i="3"/>
  <c r="D494" i="3"/>
  <c r="A496" i="3" l="1"/>
  <c r="D495" i="3"/>
  <c r="B495" i="3"/>
  <c r="C495" i="3"/>
  <c r="A497" i="3" l="1"/>
  <c r="C496" i="3"/>
  <c r="D496" i="3"/>
  <c r="B496" i="3"/>
  <c r="A498" i="3" l="1"/>
  <c r="C497" i="3"/>
  <c r="D497" i="3"/>
  <c r="B497" i="3"/>
  <c r="A499" i="3" l="1"/>
  <c r="C498" i="3"/>
  <c r="D498" i="3"/>
  <c r="B498" i="3"/>
  <c r="A500" i="3" l="1"/>
  <c r="B499" i="3"/>
  <c r="C499" i="3"/>
  <c r="D499" i="3"/>
  <c r="A501" i="3" l="1"/>
  <c r="C500" i="3"/>
  <c r="D500" i="3"/>
  <c r="B500" i="3"/>
  <c r="A502" i="3" l="1"/>
  <c r="D501" i="3"/>
  <c r="B501" i="3"/>
  <c r="C501" i="3"/>
  <c r="A503" i="3" l="1"/>
  <c r="B502" i="3"/>
  <c r="C502" i="3"/>
  <c r="D502" i="3"/>
  <c r="A504" i="3" l="1"/>
  <c r="C503" i="3"/>
  <c r="D503" i="3"/>
  <c r="B503" i="3"/>
  <c r="A505" i="3" l="1"/>
  <c r="C504" i="3"/>
  <c r="D504" i="3"/>
  <c r="B504" i="3"/>
  <c r="A506" i="3" l="1"/>
  <c r="D505" i="3"/>
  <c r="B505" i="3"/>
  <c r="C505" i="3"/>
  <c r="A507" i="3" l="1"/>
  <c r="D506" i="3"/>
  <c r="B506" i="3"/>
  <c r="C506" i="3"/>
  <c r="A508" i="3" l="1"/>
  <c r="B507" i="3"/>
  <c r="D507" i="3"/>
  <c r="C507" i="3"/>
  <c r="A509" i="3" l="1"/>
  <c r="C508" i="3"/>
  <c r="D508" i="3"/>
  <c r="B508" i="3"/>
  <c r="A510" i="3" l="1"/>
  <c r="C509" i="3"/>
  <c r="D509" i="3"/>
  <c r="B509" i="3"/>
  <c r="A511" i="3" l="1"/>
  <c r="C510" i="3"/>
  <c r="B510" i="3"/>
  <c r="D510" i="3"/>
  <c r="A512" i="3" l="1"/>
  <c r="C511" i="3"/>
  <c r="D511" i="3"/>
  <c r="B511" i="3"/>
  <c r="A513" i="3" l="1"/>
  <c r="C512" i="3"/>
  <c r="D512" i="3"/>
  <c r="B512" i="3"/>
  <c r="A514" i="3" l="1"/>
  <c r="D513" i="3"/>
  <c r="B513" i="3"/>
  <c r="C513" i="3"/>
  <c r="A515" i="3" l="1"/>
  <c r="B514" i="3"/>
  <c r="D514" i="3"/>
  <c r="C514" i="3"/>
  <c r="A516" i="3" l="1"/>
  <c r="D515" i="3"/>
  <c r="B515" i="3"/>
  <c r="C515" i="3"/>
  <c r="A517" i="3" l="1"/>
  <c r="C516" i="3"/>
  <c r="D516" i="3"/>
  <c r="B516" i="3"/>
  <c r="A518" i="3" l="1"/>
  <c r="B517" i="3"/>
  <c r="C517" i="3"/>
  <c r="D517" i="3"/>
  <c r="A519" i="3" l="1"/>
  <c r="B518" i="3"/>
  <c r="C518" i="3"/>
  <c r="D518" i="3"/>
  <c r="A520" i="3" l="1"/>
  <c r="B519" i="3"/>
  <c r="C519" i="3"/>
  <c r="D519" i="3"/>
  <c r="A521" i="3" l="1"/>
  <c r="C520" i="3"/>
  <c r="D520" i="3"/>
  <c r="B520" i="3"/>
  <c r="A522" i="3" l="1"/>
  <c r="C521" i="3"/>
  <c r="D521" i="3"/>
  <c r="B521" i="3"/>
  <c r="A523" i="3" l="1"/>
  <c r="D522" i="3"/>
  <c r="B522" i="3"/>
  <c r="C522" i="3"/>
  <c r="A524" i="3" l="1"/>
  <c r="C523" i="3"/>
  <c r="D523" i="3"/>
  <c r="B523" i="3"/>
  <c r="A525" i="3" l="1"/>
  <c r="C524" i="3"/>
  <c r="D524" i="3"/>
  <c r="B524" i="3"/>
  <c r="A526" i="3" l="1"/>
  <c r="B525" i="3"/>
  <c r="C525" i="3"/>
  <c r="D525" i="3"/>
  <c r="A527" i="3" l="1"/>
  <c r="B526" i="3"/>
  <c r="C526" i="3"/>
  <c r="D526" i="3"/>
  <c r="A528" i="3" l="1"/>
  <c r="B527" i="3"/>
  <c r="C527" i="3"/>
  <c r="D527" i="3"/>
  <c r="A529" i="3" l="1"/>
  <c r="C528" i="3"/>
  <c r="D528" i="3"/>
  <c r="B528" i="3"/>
  <c r="A530" i="3" l="1"/>
  <c r="B529" i="3"/>
  <c r="C529" i="3"/>
  <c r="D529" i="3"/>
  <c r="A531" i="3" l="1"/>
  <c r="D530" i="3"/>
  <c r="C530" i="3"/>
  <c r="B530" i="3"/>
  <c r="A532" i="3" l="1"/>
  <c r="B531" i="3"/>
  <c r="C531" i="3"/>
  <c r="D531" i="3"/>
  <c r="A533" i="3" l="1"/>
  <c r="C532" i="3"/>
  <c r="D532" i="3"/>
  <c r="B532" i="3"/>
  <c r="A534" i="3" l="1"/>
  <c r="D533" i="3"/>
  <c r="C533" i="3"/>
  <c r="B533" i="3"/>
  <c r="A535" i="3" l="1"/>
  <c r="B534" i="3"/>
  <c r="C534" i="3"/>
  <c r="D534" i="3"/>
  <c r="A536" i="3" l="1"/>
  <c r="C535" i="3"/>
  <c r="D535" i="3"/>
  <c r="B535" i="3"/>
  <c r="A537" i="3" l="1"/>
  <c r="C536" i="3"/>
  <c r="D536" i="3"/>
  <c r="B536" i="3"/>
  <c r="A538" i="3" l="1"/>
  <c r="B537" i="3"/>
  <c r="C537" i="3"/>
  <c r="D537" i="3"/>
  <c r="A539" i="3" l="1"/>
  <c r="D538" i="3"/>
  <c r="B538" i="3"/>
  <c r="C538" i="3"/>
  <c r="A540" i="3" l="1"/>
  <c r="D539" i="3"/>
  <c r="B539" i="3"/>
  <c r="C539" i="3"/>
  <c r="A541" i="3" l="1"/>
  <c r="C540" i="3"/>
  <c r="D540" i="3"/>
  <c r="B540" i="3"/>
  <c r="A542" i="3" l="1"/>
  <c r="B541" i="3"/>
  <c r="C541" i="3"/>
  <c r="D541" i="3"/>
  <c r="A543" i="3" l="1"/>
  <c r="C542" i="3"/>
  <c r="D542" i="3"/>
  <c r="B542" i="3"/>
  <c r="A544" i="3" l="1"/>
  <c r="B543" i="3"/>
  <c r="C543" i="3"/>
  <c r="D543" i="3"/>
  <c r="A545" i="3" l="1"/>
  <c r="C544" i="3"/>
  <c r="D544" i="3"/>
  <c r="B544" i="3"/>
  <c r="A546" i="3" l="1"/>
  <c r="C545" i="3"/>
  <c r="D545" i="3"/>
  <c r="B545" i="3"/>
  <c r="A547" i="3" l="1"/>
  <c r="C546" i="3"/>
  <c r="D546" i="3"/>
  <c r="B546" i="3"/>
  <c r="A548" i="3" l="1"/>
  <c r="D547" i="3"/>
  <c r="B547" i="3"/>
  <c r="C547" i="3"/>
  <c r="A549" i="3" l="1"/>
  <c r="C548" i="3"/>
  <c r="D548" i="3"/>
  <c r="B548" i="3"/>
  <c r="A550" i="3" l="1"/>
  <c r="B549" i="3"/>
  <c r="C549" i="3"/>
  <c r="D549" i="3"/>
  <c r="A551" i="3" l="1"/>
  <c r="B550" i="3"/>
  <c r="C550" i="3"/>
  <c r="D550" i="3"/>
  <c r="A552" i="3" l="1"/>
  <c r="B551" i="3"/>
  <c r="C551" i="3"/>
  <c r="D551" i="3"/>
  <c r="A553" i="3" l="1"/>
  <c r="C552" i="3"/>
  <c r="D552" i="3"/>
  <c r="B552" i="3"/>
  <c r="A554" i="3" l="1"/>
  <c r="D553" i="3"/>
  <c r="C553" i="3"/>
  <c r="B553" i="3"/>
  <c r="A555" i="3" l="1"/>
  <c r="D554" i="3"/>
  <c r="B554" i="3"/>
  <c r="C554" i="3"/>
  <c r="A556" i="3" l="1"/>
  <c r="B555" i="3"/>
  <c r="C555" i="3"/>
  <c r="D555" i="3"/>
  <c r="A557" i="3" l="1"/>
  <c r="C556" i="3"/>
  <c r="D556" i="3"/>
  <c r="B556" i="3"/>
  <c r="A558" i="3" l="1"/>
  <c r="B557" i="3"/>
  <c r="C557" i="3"/>
  <c r="D557" i="3"/>
  <c r="A559" i="3" l="1"/>
  <c r="B558" i="3"/>
  <c r="C558" i="3"/>
  <c r="D558" i="3"/>
  <c r="A560" i="3" l="1"/>
  <c r="C559" i="3"/>
  <c r="D559" i="3"/>
  <c r="B559" i="3"/>
  <c r="A561" i="3" l="1"/>
  <c r="C560" i="3"/>
  <c r="D560" i="3"/>
  <c r="B560" i="3"/>
  <c r="A562" i="3" l="1"/>
  <c r="D561" i="3"/>
  <c r="C561" i="3"/>
  <c r="B561" i="3"/>
  <c r="A563" i="3" l="1"/>
  <c r="B562" i="3"/>
  <c r="C562" i="3"/>
  <c r="D562" i="3"/>
  <c r="A564" i="3" l="1"/>
  <c r="B563" i="3"/>
  <c r="C563" i="3"/>
  <c r="D563" i="3"/>
  <c r="A565" i="3" l="1"/>
  <c r="C564" i="3"/>
  <c r="B564" i="3"/>
  <c r="D564" i="3"/>
  <c r="A566" i="3" l="1"/>
  <c r="C565" i="3"/>
  <c r="D565" i="3"/>
  <c r="B565" i="3"/>
  <c r="A567" i="3" l="1"/>
  <c r="C566" i="3"/>
  <c r="D566" i="3"/>
  <c r="B566" i="3"/>
  <c r="A568" i="3" l="1"/>
  <c r="C567" i="3"/>
  <c r="B567" i="3"/>
  <c r="D567" i="3"/>
  <c r="A569" i="3" l="1"/>
  <c r="C568" i="3"/>
  <c r="D568" i="3"/>
  <c r="B568" i="3"/>
  <c r="A570" i="3" l="1"/>
  <c r="B569" i="3"/>
  <c r="C569" i="3"/>
  <c r="D569" i="3"/>
  <c r="A571" i="3" l="1"/>
  <c r="C570" i="3"/>
  <c r="D570" i="3"/>
  <c r="B570" i="3"/>
  <c r="A572" i="3" l="1"/>
  <c r="B571" i="3"/>
  <c r="C571" i="3"/>
  <c r="D571" i="3"/>
  <c r="A573" i="3" l="1"/>
  <c r="C572" i="3"/>
  <c r="B572" i="3"/>
  <c r="D572" i="3"/>
  <c r="A574" i="3" l="1"/>
  <c r="B573" i="3"/>
  <c r="C573" i="3"/>
  <c r="D573" i="3"/>
  <c r="A575" i="3" l="1"/>
  <c r="B574" i="3"/>
  <c r="C574" i="3"/>
  <c r="D574" i="3"/>
  <c r="A576" i="3" l="1"/>
  <c r="C575" i="3"/>
  <c r="D575" i="3"/>
  <c r="B575" i="3"/>
  <c r="A577" i="3" l="1"/>
  <c r="C576" i="3"/>
  <c r="B576" i="3"/>
  <c r="D576" i="3"/>
  <c r="A578" i="3" l="1"/>
  <c r="C577" i="3"/>
  <c r="D577" i="3"/>
  <c r="B577" i="3"/>
  <c r="A579" i="3" l="1"/>
  <c r="B578" i="3"/>
  <c r="D578" i="3"/>
  <c r="C578" i="3"/>
  <c r="A580" i="3" l="1"/>
  <c r="D579" i="3"/>
  <c r="B579" i="3"/>
  <c r="C579" i="3"/>
  <c r="A581" i="3" l="1"/>
  <c r="C580" i="3"/>
  <c r="D580" i="3"/>
  <c r="B580" i="3"/>
  <c r="A582" i="3" l="1"/>
  <c r="D581" i="3"/>
  <c r="B581" i="3"/>
  <c r="C581" i="3"/>
  <c r="A583" i="3" l="1"/>
  <c r="B582" i="3"/>
  <c r="D582" i="3"/>
  <c r="C582" i="3"/>
  <c r="A584" i="3" l="1"/>
  <c r="B583" i="3"/>
  <c r="C583" i="3"/>
  <c r="D583" i="3"/>
  <c r="A585" i="3" l="1"/>
  <c r="C584" i="3"/>
  <c r="B584" i="3"/>
  <c r="D584" i="3"/>
  <c r="A586" i="3" l="1"/>
  <c r="D585" i="3"/>
  <c r="C585" i="3"/>
  <c r="B585" i="3"/>
  <c r="A587" i="3" l="1"/>
  <c r="B586" i="3"/>
  <c r="C586" i="3"/>
  <c r="D586" i="3"/>
  <c r="A588" i="3" l="1"/>
  <c r="B587" i="3"/>
  <c r="C587" i="3"/>
  <c r="D587" i="3"/>
  <c r="A589" i="3" l="1"/>
  <c r="C588" i="3"/>
  <c r="D588" i="3"/>
  <c r="B588" i="3"/>
  <c r="A590" i="3" l="1"/>
  <c r="B589" i="3"/>
  <c r="C589" i="3"/>
  <c r="D589" i="3"/>
  <c r="A591" i="3" l="1"/>
  <c r="C590" i="3"/>
  <c r="D590" i="3"/>
  <c r="B590" i="3"/>
  <c r="A592" i="3" l="1"/>
  <c r="C591" i="3"/>
  <c r="D591" i="3"/>
  <c r="B591" i="3"/>
  <c r="A593" i="3" l="1"/>
  <c r="C592" i="3"/>
  <c r="B592" i="3"/>
  <c r="D592" i="3"/>
  <c r="A594" i="3" l="1"/>
  <c r="B593" i="3"/>
  <c r="D593" i="3"/>
  <c r="C593" i="3"/>
  <c r="A595" i="3" l="1"/>
  <c r="D594" i="3"/>
  <c r="B594" i="3"/>
  <c r="C594" i="3"/>
  <c r="A596" i="3" l="1"/>
  <c r="B595" i="3"/>
  <c r="D595" i="3"/>
  <c r="C595" i="3"/>
  <c r="A597" i="3" l="1"/>
  <c r="C596" i="3"/>
  <c r="D596" i="3"/>
  <c r="B596" i="3"/>
  <c r="A598" i="3" l="1"/>
  <c r="B597" i="3"/>
  <c r="D597" i="3"/>
  <c r="C597" i="3"/>
  <c r="A599" i="3" l="1"/>
  <c r="D598" i="3"/>
  <c r="B598" i="3"/>
  <c r="C598" i="3"/>
  <c r="A600" i="3" l="1"/>
  <c r="B599" i="3"/>
  <c r="C599" i="3"/>
  <c r="D599" i="3"/>
  <c r="A601" i="3" l="1"/>
  <c r="C600" i="3"/>
  <c r="B600" i="3"/>
  <c r="D600" i="3"/>
  <c r="A602" i="3" l="1"/>
  <c r="D601" i="3"/>
  <c r="B601" i="3"/>
  <c r="C601" i="3"/>
  <c r="A603" i="3" l="1"/>
  <c r="B602" i="3"/>
  <c r="D602" i="3"/>
  <c r="C602" i="3"/>
  <c r="A604" i="3" l="1"/>
  <c r="C603" i="3"/>
  <c r="D603" i="3"/>
  <c r="B603" i="3"/>
  <c r="A605" i="3" l="1"/>
  <c r="C604" i="3"/>
  <c r="D604" i="3"/>
  <c r="B604" i="3"/>
  <c r="A606" i="3" l="1"/>
  <c r="C605" i="3"/>
  <c r="B605" i="3"/>
  <c r="D605" i="3"/>
  <c r="A607" i="3" l="1"/>
  <c r="D606" i="3"/>
  <c r="B606" i="3"/>
  <c r="C606" i="3"/>
  <c r="A608" i="3" l="1"/>
  <c r="D607" i="3"/>
  <c r="B607" i="3"/>
  <c r="C607" i="3"/>
  <c r="A609" i="3" l="1"/>
  <c r="C608" i="3"/>
  <c r="B608" i="3"/>
  <c r="D608" i="3"/>
  <c r="A610" i="3" l="1"/>
  <c r="D609" i="3"/>
  <c r="B609" i="3"/>
  <c r="C609" i="3"/>
  <c r="A611" i="3" l="1"/>
  <c r="B610" i="3"/>
  <c r="D610" i="3"/>
  <c r="C610" i="3"/>
  <c r="A612" i="3" l="1"/>
  <c r="D611" i="3"/>
  <c r="B611" i="3"/>
  <c r="C611" i="3"/>
  <c r="A613" i="3" l="1"/>
  <c r="C612" i="3"/>
  <c r="B612" i="3"/>
  <c r="D612" i="3"/>
  <c r="A614" i="3" l="1"/>
  <c r="B613" i="3"/>
  <c r="D613" i="3"/>
  <c r="C613" i="3"/>
  <c r="A615" i="3" l="1"/>
  <c r="B614" i="3"/>
  <c r="C614" i="3"/>
  <c r="D614" i="3"/>
  <c r="A616" i="3" l="1"/>
  <c r="D615" i="3"/>
  <c r="C615" i="3"/>
  <c r="B615" i="3"/>
  <c r="A617" i="3" l="1"/>
  <c r="C616" i="3"/>
  <c r="D616" i="3"/>
  <c r="B616" i="3"/>
  <c r="A618" i="3" l="1"/>
  <c r="B617" i="3"/>
  <c r="D617" i="3"/>
  <c r="C617" i="3"/>
  <c r="A619" i="3" l="1"/>
  <c r="B618" i="3"/>
  <c r="C618" i="3"/>
  <c r="D618" i="3"/>
  <c r="A620" i="3" l="1"/>
  <c r="B619" i="3"/>
  <c r="C619" i="3"/>
  <c r="D619" i="3"/>
  <c r="A621" i="3" l="1"/>
  <c r="C620" i="3"/>
  <c r="D620" i="3"/>
  <c r="B620" i="3"/>
  <c r="A622" i="3" l="1"/>
  <c r="B621" i="3"/>
  <c r="C621" i="3"/>
  <c r="D621" i="3"/>
  <c r="A623" i="3" l="1"/>
  <c r="D622" i="3"/>
  <c r="B622" i="3"/>
  <c r="C622" i="3"/>
  <c r="A624" i="3" l="1"/>
  <c r="B623" i="3"/>
  <c r="C623" i="3"/>
  <c r="D623" i="3"/>
  <c r="A625" i="3" l="1"/>
  <c r="C624" i="3"/>
  <c r="B624" i="3"/>
  <c r="D624" i="3"/>
  <c r="A626" i="3" l="1"/>
  <c r="C625" i="3"/>
  <c r="D625" i="3"/>
  <c r="B625" i="3"/>
  <c r="A627" i="3" l="1"/>
  <c r="B626" i="3"/>
  <c r="C626" i="3"/>
  <c r="D626" i="3"/>
  <c r="A628" i="3" l="1"/>
  <c r="D627" i="3"/>
  <c r="B627" i="3"/>
  <c r="C627" i="3"/>
  <c r="A629" i="3" l="1"/>
  <c r="C628" i="3"/>
  <c r="B628" i="3"/>
  <c r="D628" i="3"/>
  <c r="A630" i="3" l="1"/>
  <c r="D629" i="3"/>
  <c r="B629" i="3"/>
  <c r="C629" i="3"/>
  <c r="A631" i="3" l="1"/>
  <c r="B630" i="3"/>
  <c r="D630" i="3"/>
  <c r="C630" i="3"/>
  <c r="A632" i="3" l="1"/>
  <c r="B631" i="3"/>
  <c r="D631" i="3"/>
  <c r="C631" i="3"/>
  <c r="A633" i="3" l="1"/>
  <c r="D632" i="3"/>
  <c r="B632" i="3"/>
  <c r="C632" i="3"/>
  <c r="A634" i="3" l="1"/>
  <c r="D633" i="3"/>
  <c r="B633" i="3"/>
  <c r="C633" i="3"/>
  <c r="A635" i="3" l="1"/>
  <c r="B634" i="3"/>
  <c r="C634" i="3"/>
  <c r="D634" i="3"/>
  <c r="A636" i="3" l="1"/>
  <c r="C635" i="3"/>
  <c r="B635" i="3"/>
  <c r="D635" i="3"/>
  <c r="A637" i="3" l="1"/>
  <c r="B636" i="3"/>
  <c r="C636" i="3"/>
  <c r="D636" i="3"/>
  <c r="A638" i="3" l="1"/>
  <c r="D637" i="3"/>
  <c r="C637" i="3"/>
  <c r="B637" i="3"/>
  <c r="A639" i="3" l="1"/>
  <c r="B638" i="3"/>
  <c r="C638" i="3"/>
  <c r="D638" i="3"/>
  <c r="A640" i="3" l="1"/>
  <c r="B639" i="3"/>
  <c r="C639" i="3"/>
  <c r="D639" i="3"/>
  <c r="A641" i="3" l="1"/>
  <c r="B640" i="3"/>
  <c r="D640" i="3"/>
  <c r="C640" i="3"/>
  <c r="A642" i="3" l="1"/>
  <c r="D641" i="3"/>
  <c r="C641" i="3"/>
  <c r="B641" i="3"/>
  <c r="A643" i="3" l="1"/>
  <c r="B642" i="3"/>
  <c r="D642" i="3"/>
  <c r="C642" i="3"/>
  <c r="A644" i="3" l="1"/>
  <c r="B643" i="3"/>
  <c r="C643" i="3"/>
  <c r="D643" i="3"/>
  <c r="A645" i="3" l="1"/>
  <c r="C644" i="3"/>
  <c r="B644" i="3"/>
  <c r="D644" i="3"/>
  <c r="A646" i="3" l="1"/>
  <c r="D645" i="3"/>
  <c r="B645" i="3"/>
  <c r="C645" i="3"/>
  <c r="A647" i="3" l="1"/>
  <c r="B646" i="3"/>
  <c r="D646" i="3"/>
  <c r="C646" i="3"/>
  <c r="A648" i="3" l="1"/>
  <c r="C647" i="3"/>
  <c r="D647" i="3"/>
  <c r="B647" i="3"/>
  <c r="A649" i="3" l="1"/>
  <c r="B648" i="3"/>
  <c r="C648" i="3"/>
  <c r="D648" i="3"/>
  <c r="A650" i="3" l="1"/>
  <c r="D649" i="3"/>
  <c r="B649" i="3"/>
  <c r="C649" i="3"/>
  <c r="A651" i="3" l="1"/>
  <c r="B650" i="3"/>
  <c r="D650" i="3"/>
  <c r="C650" i="3"/>
  <c r="A652" i="3" l="1"/>
  <c r="B651" i="3"/>
  <c r="C651" i="3"/>
  <c r="D651" i="3"/>
  <c r="A653" i="3" l="1"/>
  <c r="B652" i="3"/>
  <c r="C652" i="3"/>
  <c r="D652" i="3"/>
  <c r="A654" i="3" l="1"/>
  <c r="D653" i="3"/>
  <c r="C653" i="3"/>
  <c r="B653" i="3"/>
  <c r="A655" i="3" l="1"/>
  <c r="B654" i="3"/>
  <c r="C654" i="3"/>
  <c r="D654" i="3"/>
  <c r="A656" i="3" l="1"/>
  <c r="C655" i="3"/>
  <c r="D655" i="3"/>
  <c r="B655" i="3"/>
  <c r="A657" i="3" l="1"/>
  <c r="D656" i="3"/>
  <c r="C656" i="3"/>
  <c r="B656" i="3"/>
  <c r="A658" i="3" l="1"/>
  <c r="D657" i="3"/>
  <c r="B657" i="3"/>
  <c r="C657" i="3"/>
  <c r="A659" i="3" l="1"/>
  <c r="B658" i="3"/>
  <c r="D658" i="3"/>
  <c r="C658" i="3"/>
  <c r="A660" i="3" l="1"/>
  <c r="C659" i="3"/>
  <c r="D659" i="3"/>
  <c r="B659" i="3"/>
  <c r="A661" i="3" l="1"/>
  <c r="C660" i="3"/>
  <c r="D660" i="3"/>
  <c r="B660" i="3"/>
  <c r="A662" i="3" l="1"/>
  <c r="D661" i="3"/>
  <c r="C661" i="3"/>
  <c r="B661" i="3"/>
  <c r="A663" i="3" l="1"/>
  <c r="B662" i="3"/>
  <c r="C662" i="3"/>
  <c r="D662" i="3"/>
  <c r="A664" i="3" l="1"/>
  <c r="C663" i="3"/>
  <c r="B663" i="3"/>
  <c r="D663" i="3"/>
  <c r="A665" i="3" l="1"/>
  <c r="D664" i="3"/>
  <c r="B664" i="3"/>
  <c r="C664" i="3"/>
  <c r="A666" i="3" l="1"/>
  <c r="D665" i="3"/>
  <c r="B665" i="3"/>
  <c r="C665" i="3"/>
  <c r="A667" i="3" l="1"/>
  <c r="B666" i="3"/>
  <c r="D666" i="3"/>
  <c r="C666" i="3"/>
  <c r="A668" i="3" l="1"/>
  <c r="B667" i="3"/>
  <c r="D667" i="3"/>
  <c r="C667" i="3"/>
  <c r="A669" i="3" l="1"/>
  <c r="B668" i="3"/>
  <c r="C668" i="3"/>
  <c r="D668" i="3"/>
  <c r="A670" i="3" l="1"/>
  <c r="D669" i="3"/>
  <c r="B669" i="3"/>
  <c r="C669" i="3"/>
  <c r="A671" i="3" l="1"/>
  <c r="B670" i="3"/>
  <c r="D670" i="3"/>
  <c r="C670" i="3"/>
  <c r="A672" i="3" l="1"/>
  <c r="C671" i="3"/>
  <c r="D671" i="3"/>
  <c r="B671" i="3"/>
  <c r="A673" i="3" l="1"/>
  <c r="C672" i="3"/>
  <c r="B672" i="3"/>
  <c r="D672" i="3"/>
  <c r="A674" i="3" l="1"/>
  <c r="D673" i="3"/>
  <c r="C673" i="3"/>
  <c r="B673" i="3"/>
  <c r="A675" i="3" l="1"/>
  <c r="B674" i="3"/>
  <c r="C674" i="3"/>
  <c r="D674" i="3"/>
  <c r="A676" i="3" l="1"/>
  <c r="C675" i="3"/>
  <c r="B675" i="3"/>
  <c r="D675" i="3"/>
  <c r="A677" i="3" l="1"/>
  <c r="B676" i="3"/>
  <c r="C676" i="3"/>
  <c r="D676" i="3"/>
  <c r="A678" i="3" l="1"/>
  <c r="D677" i="3"/>
  <c r="B677" i="3"/>
  <c r="C677" i="3"/>
  <c r="A679" i="3" l="1"/>
  <c r="B678" i="3"/>
  <c r="C678" i="3"/>
  <c r="D678" i="3"/>
  <c r="A680" i="3" l="1"/>
  <c r="B679" i="3"/>
  <c r="C679" i="3"/>
  <c r="D679" i="3"/>
  <c r="A681" i="3" l="1"/>
  <c r="D680" i="3"/>
  <c r="B680" i="3"/>
  <c r="C680" i="3"/>
  <c r="A682" i="3" l="1"/>
  <c r="D681" i="3"/>
  <c r="B681" i="3"/>
  <c r="C681" i="3"/>
  <c r="A683" i="3" l="1"/>
  <c r="B682" i="3"/>
  <c r="D682" i="3"/>
  <c r="C682" i="3"/>
  <c r="A684" i="3" l="1"/>
  <c r="B683" i="3"/>
  <c r="D683" i="3"/>
  <c r="C683" i="3"/>
  <c r="A685" i="3" l="1"/>
  <c r="C684" i="3"/>
  <c r="B684" i="3"/>
  <c r="D684" i="3"/>
  <c r="A686" i="3" l="1"/>
  <c r="D685" i="3"/>
  <c r="C685" i="3"/>
  <c r="B685" i="3"/>
  <c r="A687" i="3" l="1"/>
  <c r="B686" i="3"/>
  <c r="C686" i="3"/>
  <c r="D686" i="3"/>
  <c r="A688" i="3" l="1"/>
  <c r="B687" i="3"/>
  <c r="C687" i="3"/>
  <c r="D687" i="3"/>
  <c r="A689" i="3" l="1"/>
  <c r="B688" i="3"/>
  <c r="C688" i="3"/>
  <c r="D688" i="3"/>
  <c r="A690" i="3" l="1"/>
  <c r="D689" i="3"/>
  <c r="B689" i="3"/>
  <c r="C689" i="3"/>
  <c r="A691" i="3" l="1"/>
  <c r="B690" i="3"/>
  <c r="D690" i="3"/>
  <c r="C690" i="3"/>
  <c r="A692" i="3" l="1"/>
  <c r="B691" i="3"/>
  <c r="C691" i="3"/>
  <c r="D691" i="3"/>
  <c r="A693" i="3" l="1"/>
  <c r="D692" i="3"/>
  <c r="B692" i="3"/>
  <c r="C692" i="3"/>
  <c r="A694" i="3" l="1"/>
  <c r="D693" i="3"/>
  <c r="C693" i="3"/>
  <c r="B693" i="3"/>
  <c r="A695" i="3" l="1"/>
  <c r="B694" i="3"/>
  <c r="D694" i="3"/>
  <c r="C694" i="3"/>
  <c r="A696" i="3" l="1"/>
  <c r="C695" i="3"/>
  <c r="D695" i="3"/>
  <c r="B695" i="3"/>
  <c r="A697" i="3" l="1"/>
  <c r="D696" i="3"/>
  <c r="B696" i="3"/>
  <c r="C696" i="3"/>
  <c r="A698" i="3" l="1"/>
  <c r="D697" i="3"/>
  <c r="B697" i="3"/>
  <c r="C697" i="3"/>
  <c r="A699" i="3" l="1"/>
  <c r="B698" i="3"/>
  <c r="C698" i="3"/>
  <c r="D698" i="3"/>
  <c r="A700" i="3" l="1"/>
  <c r="C699" i="3"/>
  <c r="B699" i="3"/>
  <c r="D699" i="3"/>
  <c r="A701" i="3" l="1"/>
  <c r="B700" i="3"/>
  <c r="C700" i="3"/>
  <c r="D700" i="3"/>
  <c r="A702" i="3" l="1"/>
  <c r="D701" i="3"/>
  <c r="B701" i="3"/>
  <c r="C701" i="3"/>
  <c r="A703" i="3" l="1"/>
  <c r="B702" i="3"/>
  <c r="C702" i="3"/>
  <c r="D702" i="3"/>
  <c r="A704" i="3" l="1"/>
  <c r="D703" i="3"/>
  <c r="B703" i="3"/>
  <c r="C703" i="3"/>
  <c r="A705" i="3" l="1"/>
  <c r="D704" i="3"/>
  <c r="B704" i="3"/>
  <c r="C704" i="3"/>
  <c r="A706" i="3" l="1"/>
  <c r="D705" i="3"/>
  <c r="B705" i="3"/>
  <c r="C705" i="3"/>
  <c r="A707" i="3" l="1"/>
  <c r="B706" i="3"/>
  <c r="C706" i="3"/>
  <c r="D706" i="3"/>
  <c r="A708" i="3" l="1"/>
  <c r="C707" i="3"/>
  <c r="B707" i="3"/>
  <c r="D707" i="3"/>
  <c r="A709" i="3" l="1"/>
  <c r="C708" i="3"/>
  <c r="D708" i="3"/>
  <c r="B708" i="3"/>
  <c r="A710" i="3" l="1"/>
  <c r="D709" i="3"/>
  <c r="C709" i="3"/>
  <c r="B709" i="3"/>
  <c r="A711" i="3" l="1"/>
  <c r="B710" i="3"/>
  <c r="C710" i="3"/>
  <c r="D710" i="3"/>
  <c r="A712" i="3" l="1"/>
  <c r="C711" i="3"/>
  <c r="B711" i="3"/>
  <c r="D711" i="3"/>
  <c r="A713" i="3" l="1"/>
  <c r="B712" i="3"/>
  <c r="C712" i="3"/>
  <c r="D712" i="3"/>
  <c r="A714" i="3" l="1"/>
  <c r="D713" i="3"/>
  <c r="B713" i="3"/>
  <c r="C713" i="3"/>
  <c r="A715" i="3" l="1"/>
  <c r="B714" i="3"/>
  <c r="D714" i="3"/>
  <c r="C714" i="3"/>
  <c r="A716" i="3" l="1"/>
  <c r="B715" i="3"/>
  <c r="C715" i="3"/>
  <c r="D715" i="3"/>
  <c r="A717" i="3" l="1"/>
  <c r="D716" i="3"/>
  <c r="B716" i="3"/>
  <c r="C716" i="3"/>
  <c r="A718" i="3" l="1"/>
  <c r="D717" i="3"/>
  <c r="C717" i="3"/>
  <c r="B717" i="3"/>
  <c r="A719" i="3" l="1"/>
  <c r="B718" i="3"/>
  <c r="C718" i="3"/>
  <c r="D718" i="3"/>
  <c r="A720" i="3" l="1"/>
  <c r="C719" i="3"/>
  <c r="D719" i="3"/>
  <c r="B719" i="3"/>
  <c r="A721" i="3" l="1"/>
  <c r="B720" i="3"/>
  <c r="C720" i="3"/>
  <c r="D720" i="3"/>
  <c r="A722" i="3" l="1"/>
  <c r="D721" i="3"/>
  <c r="B721" i="3"/>
  <c r="C721" i="3"/>
  <c r="A723" i="3" l="1"/>
  <c r="B722" i="3"/>
  <c r="D722" i="3"/>
  <c r="C722" i="3"/>
  <c r="A724" i="3" l="1"/>
  <c r="B723" i="3"/>
  <c r="C723" i="3"/>
  <c r="D723" i="3"/>
  <c r="A725" i="3" l="1"/>
  <c r="B724" i="3"/>
  <c r="C724" i="3"/>
  <c r="D724" i="3"/>
  <c r="A726" i="3" l="1"/>
  <c r="D725" i="3"/>
  <c r="B725" i="3"/>
  <c r="C725" i="3"/>
  <c r="A727" i="3" l="1"/>
  <c r="B726" i="3"/>
  <c r="C726" i="3"/>
  <c r="D726" i="3"/>
  <c r="A728" i="3" l="1"/>
  <c r="C727" i="3"/>
  <c r="D727" i="3"/>
  <c r="B727" i="3"/>
  <c r="A729" i="3" l="1"/>
  <c r="D728" i="3"/>
  <c r="B728" i="3"/>
  <c r="C728" i="3"/>
  <c r="A730" i="3" l="1"/>
  <c r="D729" i="3"/>
  <c r="B729" i="3"/>
  <c r="C729" i="3"/>
  <c r="A731" i="3" l="1"/>
  <c r="B730" i="3"/>
  <c r="C730" i="3"/>
  <c r="D730" i="3"/>
  <c r="A732" i="3" l="1"/>
  <c r="B731" i="3"/>
  <c r="C731" i="3"/>
  <c r="D731" i="3"/>
  <c r="A733" i="3" l="1"/>
  <c r="B732" i="3"/>
  <c r="C732" i="3"/>
  <c r="D732" i="3"/>
  <c r="A734" i="3" l="1"/>
  <c r="D733" i="3"/>
  <c r="C733" i="3"/>
  <c r="B733" i="3"/>
  <c r="A735" i="3" l="1"/>
  <c r="B734" i="3"/>
  <c r="C734" i="3"/>
  <c r="D734" i="3"/>
  <c r="A736" i="3" l="1"/>
  <c r="B735" i="3"/>
  <c r="C735" i="3"/>
  <c r="D735" i="3"/>
  <c r="A737" i="3" l="1"/>
  <c r="D736" i="3"/>
  <c r="B736" i="3"/>
  <c r="C736" i="3"/>
  <c r="A738" i="3" l="1"/>
  <c r="D737" i="3"/>
  <c r="B737" i="3"/>
  <c r="C737" i="3"/>
  <c r="A739" i="3" l="1"/>
  <c r="B738" i="3"/>
  <c r="D738" i="3"/>
  <c r="C738" i="3"/>
  <c r="A740" i="3" l="1"/>
  <c r="B739" i="3"/>
  <c r="C739" i="3"/>
  <c r="D739" i="3"/>
  <c r="A741" i="3" l="1"/>
  <c r="B740" i="3"/>
  <c r="D740" i="3"/>
  <c r="C740" i="3"/>
  <c r="A742" i="3" l="1"/>
  <c r="D741" i="3"/>
  <c r="B741" i="3"/>
  <c r="C741" i="3"/>
  <c r="A743" i="3" l="1"/>
  <c r="B742" i="3"/>
  <c r="D742" i="3"/>
  <c r="C742" i="3"/>
  <c r="A744" i="3" l="1"/>
  <c r="C743" i="3"/>
  <c r="D743" i="3"/>
  <c r="B743" i="3"/>
  <c r="A745" i="3" l="1"/>
  <c r="B744" i="3"/>
  <c r="D744" i="3"/>
  <c r="C744" i="3"/>
  <c r="A746" i="3" l="1"/>
  <c r="D745" i="3"/>
  <c r="C745" i="3"/>
  <c r="B745" i="3"/>
  <c r="A747" i="3" l="1"/>
  <c r="B746" i="3"/>
  <c r="D746" i="3"/>
  <c r="C746" i="3"/>
  <c r="A748" i="3" l="1"/>
  <c r="C747" i="3"/>
  <c r="D747" i="3"/>
  <c r="B747" i="3"/>
  <c r="A749" i="3" l="1"/>
  <c r="B748" i="3"/>
  <c r="C748" i="3"/>
  <c r="D748" i="3"/>
  <c r="A750" i="3" l="1"/>
  <c r="D749" i="3"/>
  <c r="C749" i="3"/>
  <c r="B749" i="3"/>
  <c r="A751" i="3" l="1"/>
  <c r="B750" i="3"/>
  <c r="C750" i="3"/>
  <c r="D750" i="3"/>
  <c r="A752" i="3" l="1"/>
  <c r="C751" i="3"/>
  <c r="B751" i="3"/>
  <c r="D751" i="3"/>
  <c r="A753" i="3" l="1"/>
  <c r="D752" i="3"/>
  <c r="B752" i="3"/>
  <c r="C752" i="3"/>
  <c r="A754" i="3" l="1"/>
  <c r="D753" i="3"/>
  <c r="B753" i="3"/>
  <c r="C753" i="3"/>
  <c r="A755" i="3" l="1"/>
  <c r="C754" i="3"/>
  <c r="D754" i="3"/>
  <c r="B754" i="3"/>
  <c r="A756" i="3" l="1"/>
  <c r="C755" i="3"/>
  <c r="D755" i="3"/>
  <c r="B755" i="3"/>
  <c r="A757" i="3" l="1"/>
  <c r="C756" i="3"/>
  <c r="D756" i="3"/>
  <c r="B756" i="3"/>
  <c r="A758" i="3" l="1"/>
  <c r="D757" i="3"/>
  <c r="B757" i="3"/>
  <c r="C757" i="3"/>
  <c r="A759" i="3" l="1"/>
  <c r="B758" i="3"/>
  <c r="C758" i="3"/>
  <c r="D758" i="3"/>
  <c r="A760" i="3" l="1"/>
  <c r="D759" i="3"/>
  <c r="B759" i="3"/>
  <c r="C759" i="3"/>
  <c r="A761" i="3" l="1"/>
  <c r="D760" i="3"/>
  <c r="B760" i="3"/>
  <c r="C760" i="3"/>
  <c r="A762" i="3" l="1"/>
  <c r="D761" i="3"/>
  <c r="C761" i="3"/>
  <c r="B761" i="3"/>
  <c r="A763" i="3" l="1"/>
  <c r="B762" i="3"/>
  <c r="C762" i="3"/>
  <c r="D762" i="3"/>
  <c r="A764" i="3" l="1"/>
  <c r="B763" i="3"/>
  <c r="C763" i="3"/>
  <c r="D763" i="3"/>
  <c r="A765" i="3" l="1"/>
  <c r="C764" i="3"/>
  <c r="B764" i="3"/>
  <c r="D764" i="3"/>
  <c r="A766" i="3" l="1"/>
  <c r="D765" i="3"/>
  <c r="B765" i="3"/>
  <c r="C765" i="3"/>
  <c r="A767" i="3" l="1"/>
  <c r="B766" i="3"/>
  <c r="C766" i="3"/>
  <c r="D766" i="3"/>
  <c r="A768" i="3" l="1"/>
  <c r="C767" i="3"/>
  <c r="B767" i="3"/>
  <c r="D767" i="3"/>
  <c r="A769" i="3" l="1"/>
  <c r="C768" i="3"/>
  <c r="B768" i="3"/>
  <c r="D768" i="3"/>
  <c r="A770" i="3" l="1"/>
  <c r="D769" i="3"/>
  <c r="C769" i="3"/>
  <c r="B769" i="3"/>
  <c r="A771" i="3" l="1"/>
  <c r="C770" i="3"/>
  <c r="D770" i="3"/>
  <c r="B770" i="3"/>
  <c r="A772" i="3" l="1"/>
  <c r="B771" i="3"/>
  <c r="C771" i="3"/>
  <c r="D771" i="3"/>
  <c r="A773" i="3" l="1"/>
  <c r="C772" i="3"/>
  <c r="D772" i="3"/>
  <c r="B772" i="3"/>
  <c r="A774" i="3" l="1"/>
  <c r="D773" i="3"/>
  <c r="B773" i="3"/>
  <c r="C773" i="3"/>
  <c r="A775" i="3" l="1"/>
  <c r="D774" i="3"/>
  <c r="B774" i="3"/>
  <c r="C774" i="3"/>
  <c r="A776" i="3" l="1"/>
  <c r="B775" i="3"/>
  <c r="C775" i="3"/>
  <c r="D775" i="3"/>
  <c r="A777" i="3" l="1"/>
  <c r="B776" i="3"/>
  <c r="C776" i="3"/>
  <c r="D776" i="3"/>
  <c r="A778" i="3" l="1"/>
  <c r="D777" i="3"/>
  <c r="C777" i="3"/>
  <c r="B777" i="3"/>
  <c r="A779" i="3" l="1"/>
  <c r="C778" i="3"/>
  <c r="D778" i="3"/>
  <c r="B778" i="3"/>
  <c r="A780" i="3" l="1"/>
  <c r="B779" i="3"/>
  <c r="C779" i="3"/>
  <c r="D779" i="3"/>
  <c r="A781" i="3" l="1"/>
  <c r="B780" i="3"/>
  <c r="C780" i="3"/>
  <c r="D780" i="3"/>
  <c r="A782" i="3" l="1"/>
  <c r="D781" i="3"/>
  <c r="B781" i="3"/>
  <c r="C781" i="3"/>
  <c r="A783" i="3" l="1"/>
  <c r="D782" i="3"/>
  <c r="B782" i="3"/>
  <c r="C782" i="3"/>
  <c r="A784" i="3" l="1"/>
  <c r="C783" i="3"/>
  <c r="D783" i="3"/>
  <c r="B783" i="3"/>
  <c r="A785" i="3" l="1"/>
  <c r="C784" i="3"/>
  <c r="D784" i="3"/>
  <c r="B784" i="3"/>
  <c r="A786" i="3" l="1"/>
  <c r="D785" i="3"/>
  <c r="C785" i="3"/>
  <c r="B785" i="3"/>
  <c r="A787" i="3" l="1"/>
  <c r="B786" i="3"/>
  <c r="C786" i="3"/>
  <c r="D786" i="3"/>
  <c r="A788" i="3" l="1"/>
  <c r="D787" i="3"/>
  <c r="B787" i="3"/>
  <c r="C787" i="3"/>
  <c r="A789" i="3" l="1"/>
  <c r="B788" i="3"/>
  <c r="C788" i="3"/>
  <c r="D788" i="3"/>
  <c r="A790" i="3" l="1"/>
  <c r="D789" i="3"/>
  <c r="C789" i="3"/>
  <c r="B789" i="3"/>
  <c r="A791" i="3" l="1"/>
  <c r="B790" i="3"/>
  <c r="C790" i="3"/>
  <c r="D790" i="3"/>
  <c r="A792" i="3" l="1"/>
  <c r="B791" i="3"/>
  <c r="C791" i="3"/>
  <c r="D791" i="3"/>
  <c r="A793" i="3" l="1"/>
  <c r="B792" i="3"/>
  <c r="C792" i="3"/>
  <c r="D792" i="3"/>
  <c r="A794" i="3" l="1"/>
  <c r="D793" i="3"/>
  <c r="C793" i="3"/>
  <c r="B793" i="3"/>
  <c r="A795" i="3" l="1"/>
  <c r="B794" i="3"/>
  <c r="C794" i="3"/>
  <c r="D794" i="3"/>
  <c r="A796" i="3" l="1"/>
  <c r="C795" i="3"/>
  <c r="D795" i="3"/>
  <c r="B795" i="3"/>
  <c r="A797" i="3" l="1"/>
  <c r="C796" i="3"/>
  <c r="D796" i="3"/>
  <c r="B796" i="3"/>
  <c r="A798" i="3" l="1"/>
  <c r="D797" i="3"/>
  <c r="B797" i="3"/>
  <c r="C797" i="3"/>
  <c r="A799" i="3" l="1"/>
  <c r="D798" i="3"/>
  <c r="B798" i="3"/>
  <c r="C798" i="3"/>
  <c r="A800" i="3" l="1"/>
  <c r="D799" i="3"/>
  <c r="C799" i="3"/>
  <c r="B799" i="3"/>
  <c r="A801" i="3" l="1"/>
  <c r="D800" i="3"/>
  <c r="B800" i="3"/>
  <c r="C800" i="3"/>
  <c r="A802" i="3" l="1"/>
  <c r="D801" i="3"/>
  <c r="B801" i="3"/>
  <c r="C801" i="3"/>
  <c r="A803" i="3" l="1"/>
  <c r="B802" i="3"/>
  <c r="D802" i="3"/>
  <c r="C802" i="3"/>
  <c r="A804" i="3" l="1"/>
  <c r="D803" i="3"/>
  <c r="B803" i="3"/>
  <c r="C803" i="3"/>
  <c r="A805" i="3" l="1"/>
  <c r="B804" i="3"/>
  <c r="C804" i="3"/>
  <c r="D804" i="3"/>
  <c r="A806" i="3" l="1"/>
  <c r="D805" i="3"/>
  <c r="B805" i="3"/>
  <c r="C805" i="3"/>
  <c r="A807" i="3" l="1"/>
  <c r="C806" i="3"/>
  <c r="D806" i="3"/>
  <c r="B806" i="3"/>
  <c r="A808" i="3" l="1"/>
  <c r="B807" i="3"/>
  <c r="C807" i="3"/>
  <c r="D807" i="3"/>
  <c r="A809" i="3" l="1"/>
  <c r="D808" i="3"/>
  <c r="B808" i="3"/>
  <c r="C808" i="3"/>
  <c r="A810" i="3" l="1"/>
  <c r="D809" i="3"/>
  <c r="C809" i="3"/>
  <c r="B809" i="3"/>
  <c r="A811" i="3" l="1"/>
  <c r="B810" i="3"/>
  <c r="D810" i="3"/>
  <c r="C810" i="3"/>
  <c r="A812" i="3" l="1"/>
  <c r="B811" i="3"/>
  <c r="C811" i="3"/>
  <c r="D811" i="3"/>
  <c r="A813" i="3" l="1"/>
  <c r="C812" i="3"/>
  <c r="D812" i="3"/>
  <c r="B812" i="3"/>
  <c r="A814" i="3" l="1"/>
  <c r="D813" i="3"/>
  <c r="C813" i="3"/>
  <c r="B813" i="3"/>
  <c r="A815" i="3" l="1"/>
  <c r="B814" i="3"/>
  <c r="C814" i="3"/>
  <c r="D814" i="3"/>
  <c r="A816" i="3" l="1"/>
  <c r="B815" i="3"/>
  <c r="C815" i="3"/>
  <c r="D815" i="3"/>
  <c r="A817" i="3" l="1"/>
  <c r="B816" i="3"/>
  <c r="C816" i="3"/>
  <c r="D816" i="3"/>
  <c r="A818" i="3" l="1"/>
  <c r="D817" i="3"/>
  <c r="C817" i="3"/>
  <c r="B817" i="3"/>
  <c r="A819" i="3" l="1"/>
  <c r="C818" i="3"/>
  <c r="D818" i="3"/>
  <c r="B818" i="3"/>
  <c r="A820" i="3" l="1"/>
  <c r="D819" i="3"/>
  <c r="B819" i="3"/>
  <c r="C819" i="3"/>
  <c r="A821" i="3" l="1"/>
  <c r="B820" i="3"/>
  <c r="C820" i="3"/>
  <c r="D820" i="3"/>
  <c r="A822" i="3" l="1"/>
  <c r="D821" i="3"/>
  <c r="B821" i="3"/>
  <c r="C821" i="3"/>
  <c r="A823" i="3" l="1"/>
  <c r="D822" i="3"/>
  <c r="C822" i="3"/>
  <c r="B822" i="3"/>
  <c r="A824" i="3" l="1"/>
  <c r="B823" i="3"/>
  <c r="C823" i="3"/>
  <c r="D823" i="3"/>
  <c r="A825" i="3" l="1"/>
  <c r="D824" i="3"/>
  <c r="B824" i="3"/>
  <c r="C824" i="3"/>
  <c r="A826" i="3" l="1"/>
  <c r="D825" i="3"/>
  <c r="C825" i="3"/>
  <c r="B825" i="3"/>
  <c r="A827" i="3" l="1"/>
  <c r="B826" i="3"/>
  <c r="D826" i="3"/>
  <c r="C826" i="3"/>
  <c r="A828" i="3" l="1"/>
  <c r="B827" i="3"/>
  <c r="C827" i="3"/>
  <c r="D827" i="3"/>
  <c r="A829" i="3" l="1"/>
  <c r="D828" i="3"/>
  <c r="B828" i="3"/>
  <c r="C828" i="3"/>
  <c r="A830" i="3" l="1"/>
  <c r="D829" i="3"/>
  <c r="C829" i="3"/>
  <c r="B829" i="3"/>
  <c r="A831" i="3" l="1"/>
  <c r="B830" i="3"/>
  <c r="C830" i="3"/>
  <c r="D830" i="3"/>
  <c r="A832" i="3" l="1"/>
  <c r="C831" i="3"/>
  <c r="D831" i="3"/>
  <c r="B831" i="3"/>
  <c r="A833" i="3" l="1"/>
  <c r="B832" i="3"/>
  <c r="C832" i="3"/>
  <c r="D832" i="3"/>
  <c r="A834" i="3" l="1"/>
  <c r="D833" i="3"/>
  <c r="B833" i="3"/>
  <c r="C833" i="3"/>
  <c r="A835" i="3" l="1"/>
  <c r="C834" i="3"/>
  <c r="B834" i="3"/>
  <c r="D834" i="3"/>
  <c r="A836" i="3" l="1"/>
  <c r="D835" i="3"/>
  <c r="B835" i="3"/>
  <c r="C835" i="3"/>
  <c r="A837" i="3" l="1"/>
  <c r="B836" i="3"/>
  <c r="C836" i="3"/>
  <c r="D836" i="3"/>
  <c r="A838" i="3" l="1"/>
  <c r="D837" i="3"/>
  <c r="B837" i="3"/>
  <c r="C837" i="3"/>
  <c r="A839" i="3" l="1"/>
  <c r="D838" i="3"/>
  <c r="B838" i="3"/>
  <c r="C838" i="3"/>
  <c r="A840" i="3" l="1"/>
  <c r="B839" i="3"/>
  <c r="C839" i="3"/>
  <c r="D839" i="3"/>
  <c r="A841" i="3" l="1"/>
  <c r="B840" i="3"/>
  <c r="C840" i="3"/>
  <c r="D840" i="3"/>
  <c r="A842" i="3" l="1"/>
  <c r="C841" i="3"/>
  <c r="D841" i="3"/>
  <c r="B841" i="3"/>
  <c r="A843" i="3" l="1"/>
  <c r="C842" i="3"/>
  <c r="B842" i="3"/>
  <c r="D842" i="3"/>
  <c r="A844" i="3" l="1"/>
  <c r="B843" i="3"/>
  <c r="C843" i="3"/>
  <c r="D843" i="3"/>
  <c r="A845" i="3" l="1"/>
  <c r="B844" i="3"/>
  <c r="C844" i="3"/>
  <c r="D844" i="3"/>
  <c r="A846" i="3" l="1"/>
  <c r="C845" i="3"/>
  <c r="D845" i="3"/>
  <c r="B845" i="3"/>
  <c r="A847" i="3" l="1"/>
  <c r="C846" i="3"/>
  <c r="D846" i="3"/>
  <c r="B846" i="3"/>
  <c r="A848" i="3" l="1"/>
  <c r="C847" i="3"/>
  <c r="B847" i="3"/>
  <c r="D847" i="3"/>
  <c r="A849" i="3" l="1"/>
  <c r="B848" i="3"/>
  <c r="C848" i="3"/>
  <c r="D848" i="3"/>
  <c r="A850" i="3" l="1"/>
  <c r="B849" i="3"/>
  <c r="C849" i="3"/>
  <c r="D849" i="3"/>
  <c r="A851" i="3" l="1"/>
  <c r="B850" i="3"/>
  <c r="D850" i="3"/>
  <c r="C850" i="3"/>
  <c r="A852" i="3" l="1"/>
  <c r="C851" i="3"/>
  <c r="D851" i="3"/>
  <c r="B851" i="3"/>
  <c r="A853" i="3" l="1"/>
  <c r="B852" i="3"/>
  <c r="C852" i="3"/>
  <c r="D852" i="3"/>
  <c r="A854" i="3" l="1"/>
  <c r="B853" i="3"/>
  <c r="C853" i="3"/>
  <c r="D853" i="3"/>
  <c r="A855" i="3" l="1"/>
  <c r="D854" i="3"/>
  <c r="B854" i="3"/>
  <c r="C854" i="3"/>
  <c r="A856" i="3" l="1"/>
  <c r="B855" i="3"/>
  <c r="C855" i="3"/>
  <c r="D855" i="3"/>
  <c r="A857" i="3" l="1"/>
  <c r="B856" i="3"/>
  <c r="C856" i="3"/>
  <c r="D856" i="3"/>
  <c r="A858" i="3" l="1"/>
  <c r="B857" i="3"/>
  <c r="C857" i="3"/>
  <c r="D857" i="3"/>
  <c r="A859" i="3" l="1"/>
  <c r="B858" i="3"/>
  <c r="C858" i="3"/>
  <c r="D858" i="3"/>
  <c r="A860" i="3" l="1"/>
  <c r="C859" i="3"/>
  <c r="D859" i="3"/>
  <c r="B859" i="3"/>
  <c r="A861" i="3" l="1"/>
  <c r="B860" i="3"/>
  <c r="C860" i="3"/>
  <c r="D860" i="3"/>
  <c r="A862" i="3" l="1"/>
  <c r="B861" i="3"/>
  <c r="C861" i="3"/>
  <c r="D861" i="3"/>
  <c r="A863" i="3" l="1"/>
  <c r="B862" i="3"/>
  <c r="C862" i="3"/>
  <c r="D862" i="3"/>
  <c r="A864" i="3" l="1"/>
  <c r="B863" i="3"/>
  <c r="C863" i="3"/>
  <c r="D863" i="3"/>
  <c r="A865" i="3" l="1"/>
  <c r="B864" i="3"/>
  <c r="C864" i="3"/>
  <c r="D864" i="3"/>
  <c r="A866" i="3" l="1"/>
  <c r="B865" i="3"/>
  <c r="C865" i="3"/>
  <c r="D865" i="3"/>
  <c r="A867" i="3" l="1"/>
  <c r="B866" i="3"/>
  <c r="C866" i="3"/>
  <c r="D866" i="3"/>
  <c r="A868" i="3" l="1"/>
  <c r="B867" i="3"/>
  <c r="C867" i="3"/>
  <c r="D867" i="3"/>
  <c r="A869" i="3" l="1"/>
  <c r="B868" i="3"/>
  <c r="C868" i="3"/>
  <c r="D868" i="3"/>
  <c r="A870" i="3" l="1"/>
  <c r="C869" i="3"/>
  <c r="B869" i="3"/>
  <c r="D869" i="3"/>
  <c r="A871" i="3" l="1"/>
  <c r="B870" i="3"/>
  <c r="C870" i="3"/>
  <c r="D870" i="3"/>
  <c r="A872" i="3" l="1"/>
  <c r="C871" i="3"/>
  <c r="B871" i="3"/>
  <c r="D871" i="3"/>
  <c r="A873" i="3" l="1"/>
  <c r="B872" i="3"/>
  <c r="C872" i="3"/>
  <c r="D872" i="3"/>
  <c r="A874" i="3" l="1"/>
  <c r="B873" i="3"/>
  <c r="D873" i="3"/>
  <c r="C873" i="3"/>
  <c r="A875" i="3" l="1"/>
  <c r="B874" i="3"/>
  <c r="C874" i="3"/>
  <c r="D874" i="3"/>
  <c r="A876" i="3" l="1"/>
  <c r="C875" i="3"/>
  <c r="D875" i="3"/>
  <c r="B875" i="3"/>
  <c r="A877" i="3" l="1"/>
  <c r="B876" i="3"/>
  <c r="C876" i="3"/>
  <c r="D876" i="3"/>
  <c r="A878" i="3" l="1"/>
  <c r="D877" i="3"/>
  <c r="C877" i="3"/>
  <c r="B877" i="3"/>
  <c r="A879" i="3" l="1"/>
  <c r="D878" i="3"/>
  <c r="B878" i="3"/>
  <c r="C878" i="3"/>
  <c r="A880" i="3" l="1"/>
  <c r="B879" i="3"/>
  <c r="C879" i="3"/>
  <c r="D879" i="3"/>
  <c r="A881" i="3" l="1"/>
  <c r="B880" i="3"/>
  <c r="C880" i="3"/>
  <c r="D880" i="3"/>
  <c r="A882" i="3" l="1"/>
  <c r="C881" i="3"/>
  <c r="D881" i="3"/>
  <c r="B881" i="3"/>
  <c r="A883" i="3" l="1"/>
  <c r="D882" i="3"/>
  <c r="B882" i="3"/>
  <c r="C882" i="3"/>
  <c r="A884" i="3" l="1"/>
  <c r="C883" i="3"/>
  <c r="B883" i="3"/>
  <c r="D883" i="3"/>
  <c r="A885" i="3" l="1"/>
  <c r="B884" i="3"/>
  <c r="C884" i="3"/>
  <c r="D884" i="3"/>
  <c r="A886" i="3" l="1"/>
  <c r="B885" i="3"/>
  <c r="C885" i="3"/>
  <c r="D885" i="3"/>
  <c r="A887" i="3" l="1"/>
  <c r="D886" i="3"/>
  <c r="B886" i="3"/>
  <c r="C886" i="3"/>
  <c r="A888" i="3" l="1"/>
  <c r="D887" i="3"/>
  <c r="B887" i="3"/>
  <c r="C887" i="3"/>
  <c r="A889" i="3" l="1"/>
  <c r="B888" i="3"/>
  <c r="C888" i="3"/>
  <c r="D888" i="3"/>
  <c r="A890" i="3" l="1"/>
  <c r="B889" i="3"/>
  <c r="D889" i="3"/>
  <c r="C889" i="3"/>
  <c r="A891" i="3" l="1"/>
  <c r="B890" i="3"/>
  <c r="C890" i="3"/>
  <c r="D890" i="3"/>
  <c r="A892" i="3" l="1"/>
  <c r="D891" i="3"/>
  <c r="B891" i="3"/>
  <c r="C891" i="3"/>
  <c r="A893" i="3" l="1"/>
  <c r="B892" i="3"/>
  <c r="C892" i="3"/>
  <c r="D892" i="3"/>
  <c r="A894" i="3" l="1"/>
  <c r="C893" i="3"/>
  <c r="D893" i="3"/>
  <c r="B893" i="3"/>
  <c r="A895" i="3" l="1"/>
  <c r="B894" i="3"/>
  <c r="D894" i="3"/>
  <c r="C894" i="3"/>
  <c r="A896" i="3" l="1"/>
  <c r="B895" i="3"/>
  <c r="C895" i="3"/>
  <c r="D895" i="3"/>
  <c r="A897" i="3" l="1"/>
  <c r="B896" i="3"/>
  <c r="C896" i="3"/>
  <c r="D896" i="3"/>
  <c r="A898" i="3" l="1"/>
  <c r="B897" i="3"/>
  <c r="C897" i="3"/>
  <c r="D897" i="3"/>
  <c r="A899" i="3" l="1"/>
  <c r="B898" i="3"/>
  <c r="D898" i="3"/>
  <c r="C898" i="3"/>
  <c r="A900" i="3" l="1"/>
  <c r="B899" i="3"/>
  <c r="D899" i="3"/>
  <c r="C899" i="3"/>
  <c r="A901" i="3" l="1"/>
  <c r="B900" i="3"/>
  <c r="C900" i="3"/>
  <c r="D900" i="3"/>
  <c r="A902" i="3" l="1"/>
  <c r="D901" i="3"/>
  <c r="B901" i="3"/>
  <c r="C901" i="3"/>
  <c r="A903" i="3" l="1"/>
  <c r="D902" i="3"/>
  <c r="B902" i="3"/>
  <c r="C902" i="3"/>
  <c r="A904" i="3" l="1"/>
  <c r="D903" i="3"/>
  <c r="B903" i="3"/>
  <c r="C903" i="3"/>
  <c r="A905" i="3" l="1"/>
  <c r="B904" i="3"/>
  <c r="C904" i="3"/>
  <c r="D904" i="3"/>
  <c r="A906" i="3" l="1"/>
  <c r="C905" i="3"/>
  <c r="D905" i="3"/>
  <c r="B905" i="3"/>
  <c r="A907" i="3" l="1"/>
  <c r="B906" i="3"/>
  <c r="C906" i="3"/>
  <c r="D906" i="3"/>
  <c r="A908" i="3" l="1"/>
  <c r="C907" i="3"/>
  <c r="B907" i="3"/>
  <c r="D907" i="3"/>
  <c r="A909" i="3" l="1"/>
  <c r="B908" i="3"/>
  <c r="C908" i="3"/>
  <c r="D908" i="3"/>
  <c r="A910" i="3" l="1"/>
  <c r="C909" i="3"/>
  <c r="D909" i="3"/>
  <c r="B909" i="3"/>
  <c r="A911" i="3" l="1"/>
  <c r="C910" i="3"/>
  <c r="D910" i="3"/>
  <c r="B910" i="3"/>
  <c r="A912" i="3" l="1"/>
  <c r="C911" i="3"/>
  <c r="D911" i="3"/>
  <c r="B911" i="3"/>
  <c r="A913" i="3" l="1"/>
  <c r="B912" i="3"/>
  <c r="C912" i="3"/>
  <c r="D912" i="3"/>
  <c r="A914" i="3" l="1"/>
  <c r="D913" i="3"/>
  <c r="B913" i="3"/>
  <c r="C913" i="3"/>
  <c r="A915" i="3" l="1"/>
  <c r="C914" i="3"/>
  <c r="D914" i="3"/>
  <c r="B914" i="3"/>
  <c r="A916" i="3" l="1"/>
  <c r="C915" i="3"/>
  <c r="D915" i="3"/>
  <c r="B915" i="3"/>
  <c r="A917" i="3" l="1"/>
  <c r="B916" i="3"/>
  <c r="C916" i="3"/>
  <c r="D916" i="3"/>
  <c r="A918" i="3" l="1"/>
  <c r="C917" i="3"/>
  <c r="D917" i="3"/>
  <c r="B917" i="3"/>
  <c r="A919" i="3" l="1"/>
  <c r="D918" i="3"/>
  <c r="B918" i="3"/>
  <c r="C918" i="3"/>
  <c r="A920" i="3" l="1"/>
  <c r="C919" i="3"/>
  <c r="D919" i="3"/>
  <c r="B919" i="3"/>
  <c r="A921" i="3" l="1"/>
  <c r="B920" i="3"/>
  <c r="C920" i="3"/>
  <c r="D920" i="3"/>
  <c r="A922" i="3" l="1"/>
  <c r="C921" i="3"/>
  <c r="B921" i="3"/>
  <c r="D921" i="3"/>
  <c r="A923" i="3" l="1"/>
  <c r="B922" i="3"/>
  <c r="C922" i="3"/>
  <c r="D922" i="3"/>
  <c r="A924" i="3" l="1"/>
  <c r="B923" i="3"/>
  <c r="C923" i="3"/>
  <c r="D923" i="3"/>
  <c r="A925" i="3" l="1"/>
  <c r="B924" i="3"/>
  <c r="C924" i="3"/>
  <c r="D924" i="3"/>
  <c r="A926" i="3" l="1"/>
  <c r="B925" i="3"/>
  <c r="C925" i="3"/>
  <c r="D925" i="3"/>
  <c r="A927" i="3" l="1"/>
  <c r="D926" i="3"/>
  <c r="B926" i="3"/>
  <c r="C926" i="3"/>
  <c r="A928" i="3" l="1"/>
  <c r="B927" i="3"/>
  <c r="C927" i="3"/>
  <c r="D927" i="3"/>
  <c r="A929" i="3" l="1"/>
  <c r="B928" i="3"/>
  <c r="C928" i="3"/>
  <c r="D928" i="3"/>
  <c r="A930" i="3" l="1"/>
  <c r="B929" i="3"/>
  <c r="C929" i="3"/>
  <c r="D929" i="3"/>
  <c r="A931" i="3" l="1"/>
  <c r="B930" i="3"/>
  <c r="C930" i="3"/>
  <c r="D930" i="3"/>
  <c r="A932" i="3" l="1"/>
  <c r="C931" i="3"/>
  <c r="B931" i="3"/>
  <c r="D931" i="3"/>
  <c r="A933" i="3" l="1"/>
  <c r="B932" i="3"/>
  <c r="C932" i="3"/>
  <c r="D932" i="3"/>
  <c r="A934" i="3" l="1"/>
  <c r="B933" i="3"/>
  <c r="C933" i="3"/>
  <c r="D933" i="3"/>
  <c r="A935" i="3" l="1"/>
  <c r="C934" i="3"/>
  <c r="D934" i="3"/>
  <c r="B934" i="3"/>
  <c r="A936" i="3" l="1"/>
  <c r="B935" i="3"/>
  <c r="C935" i="3"/>
  <c r="D935" i="3"/>
  <c r="A937" i="3" l="1"/>
  <c r="B936" i="3"/>
  <c r="C936" i="3"/>
  <c r="D936" i="3"/>
  <c r="A938" i="3" l="1"/>
  <c r="B937" i="3"/>
  <c r="C937" i="3"/>
  <c r="D937" i="3"/>
  <c r="A939" i="3" l="1"/>
  <c r="C938" i="3"/>
  <c r="D938" i="3"/>
  <c r="B938" i="3"/>
  <c r="A940" i="3" l="1"/>
  <c r="D939" i="3"/>
  <c r="B939" i="3"/>
  <c r="C939" i="3"/>
  <c r="A941" i="3" l="1"/>
  <c r="B940" i="3"/>
  <c r="C940" i="3"/>
  <c r="D940" i="3"/>
  <c r="A942" i="3" l="1"/>
  <c r="C941" i="3"/>
  <c r="B941" i="3"/>
  <c r="D941" i="3"/>
  <c r="A943" i="3" l="1"/>
  <c r="C942" i="3"/>
  <c r="B942" i="3"/>
  <c r="D942" i="3"/>
  <c r="A944" i="3" l="1"/>
  <c r="B943" i="3"/>
  <c r="C943" i="3"/>
  <c r="D943" i="3"/>
  <c r="A945" i="3" l="1"/>
  <c r="B944" i="3"/>
  <c r="C944" i="3"/>
  <c r="D944" i="3"/>
  <c r="A946" i="3" l="1"/>
  <c r="D945" i="3"/>
  <c r="C945" i="3"/>
  <c r="B945" i="3"/>
  <c r="A947" i="3" l="1"/>
  <c r="B946" i="3"/>
  <c r="C946" i="3"/>
  <c r="D946" i="3"/>
  <c r="A948" i="3" l="1"/>
  <c r="B947" i="3"/>
  <c r="C947" i="3"/>
  <c r="D947" i="3"/>
  <c r="A949" i="3" l="1"/>
  <c r="B948" i="3"/>
  <c r="C948" i="3"/>
  <c r="D948" i="3"/>
  <c r="A950" i="3" l="1"/>
  <c r="C949" i="3"/>
  <c r="B949" i="3"/>
  <c r="D949" i="3"/>
  <c r="A951" i="3" l="1"/>
  <c r="C950" i="3"/>
  <c r="D950" i="3"/>
  <c r="B950" i="3"/>
  <c r="A952" i="3" l="1"/>
  <c r="B951" i="3"/>
  <c r="C951" i="3"/>
  <c r="D951" i="3"/>
  <c r="A953" i="3" l="1"/>
  <c r="B952" i="3"/>
  <c r="C952" i="3"/>
  <c r="D952" i="3"/>
  <c r="A954" i="3" l="1"/>
  <c r="C953" i="3"/>
  <c r="D953" i="3"/>
  <c r="B953" i="3"/>
  <c r="A955" i="3" l="1"/>
  <c r="D954" i="3"/>
  <c r="C954" i="3"/>
  <c r="B954" i="3"/>
  <c r="A956" i="3" l="1"/>
  <c r="C955" i="3"/>
  <c r="D955" i="3"/>
  <c r="B955" i="3"/>
  <c r="A957" i="3" l="1"/>
  <c r="B956" i="3"/>
  <c r="D956" i="3"/>
  <c r="C956" i="3"/>
  <c r="A958" i="3" l="1"/>
  <c r="B957" i="3"/>
  <c r="C957" i="3"/>
  <c r="D957" i="3"/>
  <c r="A959" i="3" l="1"/>
  <c r="B958" i="3"/>
  <c r="C958" i="3"/>
  <c r="D958" i="3"/>
  <c r="A960" i="3" l="1"/>
  <c r="B959" i="3"/>
  <c r="C959" i="3"/>
  <c r="D959" i="3"/>
  <c r="A961" i="3" l="1"/>
  <c r="B960" i="3"/>
  <c r="C960" i="3"/>
  <c r="D960" i="3"/>
  <c r="A962" i="3" l="1"/>
  <c r="C961" i="3"/>
  <c r="D961" i="3"/>
  <c r="B961" i="3"/>
  <c r="A963" i="3" l="1"/>
  <c r="D962" i="3"/>
  <c r="C962" i="3"/>
  <c r="B962" i="3"/>
  <c r="A964" i="3" l="1"/>
  <c r="C963" i="3"/>
  <c r="D963" i="3"/>
  <c r="B963" i="3"/>
  <c r="A965" i="3" l="1"/>
  <c r="B964" i="3"/>
  <c r="C964" i="3"/>
  <c r="D964" i="3"/>
  <c r="A966" i="3" l="1"/>
  <c r="B965" i="3"/>
  <c r="C965" i="3"/>
  <c r="D965" i="3"/>
  <c r="A967" i="3" l="1"/>
  <c r="B966" i="3"/>
  <c r="C966" i="3"/>
  <c r="D966" i="3"/>
  <c r="A968" i="3" l="1"/>
  <c r="D967" i="3"/>
  <c r="B967" i="3"/>
  <c r="C967" i="3"/>
  <c r="A969" i="3" l="1"/>
  <c r="B968" i="3"/>
  <c r="C968" i="3"/>
  <c r="D968" i="3"/>
  <c r="A970" i="3" l="1"/>
  <c r="D969" i="3"/>
  <c r="B969" i="3"/>
  <c r="C969" i="3"/>
  <c r="A971" i="3" l="1"/>
  <c r="B970" i="3"/>
  <c r="C970" i="3"/>
  <c r="D970" i="3"/>
  <c r="A972" i="3" l="1"/>
  <c r="B971" i="3"/>
  <c r="D971" i="3"/>
  <c r="C971" i="3"/>
  <c r="A973" i="3" l="1"/>
  <c r="B972" i="3"/>
  <c r="C972" i="3"/>
  <c r="D972" i="3"/>
  <c r="A974" i="3" l="1"/>
  <c r="D973" i="3"/>
  <c r="B973" i="3"/>
  <c r="C973" i="3"/>
  <c r="A975" i="3" l="1"/>
  <c r="C974" i="3"/>
  <c r="D974" i="3"/>
  <c r="B974" i="3"/>
  <c r="A976" i="3" l="1"/>
  <c r="C975" i="3"/>
  <c r="D975" i="3"/>
  <c r="B975" i="3"/>
  <c r="A977" i="3" l="1"/>
  <c r="B976" i="3"/>
  <c r="D976" i="3"/>
  <c r="C976" i="3"/>
  <c r="A978" i="3" l="1"/>
  <c r="D977" i="3"/>
  <c r="B977" i="3"/>
  <c r="C977" i="3"/>
  <c r="A979" i="3" l="1"/>
  <c r="B978" i="3"/>
  <c r="C978" i="3"/>
  <c r="D978" i="3"/>
  <c r="A980" i="3" l="1"/>
  <c r="B979" i="3"/>
  <c r="C979" i="3"/>
  <c r="D979" i="3"/>
  <c r="A981" i="3" l="1"/>
  <c r="B980" i="3"/>
  <c r="C980" i="3"/>
  <c r="D980" i="3"/>
  <c r="A982" i="3" l="1"/>
  <c r="B981" i="3"/>
  <c r="C981" i="3"/>
  <c r="D981" i="3"/>
  <c r="A983" i="3" l="1"/>
  <c r="C982" i="3"/>
  <c r="D982" i="3"/>
  <c r="B982" i="3"/>
  <c r="A984" i="3" l="1"/>
  <c r="D983" i="3"/>
  <c r="B983" i="3"/>
  <c r="C983" i="3"/>
  <c r="A985" i="3" l="1"/>
  <c r="B984" i="3"/>
  <c r="C984" i="3"/>
  <c r="D984" i="3"/>
  <c r="A986" i="3" l="1"/>
  <c r="C985" i="3"/>
  <c r="D985" i="3"/>
  <c r="B985" i="3"/>
  <c r="A987" i="3" l="1"/>
  <c r="D986" i="3"/>
  <c r="B986" i="3"/>
  <c r="C986" i="3"/>
  <c r="A988" i="3" l="1"/>
  <c r="D987" i="3"/>
  <c r="B987" i="3"/>
  <c r="C987" i="3"/>
  <c r="A989" i="3" l="1"/>
  <c r="B988" i="3"/>
  <c r="D988" i="3"/>
  <c r="C988" i="3"/>
  <c r="A990" i="3" l="1"/>
  <c r="D989" i="3"/>
  <c r="B989" i="3"/>
  <c r="C989" i="3"/>
  <c r="A991" i="3" l="1"/>
  <c r="B990" i="3"/>
  <c r="C990" i="3"/>
  <c r="D990" i="3"/>
  <c r="A992" i="3" l="1"/>
  <c r="B991" i="3"/>
  <c r="C991" i="3"/>
  <c r="D991" i="3"/>
  <c r="A993" i="3" l="1"/>
  <c r="B992" i="3"/>
  <c r="D992" i="3"/>
  <c r="C992" i="3"/>
  <c r="A994" i="3" l="1"/>
  <c r="C993" i="3"/>
  <c r="D993" i="3"/>
  <c r="B993" i="3"/>
  <c r="A995" i="3" l="1"/>
  <c r="B994" i="3"/>
  <c r="C994" i="3"/>
  <c r="D994" i="3"/>
  <c r="A996" i="3" l="1"/>
  <c r="B995" i="3"/>
  <c r="C995" i="3"/>
  <c r="D995" i="3"/>
  <c r="A997" i="3" l="1"/>
  <c r="B996" i="3"/>
  <c r="D996" i="3"/>
  <c r="C996" i="3"/>
  <c r="A998" i="3" l="1"/>
  <c r="D997" i="3"/>
  <c r="B997" i="3"/>
  <c r="C997" i="3"/>
  <c r="A999" i="3" l="1"/>
  <c r="C998" i="3"/>
  <c r="B998" i="3"/>
  <c r="D998" i="3"/>
  <c r="A1000" i="3" l="1"/>
  <c r="C999" i="3"/>
  <c r="D999" i="3"/>
  <c r="B999" i="3"/>
  <c r="A1001" i="3" l="1"/>
  <c r="B1000" i="3"/>
  <c r="C1000" i="3"/>
  <c r="D1000" i="3"/>
  <c r="A1002" i="3" l="1"/>
  <c r="D1001" i="3"/>
  <c r="C1001" i="3"/>
  <c r="B1001" i="3"/>
  <c r="A1003" i="3" l="1"/>
  <c r="D1002" i="3"/>
  <c r="C1002" i="3"/>
  <c r="B1002" i="3"/>
  <c r="A1004" i="3" l="1"/>
  <c r="B1003" i="3"/>
  <c r="C1003" i="3"/>
  <c r="D1003" i="3"/>
  <c r="A1005" i="3" l="1"/>
  <c r="B1004" i="3"/>
  <c r="C1004" i="3"/>
  <c r="D1004" i="3"/>
  <c r="A1006" i="3" l="1"/>
  <c r="C1005" i="3"/>
  <c r="B1005" i="3"/>
  <c r="D1005" i="3"/>
  <c r="A1007" i="3" l="1"/>
  <c r="C1006" i="3"/>
  <c r="D1006" i="3"/>
  <c r="B1006" i="3"/>
  <c r="A1008" i="3" l="1"/>
  <c r="B1007" i="3"/>
  <c r="D1007" i="3"/>
  <c r="C1007" i="3"/>
  <c r="A1009" i="3" l="1"/>
  <c r="B1008" i="3"/>
  <c r="C1008" i="3"/>
  <c r="D1008" i="3"/>
  <c r="A1010" i="3" l="1"/>
  <c r="C1009" i="3"/>
  <c r="B1009" i="3"/>
  <c r="D1009" i="3"/>
  <c r="A1011" i="3" l="1"/>
  <c r="B1010" i="3"/>
  <c r="D1010" i="3"/>
  <c r="C1010" i="3"/>
  <c r="A1012" i="3" l="1"/>
  <c r="C1011" i="3"/>
  <c r="D1011" i="3"/>
  <c r="B1011" i="3"/>
  <c r="A1013" i="3" l="1"/>
  <c r="B1012" i="3"/>
  <c r="D1012" i="3"/>
  <c r="C1012" i="3"/>
  <c r="A1014" i="3" l="1"/>
  <c r="D1013" i="3"/>
  <c r="B1013" i="3"/>
  <c r="C1013" i="3"/>
  <c r="A1015" i="3" l="1"/>
  <c r="B1014" i="3"/>
  <c r="C1014" i="3"/>
  <c r="D1014" i="3"/>
  <c r="A1016" i="3" l="1"/>
  <c r="D1015" i="3"/>
  <c r="B1015" i="3"/>
  <c r="C1015" i="3"/>
  <c r="A1017" i="3" l="1"/>
  <c r="B1016" i="3"/>
  <c r="D1016" i="3"/>
  <c r="C1016" i="3"/>
  <c r="A1018" i="3" l="1"/>
  <c r="C1017" i="3"/>
  <c r="D1017" i="3"/>
  <c r="B1017" i="3"/>
  <c r="A1019" i="3" l="1"/>
  <c r="D1018" i="3"/>
  <c r="B1018" i="3"/>
  <c r="C1018" i="3"/>
  <c r="A1020" i="3" l="1"/>
  <c r="B1019" i="3"/>
  <c r="C1019" i="3"/>
  <c r="D1019" i="3"/>
  <c r="A1021" i="3" l="1"/>
  <c r="B1020" i="3"/>
  <c r="D1020" i="3"/>
  <c r="C1020" i="3"/>
  <c r="A1022" i="3" l="1"/>
  <c r="D1021" i="3"/>
  <c r="B1021" i="3"/>
  <c r="C1021" i="3"/>
  <c r="A1023" i="3" l="1"/>
  <c r="D1022" i="3"/>
  <c r="B1022" i="3"/>
  <c r="C1022" i="3"/>
  <c r="A1024" i="3" l="1"/>
  <c r="B1023" i="3"/>
  <c r="C1023" i="3"/>
  <c r="D1023" i="3"/>
  <c r="A1025" i="3" l="1"/>
  <c r="B1024" i="3"/>
  <c r="C1024" i="3"/>
  <c r="D1024" i="3"/>
  <c r="A1026" i="3" l="1"/>
  <c r="C1025" i="3"/>
  <c r="D1025" i="3"/>
  <c r="B1025" i="3"/>
  <c r="A1027" i="3" l="1"/>
  <c r="B1026" i="3"/>
  <c r="C1026" i="3"/>
  <c r="D1026" i="3"/>
  <c r="A1028" i="3" l="1"/>
  <c r="C1027" i="3"/>
  <c r="B1027" i="3"/>
  <c r="D1027" i="3"/>
  <c r="A1029" i="3" l="1"/>
  <c r="B1028" i="3"/>
  <c r="D1028" i="3"/>
  <c r="C1028" i="3"/>
  <c r="A1030" i="3" l="1"/>
  <c r="D1029" i="3"/>
  <c r="C1029" i="3"/>
  <c r="B1029" i="3"/>
  <c r="A1031" i="3" l="1"/>
  <c r="C1030" i="3"/>
  <c r="D1030" i="3"/>
  <c r="B1030" i="3"/>
  <c r="A1032" i="3" l="1"/>
  <c r="C1031" i="3"/>
  <c r="D1031" i="3"/>
  <c r="B1031" i="3"/>
  <c r="A1033" i="3" l="1"/>
  <c r="B1032" i="3"/>
  <c r="D1032" i="3"/>
  <c r="C1032" i="3"/>
  <c r="A1034" i="3" l="1"/>
  <c r="C1033" i="3"/>
  <c r="B1033" i="3"/>
  <c r="D1033" i="3"/>
  <c r="A1035" i="3" l="1"/>
  <c r="D1034" i="3"/>
  <c r="B1034" i="3"/>
  <c r="C1034" i="3"/>
  <c r="A1036" i="3" l="1"/>
  <c r="D1035" i="3"/>
  <c r="B1035" i="3"/>
  <c r="C1035" i="3"/>
  <c r="A1037" i="3" l="1"/>
  <c r="B1036" i="3"/>
  <c r="C1036" i="3"/>
  <c r="D1036" i="3"/>
  <c r="A1038" i="3" l="1"/>
  <c r="D1037" i="3"/>
  <c r="B1037" i="3"/>
  <c r="C1037" i="3"/>
  <c r="A1039" i="3" l="1"/>
  <c r="D1038" i="3"/>
  <c r="B1038" i="3"/>
  <c r="C1038" i="3"/>
  <c r="A1040" i="3" l="1"/>
  <c r="B1039" i="3"/>
  <c r="C1039" i="3"/>
  <c r="D1039" i="3"/>
  <c r="A1041" i="3" l="1"/>
  <c r="B1040" i="3"/>
  <c r="C1040" i="3"/>
  <c r="D1040" i="3"/>
  <c r="A1042" i="3" l="1"/>
  <c r="B1041" i="3"/>
  <c r="D1041" i="3"/>
  <c r="C1041" i="3"/>
  <c r="A1043" i="3" l="1"/>
  <c r="C1042" i="3"/>
  <c r="D1042" i="3"/>
  <c r="B1042" i="3"/>
  <c r="A1044" i="3" l="1"/>
  <c r="C1043" i="3"/>
  <c r="D1043" i="3"/>
  <c r="B1043" i="3"/>
  <c r="A1045" i="3" l="1"/>
  <c r="B1044" i="3"/>
  <c r="D1044" i="3"/>
  <c r="C1044" i="3"/>
  <c r="A1046" i="3" l="1"/>
  <c r="B1045" i="3"/>
  <c r="C1045" i="3"/>
  <c r="D1045" i="3"/>
  <c r="A1047" i="3" l="1"/>
  <c r="D1046" i="3"/>
  <c r="C1046" i="3"/>
  <c r="B1046" i="3"/>
  <c r="A1048" i="3" l="1"/>
  <c r="D1047" i="3"/>
  <c r="C1047" i="3"/>
  <c r="B1047" i="3"/>
  <c r="A1049" i="3" l="1"/>
  <c r="B1048" i="3"/>
  <c r="C1048" i="3"/>
  <c r="D1048" i="3"/>
  <c r="A1050" i="3" l="1"/>
  <c r="B1049" i="3"/>
  <c r="C1049" i="3"/>
  <c r="D1049" i="3"/>
  <c r="A1051" i="3" l="1"/>
  <c r="B1050" i="3"/>
  <c r="C1050" i="3"/>
  <c r="D1050" i="3"/>
  <c r="A1052" i="3" l="1"/>
  <c r="B1051" i="3"/>
  <c r="C1051" i="3"/>
  <c r="D1051" i="3"/>
  <c r="A1053" i="3" l="1"/>
  <c r="B1052" i="3"/>
  <c r="C1052" i="3"/>
  <c r="D1052" i="3"/>
  <c r="A1054" i="3" l="1"/>
  <c r="C1053" i="3"/>
  <c r="B1053" i="3"/>
  <c r="D1053" i="3"/>
  <c r="A1055" i="3" l="1"/>
  <c r="B1054" i="3"/>
  <c r="C1054" i="3"/>
  <c r="D1054" i="3"/>
  <c r="A1056" i="3" l="1"/>
  <c r="D1055" i="3"/>
  <c r="B1055" i="3"/>
  <c r="C1055" i="3"/>
  <c r="A1057" i="3" l="1"/>
  <c r="B1056" i="3"/>
  <c r="D1056" i="3"/>
  <c r="C1056" i="3"/>
  <c r="A1058" i="3" l="1"/>
  <c r="B1057" i="3"/>
  <c r="D1057" i="3"/>
  <c r="C1057" i="3"/>
  <c r="A1059" i="3" l="1"/>
  <c r="B1058" i="3"/>
  <c r="C1058" i="3"/>
  <c r="D1058" i="3"/>
  <c r="A1060" i="3" l="1"/>
  <c r="D1059" i="3"/>
  <c r="B1059" i="3"/>
  <c r="C1059" i="3"/>
  <c r="A1061" i="3" l="1"/>
  <c r="B1060" i="3"/>
  <c r="D1060" i="3"/>
  <c r="C1060" i="3"/>
  <c r="A1062" i="3" l="1"/>
  <c r="B1061" i="3"/>
  <c r="C1061" i="3"/>
  <c r="D1061" i="3"/>
  <c r="A1063" i="3" l="1"/>
  <c r="B1062" i="3"/>
  <c r="C1062" i="3"/>
  <c r="D1062" i="3"/>
  <c r="A1064" i="3" l="1"/>
  <c r="B1063" i="3"/>
  <c r="C1063" i="3"/>
  <c r="D1063" i="3"/>
  <c r="A1065" i="3" l="1"/>
  <c r="B1064" i="3"/>
  <c r="C1064" i="3"/>
  <c r="D1064" i="3"/>
  <c r="A1066" i="3" l="1"/>
  <c r="C1065" i="3"/>
  <c r="D1065" i="3"/>
  <c r="B1065" i="3"/>
  <c r="A1067" i="3" l="1"/>
  <c r="C1066" i="3"/>
  <c r="B1066" i="3"/>
  <c r="D1066" i="3"/>
  <c r="A1068" i="3" l="1"/>
  <c r="C1067" i="3"/>
  <c r="D1067" i="3"/>
  <c r="B1067" i="3"/>
  <c r="A1069" i="3" l="1"/>
  <c r="D1068" i="3"/>
  <c r="B1068" i="3"/>
  <c r="C1068" i="3"/>
  <c r="A1070" i="3" l="1"/>
  <c r="C1069" i="3"/>
  <c r="D1069" i="3"/>
  <c r="B1069" i="3"/>
  <c r="A1071" i="3" l="1"/>
  <c r="C1070" i="3"/>
  <c r="B1070" i="3"/>
  <c r="D1070" i="3"/>
  <c r="A1072" i="3" l="1"/>
  <c r="B1071" i="3"/>
  <c r="D1071" i="3"/>
  <c r="C1071" i="3"/>
  <c r="A1073" i="3" l="1"/>
  <c r="D1072" i="3"/>
  <c r="B1072" i="3"/>
  <c r="C1072" i="3"/>
  <c r="A1074" i="3" l="1"/>
  <c r="C1073" i="3"/>
  <c r="D1073" i="3"/>
  <c r="B1073" i="3"/>
  <c r="A1075" i="3" l="1"/>
  <c r="C1074" i="3"/>
  <c r="B1074" i="3"/>
  <c r="D1074" i="3"/>
  <c r="A1076" i="3" l="1"/>
  <c r="C1075" i="3"/>
  <c r="D1075" i="3"/>
  <c r="B1075" i="3"/>
  <c r="A1077" i="3" l="1"/>
  <c r="B1076" i="3"/>
  <c r="C1076" i="3"/>
  <c r="D1076" i="3"/>
  <c r="A1078" i="3" l="1"/>
  <c r="C1077" i="3"/>
  <c r="D1077" i="3"/>
  <c r="B1077" i="3"/>
  <c r="A1079" i="3" l="1"/>
  <c r="B1078" i="3"/>
  <c r="C1078" i="3"/>
  <c r="D1078" i="3"/>
  <c r="A1080" i="3" l="1"/>
  <c r="B1079" i="3"/>
  <c r="C1079" i="3"/>
  <c r="D1079" i="3"/>
  <c r="A1081" i="3" l="1"/>
  <c r="D1080" i="3"/>
  <c r="B1080" i="3"/>
  <c r="C1080" i="3"/>
  <c r="A1082" i="3" l="1"/>
  <c r="C1081" i="3"/>
  <c r="D1081" i="3"/>
  <c r="B1081" i="3"/>
  <c r="A1083" i="3" l="1"/>
  <c r="C1082" i="3"/>
  <c r="B1082" i="3"/>
  <c r="D1082" i="3"/>
  <c r="A1084" i="3" l="1"/>
  <c r="B1083" i="3"/>
  <c r="D1083" i="3"/>
  <c r="C1083" i="3"/>
  <c r="A1085" i="3" l="1"/>
  <c r="B1084" i="3"/>
  <c r="C1084" i="3"/>
  <c r="D1084" i="3"/>
  <c r="A1086" i="3" l="1"/>
  <c r="C1085" i="3"/>
  <c r="D1085" i="3"/>
  <c r="B1085" i="3"/>
  <c r="A1087" i="3" l="1"/>
  <c r="C1086" i="3"/>
  <c r="B1086" i="3"/>
  <c r="D1086" i="3"/>
  <c r="A1088" i="3" l="1"/>
  <c r="C1087" i="3"/>
  <c r="D1087" i="3"/>
  <c r="B1087" i="3"/>
  <c r="A1089" i="3" l="1"/>
  <c r="B1088" i="3"/>
  <c r="C1088" i="3"/>
  <c r="D1088" i="3"/>
  <c r="A1090" i="3" l="1"/>
  <c r="C1089" i="3"/>
  <c r="D1089" i="3"/>
  <c r="B1089" i="3"/>
  <c r="A1091" i="3" l="1"/>
  <c r="C1090" i="3"/>
  <c r="B1090" i="3"/>
  <c r="D1090" i="3"/>
  <c r="A1092" i="3" l="1"/>
  <c r="B1091" i="3"/>
  <c r="C1091" i="3"/>
  <c r="D1091" i="3"/>
  <c r="A1093" i="3" l="1"/>
  <c r="D1092" i="3"/>
  <c r="B1092" i="3"/>
  <c r="C1092" i="3"/>
  <c r="A1094" i="3" l="1"/>
  <c r="C1093" i="3"/>
  <c r="D1093" i="3"/>
  <c r="B1093" i="3"/>
  <c r="A1095" i="3" l="1"/>
  <c r="B1094" i="3"/>
  <c r="C1094" i="3"/>
  <c r="D1094" i="3"/>
  <c r="A1096" i="3" l="1"/>
  <c r="B1095" i="3"/>
  <c r="D1095" i="3"/>
  <c r="C1095" i="3"/>
  <c r="A1097" i="3" l="1"/>
  <c r="B1096" i="3"/>
  <c r="D1096" i="3"/>
  <c r="C1096" i="3"/>
  <c r="A1098" i="3" l="1"/>
  <c r="C1097" i="3"/>
  <c r="D1097" i="3"/>
  <c r="B1097" i="3"/>
  <c r="A1099" i="3" l="1"/>
  <c r="C1098" i="3"/>
  <c r="B1098" i="3"/>
  <c r="D1098" i="3"/>
  <c r="A1100" i="3" l="1"/>
  <c r="C1099" i="3"/>
  <c r="D1099" i="3"/>
  <c r="B1099" i="3"/>
  <c r="A1101" i="3" l="1"/>
  <c r="B1100" i="3"/>
  <c r="C1100" i="3"/>
  <c r="D1100" i="3"/>
  <c r="A1102" i="3" l="1"/>
  <c r="C1101" i="3"/>
  <c r="D1101" i="3"/>
  <c r="B1101" i="3"/>
  <c r="A1103" i="3" l="1"/>
  <c r="C1102" i="3"/>
  <c r="B1102" i="3"/>
  <c r="D1102" i="3"/>
  <c r="A1104" i="3" l="1"/>
  <c r="D1103" i="3"/>
  <c r="B1103" i="3"/>
  <c r="C1103" i="3"/>
  <c r="A1105" i="3" l="1"/>
  <c r="D1104" i="3"/>
  <c r="B1104" i="3"/>
  <c r="C1104" i="3"/>
  <c r="A1106" i="3" l="1"/>
  <c r="C1105" i="3"/>
  <c r="D1105" i="3"/>
  <c r="B1105" i="3"/>
  <c r="A1107" i="3" l="1"/>
  <c r="B1106" i="3"/>
  <c r="C1106" i="3"/>
  <c r="D1106" i="3"/>
  <c r="A1108" i="3" l="1"/>
  <c r="B1107" i="3"/>
  <c r="D1107" i="3"/>
  <c r="C1107" i="3"/>
  <c r="A1109" i="3" l="1"/>
  <c r="B1108" i="3"/>
  <c r="D1108" i="3"/>
  <c r="C1108" i="3"/>
  <c r="A1110" i="3" l="1"/>
  <c r="C1109" i="3"/>
  <c r="D1109" i="3"/>
  <c r="B1109" i="3"/>
  <c r="A1111" i="3" l="1"/>
  <c r="C1110" i="3"/>
  <c r="B1110" i="3"/>
  <c r="D1110" i="3"/>
  <c r="A1112" i="3" l="1"/>
  <c r="C1111" i="3"/>
  <c r="D1111" i="3"/>
  <c r="B1111" i="3"/>
  <c r="A1113" i="3" l="1"/>
  <c r="B1112" i="3"/>
  <c r="C1112" i="3"/>
  <c r="D1112" i="3"/>
  <c r="A1114" i="3" l="1"/>
  <c r="C1113" i="3"/>
  <c r="D1113" i="3"/>
  <c r="B1113" i="3"/>
  <c r="A1115" i="3" l="1"/>
  <c r="B1114" i="3"/>
  <c r="C1114" i="3"/>
  <c r="D1114" i="3"/>
  <c r="A1116" i="3" l="1"/>
  <c r="B1115" i="3"/>
  <c r="C1115" i="3"/>
  <c r="D1115" i="3"/>
  <c r="A1117" i="3" l="1"/>
  <c r="D1116" i="3"/>
  <c r="B1116" i="3"/>
  <c r="C1116" i="3"/>
  <c r="A1118" i="3" l="1"/>
  <c r="C1117" i="3"/>
  <c r="D1117" i="3"/>
  <c r="B1117" i="3"/>
  <c r="A1119" i="3" l="1"/>
  <c r="C1118" i="3"/>
  <c r="B1118" i="3"/>
  <c r="D1118" i="3"/>
  <c r="A1120" i="3" l="1"/>
  <c r="B1119" i="3"/>
  <c r="C1119" i="3"/>
  <c r="D1119" i="3"/>
  <c r="A1121" i="3" l="1"/>
  <c r="D1120" i="3"/>
  <c r="B1120" i="3"/>
  <c r="C1120" i="3"/>
  <c r="A1122" i="3" l="1"/>
  <c r="C1121" i="3"/>
  <c r="D1121" i="3"/>
  <c r="B1121" i="3"/>
  <c r="A1123" i="3" l="1"/>
  <c r="C1122" i="3"/>
  <c r="B1122" i="3"/>
  <c r="D1122" i="3"/>
  <c r="A1124" i="3" l="1"/>
  <c r="C1123" i="3"/>
  <c r="D1123" i="3"/>
  <c r="B1123" i="3"/>
  <c r="A1125" i="3" l="1"/>
  <c r="B1124" i="3"/>
  <c r="C1124" i="3"/>
  <c r="D1124" i="3"/>
  <c r="A1126" i="3" l="1"/>
  <c r="C1125" i="3"/>
  <c r="D1125" i="3"/>
  <c r="B1125" i="3"/>
  <c r="A1127" i="3" l="1"/>
  <c r="B1126" i="3"/>
  <c r="C1126" i="3"/>
  <c r="D1126" i="3"/>
  <c r="A1128" i="3" l="1"/>
  <c r="C1127" i="3"/>
  <c r="D1127" i="3"/>
  <c r="B1127" i="3"/>
  <c r="A1129" i="3" l="1"/>
  <c r="D1128" i="3"/>
  <c r="B1128" i="3"/>
  <c r="C1128" i="3"/>
  <c r="A1130" i="3" l="1"/>
  <c r="C1129" i="3"/>
  <c r="D1129" i="3"/>
  <c r="B1129" i="3"/>
  <c r="A1131" i="3" l="1"/>
  <c r="C1130" i="3"/>
  <c r="B1130" i="3"/>
  <c r="D1130" i="3"/>
  <c r="A1132" i="3" l="1"/>
  <c r="B1131" i="3"/>
  <c r="D1131" i="3"/>
  <c r="C1131" i="3"/>
  <c r="A1133" i="3" l="1"/>
  <c r="B1132" i="3"/>
  <c r="C1132" i="3"/>
  <c r="D1132" i="3"/>
  <c r="A1134" i="3" l="1"/>
  <c r="C1133" i="3"/>
  <c r="D1133" i="3"/>
  <c r="B1133" i="3"/>
  <c r="A1135" i="3" l="1"/>
  <c r="B1134" i="3"/>
  <c r="C1134" i="3"/>
  <c r="D1134" i="3"/>
  <c r="A1136" i="3" l="1"/>
  <c r="C1135" i="3"/>
  <c r="D1135" i="3"/>
  <c r="B1135" i="3"/>
  <c r="A1137" i="3" l="1"/>
  <c r="B1136" i="3"/>
  <c r="C1136" i="3"/>
  <c r="D1136" i="3"/>
  <c r="A1138" i="3" l="1"/>
  <c r="C1137" i="3"/>
  <c r="D1137" i="3"/>
  <c r="B1137" i="3"/>
  <c r="A1139" i="3" l="1"/>
  <c r="C1138" i="3"/>
  <c r="B1138" i="3"/>
  <c r="D1138" i="3"/>
  <c r="A1140" i="3" l="1"/>
  <c r="B1139" i="3"/>
  <c r="C1139" i="3"/>
  <c r="D1139" i="3"/>
  <c r="A1141" i="3" l="1"/>
  <c r="D1140" i="3"/>
  <c r="B1140" i="3"/>
  <c r="C1140" i="3"/>
  <c r="A1142" i="3" l="1"/>
  <c r="C1141" i="3"/>
  <c r="D1141" i="3"/>
  <c r="B1141" i="3"/>
  <c r="A1143" i="3" l="1"/>
  <c r="B1142" i="3"/>
  <c r="C1142" i="3"/>
  <c r="D1142" i="3"/>
  <c r="A1144" i="3" l="1"/>
  <c r="B1143" i="3"/>
  <c r="D1143" i="3"/>
  <c r="C1143" i="3"/>
  <c r="A1145" i="3" l="1"/>
  <c r="C1144" i="3"/>
  <c r="D1144" i="3"/>
  <c r="B1144" i="3"/>
  <c r="A1146" i="3" l="1"/>
  <c r="C1145" i="3"/>
  <c r="D1145" i="3"/>
  <c r="B1145" i="3"/>
  <c r="A1147" i="3" l="1"/>
  <c r="B1146" i="3"/>
  <c r="C1146" i="3"/>
  <c r="D1146" i="3"/>
  <c r="A1148" i="3" l="1"/>
  <c r="C1147" i="3"/>
  <c r="D1147" i="3"/>
  <c r="B1147" i="3"/>
  <c r="A1149" i="3" l="1"/>
  <c r="B1148" i="3"/>
  <c r="C1148" i="3"/>
  <c r="D1148" i="3"/>
  <c r="A1150" i="3" l="1"/>
  <c r="C1149" i="3"/>
  <c r="D1149" i="3"/>
  <c r="B1149" i="3"/>
  <c r="A1151" i="3" l="1"/>
  <c r="B1150" i="3"/>
  <c r="C1150" i="3"/>
  <c r="D1150" i="3"/>
  <c r="A1152" i="3" l="1"/>
  <c r="C1151" i="3"/>
  <c r="D1151" i="3"/>
  <c r="B1151" i="3"/>
  <c r="A1153" i="3" l="1"/>
  <c r="D1152" i="3"/>
  <c r="B1152" i="3"/>
  <c r="C1152" i="3"/>
  <c r="A1154" i="3" l="1"/>
  <c r="C1153" i="3"/>
  <c r="D1153" i="3"/>
  <c r="B1153" i="3"/>
  <c r="A1155" i="3" l="1"/>
  <c r="C1154" i="3"/>
  <c r="B1154" i="3"/>
  <c r="D1154" i="3"/>
  <c r="A1156" i="3" l="1"/>
  <c r="B1155" i="3"/>
  <c r="C1155" i="3"/>
  <c r="D1155" i="3"/>
  <c r="A1157" i="3" l="1"/>
  <c r="B1156" i="3"/>
  <c r="C1156" i="3"/>
  <c r="D1156" i="3"/>
  <c r="A1158" i="3" l="1"/>
  <c r="C1157" i="3"/>
  <c r="D1157" i="3"/>
  <c r="B1157" i="3"/>
  <c r="A1159" i="3" l="1"/>
  <c r="B1158" i="3"/>
  <c r="C1158" i="3"/>
  <c r="D1158" i="3"/>
  <c r="A1160" i="3" l="1"/>
  <c r="C1159" i="3"/>
  <c r="D1159" i="3"/>
  <c r="B1159" i="3"/>
  <c r="A1161" i="3" l="1"/>
  <c r="B1160" i="3"/>
  <c r="C1160" i="3"/>
  <c r="D1160" i="3"/>
  <c r="A1162" i="3" l="1"/>
  <c r="C1161" i="3"/>
  <c r="D1161" i="3"/>
  <c r="B1161" i="3"/>
  <c r="A1163" i="3" l="1"/>
  <c r="B1162" i="3"/>
  <c r="C1162" i="3"/>
  <c r="D1162" i="3"/>
  <c r="A1164" i="3" l="1"/>
  <c r="D1163" i="3"/>
  <c r="C1163" i="3"/>
  <c r="B1163" i="3"/>
  <c r="A1165" i="3" l="1"/>
  <c r="D1164" i="3"/>
  <c r="B1164" i="3"/>
  <c r="C1164" i="3"/>
  <c r="A1166" i="3" l="1"/>
  <c r="C1165" i="3"/>
  <c r="D1165" i="3"/>
  <c r="B1165" i="3"/>
  <c r="A1167" i="3" l="1"/>
  <c r="C1166" i="3"/>
  <c r="B1166" i="3"/>
  <c r="D1166" i="3"/>
  <c r="A1168" i="3" l="1"/>
  <c r="D1167" i="3"/>
  <c r="B1167" i="3"/>
  <c r="C1167" i="3"/>
  <c r="A1169" i="3" l="1"/>
  <c r="D1168" i="3"/>
  <c r="B1168" i="3"/>
  <c r="C1168" i="3"/>
  <c r="A1170" i="3" l="1"/>
  <c r="C1169" i="3"/>
  <c r="D1169" i="3"/>
  <c r="B1169" i="3"/>
  <c r="A1171" i="3" l="1"/>
  <c r="B1170" i="3"/>
  <c r="C1170" i="3"/>
  <c r="D1170" i="3"/>
  <c r="A1172" i="3" l="1"/>
  <c r="C1171" i="3"/>
  <c r="D1171" i="3"/>
  <c r="B1171" i="3"/>
  <c r="A1173" i="3" l="1"/>
  <c r="B1172" i="3"/>
  <c r="C1172" i="3"/>
  <c r="D1172" i="3"/>
  <c r="A1174" i="3" l="1"/>
  <c r="C1173" i="3"/>
  <c r="D1173" i="3"/>
  <c r="B1173" i="3"/>
  <c r="A1175" i="3" l="1"/>
  <c r="C1174" i="3"/>
  <c r="B1174" i="3"/>
  <c r="D1174" i="3"/>
  <c r="A1176" i="3" l="1"/>
  <c r="B1175" i="3"/>
  <c r="C1175" i="3"/>
  <c r="D1175" i="3"/>
  <c r="A1177" i="3" l="1"/>
  <c r="D1176" i="3"/>
  <c r="B1176" i="3"/>
  <c r="C1176" i="3"/>
  <c r="A1178" i="3" l="1"/>
  <c r="C1177" i="3"/>
  <c r="D1177" i="3"/>
  <c r="B1177" i="3"/>
  <c r="A1179" i="3" l="1"/>
  <c r="B1178" i="3"/>
  <c r="C1178" i="3"/>
  <c r="D1178" i="3"/>
  <c r="A1180" i="3" l="1"/>
  <c r="B1179" i="3"/>
  <c r="D1179" i="3"/>
  <c r="C1179" i="3"/>
  <c r="A1181" i="3" l="1"/>
  <c r="C1180" i="3"/>
  <c r="D1180" i="3"/>
  <c r="B1180" i="3"/>
  <c r="A1182" i="3" l="1"/>
  <c r="B1181" i="3"/>
  <c r="C1181" i="3"/>
  <c r="D1181" i="3"/>
  <c r="A1183" i="3" l="1"/>
  <c r="B1182" i="3"/>
  <c r="D1182" i="3"/>
  <c r="C1182" i="3"/>
  <c r="A1184" i="3" l="1"/>
  <c r="B1183" i="3"/>
  <c r="C1183" i="3"/>
  <c r="D1183" i="3"/>
  <c r="A1185" i="3" l="1"/>
  <c r="D1184" i="3"/>
  <c r="C1184" i="3"/>
  <c r="B1184" i="3"/>
  <c r="A1186" i="3" l="1"/>
  <c r="B1185" i="3"/>
  <c r="C1185" i="3"/>
  <c r="D1185" i="3"/>
  <c r="A1187" i="3" l="1"/>
  <c r="D1186" i="3"/>
  <c r="B1186" i="3"/>
  <c r="C1186" i="3"/>
  <c r="A1188" i="3" l="1"/>
  <c r="B1187" i="3"/>
  <c r="C1187" i="3"/>
  <c r="D1187" i="3"/>
  <c r="A1189" i="3" l="1"/>
  <c r="B1188" i="3"/>
  <c r="C1188" i="3"/>
  <c r="D1188" i="3"/>
  <c r="A1190" i="3" l="1"/>
  <c r="B1189" i="3"/>
  <c r="C1189" i="3"/>
  <c r="D1189" i="3"/>
  <c r="A1191" i="3" l="1"/>
  <c r="B1190" i="3"/>
  <c r="C1190" i="3"/>
  <c r="D1190" i="3"/>
  <c r="A1192" i="3" l="1"/>
  <c r="D1191" i="3"/>
  <c r="C1191" i="3"/>
  <c r="B1191" i="3"/>
  <c r="A1193" i="3" l="1"/>
  <c r="B1192" i="3"/>
  <c r="C1192" i="3"/>
  <c r="D1192" i="3"/>
  <c r="A1194" i="3" l="1"/>
  <c r="B1193" i="3"/>
  <c r="C1193" i="3"/>
  <c r="D1193" i="3"/>
  <c r="A1195" i="3" l="1"/>
  <c r="B1194" i="3"/>
  <c r="C1194" i="3"/>
  <c r="D1194" i="3"/>
  <c r="A1196" i="3" l="1"/>
  <c r="C1195" i="3"/>
  <c r="D1195" i="3"/>
  <c r="B1195" i="3"/>
  <c r="A1197" i="3" l="1"/>
  <c r="B1196" i="3"/>
  <c r="C1196" i="3"/>
  <c r="D1196" i="3"/>
  <c r="A1198" i="3" l="1"/>
  <c r="B1197" i="3"/>
  <c r="C1197" i="3"/>
  <c r="D1197" i="3"/>
  <c r="A1199" i="3" l="1"/>
  <c r="C1198" i="3"/>
  <c r="D1198" i="3"/>
  <c r="B1198" i="3"/>
  <c r="A1200" i="3" l="1"/>
  <c r="B1199" i="3"/>
  <c r="C1199" i="3"/>
  <c r="D1199" i="3"/>
  <c r="A1201" i="3" l="1"/>
  <c r="D1200" i="3"/>
  <c r="B1200" i="3"/>
  <c r="C1200" i="3"/>
  <c r="A1202" i="3" l="1"/>
  <c r="B1201" i="3"/>
  <c r="C1201" i="3"/>
  <c r="D1201" i="3"/>
  <c r="A1203" i="3" l="1"/>
  <c r="B1202" i="3"/>
  <c r="D1202" i="3"/>
  <c r="C1202" i="3"/>
  <c r="A1204" i="3" l="1"/>
  <c r="D1203" i="3"/>
  <c r="C1203" i="3"/>
  <c r="B1203" i="3"/>
  <c r="A1205" i="3" l="1"/>
  <c r="B1204" i="3"/>
  <c r="C1204" i="3"/>
  <c r="D1204" i="3"/>
  <c r="A1206" i="3" l="1"/>
  <c r="B1205" i="3"/>
  <c r="C1205" i="3"/>
  <c r="D1205" i="3"/>
  <c r="A1207" i="3" l="1"/>
  <c r="B1206" i="3"/>
  <c r="C1206" i="3"/>
  <c r="D1206" i="3"/>
  <c r="A1208" i="3" l="1"/>
  <c r="B1207" i="3"/>
  <c r="C1207" i="3"/>
  <c r="D1207" i="3"/>
  <c r="A1209" i="3" l="1"/>
  <c r="B1208" i="3"/>
  <c r="C1208" i="3"/>
  <c r="D1208" i="3"/>
  <c r="A1210" i="3" l="1"/>
  <c r="B1209" i="3"/>
  <c r="C1209" i="3"/>
  <c r="D1209" i="3"/>
  <c r="A1211" i="3" l="1"/>
  <c r="B1210" i="3"/>
  <c r="C1210" i="3"/>
  <c r="D1210" i="3"/>
  <c r="A1212" i="3" l="1"/>
  <c r="B1211" i="3"/>
  <c r="C1211" i="3"/>
  <c r="D1211" i="3"/>
  <c r="A1213" i="3" l="1"/>
  <c r="D1212" i="3"/>
  <c r="B1212" i="3"/>
  <c r="C1212" i="3"/>
  <c r="A1214" i="3" l="1"/>
  <c r="B1213" i="3"/>
  <c r="C1213" i="3"/>
  <c r="D1213" i="3"/>
  <c r="A1215" i="3" l="1"/>
  <c r="B1214" i="3"/>
  <c r="C1214" i="3"/>
  <c r="D1214" i="3"/>
  <c r="A1216" i="3" l="1"/>
  <c r="B1215" i="3"/>
  <c r="D1215" i="3"/>
  <c r="C1215" i="3"/>
  <c r="A1217" i="3" l="1"/>
  <c r="B1216" i="3"/>
  <c r="C1216" i="3"/>
  <c r="D1216" i="3"/>
  <c r="A1218" i="3" l="1"/>
  <c r="B1217" i="3"/>
  <c r="C1217" i="3"/>
  <c r="D1217" i="3"/>
  <c r="B1218" i="3" l="1"/>
  <c r="C1218" i="3"/>
  <c r="D1218" i="3"/>
  <c r="A1219" i="3"/>
  <c r="A1220" i="3" l="1"/>
  <c r="D1219" i="3"/>
  <c r="C1219" i="3"/>
  <c r="B1219" i="3"/>
  <c r="A1221" i="3" l="1"/>
  <c r="D1220" i="3"/>
  <c r="C1220" i="3"/>
  <c r="B1220" i="3"/>
  <c r="A1222" i="3" l="1"/>
  <c r="D1221" i="3"/>
  <c r="B1221" i="3"/>
  <c r="C1221" i="3"/>
  <c r="A1223" i="3" l="1"/>
  <c r="B1222" i="3"/>
  <c r="C1222" i="3"/>
  <c r="D1222" i="3"/>
  <c r="A1224" i="3" l="1"/>
  <c r="D1223" i="3"/>
  <c r="B1223" i="3"/>
  <c r="C1223" i="3"/>
  <c r="A1225" i="3" l="1"/>
  <c r="B1224" i="3"/>
  <c r="C1224" i="3"/>
  <c r="D1224" i="3"/>
  <c r="A1226" i="3" l="1"/>
  <c r="D1225" i="3"/>
  <c r="B1225" i="3"/>
  <c r="C1225" i="3"/>
  <c r="A1227" i="3" l="1"/>
  <c r="B1226" i="3"/>
  <c r="C1226" i="3"/>
  <c r="D1226" i="3"/>
  <c r="B1227" i="3" l="1"/>
  <c r="A1228" i="3"/>
  <c r="C1227" i="3"/>
  <c r="D1227" i="3"/>
  <c r="A1229" i="3" l="1"/>
  <c r="B1228" i="3"/>
  <c r="C1228" i="3"/>
  <c r="D1228" i="3"/>
  <c r="A1230" i="3" l="1"/>
  <c r="B1229" i="3"/>
  <c r="C1229" i="3"/>
  <c r="D1229" i="3"/>
  <c r="A1231" i="3" l="1"/>
  <c r="B1230" i="3"/>
  <c r="C1230" i="3"/>
  <c r="D1230" i="3"/>
  <c r="A1232" i="3" l="1"/>
  <c r="B1231" i="3"/>
  <c r="C1231" i="3"/>
  <c r="D1231" i="3"/>
  <c r="A1233" i="3" l="1"/>
  <c r="B1232" i="3"/>
  <c r="C1232" i="3"/>
  <c r="D1232" i="3"/>
  <c r="A1234" i="3" l="1"/>
  <c r="B1233" i="3"/>
  <c r="C1233" i="3"/>
  <c r="D1233" i="3"/>
  <c r="A1235" i="3" l="1"/>
  <c r="B1234" i="3"/>
  <c r="C1234" i="3"/>
  <c r="D1234" i="3"/>
  <c r="A1236" i="3" l="1"/>
  <c r="B1235" i="3"/>
  <c r="D1235" i="3"/>
  <c r="C1235" i="3"/>
  <c r="A1237" i="3" l="1"/>
  <c r="B1236" i="3"/>
  <c r="C1236" i="3"/>
  <c r="D1236" i="3"/>
  <c r="A1238" i="3" l="1"/>
  <c r="B1237" i="3"/>
  <c r="C1237" i="3"/>
  <c r="D1237" i="3"/>
  <c r="A1239" i="3" l="1"/>
  <c r="D1238" i="3"/>
  <c r="B1238" i="3"/>
  <c r="C1238" i="3"/>
  <c r="A1240" i="3" l="1"/>
  <c r="B1239" i="3"/>
  <c r="C1239" i="3"/>
  <c r="D1239" i="3"/>
  <c r="A1241" i="3" l="1"/>
  <c r="B1240" i="3"/>
  <c r="D1240" i="3"/>
  <c r="C1240" i="3"/>
  <c r="A1242" i="3" l="1"/>
  <c r="B1241" i="3"/>
  <c r="C1241" i="3"/>
  <c r="D1241" i="3"/>
  <c r="A1243" i="3" l="1"/>
  <c r="B1242" i="3"/>
  <c r="C1242" i="3"/>
  <c r="D1242" i="3"/>
  <c r="B1243" i="3" l="1"/>
  <c r="A1244" i="3"/>
  <c r="C1243" i="3"/>
  <c r="D1243" i="3"/>
  <c r="B1244" i="3" l="1"/>
  <c r="C1244" i="3"/>
  <c r="D1244" i="3"/>
  <c r="A1245" i="3"/>
  <c r="B1245" i="3" l="1"/>
  <c r="C1245" i="3"/>
  <c r="D1245" i="3"/>
  <c r="A1246" i="3"/>
  <c r="B1246" i="3" l="1"/>
  <c r="C1246" i="3"/>
  <c r="D1246" i="3"/>
  <c r="A1247" i="3"/>
  <c r="C1247" i="3" l="1"/>
  <c r="A1248" i="3"/>
  <c r="D1247" i="3"/>
  <c r="B1247" i="3"/>
  <c r="A1249" i="3" l="1"/>
  <c r="B1248" i="3"/>
  <c r="C1248" i="3"/>
  <c r="D1248" i="3"/>
  <c r="B1249" i="3" l="1"/>
  <c r="C1249" i="3"/>
  <c r="A1250" i="3"/>
  <c r="D1249" i="3"/>
  <c r="D1250" i="3" l="1"/>
  <c r="B1250" i="3"/>
  <c r="C125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E647C09-918A-4C36-AD46-027E243695B0}" keepAlive="1" name="Query - Transactions_Clean" description="Connection to the 'Transactions_Clean' query in the workbook." type="5" refreshedVersion="8" background="1" saveData="1">
    <dbPr connection="Provider=Microsoft.Mashup.OleDb.1;Data Source=$Workbook$;Location=Transactions_Clean;Extended Properties=&quot;&quot;" command="SELECT * FROM [Transactions_Clean]"/>
  </connection>
  <connection id="2" xr16:uid="{9B241C70-E296-4292-9819-B0B7AFFEEE4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EF9ABF9-C1B4-48B7-B7EC-EB9DA5C115AB}" name="WorksheetConnection_MastekBudgetProject.xlsm!Dim_Calendar" type="102" refreshedVersion="8" minRefreshableVersion="5">
    <extLst>
      <ext xmlns:x15="http://schemas.microsoft.com/office/spreadsheetml/2010/11/main" uri="{DE250136-89BD-433C-8126-D09CA5730AF9}">
        <x15:connection id="Dim_Calendar">
          <x15:rangePr sourceName="_xlcn.WorksheetConnection_MastekBudgetProject.xlsmDim_Calendar1"/>
        </x15:connection>
      </ext>
    </extLst>
  </connection>
  <connection id="4" xr16:uid="{0E6851AD-E5F2-4925-A5C5-1708E5284DE9}" name="WorksheetConnection_MastekBudgetProject.xlsm!Dim_Category" type="102" refreshedVersion="8" minRefreshableVersion="5">
    <extLst>
      <ext xmlns:x15="http://schemas.microsoft.com/office/spreadsheetml/2010/11/main" uri="{DE250136-89BD-433C-8126-D09CA5730AF9}">
        <x15:connection id="Dim_Category">
          <x15:rangePr sourceName="_xlcn.WorksheetConnection_MastekBudgetProject.xlsmDim_Category1"/>
        </x15:connection>
      </ext>
    </extLst>
  </connection>
  <connection id="5" xr16:uid="{85867C0D-4DE4-4660-B8E4-4E0B5CA4C1D6}" name="WorksheetConnection_MastekBudgetProject.xlsm!Raw_Data_Table" type="102" refreshedVersion="8" minRefreshableVersion="5">
    <extLst>
      <ext xmlns:x15="http://schemas.microsoft.com/office/spreadsheetml/2010/11/main" uri="{DE250136-89BD-433C-8126-D09CA5730AF9}">
        <x15:connection id="Raw_Data_Table">
          <x15:rangePr sourceName="_xlcn.WorksheetConnection_MastekBudgetProject.xlsmRaw_Data_Table1"/>
        </x15:connection>
      </ext>
    </extLst>
  </connection>
</connections>
</file>

<file path=xl/sharedStrings.xml><?xml version="1.0" encoding="utf-8"?>
<sst xmlns="http://schemas.openxmlformats.org/spreadsheetml/2006/main" count="55949" uniqueCount="4870">
  <si>
    <t>A full-stack Excel analytics project: Raw Data → Power Query → Data Model → DAX → Dashboard</t>
  </si>
  <si>
    <t>Mastek Digital Engineering Pod — Finance &amp; Budget Tracker</t>
  </si>
  <si>
    <t>Company Reference:     Mastek Ltd (NSE: MASTEK) — Consolidated P&amp;L, FY2024 &amp; FY2025</t>
  </si>
  <si>
    <t>Department Modelled: Digital Engineering Pod (~65 people)</t>
  </si>
  <si>
    <t>Data Type: Simulated transaction-level data, calibrated to real Mastek financials</t>
  </si>
  <si>
    <t>Currency: Indian Rupees (₹), amounts in actual Rupees (not crores)</t>
  </si>
  <si>
    <t>Fiscal Year:           April to March (Indian standard)</t>
  </si>
  <si>
    <t>Built by: KRITI TIWARI</t>
  </si>
  <si>
    <t>Date: June 2026</t>
  </si>
  <si>
    <t>TxnID</t>
  </si>
  <si>
    <t>Date</t>
  </si>
  <si>
    <t>Vendor</t>
  </si>
  <si>
    <t>Category</t>
  </si>
  <si>
    <t>Amount(₹)</t>
  </si>
  <si>
    <t>Account</t>
  </si>
  <si>
    <t>Department</t>
  </si>
  <si>
    <t>FY</t>
  </si>
  <si>
    <t>Quarter</t>
  </si>
  <si>
    <t>GST_Slab</t>
  </si>
  <si>
    <t>TXN-1039</t>
  </si>
  <si>
    <t>03/31/2024</t>
  </si>
  <si>
    <t>Keka HR Software</t>
  </si>
  <si>
    <t>Software &amp; Cloud</t>
  </si>
  <si>
    <t>18%</t>
  </si>
  <si>
    <t>ICICI OpEx A/c</t>
  </si>
  <si>
    <t>Delivery</t>
  </si>
  <si>
    <t>FY2024</t>
  </si>
  <si>
    <t>Q4</t>
  </si>
  <si>
    <t>TXN-0178</t>
  </si>
  <si>
    <t>24-05-2023</t>
  </si>
  <si>
    <t>Flipkart Wholesale</t>
  </si>
  <si>
    <t>Miscellaneous</t>
  </si>
  <si>
    <t>HDFC Current A/c</t>
  </si>
  <si>
    <t>Admin</t>
  </si>
  <si>
    <t>Q1</t>
  </si>
  <si>
    <t>TXN-2715</t>
  </si>
  <si>
    <t>26-09-2025</t>
  </si>
  <si>
    <t>Vodafone Idea Business</t>
  </si>
  <si>
    <t>Communication</t>
  </si>
  <si>
    <t>FY2026</t>
  </si>
  <si>
    <t>Q2</t>
  </si>
  <si>
    <t>TXN-1426</t>
  </si>
  <si>
    <t>29-07-2024</t>
  </si>
  <si>
    <t>Legalwiz.in</t>
  </si>
  <si>
    <t>Professional Fees</t>
  </si>
  <si>
    <t>FY2025</t>
  </si>
  <si>
    <t>TXN-0723</t>
  </si>
  <si>
    <t>06-11-2023</t>
  </si>
  <si>
    <t>Q3</t>
  </si>
  <si>
    <t>TXN-0083</t>
  </si>
  <si>
    <t>27-04-2023</t>
  </si>
  <si>
    <t>Amazon Business</t>
  </si>
  <si>
    <t>TXN-0719</t>
  </si>
  <si>
    <t>29-11-2023</t>
  </si>
  <si>
    <t>ACT Fibernet Corporate</t>
  </si>
  <si>
    <t>TXN-0982</t>
  </si>
  <si>
    <t>19-02-2024</t>
  </si>
  <si>
    <t>IndiaFilings</t>
  </si>
  <si>
    <t>TXN-0020</t>
  </si>
  <si>
    <t>04/06/2023</t>
  </si>
  <si>
    <t>Zeta Expense Portal</t>
  </si>
  <si>
    <t>Employee Reimbursements</t>
  </si>
  <si>
    <t>0%</t>
  </si>
  <si>
    <t>HR</t>
  </si>
  <si>
    <t>TXN-0390</t>
  </si>
  <si>
    <t>20-08-2023</t>
  </si>
  <si>
    <t>Manual Reimbursement</t>
  </si>
  <si>
    <t>TXN-3069</t>
  </si>
  <si>
    <t>09-01-2026</t>
  </si>
  <si>
    <t>BSNL Leased Line</t>
  </si>
  <si>
    <t>TXN-3207</t>
  </si>
  <si>
    <t>22-03-2026</t>
  </si>
  <si>
    <t>Air India Corporate</t>
  </si>
  <si>
    <t>Travel &amp; Conveyance</t>
  </si>
  <si>
    <t>5%</t>
  </si>
  <si>
    <t>TXN-1796</t>
  </si>
  <si>
    <t>16-11-2024</t>
  </si>
  <si>
    <t>TechCircle</t>
  </si>
  <si>
    <t>Marketing &amp; BD</t>
  </si>
  <si>
    <t>Sales</t>
  </si>
  <si>
    <t>TXN-2368</t>
  </si>
  <si>
    <t>07-06-2025</t>
  </si>
  <si>
    <t>TXN-0705</t>
  </si>
  <si>
    <t>22-11-2023</t>
  </si>
  <si>
    <t>LinkedIn India</t>
  </si>
  <si>
    <t>TXN-1578</t>
  </si>
  <si>
    <t>09/23/2024</t>
  </si>
  <si>
    <t>Amazon Web Services</t>
  </si>
  <si>
    <t>TXN-3038</t>
  </si>
  <si>
    <t>06-01-2026</t>
  </si>
  <si>
    <t>IRCTC Corporate</t>
  </si>
  <si>
    <t>TXN-0958</t>
  </si>
  <si>
    <t>13-02-2024</t>
  </si>
  <si>
    <t>Uber for Business</t>
  </si>
  <si>
    <t>TXN-0916</t>
  </si>
  <si>
    <t>18-01-2024</t>
  </si>
  <si>
    <t>TXN-1067</t>
  </si>
  <si>
    <t>02-03-2024</t>
  </si>
  <si>
    <t>TXN-1369</t>
  </si>
  <si>
    <t>04-06-2024</t>
  </si>
  <si>
    <t>Staples India</t>
  </si>
  <si>
    <t>TXN-2167</t>
  </si>
  <si>
    <t>03/29/2025</t>
  </si>
  <si>
    <t>Naukri.com</t>
  </si>
  <si>
    <t>TXN-1455</t>
  </si>
  <si>
    <t>30-07-2024</t>
  </si>
  <si>
    <t>Local Vendor</t>
  </si>
  <si>
    <t>TXN-2243</t>
  </si>
  <si>
    <t>07-04-2025</t>
  </si>
  <si>
    <t>TXN-2230</t>
  </si>
  <si>
    <t>24-04-2025</t>
  </si>
  <si>
    <t>TRAVEL &amp; CONVEYANCE</t>
  </si>
  <si>
    <t>TXN-0919</t>
  </si>
  <si>
    <t>11-01-2024</t>
  </si>
  <si>
    <t>TXN-1782</t>
  </si>
  <si>
    <t>25-11-2024</t>
  </si>
  <si>
    <t>Cleartrip Business</t>
  </si>
  <si>
    <t>TXN-1401</t>
  </si>
  <si>
    <t>02-07-2024</t>
  </si>
  <si>
    <t>UBER FOR BUSINESS</t>
  </si>
  <si>
    <t>TXN-2501</t>
  </si>
  <si>
    <t>27-07-2025</t>
  </si>
  <si>
    <t>TXN-2532</t>
  </si>
  <si>
    <t>14-07-2025</t>
  </si>
  <si>
    <t>TXN-3075</t>
  </si>
  <si>
    <t>01-01-2026</t>
  </si>
  <si>
    <t>URBAN COMPANY (OFFICE)</t>
  </si>
  <si>
    <t>TXN-3073</t>
  </si>
  <si>
    <t>20-01-2026</t>
  </si>
  <si>
    <t>Airtel Business</t>
  </si>
  <si>
    <t>TXN-3039</t>
  </si>
  <si>
    <t>15-01-2026</t>
  </si>
  <si>
    <t>IndiGo Corporate</t>
  </si>
  <si>
    <t>TXN-1024</t>
  </si>
  <si>
    <t>28-03-2024</t>
  </si>
  <si>
    <t>Salary Run â€” March 2024</t>
  </si>
  <si>
    <t>Employee Cost</t>
  </si>
  <si>
    <t>TXN-2381</t>
  </si>
  <si>
    <t>06-06-2025</t>
  </si>
  <si>
    <t>TXN-3248</t>
  </si>
  <si>
    <t>26-03-2026</t>
  </si>
  <si>
    <t>TXN-2709</t>
  </si>
  <si>
    <t>30-09-2025</t>
  </si>
  <si>
    <t>Indiamart Intermesh</t>
  </si>
  <si>
    <t>TXN-0450</t>
  </si>
  <si>
    <t>17-08-2023</t>
  </si>
  <si>
    <t>TXN-0841</t>
  </si>
  <si>
    <t>12-01-2024</t>
  </si>
  <si>
    <t>TXN-1301</t>
  </si>
  <si>
    <t>20-06-2024</t>
  </si>
  <si>
    <t>TXN-1787</t>
  </si>
  <si>
    <t>27-11-2024</t>
  </si>
  <si>
    <t>TXN-2047</t>
  </si>
  <si>
    <t>26-02-2025</t>
  </si>
  <si>
    <t>TXN-1556</t>
  </si>
  <si>
    <t>17-09-2024</t>
  </si>
  <si>
    <t>Client Billing â€” HCL Technologies</t>
  </si>
  <si>
    <t>Revenue</t>
  </si>
  <si>
    <t>TXN-0041</t>
  </si>
  <si>
    <t>22-04-2023</t>
  </si>
  <si>
    <t>TXN-2666</t>
  </si>
  <si>
    <t>Jira / Atlassian</t>
  </si>
  <si>
    <t>TXN-0273</t>
  </si>
  <si>
    <t>15-06-2023</t>
  </si>
  <si>
    <t>TXN-2352</t>
  </si>
  <si>
    <t>05/27/2025</t>
  </si>
  <si>
    <t>Urban Company (office)</t>
  </si>
  <si>
    <t>TXN-1872</t>
  </si>
  <si>
    <t>12/07/2024</t>
  </si>
  <si>
    <t>Ola Corporate</t>
  </si>
  <si>
    <t>TXN-2126</t>
  </si>
  <si>
    <t>03/02/2025</t>
  </si>
  <si>
    <t>TXN-0204</t>
  </si>
  <si>
    <t>04-06-2023</t>
  </si>
  <si>
    <t>Microsoft Azure</t>
  </si>
  <si>
    <t>TXN-1086</t>
  </si>
  <si>
    <t>09-03-2024</t>
  </si>
  <si>
    <t>Tracxn Technologies</t>
  </si>
  <si>
    <t>TXN-0243</t>
  </si>
  <si>
    <t>06/15/2023</t>
  </si>
  <si>
    <t>Grant Thornton India</t>
  </si>
  <si>
    <t>TXN-1806</t>
  </si>
  <si>
    <t>18-11-2024</t>
  </si>
  <si>
    <t>TXN-2359</t>
  </si>
  <si>
    <t>07-05-2025</t>
  </si>
  <si>
    <t>TXN-0404</t>
  </si>
  <si>
    <t>16-08-2023</t>
  </si>
  <si>
    <t>travel &amp; conveyance</t>
  </si>
  <si>
    <t>TXN-2505</t>
  </si>
  <si>
    <t>03-07-2025</t>
  </si>
  <si>
    <t>TXN-0122</t>
  </si>
  <si>
    <t>05/11/2023</t>
  </si>
  <si>
    <t>GitHub Enterprise</t>
  </si>
  <si>
    <t>Software  &amp; Cloud</t>
  </si>
  <si>
    <t>TXN-3214</t>
  </si>
  <si>
    <t>15-03-2026</t>
  </si>
  <si>
    <t>TXN-2564</t>
  </si>
  <si>
    <t>08/22/2025</t>
  </si>
  <si>
    <t>TXN-0023</t>
  </si>
  <si>
    <t>24-04-2023</t>
  </si>
  <si>
    <t>TXN-0752</t>
  </si>
  <si>
    <t>20-12-2023</t>
  </si>
  <si>
    <t>Tally Solutions</t>
  </si>
  <si>
    <t>TXN-3245</t>
  </si>
  <si>
    <t>03/31/2026</t>
  </si>
  <si>
    <t>TXN-1958</t>
  </si>
  <si>
    <t>01-01-2025</t>
  </si>
  <si>
    <t>software &amp; cloud</t>
  </si>
  <si>
    <t>TXN-1227</t>
  </si>
  <si>
    <t>11-05-2024</t>
  </si>
  <si>
    <t>TXN-1686</t>
  </si>
  <si>
    <t>01-10-2024</t>
  </si>
  <si>
    <t>Taj Hotels Corporate</t>
  </si>
  <si>
    <t>TXN-3017</t>
  </si>
  <si>
    <t>30-01-2026</t>
  </si>
  <si>
    <t>Concur India</t>
  </si>
  <si>
    <t>TXN-2013</t>
  </si>
  <si>
    <t>09-02-2025</t>
  </si>
  <si>
    <t>Client Billing â€” Wipro Technologies</t>
  </si>
  <si>
    <t>TXN-0472</t>
  </si>
  <si>
    <t>09/03/2023</t>
  </si>
  <si>
    <t>ZETA EXPENSE PORTAL</t>
  </si>
  <si>
    <t>TXN-0248</t>
  </si>
  <si>
    <t>21-06-2023</t>
  </si>
  <si>
    <t>Google Ads India</t>
  </si>
  <si>
    <t>TXN-3258</t>
  </si>
  <si>
    <t>03/20/2026</t>
  </si>
  <si>
    <t>TXN-0473</t>
  </si>
  <si>
    <t>11-09-2023</t>
  </si>
  <si>
    <t>TXN-3259</t>
  </si>
  <si>
    <t>27-03-2026</t>
  </si>
  <si>
    <t>TXN-2025</t>
  </si>
  <si>
    <t>22-02-2025</t>
  </si>
  <si>
    <t>TXN-1550</t>
  </si>
  <si>
    <t>07-08-2024</t>
  </si>
  <si>
    <t>TXN-1220</t>
  </si>
  <si>
    <t>25-05-2024</t>
  </si>
  <si>
    <t>Google Cloud India</t>
  </si>
  <si>
    <t>TXN-0997</t>
  </si>
  <si>
    <t>09-02-2024</t>
  </si>
  <si>
    <t>TXN-2608</t>
  </si>
  <si>
    <t>14-08-2025</t>
  </si>
  <si>
    <t>TXN-2023</t>
  </si>
  <si>
    <t>21-02-2025</t>
  </si>
  <si>
    <t>TXN-0073</t>
  </si>
  <si>
    <t>08-04-2023</t>
  </si>
  <si>
    <t>TXN-3224</t>
  </si>
  <si>
    <t>16-03-2026</t>
  </si>
  <si>
    <t>Prof. Fees</t>
  </si>
  <si>
    <t>TXN-0950</t>
  </si>
  <si>
    <t>02/07/2024</t>
  </si>
  <si>
    <t>TXN-0230</t>
  </si>
  <si>
    <t>24-06-2023</t>
  </si>
  <si>
    <t>TXN-1848</t>
  </si>
  <si>
    <t>25-12-2024</t>
  </si>
  <si>
    <t>Freshdesk</t>
  </si>
  <si>
    <t>TXN-1821</t>
  </si>
  <si>
    <t>26-11-2024</t>
  </si>
  <si>
    <t>TXN-2561</t>
  </si>
  <si>
    <t>31-08-2025</t>
  </si>
  <si>
    <t>TXN-1084</t>
  </si>
  <si>
    <t>13-03-2024</t>
  </si>
  <si>
    <t>TXN-1982</t>
  </si>
  <si>
    <t>07-01-2025</t>
  </si>
  <si>
    <t>TXN-2406</t>
  </si>
  <si>
    <t>20-06-2025</t>
  </si>
  <si>
    <t>MakeMyTrip Corporate</t>
  </si>
  <si>
    <t>TXN-2387</t>
  </si>
  <si>
    <t>03-06-2025</t>
  </si>
  <si>
    <t>TXN-0124</t>
  </si>
  <si>
    <t>05-05-2023</t>
  </si>
  <si>
    <t>OYO Business</t>
  </si>
  <si>
    <t>TXN-2802</t>
  </si>
  <si>
    <t>23-10-2025</t>
  </si>
  <si>
    <t>LINKEDIN INDIA</t>
  </si>
  <si>
    <t>TXN-2384</t>
  </si>
  <si>
    <t>10-06-2025</t>
  </si>
  <si>
    <t>TXN-0898</t>
  </si>
  <si>
    <t>14-01-2024</t>
  </si>
  <si>
    <t>TXN-2999</t>
  </si>
  <si>
    <t>31-12-2025</t>
  </si>
  <si>
    <t>TXN-0609</t>
  </si>
  <si>
    <t>22-10-2023</t>
  </si>
  <si>
    <t>Trilegal Advocates</t>
  </si>
  <si>
    <t>TXN-1408</t>
  </si>
  <si>
    <t>25-07-2024</t>
  </si>
  <si>
    <t>TXN-1186</t>
  </si>
  <si>
    <t>21-04-2024</t>
  </si>
  <si>
    <t>TXN-1513</t>
  </si>
  <si>
    <t>10-08-2024</t>
  </si>
  <si>
    <t>Regus Coworking Pune</t>
  </si>
  <si>
    <t>TXN-2642</t>
  </si>
  <si>
    <t>23-09-2025</t>
  </si>
  <si>
    <t>Client Billing â€” Accenture India</t>
  </si>
  <si>
    <t>TXN-2915</t>
  </si>
  <si>
    <t>04-11-2025</t>
  </si>
  <si>
    <t>TXN-2557</t>
  </si>
  <si>
    <t>10-08-2025</t>
  </si>
  <si>
    <t>TXN-1714</t>
  </si>
  <si>
    <t>14-10-2024</t>
  </si>
  <si>
    <t>TXN-0138</t>
  </si>
  <si>
    <t>14-05-2023</t>
  </si>
  <si>
    <t>Travel and Conveyance</t>
  </si>
  <si>
    <t>TXN-0354</t>
  </si>
  <si>
    <t>24-07-2023</t>
  </si>
  <si>
    <t>Tata Tele Business</t>
  </si>
  <si>
    <t>TXN-0794</t>
  </si>
  <si>
    <t>10-12-2023</t>
  </si>
  <si>
    <t>TXN-1395</t>
  </si>
  <si>
    <t>14-07-2024</t>
  </si>
  <si>
    <t>Zoho Corp</t>
  </si>
  <si>
    <t>TXN-0583</t>
  </si>
  <si>
    <t>29-10-2023</t>
  </si>
  <si>
    <t>TXN-1325</t>
  </si>
  <si>
    <t>17-06-2024</t>
  </si>
  <si>
    <t>TXN-3048</t>
  </si>
  <si>
    <t>03-01-2026</t>
  </si>
  <si>
    <t>GRANT THORNTON INDIA</t>
  </si>
  <si>
    <t>TXN-2385</t>
  </si>
  <si>
    <t>15-06-2025</t>
  </si>
  <si>
    <t>SOFTWARE &amp; CLOUD</t>
  </si>
  <si>
    <t>TXN-0707</t>
  </si>
  <si>
    <t>16-11-2023</t>
  </si>
  <si>
    <t>TXN-0184</t>
  </si>
  <si>
    <t>07-06-2023</t>
  </si>
  <si>
    <t>TXN-2969</t>
  </si>
  <si>
    <t>06-12-2025</t>
  </si>
  <si>
    <t>TXN-0058</t>
  </si>
  <si>
    <t>12-04-2023</t>
  </si>
  <si>
    <t>TXN-1392</t>
  </si>
  <si>
    <t>24-07-2024</t>
  </si>
  <si>
    <t>Software &amp; cloud</t>
  </si>
  <si>
    <t>TXN-2060</t>
  </si>
  <si>
    <t>02/10/2025</t>
  </si>
  <si>
    <t>TXN-2667</t>
  </si>
  <si>
    <t>06-09-2025</t>
  </si>
  <si>
    <t>TXN-1470</t>
  </si>
  <si>
    <t>TXN-0462</t>
  </si>
  <si>
    <t>01-09-2023</t>
  </si>
  <si>
    <t>Client Billing â€” TCS Digital</t>
  </si>
  <si>
    <t>TXN-0920</t>
  </si>
  <si>
    <t>TXN-0571</t>
  </si>
  <si>
    <t>28-10-2023</t>
  </si>
  <si>
    <t>TXN-2031</t>
  </si>
  <si>
    <t>12-02-2025</t>
  </si>
  <si>
    <t>Slack Technologies</t>
  </si>
  <si>
    <t>TXN-3014</t>
  </si>
  <si>
    <t>27-01-2026</t>
  </si>
  <si>
    <t>TXN-1998</t>
  </si>
  <si>
    <t>20-01-2025</t>
  </si>
  <si>
    <t>TXN-2413</t>
  </si>
  <si>
    <t>17-06-2025</t>
  </si>
  <si>
    <t>TXN-1507</t>
  </si>
  <si>
    <t>21-08-2024</t>
  </si>
  <si>
    <t>TXN-2931</t>
  </si>
  <si>
    <t>01-12-2025</t>
  </si>
  <si>
    <t>TXN-3044</t>
  </si>
  <si>
    <t>10-01-2026</t>
  </si>
  <si>
    <t>TXN-1682</t>
  </si>
  <si>
    <t>16-10-2024</t>
  </si>
  <si>
    <t>TXN-2140</t>
  </si>
  <si>
    <t>26-03-2025</t>
  </si>
  <si>
    <t>TXN-0439</t>
  </si>
  <si>
    <t>31-08-2023</t>
  </si>
  <si>
    <t>TXN-1253</t>
  </si>
  <si>
    <t>22-05-2024</t>
  </si>
  <si>
    <t>TXN-1166</t>
  </si>
  <si>
    <t>29-04-2024</t>
  </si>
  <si>
    <t>TXN-1943</t>
  </si>
  <si>
    <t>TXN-0802</t>
  </si>
  <si>
    <t>12/06/2023</t>
  </si>
  <si>
    <t>MARKETING &amp; BD</t>
  </si>
  <si>
    <t>TXN-1076</t>
  </si>
  <si>
    <t>12-03-2024</t>
  </si>
  <si>
    <t>TXN-1069</t>
  </si>
  <si>
    <t>26-03-2024</t>
  </si>
  <si>
    <t>TXN-1136</t>
  </si>
  <si>
    <t>05-04-2024</t>
  </si>
  <si>
    <t>TXN-2204</t>
  </si>
  <si>
    <t>04-04-2025</t>
  </si>
  <si>
    <t>TXN-3142</t>
  </si>
  <si>
    <t>19-02-2026</t>
  </si>
  <si>
    <t>TXN-2746</t>
  </si>
  <si>
    <t>27-10-2025</t>
  </si>
  <si>
    <t>TXN-3111</t>
  </si>
  <si>
    <t>06-02-2026</t>
  </si>
  <si>
    <t>TXN-2788</t>
  </si>
  <si>
    <t>12-10-2025</t>
  </si>
  <si>
    <t>professional fees</t>
  </si>
  <si>
    <t>TXN-0477</t>
  </si>
  <si>
    <t>02-09-2023</t>
  </si>
  <si>
    <t>TXN-1601</t>
  </si>
  <si>
    <t>24-09-2024</t>
  </si>
  <si>
    <t>TXN-2711</t>
  </si>
  <si>
    <t>TXN-2286</t>
  </si>
  <si>
    <t>05/18/2025</t>
  </si>
  <si>
    <t>TXN-0936</t>
  </si>
  <si>
    <t>10-02-2024</t>
  </si>
  <si>
    <t>TXN-0578</t>
  </si>
  <si>
    <t>30-10-2023</t>
  </si>
  <si>
    <t>TXN-1735</t>
  </si>
  <si>
    <t>20-11-2024</t>
  </si>
  <si>
    <t>TXN-1567</t>
  </si>
  <si>
    <t>02-09-2024</t>
  </si>
  <si>
    <t>TXN-2046</t>
  </si>
  <si>
    <t>24-02-2025</t>
  </si>
  <si>
    <t>OYO BUSINESS</t>
  </si>
  <si>
    <t>TXN-3100</t>
  </si>
  <si>
    <t>05-02-2026</t>
  </si>
  <si>
    <t>TXN-2452</t>
  </si>
  <si>
    <t>13-06-2025</t>
  </si>
  <si>
    <t>TXN-2750</t>
  </si>
  <si>
    <t>26-10-2025</t>
  </si>
  <si>
    <t>TXN-1746</t>
  </si>
  <si>
    <t>30-11-2024</t>
  </si>
  <si>
    <t>TXN-1341</t>
  </si>
  <si>
    <t>11-06-2024</t>
  </si>
  <si>
    <t>KPMG INDIA</t>
  </si>
  <si>
    <t>TXN-1905</t>
  </si>
  <si>
    <t>30-12-2024</t>
  </si>
  <si>
    <t>TXN-2760</t>
  </si>
  <si>
    <t>TXN-1831</t>
  </si>
  <si>
    <t>12/11/2024</t>
  </si>
  <si>
    <t>TXN-2549</t>
  </si>
  <si>
    <t>07-07-2025</t>
  </si>
  <si>
    <t>TXN-2593</t>
  </si>
  <si>
    <t>01-08-2025</t>
  </si>
  <si>
    <t>TXN-2668</t>
  </si>
  <si>
    <t>04-09-2025</t>
  </si>
  <si>
    <t>TXN-2515</t>
  </si>
  <si>
    <t>07/27/2025</t>
  </si>
  <si>
    <t>TXN-1100</t>
  </si>
  <si>
    <t>19-03-2024</t>
  </si>
  <si>
    <t>TXN-1336</t>
  </si>
  <si>
    <t>05-06-2024</t>
  </si>
  <si>
    <t>TXN-2485</t>
  </si>
  <si>
    <t>20-07-2025</t>
  </si>
  <si>
    <t>TXN-1511</t>
  </si>
  <si>
    <t>31-08-2024</t>
  </si>
  <si>
    <t>WeWork India</t>
  </si>
  <si>
    <t>Facilities &amp; Rent</t>
  </si>
  <si>
    <t>TXN-0386</t>
  </si>
  <si>
    <t>18-08-2023</t>
  </si>
  <si>
    <t>TXN-0312</t>
  </si>
  <si>
    <t>13-07-2023</t>
  </si>
  <si>
    <t>TXN-2155</t>
  </si>
  <si>
    <t>17-03-2025</t>
  </si>
  <si>
    <t>TXN-0118</t>
  </si>
  <si>
    <t>19-05-2023</t>
  </si>
  <si>
    <t>TXN-1200</t>
  </si>
  <si>
    <t>04-05-2024</t>
  </si>
  <si>
    <t>TXN-2581</t>
  </si>
  <si>
    <t>18-08-2025</t>
  </si>
  <si>
    <t>TXN-0358</t>
  </si>
  <si>
    <t>08-07-2023</t>
  </si>
  <si>
    <t>TXN-2683</t>
  </si>
  <si>
    <t>08-09-2025</t>
  </si>
  <si>
    <t>TXN-1908</t>
  </si>
  <si>
    <t>20-12-2024</t>
  </si>
  <si>
    <t>TXN-0294</t>
  </si>
  <si>
    <t>22-07-2023</t>
  </si>
  <si>
    <t>TXN-1406</t>
  </si>
  <si>
    <t>07/11/2024</t>
  </si>
  <si>
    <t>TXN-0699</t>
  </si>
  <si>
    <t>26-11-2023</t>
  </si>
  <si>
    <t>PROFESSIONAL FEES</t>
  </si>
  <si>
    <t>TXN-2415</t>
  </si>
  <si>
    <t>06/08/2025</t>
  </si>
  <si>
    <t>91springboard</t>
  </si>
  <si>
    <t>TXN-1739</t>
  </si>
  <si>
    <t>28-11-2024</t>
  </si>
  <si>
    <t>Salary Run â€” November 2024</t>
  </si>
  <si>
    <t>TXN-1504</t>
  </si>
  <si>
    <t>TXN-1378</t>
  </si>
  <si>
    <t>12-07-2024</t>
  </si>
  <si>
    <t>TXN-2348</t>
  </si>
  <si>
    <t>TXN-1947</t>
  </si>
  <si>
    <t>08-01-2025</t>
  </si>
  <si>
    <t>TXN-1271</t>
  </si>
  <si>
    <t>TXN-2195</t>
  </si>
  <si>
    <t>01-04-2025</t>
  </si>
  <si>
    <t>TXN-1598</t>
  </si>
  <si>
    <t>19-09-2024</t>
  </si>
  <si>
    <t>TXN-2743</t>
  </si>
  <si>
    <t>13-10-2025</t>
  </si>
  <si>
    <t>TXN-1970</t>
  </si>
  <si>
    <t>18-01-2025</t>
  </si>
  <si>
    <t>TXN-3071</t>
  </si>
  <si>
    <t>22-01-2026</t>
  </si>
  <si>
    <t>TXN-1536</t>
  </si>
  <si>
    <t>06-08-2024</t>
  </si>
  <si>
    <t>TXN-1710</t>
  </si>
  <si>
    <t>11-10-2024</t>
  </si>
  <si>
    <t>TXN-3216</t>
  </si>
  <si>
    <t>31-03-2026</t>
  </si>
  <si>
    <t>TXN-1912</t>
  </si>
  <si>
    <t>TXN-2374</t>
  </si>
  <si>
    <t>26-06-2025</t>
  </si>
  <si>
    <t>TXN-1197</t>
  </si>
  <si>
    <t>02-05-2024</t>
  </si>
  <si>
    <t>TXN-3179</t>
  </si>
  <si>
    <t>21-03-2026</t>
  </si>
  <si>
    <t>TXN-2950</t>
  </si>
  <si>
    <t>TXN-1880</t>
  </si>
  <si>
    <t>12/25/2024</t>
  </si>
  <si>
    <t>TXN-1465</t>
  </si>
  <si>
    <t>29-08-2024</t>
  </si>
  <si>
    <t>TXN-1703</t>
  </si>
  <si>
    <t>TXN-0479</t>
  </si>
  <si>
    <t>TXN-0366</t>
  </si>
  <si>
    <t>07/15/2023</t>
  </si>
  <si>
    <t>TXN-0019</t>
  </si>
  <si>
    <t>04/05/2023</t>
  </si>
  <si>
    <t>TXN-1235</t>
  </si>
  <si>
    <t>24-05-2024</t>
  </si>
  <si>
    <t>TXN-2474</t>
  </si>
  <si>
    <t>29-07-2025</t>
  </si>
  <si>
    <t>TXN-2699</t>
  </si>
  <si>
    <t>29-09-2025</t>
  </si>
  <si>
    <t>KPMG India</t>
  </si>
  <si>
    <t>TXN-1731</t>
  </si>
  <si>
    <t>26-10-2024</t>
  </si>
  <si>
    <t>TXN-1459</t>
  </si>
  <si>
    <t>31-07-2024</t>
  </si>
  <si>
    <t>TXN-0647</t>
  </si>
  <si>
    <t>03-11-2023</t>
  </si>
  <si>
    <t>TXN-2263</t>
  </si>
  <si>
    <t>13-04-2025</t>
  </si>
  <si>
    <t>TXN-0333</t>
  </si>
  <si>
    <t>TXN-2417</t>
  </si>
  <si>
    <t>01-06-2025</t>
  </si>
  <si>
    <t>TXN-2569</t>
  </si>
  <si>
    <t>29-08-2025</t>
  </si>
  <si>
    <t>CONCUR INDIA</t>
  </si>
  <si>
    <t>TXN-3082</t>
  </si>
  <si>
    <t>01/18/2026</t>
  </si>
  <si>
    <t>AMAZON BUSINESS</t>
  </si>
  <si>
    <t>TXN-1758</t>
  </si>
  <si>
    <t>22-11-2024</t>
  </si>
  <si>
    <t>TXN-0527</t>
  </si>
  <si>
    <t>09/16/2023</t>
  </si>
  <si>
    <t>TXN-0884</t>
  </si>
  <si>
    <t>TXN-1089</t>
  </si>
  <si>
    <t>10-03-2024</t>
  </si>
  <si>
    <t>TXN-0046</t>
  </si>
  <si>
    <t>29-04-2023</t>
  </si>
  <si>
    <t>TXN-0127</t>
  </si>
  <si>
    <t>08-05-2023</t>
  </si>
  <si>
    <t>TXN-1155</t>
  </si>
  <si>
    <t>10-04-2024</t>
  </si>
  <si>
    <t>TXN-2521</t>
  </si>
  <si>
    <t>30-07-2025</t>
  </si>
  <si>
    <t>TXN-1182</t>
  </si>
  <si>
    <t>16-04-2024</t>
  </si>
  <si>
    <t>TXN-2936</t>
  </si>
  <si>
    <t>26-12-2025</t>
  </si>
  <si>
    <t>TXN-2887</t>
  </si>
  <si>
    <t>19-11-2025</t>
  </si>
  <si>
    <t>TXN-1869</t>
  </si>
  <si>
    <t>27-12-2024</t>
  </si>
  <si>
    <t>TXN-0864</t>
  </si>
  <si>
    <t>21-01-2024</t>
  </si>
  <si>
    <t>TXN-2335</t>
  </si>
  <si>
    <t>31-05-2025</t>
  </si>
  <si>
    <t>TXN-2793</t>
  </si>
  <si>
    <t>03-10-2025</t>
  </si>
  <si>
    <t>INDIAMART INTERMESH</t>
  </si>
  <si>
    <t>TXN-3117</t>
  </si>
  <si>
    <t>15-02-2026</t>
  </si>
  <si>
    <t>TXN-2124</t>
  </si>
  <si>
    <t>09-03-2025</t>
  </si>
  <si>
    <t>TXN-2005</t>
  </si>
  <si>
    <t>13-01-2025</t>
  </si>
  <si>
    <t>TXN-0939</t>
  </si>
  <si>
    <t>16-02-2024</t>
  </si>
  <si>
    <t>TXN-1890</t>
  </si>
  <si>
    <t>09-12-2024</t>
  </si>
  <si>
    <t>TXN-1688</t>
  </si>
  <si>
    <t>06-10-2024</t>
  </si>
  <si>
    <t>TXN-0086</t>
  </si>
  <si>
    <t>03-04-2023</t>
  </si>
  <si>
    <t>TXN-1073</t>
  </si>
  <si>
    <t>TXN-3026</t>
  </si>
  <si>
    <t>01/06/2026</t>
  </si>
  <si>
    <t>TXN-0342</t>
  </si>
  <si>
    <t>21-07-2023</t>
  </si>
  <si>
    <t>TXN-0883</t>
  </si>
  <si>
    <t>06-01-2024</t>
  </si>
  <si>
    <t>TXN-2967</t>
  </si>
  <si>
    <t>12/20/2025</t>
  </si>
  <si>
    <t>TXN-1375</t>
  </si>
  <si>
    <t>07/04/2024</t>
  </si>
  <si>
    <t>TXN-2737</t>
  </si>
  <si>
    <t>22-10-2025</t>
  </si>
  <si>
    <t>TXN-2747</t>
  </si>
  <si>
    <t>18-10-2025</t>
  </si>
  <si>
    <t>TXN-2279</t>
  </si>
  <si>
    <t>06-05-2025</t>
  </si>
  <si>
    <t>TXN-1906</t>
  </si>
  <si>
    <t>05-12-2024</t>
  </si>
  <si>
    <t>TXN-2518</t>
  </si>
  <si>
    <t>TXN-0081</t>
  </si>
  <si>
    <t>09-04-2023</t>
  </si>
  <si>
    <t>TXN-2218</t>
  </si>
  <si>
    <t>09-04-2025</t>
  </si>
  <si>
    <t>TXN-0271</t>
  </si>
  <si>
    <t>05-06-2023</t>
  </si>
  <si>
    <t>TXN-1777</t>
  </si>
  <si>
    <t>19-11-2024</t>
  </si>
  <si>
    <t>TXN-0079</t>
  </si>
  <si>
    <t>TXN-2901</t>
  </si>
  <si>
    <t>18-11-2025</t>
  </si>
  <si>
    <t>TXN-0062</t>
  </si>
  <si>
    <t>13-04-2023</t>
  </si>
  <si>
    <t>TXN-2946</t>
  </si>
  <si>
    <t>02-12-2025</t>
  </si>
  <si>
    <t>Zoom Communications</t>
  </si>
  <si>
    <t>TXN-0445</t>
  </si>
  <si>
    <t>15-08-2023</t>
  </si>
  <si>
    <t>TATA TELE BUSINESS</t>
  </si>
  <si>
    <t>TXN-0701</t>
  </si>
  <si>
    <t>18-11-2023</t>
  </si>
  <si>
    <t>TXN-2457</t>
  </si>
  <si>
    <t>07/04/2025</t>
  </si>
  <si>
    <t>TXN-3053</t>
  </si>
  <si>
    <t>08-01-2026</t>
  </si>
  <si>
    <t>TXN-0374</t>
  </si>
  <si>
    <t>11-08-2023</t>
  </si>
  <si>
    <t>TXN-2090</t>
  </si>
  <si>
    <t>11-02-2025</t>
  </si>
  <si>
    <t>TXN-0262</t>
  </si>
  <si>
    <t>27-06-2023</t>
  </si>
  <si>
    <t>TXN-1732</t>
  </si>
  <si>
    <t>19-10-2024</t>
  </si>
  <si>
    <t>TXN-0134</t>
  </si>
  <si>
    <t>26-05-2023</t>
  </si>
  <si>
    <t>TXN-0211</t>
  </si>
  <si>
    <t>02-06-2023</t>
  </si>
  <si>
    <t>TXN-2926</t>
  </si>
  <si>
    <t>25-12-2025</t>
  </si>
  <si>
    <t>TXN-1312</t>
  </si>
  <si>
    <t>30-06-2024</t>
  </si>
  <si>
    <t>TXN-1471</t>
  </si>
  <si>
    <t>14-08-2024</t>
  </si>
  <si>
    <t>TXN-1042</t>
  </si>
  <si>
    <t>TXN-0188</t>
  </si>
  <si>
    <t>06/02/2023</t>
  </si>
  <si>
    <t>TXN-1033</t>
  </si>
  <si>
    <t>TXN-2779</t>
  </si>
  <si>
    <t>06-10-2025</t>
  </si>
  <si>
    <t>TXN-1061</t>
  </si>
  <si>
    <t>17-03-2024</t>
  </si>
  <si>
    <t>TXN-3180</t>
  </si>
  <si>
    <t>05-03-2026</t>
  </si>
  <si>
    <t>TXN-0563</t>
  </si>
  <si>
    <t>10-10-2023</t>
  </si>
  <si>
    <t>TXN-3188</t>
  </si>
  <si>
    <t>25-03-2026</t>
  </si>
  <si>
    <t>TXN-1137</t>
  </si>
  <si>
    <t>01-04-2024</t>
  </si>
  <si>
    <t>TXN-2742</t>
  </si>
  <si>
    <t>TXN-0712</t>
  </si>
  <si>
    <t>TXN-0992</t>
  </si>
  <si>
    <t>02/26/2024</t>
  </si>
  <si>
    <t>marketing &amp; bd</t>
  </si>
  <si>
    <t>TXN-0352</t>
  </si>
  <si>
    <t>11-07-2023</t>
  </si>
  <si>
    <t>TXN-1525</t>
  </si>
  <si>
    <t>24-08-2024</t>
  </si>
  <si>
    <t>TXN-2464</t>
  </si>
  <si>
    <t>04-07-2025</t>
  </si>
  <si>
    <t>TXN-1809</t>
  </si>
  <si>
    <t>TXN-3016</t>
  </si>
  <si>
    <t>TXN-0724</t>
  </si>
  <si>
    <t>11/02/2023</t>
  </si>
  <si>
    <t>TXN-2728</t>
  </si>
  <si>
    <t>TXN-1074</t>
  </si>
  <si>
    <t>TXN-0084</t>
  </si>
  <si>
    <t>15-04-2023</t>
  </si>
  <si>
    <t>TXN-0434</t>
  </si>
  <si>
    <t>08/27/2023</t>
  </si>
  <si>
    <t>TXN-1736</t>
  </si>
  <si>
    <t>08-11-2024</t>
  </si>
  <si>
    <t>TXN-3058</t>
  </si>
  <si>
    <t>24-01-2026</t>
  </si>
  <si>
    <t>TXN-2516</t>
  </si>
  <si>
    <t>13-07-2025</t>
  </si>
  <si>
    <t>Deloitte India</t>
  </si>
  <si>
    <t>TXN-1492</t>
  </si>
  <si>
    <t>30-08-2024</t>
  </si>
  <si>
    <t>TXN-0049</t>
  </si>
  <si>
    <t>04-04-2023</t>
  </si>
  <si>
    <t>TXN-2163</t>
  </si>
  <si>
    <t>28-03-2025</t>
  </si>
  <si>
    <t>TXN-3254</t>
  </si>
  <si>
    <t>28-03-2026</t>
  </si>
  <si>
    <t>TXN-1314</t>
  </si>
  <si>
    <t>10-06-2024</t>
  </si>
  <si>
    <t>TXN-1671</t>
  </si>
  <si>
    <t>25-10-2024</t>
  </si>
  <si>
    <t>TXN-0756</t>
  </si>
  <si>
    <t>24-12-2023</t>
  </si>
  <si>
    <t>TXN-2223</t>
  </si>
  <si>
    <t>19-04-2025</t>
  </si>
  <si>
    <t>TXN-0459</t>
  </si>
  <si>
    <t>19-08-2023</t>
  </si>
  <si>
    <t>TXN-1539</t>
  </si>
  <si>
    <t>TXN-1960</t>
  </si>
  <si>
    <t>23-01-2025</t>
  </si>
  <si>
    <t>TXN-0949</t>
  </si>
  <si>
    <t>02/03/2024</t>
  </si>
  <si>
    <t>TXN-0104</t>
  </si>
  <si>
    <t>TXN-2939</t>
  </si>
  <si>
    <t>TXN-0252</t>
  </si>
  <si>
    <t>16-06-2023</t>
  </si>
  <si>
    <t>TXN-1016</t>
  </si>
  <si>
    <t>TXN-2905</t>
  </si>
  <si>
    <t>20-11-2025</t>
  </si>
  <si>
    <t>TXN-2614</t>
  </si>
  <si>
    <t>11-08-2025</t>
  </si>
  <si>
    <t>TXN-2633</t>
  </si>
  <si>
    <t>22-08-2025</t>
  </si>
  <si>
    <t>TXN-2383</t>
  </si>
  <si>
    <t>21-06-2025</t>
  </si>
  <si>
    <t>TXN-2759</t>
  </si>
  <si>
    <t>TXN-0703</t>
  </si>
  <si>
    <t>TXN-0393</t>
  </si>
  <si>
    <t>23-08-2023</t>
  </si>
  <si>
    <t>TXN-1555</t>
  </si>
  <si>
    <t>TXN-2814</t>
  </si>
  <si>
    <t>28-10-2025</t>
  </si>
  <si>
    <t>TXN-1241</t>
  </si>
  <si>
    <t>TXN-0746</t>
  </si>
  <si>
    <t>04-12-2023</t>
  </si>
  <si>
    <t>TXN-2301</t>
  </si>
  <si>
    <t>27-05-2025</t>
  </si>
  <si>
    <t>TXN-1018</t>
  </si>
  <si>
    <t>15-02-2024</t>
  </si>
  <si>
    <t>TXN-2968</t>
  </si>
  <si>
    <t>23-12-2025</t>
  </si>
  <si>
    <t>TXN-0474</t>
  </si>
  <si>
    <t>20-09-2023</t>
  </si>
  <si>
    <t>TXN-1552</t>
  </si>
  <si>
    <t>19-08-2024</t>
  </si>
  <si>
    <t>TXN-2449</t>
  </si>
  <si>
    <t>22-06-2025</t>
  </si>
  <si>
    <t>TXN-3197</t>
  </si>
  <si>
    <t>29-03-2026</t>
  </si>
  <si>
    <t>TXN-2708</t>
  </si>
  <si>
    <t>05-09-2025</t>
  </si>
  <si>
    <t>TXN-3213</t>
  </si>
  <si>
    <t>18-03-2026</t>
  </si>
  <si>
    <t>TXN-3241</t>
  </si>
  <si>
    <t>TXN-1966</t>
  </si>
  <si>
    <t>31-01-2025</t>
  </si>
  <si>
    <t>TXN-0552</t>
  </si>
  <si>
    <t>04-10-2023</t>
  </si>
  <si>
    <t>Client Billing â€” Infosys BPM</t>
  </si>
  <si>
    <t>TXN-0865</t>
  </si>
  <si>
    <t>TXN-0771</t>
  </si>
  <si>
    <t>13-12-2023</t>
  </si>
  <si>
    <t>TXN-1973</t>
  </si>
  <si>
    <t>30-01-2025</t>
  </si>
  <si>
    <t>TXN-2749</t>
  </si>
  <si>
    <t>TXN-2966</t>
  </si>
  <si>
    <t>12-12-2025</t>
  </si>
  <si>
    <t>OLA CORPORATE</t>
  </si>
  <si>
    <t>TXN-0508</t>
  </si>
  <si>
    <t>17-09-2023</t>
  </si>
  <si>
    <t>TXN-2435</t>
  </si>
  <si>
    <t>BSNL LEASED LINE</t>
  </si>
  <si>
    <t>TXN-2958</t>
  </si>
  <si>
    <t>17-12-2025</t>
  </si>
  <si>
    <t>TXN-1476</t>
  </si>
  <si>
    <t>01-08-2024</t>
  </si>
  <si>
    <t>TXN-2645</t>
  </si>
  <si>
    <t>22-09-2025</t>
  </si>
  <si>
    <t>TXN-0720</t>
  </si>
  <si>
    <t>27-11-2023</t>
  </si>
  <si>
    <t>TXN-2918</t>
  </si>
  <si>
    <t>10-12-2025</t>
  </si>
  <si>
    <t>TXN-2254</t>
  </si>
  <si>
    <t>21-04-2025</t>
  </si>
  <si>
    <t>TXN-0392</t>
  </si>
  <si>
    <t>26-08-2023</t>
  </si>
  <si>
    <t>TXN-0113</t>
  </si>
  <si>
    <t>23-05-2023</t>
  </si>
  <si>
    <t>TXN-2813</t>
  </si>
  <si>
    <t>08-10-2025</t>
  </si>
  <si>
    <t>TXN-3036</t>
  </si>
  <si>
    <t>16-01-2026</t>
  </si>
  <si>
    <t>TXN-3223</t>
  </si>
  <si>
    <t>TXN-2342</t>
  </si>
  <si>
    <t>18-05-2025</t>
  </si>
  <si>
    <t>TXN-1723</t>
  </si>
  <si>
    <t>09-10-2024</t>
  </si>
  <si>
    <t>TXN-0265</t>
  </si>
  <si>
    <t>29-06-2023</t>
  </si>
  <si>
    <t>TXN-0666</t>
  </si>
  <si>
    <t>TXN-0194</t>
  </si>
  <si>
    <t>TXN-2507</t>
  </si>
  <si>
    <t>17-07-2025</t>
  </si>
  <si>
    <t>Embassy TechVillage</t>
  </si>
  <si>
    <t>TXN-0037</t>
  </si>
  <si>
    <t>30-04-2023</t>
  </si>
  <si>
    <t>TXN-3190</t>
  </si>
  <si>
    <t>TXN-2480</t>
  </si>
  <si>
    <t>02-07-2025</t>
  </si>
  <si>
    <t>GITHUB ENTERPRISE</t>
  </si>
  <si>
    <t>TXN-0183</t>
  </si>
  <si>
    <t>13-06-2023</t>
  </si>
  <si>
    <t>TXN-1071</t>
  </si>
  <si>
    <t>04-03-2024</t>
  </si>
  <si>
    <t>TXN-1843</t>
  </si>
  <si>
    <t>13-12-2024</t>
  </si>
  <si>
    <t>TXN-0769</t>
  </si>
  <si>
    <t>09-12-2023</t>
  </si>
  <si>
    <t>TXN-1372</t>
  </si>
  <si>
    <t>TXN-2330</t>
  </si>
  <si>
    <t>10-05-2025</t>
  </si>
  <si>
    <t>TXN-1170</t>
  </si>
  <si>
    <t>13-04-2024</t>
  </si>
  <si>
    <t>TXN-0698</t>
  </si>
  <si>
    <t>30-11-2023</t>
  </si>
  <si>
    <t>TXN-0716</t>
  </si>
  <si>
    <t>25-11-2023</t>
  </si>
  <si>
    <t>TXN-1334</t>
  </si>
  <si>
    <t>25-06-2024</t>
  </si>
  <si>
    <t>TXN-1423</t>
  </si>
  <si>
    <t>06-07-2024</t>
  </si>
  <si>
    <t>TXN-1032</t>
  </si>
  <si>
    <t>16-03-2024</t>
  </si>
  <si>
    <t>TXN-2092</t>
  </si>
  <si>
    <t>03-02-2025</t>
  </si>
  <si>
    <t>TXN-1756</t>
  </si>
  <si>
    <t>TXN-0605</t>
  </si>
  <si>
    <t>08-10-2023</t>
  </si>
  <si>
    <t>TXN-2162</t>
  </si>
  <si>
    <t>08-03-2025</t>
  </si>
  <si>
    <t>TXN-0013</t>
  </si>
  <si>
    <t>23-04-2023</t>
  </si>
  <si>
    <t>TXN-1488</t>
  </si>
  <si>
    <t>15-08-2024</t>
  </si>
  <si>
    <t>TXN-1065</t>
  </si>
  <si>
    <t>20-03-2024</t>
  </si>
  <si>
    <t>TXN-1151</t>
  </si>
  <si>
    <t>02-04-2024</t>
  </si>
  <si>
    <t>TXN-1282</t>
  </si>
  <si>
    <t>16-05-2024</t>
  </si>
  <si>
    <t>TXN-1737</t>
  </si>
  <si>
    <t>03-11-2024</t>
  </si>
  <si>
    <t>TXN-1070</t>
  </si>
  <si>
    <t>TXN-2756</t>
  </si>
  <si>
    <t>24-10-2025</t>
  </si>
  <si>
    <t>TXN-2720</t>
  </si>
  <si>
    <t>TXN-0036</t>
  </si>
  <si>
    <t>16-04-2023</t>
  </si>
  <si>
    <t>TXN-0443</t>
  </si>
  <si>
    <t>TXN-2567</t>
  </si>
  <si>
    <t>07-08-2025</t>
  </si>
  <si>
    <t>TXN-0767</t>
  </si>
  <si>
    <t>15-12-2023</t>
  </si>
  <si>
    <t>TXN-0811</t>
  </si>
  <si>
    <t>08-12-2023</t>
  </si>
  <si>
    <t>TXN-1926</t>
  </si>
  <si>
    <t>TXN-1610</t>
  </si>
  <si>
    <t>10-09-2024</t>
  </si>
  <si>
    <t>TXN-0952</t>
  </si>
  <si>
    <t>01-02-2024</t>
  </si>
  <si>
    <t>TXN-1010</t>
  </si>
  <si>
    <t>22-02-2024</t>
  </si>
  <si>
    <t>TXN-0209</t>
  </si>
  <si>
    <t>TXN-1565</t>
  </si>
  <si>
    <t>TXN-2110</t>
  </si>
  <si>
    <t>TXN-2058</t>
  </si>
  <si>
    <t>23-02-2025</t>
  </si>
  <si>
    <t>TXN-1738</t>
  </si>
  <si>
    <t>TXN-1702</t>
  </si>
  <si>
    <t>20-10-2024</t>
  </si>
  <si>
    <t>TXN-0696</t>
  </si>
  <si>
    <t>11-11-2023</t>
  </si>
  <si>
    <t>TXN-1467</t>
  </si>
  <si>
    <t>26-08-2024</t>
  </si>
  <si>
    <t>TXN-2310</t>
  </si>
  <si>
    <t>23-05-2025</t>
  </si>
  <si>
    <t>TXN-2072</t>
  </si>
  <si>
    <t>25-02-2025</t>
  </si>
  <si>
    <t>TXN-3260</t>
  </si>
  <si>
    <t>TXN-2067</t>
  </si>
  <si>
    <t>20-02-2025</t>
  </si>
  <si>
    <t>91SPRINGBOARD</t>
  </si>
  <si>
    <t>TXN-1526</t>
  </si>
  <si>
    <t>TXN-0334</t>
  </si>
  <si>
    <t>31-07-2023</t>
  </si>
  <si>
    <t>TXN-3083</t>
  </si>
  <si>
    <t>14-01-2026</t>
  </si>
  <si>
    <t>TXN-0800</t>
  </si>
  <si>
    <t>25-12-2023</t>
  </si>
  <si>
    <t>TXN-0389</t>
  </si>
  <si>
    <t>05-08-2023</t>
  </si>
  <si>
    <t>TXN-0504</t>
  </si>
  <si>
    <t>06-09-2023</t>
  </si>
  <si>
    <t>TXN-1289</t>
  </si>
  <si>
    <t>TXN-2228</t>
  </si>
  <si>
    <t>TXN-0091</t>
  </si>
  <si>
    <t>27-05-2023</t>
  </si>
  <si>
    <t>TXN-0468</t>
  </si>
  <si>
    <t>09/21/2023</t>
  </si>
  <si>
    <t>TXN-0736</t>
  </si>
  <si>
    <t>TXN-0496</t>
  </si>
  <si>
    <t>30-09-2023</t>
  </si>
  <si>
    <t>TXN-0424</t>
  </si>
  <si>
    <t>TXN-0365</t>
  </si>
  <si>
    <t>10-07-2023</t>
  </si>
  <si>
    <t>TXN-2399</t>
  </si>
  <si>
    <t>12-06-2025</t>
  </si>
  <si>
    <t>TXN-2736</t>
  </si>
  <si>
    <t>Salary Run â€” October 2025</t>
  </si>
  <si>
    <t>TXN-0256</t>
  </si>
  <si>
    <t>TXN-0516</t>
  </si>
  <si>
    <t>TXN-2797</t>
  </si>
  <si>
    <t>10/13/2025</t>
  </si>
  <si>
    <t>TXN-0787</t>
  </si>
  <si>
    <t>11-12-2023</t>
  </si>
  <si>
    <t>TXN-1707</t>
  </si>
  <si>
    <t>08-10-2024</t>
  </si>
  <si>
    <t>TXN-1040</t>
  </si>
  <si>
    <t>24-03-2024</t>
  </si>
  <si>
    <t>TXN-1348</t>
  </si>
  <si>
    <t>16-06-2024</t>
  </si>
  <si>
    <t>TXN-0492</t>
  </si>
  <si>
    <t>05-09-2023</t>
  </si>
  <si>
    <t>TXN-1996</t>
  </si>
  <si>
    <t>05-01-2025</t>
  </si>
  <si>
    <t>TXN-2941</t>
  </si>
  <si>
    <t>Adobe Creative Cloud</t>
  </si>
  <si>
    <t>TXN-0596</t>
  </si>
  <si>
    <t>10/21/2023</t>
  </si>
  <si>
    <t>TXN-1251</t>
  </si>
  <si>
    <t>TXN-2398</t>
  </si>
  <si>
    <t>TXN-1902</t>
  </si>
  <si>
    <t>12-12-2024</t>
  </si>
  <si>
    <t>AIRTEL BUSINESS</t>
  </si>
  <si>
    <t>TXN-2127</t>
  </si>
  <si>
    <t>TXN-1641</t>
  </si>
  <si>
    <t>06-09-2024</t>
  </si>
  <si>
    <t>TXN-1827</t>
  </si>
  <si>
    <t>14-11-2024</t>
  </si>
  <si>
    <t>TXN-2885</t>
  </si>
  <si>
    <t>01-11-2025</t>
  </si>
  <si>
    <t>TXN-2721</t>
  </si>
  <si>
    <t>02-09-2025</t>
  </si>
  <si>
    <t>TXN-1615</t>
  </si>
  <si>
    <t>16-09-2024</t>
  </si>
  <si>
    <t>TXN-1211</t>
  </si>
  <si>
    <t>05/10/2024</t>
  </si>
  <si>
    <t>TXN-0921</t>
  </si>
  <si>
    <t>10-01-2024</t>
  </si>
  <si>
    <t>TXN-2982</t>
  </si>
  <si>
    <t>28-12-2025</t>
  </si>
  <si>
    <t>TXN-1106</t>
  </si>
  <si>
    <t>29-03-2024</t>
  </si>
  <si>
    <t>TXN-2306</t>
  </si>
  <si>
    <t>05/29/2025</t>
  </si>
  <si>
    <t>TXN-0170</t>
  </si>
  <si>
    <t>TXN-3158</t>
  </si>
  <si>
    <t>01-02-2026</t>
  </si>
  <si>
    <t>TXN-2386</t>
  </si>
  <si>
    <t>25-06-2025</t>
  </si>
  <si>
    <t>TXN-0727</t>
  </si>
  <si>
    <t>19-11-2023</t>
  </si>
  <si>
    <t>TXN-2991</t>
  </si>
  <si>
    <t>TXN-0401</t>
  </si>
  <si>
    <t>12-08-2023</t>
  </si>
  <si>
    <t>TXN-2290</t>
  </si>
  <si>
    <t>TXN-1167</t>
  </si>
  <si>
    <t>TXN-0809</t>
  </si>
  <si>
    <t>TXN-3149</t>
  </si>
  <si>
    <t>22-02-2026</t>
  </si>
  <si>
    <t>TXN-1457</t>
  </si>
  <si>
    <t>09-07-2024</t>
  </si>
  <si>
    <t>TXN-2825</t>
  </si>
  <si>
    <t>TXN-2679</t>
  </si>
  <si>
    <t>24-09-2025</t>
  </si>
  <si>
    <t>MAKEMYTRIP CORPORATE</t>
  </si>
  <si>
    <t>TXN-2993</t>
  </si>
  <si>
    <t>30-12-2025</t>
  </si>
  <si>
    <t>TXN-3023</t>
  </si>
  <si>
    <t>05-01-2026</t>
  </si>
  <si>
    <t>TXN-1366</t>
  </si>
  <si>
    <t>18-06-2024</t>
  </si>
  <si>
    <t>TXN-0945</t>
  </si>
  <si>
    <t>06-02-2024</t>
  </si>
  <si>
    <t>TXN-3177</t>
  </si>
  <si>
    <t>07-03-2026</t>
  </si>
  <si>
    <t>TXN-1510</t>
  </si>
  <si>
    <t>04-08-2024</t>
  </si>
  <si>
    <t>TXN-2605</t>
  </si>
  <si>
    <t>27-08-2025</t>
  </si>
  <si>
    <t>TXN-2166</t>
  </si>
  <si>
    <t>02-03-2025</t>
  </si>
  <si>
    <t>Marketing &amp; Business Dev</t>
  </si>
  <si>
    <t>TXN-1324</t>
  </si>
  <si>
    <t>12-06-2024</t>
  </si>
  <si>
    <t>TXN-0697</t>
  </si>
  <si>
    <t>23-11-2023</t>
  </si>
  <si>
    <t>TXN-0117</t>
  </si>
  <si>
    <t>05/02/2023</t>
  </si>
  <si>
    <t>TXN-0074</t>
  </si>
  <si>
    <t>18-04-2023</t>
  </si>
  <si>
    <t>TXN-0461</t>
  </si>
  <si>
    <t>27-08-2023</t>
  </si>
  <si>
    <t>TXN-2388</t>
  </si>
  <si>
    <t>05-06-2025</t>
  </si>
  <si>
    <t>TXN-0319</t>
  </si>
  <si>
    <t>02-07-2023</t>
  </si>
  <si>
    <t>TXN-2328</t>
  </si>
  <si>
    <t>09-05-2025</t>
  </si>
  <si>
    <t>TXN-0231</t>
  </si>
  <si>
    <t>26-06-2023</t>
  </si>
  <si>
    <t>TXN-1749</t>
  </si>
  <si>
    <t>12-11-2024</t>
  </si>
  <si>
    <t>TXN-2951</t>
  </si>
  <si>
    <t>11-12-2025</t>
  </si>
  <si>
    <t>TXN-3106</t>
  </si>
  <si>
    <t>TXN-2735</t>
  </si>
  <si>
    <t>04-10-2025</t>
  </si>
  <si>
    <t>TXN-0597</t>
  </si>
  <si>
    <t>10/05/2023</t>
  </si>
  <si>
    <t>TXN-1187</t>
  </si>
  <si>
    <t>TXN-0981</t>
  </si>
  <si>
    <t>TXN-1438</t>
  </si>
  <si>
    <t>27-07-2024</t>
  </si>
  <si>
    <t>TXN-2511</t>
  </si>
  <si>
    <t>12-07-2025</t>
  </si>
  <si>
    <t>TXN-0715</t>
  </si>
  <si>
    <t>15-11-2023</t>
  </si>
  <si>
    <t>TXN-2604</t>
  </si>
  <si>
    <t>26-08-2025</t>
  </si>
  <si>
    <t>DLF Cyber City Office</t>
  </si>
  <si>
    <t>TXN-0743</t>
  </si>
  <si>
    <t>02-12-2023</t>
  </si>
  <si>
    <t>TXN-3110</t>
  </si>
  <si>
    <t>07-02-2026</t>
  </si>
  <si>
    <t>TXN-2242</t>
  </si>
  <si>
    <t>05-04-2025</t>
  </si>
  <si>
    <t>TXN-1725</t>
  </si>
  <si>
    <t>04-10-2024</t>
  </si>
  <si>
    <t>STAPLES INDIA</t>
  </si>
  <si>
    <t>TXN-2498</t>
  </si>
  <si>
    <t>TXN-2321</t>
  </si>
  <si>
    <t>29-05-2025</t>
  </si>
  <si>
    <t>TXN-0721</t>
  </si>
  <si>
    <t>TXN-1363</t>
  </si>
  <si>
    <t>TXN-1034</t>
  </si>
  <si>
    <t>TXN-3243</t>
  </si>
  <si>
    <t>03-03-2026</t>
  </si>
  <si>
    <t>TXN-1458</t>
  </si>
  <si>
    <t>TXN-2944</t>
  </si>
  <si>
    <t>TXN-2049</t>
  </si>
  <si>
    <t>TXN-0332</t>
  </si>
  <si>
    <t>27-07-2023</t>
  </si>
  <si>
    <t>TXN-0363</t>
  </si>
  <si>
    <t>TXN-2493</t>
  </si>
  <si>
    <t>TXN-2979</t>
  </si>
  <si>
    <t>TXN-0633</t>
  </si>
  <si>
    <t>26-10-2023</t>
  </si>
  <si>
    <t>TXN-2486</t>
  </si>
  <si>
    <t>TXN-2583</t>
  </si>
  <si>
    <t>02-08-2025</t>
  </si>
  <si>
    <t>TXN-0064</t>
  </si>
  <si>
    <t>17-04-2023</t>
  </si>
  <si>
    <t>TXN-3126</t>
  </si>
  <si>
    <t>TXN-1077</t>
  </si>
  <si>
    <t>14-03-2024</t>
  </si>
  <si>
    <t>TXN-2684</t>
  </si>
  <si>
    <t>TXN-2785</t>
  </si>
  <si>
    <t>07-10-2025</t>
  </si>
  <si>
    <t>TXN-0383</t>
  </si>
  <si>
    <t>TXN-0217</t>
  </si>
  <si>
    <t>12-06-2023</t>
  </si>
  <si>
    <t>TXN-1866</t>
  </si>
  <si>
    <t>17-12-2024</t>
  </si>
  <si>
    <t>TXN-1417</t>
  </si>
  <si>
    <t>11-07-2024</t>
  </si>
  <si>
    <t>TXN-2528</t>
  </si>
  <si>
    <t>18-07-2025</t>
  </si>
  <si>
    <t>TXN-3215</t>
  </si>
  <si>
    <t>13-03-2026</t>
  </si>
  <si>
    <t>TXN-0762</t>
  </si>
  <si>
    <t>23-12-2023</t>
  </si>
  <si>
    <t>TXN-2732</t>
  </si>
  <si>
    <t>TXN-0531</t>
  </si>
  <si>
    <t>TXN-1415</t>
  </si>
  <si>
    <t>08-07-2024</t>
  </si>
  <si>
    <t>TXN-1009</t>
  </si>
  <si>
    <t>26-02-2024</t>
  </si>
  <si>
    <t>TXN-2707</t>
  </si>
  <si>
    <t>13-09-2025</t>
  </si>
  <si>
    <t>TXN-3068</t>
  </si>
  <si>
    <t>26-01-2026</t>
  </si>
  <si>
    <t>TXN-0909</t>
  </si>
  <si>
    <t>01/24/2024</t>
  </si>
  <si>
    <t>TXN-3168</t>
  </si>
  <si>
    <t>02-02-2026</t>
  </si>
  <si>
    <t>TXN-1531</t>
  </si>
  <si>
    <t>TXN-0559</t>
  </si>
  <si>
    <t>TXN-2450</t>
  </si>
  <si>
    <t>TXN-3052</t>
  </si>
  <si>
    <t>TXN-2855</t>
  </si>
  <si>
    <t>TXN-3187</t>
  </si>
  <si>
    <t>TXN-2792</t>
  </si>
  <si>
    <t>TXN-1190</t>
  </si>
  <si>
    <t>14-04-2024</t>
  </si>
  <si>
    <t>TXN-1729</t>
  </si>
  <si>
    <t>24-10-2024</t>
  </si>
  <si>
    <t>TXN-3230</t>
  </si>
  <si>
    <t>01-03-2026</t>
  </si>
  <si>
    <t>TXN-2963</t>
  </si>
  <si>
    <t>24-12-2025</t>
  </si>
  <si>
    <t>TXN-0487</t>
  </si>
  <si>
    <t>03-09-2023</t>
  </si>
  <si>
    <t>TXN-1784</t>
  </si>
  <si>
    <t>TXN-2079</t>
  </si>
  <si>
    <t>10-02-2025</t>
  </si>
  <si>
    <t>TXN-2056</t>
  </si>
  <si>
    <t>TXN-3041</t>
  </si>
  <si>
    <t>TXN-0641</t>
  </si>
  <si>
    <t>24-10-2023</t>
  </si>
  <si>
    <t>TXN-1468</t>
  </si>
  <si>
    <t>25-08-2024</t>
  </si>
  <si>
    <t>TXN-1140</t>
  </si>
  <si>
    <t>04/18/2024</t>
  </si>
  <si>
    <t>TXN-1134</t>
  </si>
  <si>
    <t>12-04-2024</t>
  </si>
  <si>
    <t>TXN-0729</t>
  </si>
  <si>
    <t>05-11-2023</t>
  </si>
  <si>
    <t>TXN-2856</t>
  </si>
  <si>
    <t>TXN-0090</t>
  </si>
  <si>
    <t>21-04-2023</t>
  </si>
  <si>
    <t>TXN-0310</t>
  </si>
  <si>
    <t>05-07-2023</t>
  </si>
  <si>
    <t>TXN-0028</t>
  </si>
  <si>
    <t>TXN-1951</t>
  </si>
  <si>
    <t>TXN-0576</t>
  </si>
  <si>
    <t>10/06/2023</t>
  </si>
  <si>
    <t>TXN-0161</t>
  </si>
  <si>
    <t>06-05-2023</t>
  </si>
  <si>
    <t>TXN-1840</t>
  </si>
  <si>
    <t>TXN-1088</t>
  </si>
  <si>
    <t>TXN-0102</t>
  </si>
  <si>
    <t>18-05-2023</t>
  </si>
  <si>
    <t>TXN-0162</t>
  </si>
  <si>
    <t>15-05-2023</t>
  </si>
  <si>
    <t>TXN-0395</t>
  </si>
  <si>
    <t>24-08-2023</t>
  </si>
  <si>
    <t>TXN-1515</t>
  </si>
  <si>
    <t>08/05/2024</t>
  </si>
  <si>
    <t>TXN-2494</t>
  </si>
  <si>
    <t>16-07-2025</t>
  </si>
  <si>
    <t>TXN-1485</t>
  </si>
  <si>
    <t>08-08-2024</t>
  </si>
  <si>
    <t>TXN-2136</t>
  </si>
  <si>
    <t>31-03-2025</t>
  </si>
  <si>
    <t>TXN-0692</t>
  </si>
  <si>
    <t>TXN-1055</t>
  </si>
  <si>
    <t>05-03-2024</t>
  </si>
  <si>
    <t>TXN-2571</t>
  </si>
  <si>
    <t>06-08-2025</t>
  </si>
  <si>
    <t>TXN-1237</t>
  </si>
  <si>
    <t>06-05-2024</t>
  </si>
  <si>
    <t>TXN-2160</t>
  </si>
  <si>
    <t>16-03-2025</t>
  </si>
  <si>
    <t>TXN-0397</t>
  </si>
  <si>
    <t>13-08-2023</t>
  </si>
  <si>
    <t>TXN-1201</t>
  </si>
  <si>
    <t>18-05-2024</t>
  </si>
  <si>
    <t>TXN-1297</t>
  </si>
  <si>
    <t>06/06/2024</t>
  </si>
  <si>
    <t>TXN-2712</t>
  </si>
  <si>
    <t>01-09-2025</t>
  </si>
  <si>
    <t>TXN-0330</t>
  </si>
  <si>
    <t>03-07-2023</t>
  </si>
  <si>
    <t>TXN-3045</t>
  </si>
  <si>
    <t>TXN-1798</t>
  </si>
  <si>
    <t>04-11-2024</t>
  </si>
  <si>
    <t>TXN-2590</t>
  </si>
  <si>
    <t>TXN-1377</t>
  </si>
  <si>
    <t>17-07-2024</t>
  </si>
  <si>
    <t>TXN-0299</t>
  </si>
  <si>
    <t>15-07-2023</t>
  </si>
  <si>
    <t>TXN-2602</t>
  </si>
  <si>
    <t>TXN-2808</t>
  </si>
  <si>
    <t>TXN-0960</t>
  </si>
  <si>
    <t>TXN-3088</t>
  </si>
  <si>
    <t>02/17/2026</t>
  </si>
  <si>
    <t>TXN-1399</t>
  </si>
  <si>
    <t>07/10/2024</t>
  </si>
  <si>
    <t>TXN-0063</t>
  </si>
  <si>
    <t>07-04-2023</t>
  </si>
  <si>
    <t>TXN-1270</t>
  </si>
  <si>
    <t>01-05-2024</t>
  </si>
  <si>
    <t>TXN-1428</t>
  </si>
  <si>
    <t>TXN-0803</t>
  </si>
  <si>
    <t>TXN-2055</t>
  </si>
  <si>
    <t>18-02-2025</t>
  </si>
  <si>
    <t>TXN-1795</t>
  </si>
  <si>
    <t>15-11-2024</t>
  </si>
  <si>
    <t>TXN-1388</t>
  </si>
  <si>
    <t>15-07-2024</t>
  </si>
  <si>
    <t>TXN-3122</t>
  </si>
  <si>
    <t>TXN-2393</t>
  </si>
  <si>
    <t>09-06-2025</t>
  </si>
  <si>
    <t>TXN-0635</t>
  </si>
  <si>
    <t>10/16/2023</t>
  </si>
  <si>
    <t>TXN-2691</t>
  </si>
  <si>
    <t>TXN-0394</t>
  </si>
  <si>
    <t>09-08-2023</t>
  </si>
  <si>
    <t>TXN-0781</t>
  </si>
  <si>
    <t>26-12-2023</t>
  </si>
  <si>
    <t>TXN-2895</t>
  </si>
  <si>
    <t>TXN-1676</t>
  </si>
  <si>
    <t>27-10-2024</t>
  </si>
  <si>
    <t>TXN-2871</t>
  </si>
  <si>
    <t>11/08/2025</t>
  </si>
  <si>
    <t>TXN-3256</t>
  </si>
  <si>
    <t>TXN-2483</t>
  </si>
  <si>
    <t>TXN-3181</t>
  </si>
  <si>
    <t>30-03-2026</t>
  </si>
  <si>
    <t>TXN-0206</t>
  </si>
  <si>
    <t>23-06-2023</t>
  </si>
  <si>
    <t>TXN-2165</t>
  </si>
  <si>
    <t>30-03-2025</t>
  </si>
  <si>
    <t>TXN-2772</t>
  </si>
  <si>
    <t>TXN-0814</t>
  </si>
  <si>
    <t>TXN-0351</t>
  </si>
  <si>
    <t>TXN-0339</t>
  </si>
  <si>
    <t>25-07-2023</t>
  </si>
  <si>
    <t>TXN-2123</t>
  </si>
  <si>
    <t>12-03-2025</t>
  </si>
  <si>
    <t>TXN-0481</t>
  </si>
  <si>
    <t>13-09-2023</t>
  </si>
  <si>
    <t>TXN-1873</t>
  </si>
  <si>
    <t>28-12-2024</t>
  </si>
  <si>
    <t>TXN-2000</t>
  </si>
  <si>
    <t>21-01-2025</t>
  </si>
  <si>
    <t>TXN-1105</t>
  </si>
  <si>
    <t>07-03-2024</t>
  </si>
  <si>
    <t>TXN-0281</t>
  </si>
  <si>
    <t>TXN-0832</t>
  </si>
  <si>
    <t>16-01-2024</t>
  </si>
  <si>
    <t>TXN-1961</t>
  </si>
  <si>
    <t>04-01-2025</t>
  </si>
  <si>
    <t>TXN-2678</t>
  </si>
  <si>
    <t>TXN-1875</t>
  </si>
  <si>
    <t>TXN-0218</t>
  </si>
  <si>
    <t>TXN-0179</t>
  </si>
  <si>
    <t>25-05-2023</t>
  </si>
  <si>
    <t>TXN-1218</t>
  </si>
  <si>
    <t>TXN-0869</t>
  </si>
  <si>
    <t>02-01-2024</t>
  </si>
  <si>
    <t>AIR INDIA CORPORATE</t>
  </si>
  <si>
    <t>TXN-2325</t>
  </si>
  <si>
    <t>24-05-2025</t>
  </si>
  <si>
    <t>INDIAFILINGS</t>
  </si>
  <si>
    <t>TXN-1706</t>
  </si>
  <si>
    <t>TXN-1439</t>
  </si>
  <si>
    <t>01-07-2024</t>
  </si>
  <si>
    <t>TXN-2893</t>
  </si>
  <si>
    <t>TXN-2554</t>
  </si>
  <si>
    <t>13-08-2025</t>
  </si>
  <si>
    <t>TXN-0709</t>
  </si>
  <si>
    <t>TXN-1543</t>
  </si>
  <si>
    <t>TXN-2662</t>
  </si>
  <si>
    <t>TXN-3010</t>
  </si>
  <si>
    <t>TXN-0768</t>
  </si>
  <si>
    <t>TXN-1730</t>
  </si>
  <si>
    <t>TXN-0303</t>
  </si>
  <si>
    <t>TXN-0408</t>
  </si>
  <si>
    <t>TXN-1549</t>
  </si>
  <si>
    <t>08/25/2024</t>
  </si>
  <si>
    <t>TXN-0165</t>
  </si>
  <si>
    <t>11-05-2023</t>
  </si>
  <si>
    <t>TXN-0974</t>
  </si>
  <si>
    <t>24-02-2024</t>
  </si>
  <si>
    <t>TXN-2423</t>
  </si>
  <si>
    <t>06/29/2025</t>
  </si>
  <si>
    <t>TXN-0667</t>
  </si>
  <si>
    <t>TXN-0491</t>
  </si>
  <si>
    <t>29-09-2023</t>
  </si>
  <si>
    <t>TXN-2437</t>
  </si>
  <si>
    <t>06/19/2025</t>
  </si>
  <si>
    <t>TXN-0288</t>
  </si>
  <si>
    <t>30-07-2023</t>
  </si>
  <si>
    <t>TXN-0891</t>
  </si>
  <si>
    <t>24-01-2024</t>
  </si>
  <si>
    <t>TXN-2347</t>
  </si>
  <si>
    <t>21-05-2025</t>
  </si>
  <si>
    <t>TXN-1670</t>
  </si>
  <si>
    <t>05-10-2024</t>
  </si>
  <si>
    <t>TXN-0837</t>
  </si>
  <si>
    <t>19-01-2024</t>
  </si>
  <si>
    <t>TXN-3250</t>
  </si>
  <si>
    <t>03/04/2026</t>
  </si>
  <si>
    <t>TXN-0959</t>
  </si>
  <si>
    <t>02/14/2024</t>
  </si>
  <si>
    <t>TXN-0710</t>
  </si>
  <si>
    <t>TXN-1690</t>
  </si>
  <si>
    <t>TXN-3031</t>
  </si>
  <si>
    <t>19-01-2026</t>
  </si>
  <si>
    <t>TXN-0071</t>
  </si>
  <si>
    <t>TXN-2648</t>
  </si>
  <si>
    <t>10-09-2025</t>
  </si>
  <si>
    <t>TXN-1409</t>
  </si>
  <si>
    <t>TXN-0741</t>
  </si>
  <si>
    <t>17-12-2023</t>
  </si>
  <si>
    <t>TXN-2177</t>
  </si>
  <si>
    <t>21-03-2025</t>
  </si>
  <si>
    <t>TXN-2559</t>
  </si>
  <si>
    <t>TXN-1352</t>
  </si>
  <si>
    <t>TXN-1847</t>
  </si>
  <si>
    <t>TXN-0326</t>
  </si>
  <si>
    <t>TXN-2101</t>
  </si>
  <si>
    <t>07-03-2025</t>
  </si>
  <si>
    <t>TXN-3063</t>
  </si>
  <si>
    <t>02-01-2026</t>
  </si>
  <si>
    <t>TXN-1936</t>
  </si>
  <si>
    <t>25-01-2025</t>
  </si>
  <si>
    <t>TXN-0455</t>
  </si>
  <si>
    <t>06-08-2023</t>
  </si>
  <si>
    <t>TXN-2035</t>
  </si>
  <si>
    <t>07-02-2025</t>
  </si>
  <si>
    <t>TXN-2161</t>
  </si>
  <si>
    <t>27-03-2025</t>
  </si>
  <si>
    <t>TXN-1444</t>
  </si>
  <si>
    <t>07/06/2024</t>
  </si>
  <si>
    <t>TXN-2466</t>
  </si>
  <si>
    <t>09-07-2025</t>
  </si>
  <si>
    <t>TXN-2544</t>
  </si>
  <si>
    <t>05-07-2025</t>
  </si>
  <si>
    <t>TXN-0471</t>
  </si>
  <si>
    <t>TXN-0431</t>
  </si>
  <si>
    <t>TXN-1870</t>
  </si>
  <si>
    <t>22-12-2024</t>
  </si>
  <si>
    <t>TXN-2615</t>
  </si>
  <si>
    <t>08/27/2025</t>
  </si>
  <si>
    <t>TXN-1860</t>
  </si>
  <si>
    <t>01-12-2024</t>
  </si>
  <si>
    <t>TXN-3166</t>
  </si>
  <si>
    <t>27-02-2026</t>
  </si>
  <si>
    <t>TXN-1753</t>
  </si>
  <si>
    <t>07-11-2024</t>
  </si>
  <si>
    <t>TXN-2227</t>
  </si>
  <si>
    <t>TXN-1396</t>
  </si>
  <si>
    <t>13-07-2024</t>
  </si>
  <si>
    <t>TXN-2208</t>
  </si>
  <si>
    <t>TXN-1680</t>
  </si>
  <si>
    <t>30-10-2024</t>
  </si>
  <si>
    <t>TXN-0533</t>
  </si>
  <si>
    <t>10-09-2023</t>
  </si>
  <si>
    <t>TXN-2878</t>
  </si>
  <si>
    <t>11-11-2025</t>
  </si>
  <si>
    <t>TXN-2057</t>
  </si>
  <si>
    <t>TXN-2490</t>
  </si>
  <si>
    <t>01-07-2025</t>
  </si>
  <si>
    <t>TXN-2010</t>
  </si>
  <si>
    <t>FLIPKART WHOLESALE</t>
  </si>
  <si>
    <t>TXN-0653</t>
  </si>
  <si>
    <t>07-11-2023</t>
  </si>
  <si>
    <t>TXN-3153</t>
  </si>
  <si>
    <t>14-02-2026</t>
  </si>
  <si>
    <t>TXN-1188</t>
  </si>
  <si>
    <t>08-04-2024</t>
  </si>
  <si>
    <t>TXN-1972</t>
  </si>
  <si>
    <t>TXN-1092</t>
  </si>
  <si>
    <t>TXN-2661</t>
  </si>
  <si>
    <t>27-09-2025</t>
  </si>
  <si>
    <t>FRESHDESK</t>
  </si>
  <si>
    <t>TXN-1027</t>
  </si>
  <si>
    <t>03-03-2024</t>
  </si>
  <si>
    <t>TXN-2040</t>
  </si>
  <si>
    <t>02/12/2025</t>
  </si>
  <si>
    <t>TXN-0843</t>
  </si>
  <si>
    <t>27-01-2024</t>
  </si>
  <si>
    <t>TXN-1148</t>
  </si>
  <si>
    <t>15-04-2024</t>
  </si>
  <si>
    <t>TXN-1278</t>
  </si>
  <si>
    <t>TXN-0314</t>
  </si>
  <si>
    <t>29-07-2023</t>
  </si>
  <si>
    <t>TXN-2508</t>
  </si>
  <si>
    <t>TXN-1262</t>
  </si>
  <si>
    <t>23-05-2024</t>
  </si>
  <si>
    <t>TXN-1382</t>
  </si>
  <si>
    <t>TXN-3125</t>
  </si>
  <si>
    <t>TXN-2985</t>
  </si>
  <si>
    <t>TXN-2994</t>
  </si>
  <si>
    <t>TXN-1752</t>
  </si>
  <si>
    <t>06-11-2024</t>
  </si>
  <si>
    <t>TXN-2984</t>
  </si>
  <si>
    <t>TXN-0893</t>
  </si>
  <si>
    <t>17-01-2024</t>
  </si>
  <si>
    <t>TXN-2591</t>
  </si>
  <si>
    <t>23-08-2025</t>
  </si>
  <si>
    <t>TXN-2077</t>
  </si>
  <si>
    <t>05-02-2025</t>
  </si>
  <si>
    <t>TXN-3133</t>
  </si>
  <si>
    <t>21-02-2026</t>
  </si>
  <si>
    <t>TXN-1774</t>
  </si>
  <si>
    <t>TXN-0246</t>
  </si>
  <si>
    <t>17-06-2023</t>
  </si>
  <si>
    <t>TXN-2752</t>
  </si>
  <si>
    <t>19-10-2025</t>
  </si>
  <si>
    <t>TXN-2119</t>
  </si>
  <si>
    <t>20-03-2025</t>
  </si>
  <si>
    <t>TXN-0636</t>
  </si>
  <si>
    <t>20-10-2023</t>
  </si>
  <si>
    <t>TXN-0677</t>
  </si>
  <si>
    <t>TXN-2700</t>
  </si>
  <si>
    <t>TXN-0100</t>
  </si>
  <si>
    <t>17-05-2023</t>
  </si>
  <si>
    <t>TXN-0804</t>
  </si>
  <si>
    <t>TXN-0858</t>
  </si>
  <si>
    <t>30-01-2024</t>
  </si>
  <si>
    <t>TXN-0815</t>
  </si>
  <si>
    <t>TXN-0600</t>
  </si>
  <si>
    <t>TXN-2831</t>
  </si>
  <si>
    <t>12-11-2025</t>
  </si>
  <si>
    <t>TXN-2251</t>
  </si>
  <si>
    <t>23-04-2025</t>
  </si>
  <si>
    <t>TXN-2199</t>
  </si>
  <si>
    <t>14-04-2025</t>
  </si>
  <si>
    <t>TXN-1826</t>
  </si>
  <si>
    <t>TXN-1484</t>
  </si>
  <si>
    <t>22-08-2024</t>
  </si>
  <si>
    <t>TXN-1924</t>
  </si>
  <si>
    <t>07-12-2024</t>
  </si>
  <si>
    <t>TXN-0658</t>
  </si>
  <si>
    <t>11/26/2023</t>
  </si>
  <si>
    <t>TXN-0573</t>
  </si>
  <si>
    <t>10/31/2023</t>
  </si>
  <si>
    <t>TXN-2620</t>
  </si>
  <si>
    <t>24-08-2025</t>
  </si>
  <si>
    <t>TXN-1002</t>
  </si>
  <si>
    <t>03-02-2024</t>
  </si>
  <si>
    <t>TXN-0904</t>
  </si>
  <si>
    <t>TXN-3046</t>
  </si>
  <si>
    <t>TXN-0914</t>
  </si>
  <si>
    <t>TXN-0229</t>
  </si>
  <si>
    <t>TXN-0625</t>
  </si>
  <si>
    <t>TXN-0569</t>
  </si>
  <si>
    <t>25-10-2023</t>
  </si>
  <si>
    <t>TXN-2266</t>
  </si>
  <si>
    <t>06-04-2025</t>
  </si>
  <si>
    <t>TXN-1424</t>
  </si>
  <si>
    <t>TXN-3141</t>
  </si>
  <si>
    <t>09-02-2026</t>
  </si>
  <si>
    <t>TXN-0088</t>
  </si>
  <si>
    <t>TXN-0849</t>
  </si>
  <si>
    <t>TXN-2641</t>
  </si>
  <si>
    <t>15-09-2025</t>
  </si>
  <si>
    <t>TXN-3174</t>
  </si>
  <si>
    <t>14-03-2026</t>
  </si>
  <si>
    <t>TXN-0132</t>
  </si>
  <si>
    <t>05/26/2023</t>
  </si>
  <si>
    <t>TXN-0954</t>
  </si>
  <si>
    <t>TXN-0751</t>
  </si>
  <si>
    <t>TXN-0759</t>
  </si>
  <si>
    <t>TXN-2236</t>
  </si>
  <si>
    <t>17-04-2025</t>
  </si>
  <si>
    <t>TXN-0420</t>
  </si>
  <si>
    <t>TXN-2212</t>
  </si>
  <si>
    <t>TXN-3160</t>
  </si>
  <si>
    <t>13-02-2026</t>
  </si>
  <si>
    <t>TXN-2627</t>
  </si>
  <si>
    <t>28-08-2025</t>
  </si>
  <si>
    <t>TXN-0269</t>
  </si>
  <si>
    <t>19-06-2023</t>
  </si>
  <si>
    <t>TXN-2579</t>
  </si>
  <si>
    <t>08-08-2025</t>
  </si>
  <si>
    <t>TXN-3019</t>
  </si>
  <si>
    <t>21-01-2026</t>
  </si>
  <si>
    <t>AMAZON WEB SERVICES</t>
  </si>
  <si>
    <t>TXN-2145</t>
  </si>
  <si>
    <t>11-03-2025</t>
  </si>
  <si>
    <t>TXN-0130</t>
  </si>
  <si>
    <t>TXN-1768</t>
  </si>
  <si>
    <t>TXN-0628</t>
  </si>
  <si>
    <t>TXN-1114</t>
  </si>
  <si>
    <t>28-04-2024</t>
  </si>
  <si>
    <t>Salary Run â€” April 2024</t>
  </si>
  <si>
    <t>TXN-1113</t>
  </si>
  <si>
    <t>20-04-2024</t>
  </si>
  <si>
    <t>TXN-2320</t>
  </si>
  <si>
    <t>15-05-2025</t>
  </si>
  <si>
    <t>TXN-0338</t>
  </si>
  <si>
    <t>TXN-1346</t>
  </si>
  <si>
    <t>21-06-2024</t>
  </si>
  <si>
    <t>TXN-0295</t>
  </si>
  <si>
    <t>TXN-0637</t>
  </si>
  <si>
    <t>31-10-2023</t>
  </si>
  <si>
    <t>TXN-0817</t>
  </si>
  <si>
    <t>TXN-2782</t>
  </si>
  <si>
    <t>TXN-2719</t>
  </si>
  <si>
    <t>TXN-3028</t>
  </si>
  <si>
    <t>TXN-2805</t>
  </si>
  <si>
    <t>TXN-0554</t>
  </si>
  <si>
    <t>17-10-2023</t>
  </si>
  <si>
    <t>TXN-1570</t>
  </si>
  <si>
    <t>TXN-0030</t>
  </si>
  <si>
    <t>TXN-1692</t>
  </si>
  <si>
    <t>02-10-2024</t>
  </si>
  <si>
    <t>TXN-2817</t>
  </si>
  <si>
    <t>TXN-1347</t>
  </si>
  <si>
    <t>09-06-2024</t>
  </si>
  <si>
    <t>TXN-1957</t>
  </si>
  <si>
    <t>TXN-1268</t>
  </si>
  <si>
    <t>19-05-2024</t>
  </si>
  <si>
    <t>TXN-3020</t>
  </si>
  <si>
    <t>TXN-2445</t>
  </si>
  <si>
    <t>11-06-2025</t>
  </si>
  <si>
    <t>TXN-3032</t>
  </si>
  <si>
    <t>29-01-2026</t>
  </si>
  <si>
    <t>TXN-2260</t>
  </si>
  <si>
    <t>TXN-1338</t>
  </si>
  <si>
    <t>14-06-2024</t>
  </si>
  <si>
    <t>TXN-2837</t>
  </si>
  <si>
    <t>22-11-2025</t>
  </si>
  <si>
    <t>TXN-2070</t>
  </si>
  <si>
    <t>TXN-2121</t>
  </si>
  <si>
    <t>TXN-0297</t>
  </si>
  <si>
    <t>06-07-2023</t>
  </si>
  <si>
    <t>TXN-3169</t>
  </si>
  <si>
    <t>20-02-2026</t>
  </si>
  <si>
    <t>TXN-2589</t>
  </si>
  <si>
    <t>TAJ HOTELS CORPORATE</t>
  </si>
  <si>
    <t>TXN-0135</t>
  </si>
  <si>
    <t>31-05-2023</t>
  </si>
  <si>
    <t>TXN-1701</t>
  </si>
  <si>
    <t>TXN-2326</t>
  </si>
  <si>
    <t>02-05-2025</t>
  </si>
  <si>
    <t>TXN-0659</t>
  </si>
  <si>
    <t>TXN-2575</t>
  </si>
  <si>
    <t>19-08-2025</t>
  </si>
  <si>
    <t>TXN-2965</t>
  </si>
  <si>
    <t>TXN-1418</t>
  </si>
  <si>
    <t>TXN-0454</t>
  </si>
  <si>
    <t>TXN-1558</t>
  </si>
  <si>
    <t>TXN-2132</t>
  </si>
  <si>
    <t>03/11/2025</t>
  </si>
  <si>
    <t>TXN-2316</t>
  </si>
  <si>
    <t>17-05-2025</t>
  </si>
  <si>
    <t>TXN-3210</t>
  </si>
  <si>
    <t>TXN-0068</t>
  </si>
  <si>
    <t>14-04-2023</t>
  </si>
  <si>
    <t>TXN-1627</t>
  </si>
  <si>
    <t>21-09-2024</t>
  </si>
  <si>
    <t>TXN-0684</t>
  </si>
  <si>
    <t>TXN-0356</t>
  </si>
  <si>
    <t>TXN-1748</t>
  </si>
  <si>
    <t>TXN-2908</t>
  </si>
  <si>
    <t>11/10/2025</t>
  </si>
  <si>
    <t>TXN-2109</t>
  </si>
  <si>
    <t>29-03-2025</t>
  </si>
  <si>
    <t>TXN-2713</t>
  </si>
  <si>
    <t>09/03/2025</t>
  </si>
  <si>
    <t>TXN-0801</t>
  </si>
  <si>
    <t>TXN-0382</t>
  </si>
  <si>
    <t>TXN-1414</t>
  </si>
  <si>
    <t>23-07-2024</t>
  </si>
  <si>
    <t>TXN-2923</t>
  </si>
  <si>
    <t>12/18/2025</t>
  </si>
  <si>
    <t>TXN-1852</t>
  </si>
  <si>
    <t>TXN-1303</t>
  </si>
  <si>
    <t>23-06-2024</t>
  </si>
  <si>
    <t>TXN-1569</t>
  </si>
  <si>
    <t>11-09-2024</t>
  </si>
  <si>
    <t>TXN-0568</t>
  </si>
  <si>
    <t>01-10-2023</t>
  </si>
  <si>
    <t>TXN-1640</t>
  </si>
  <si>
    <t>28-09-2024</t>
  </si>
  <si>
    <t>TXN-0744</t>
  </si>
  <si>
    <t>31-12-2023</t>
  </si>
  <si>
    <t>TXN-1221</t>
  </si>
  <si>
    <t>30-05-2024</t>
  </si>
  <si>
    <t>TXN-1472</t>
  </si>
  <si>
    <t>TXN-2499</t>
  </si>
  <si>
    <t>31-07-2025</t>
  </si>
  <si>
    <t>TXN-3119</t>
  </si>
  <si>
    <t>TXN-2938</t>
  </si>
  <si>
    <t>08-12-2025</t>
  </si>
  <si>
    <t>TXN-1584</t>
  </si>
  <si>
    <t>TXN-2196</t>
  </si>
  <si>
    <t>TXN-0955</t>
  </si>
  <si>
    <t>TXN-2164</t>
  </si>
  <si>
    <t>TXN-1855</t>
  </si>
  <si>
    <t>14-12-2024</t>
  </si>
  <si>
    <t>TXN-0198</t>
  </si>
  <si>
    <t>06/03/2023</t>
  </si>
  <si>
    <t>TXN-2971</t>
  </si>
  <si>
    <t>TXN-0929</t>
  </si>
  <si>
    <t>02/10/2024</t>
  </si>
  <si>
    <t>TXN-0335</t>
  </si>
  <si>
    <t>TXN-0483</t>
  </si>
  <si>
    <t>12-09-2023</t>
  </si>
  <si>
    <t>TXN-1191</t>
  </si>
  <si>
    <t>TXN-1804</t>
  </si>
  <si>
    <t>TXN-0014</t>
  </si>
  <si>
    <t>TXN-2842</t>
  </si>
  <si>
    <t>28-11-2025</t>
  </si>
  <si>
    <t>TXN-1252</t>
  </si>
  <si>
    <t>TXN-1430</t>
  </si>
  <si>
    <t>TXN-3109</t>
  </si>
  <si>
    <t>TXN-1877</t>
  </si>
  <si>
    <t>24-12-2024</t>
  </si>
  <si>
    <t>TXN-0322</t>
  </si>
  <si>
    <t>18-07-2023</t>
  </si>
  <si>
    <t>TXN-1596</t>
  </si>
  <si>
    <t>30-09-2024</t>
  </si>
  <si>
    <t>TXN-1041</t>
  </si>
  <si>
    <t>TXN-1581</t>
  </si>
  <si>
    <t>09/22/2024</t>
  </si>
  <si>
    <t>TXN-0144</t>
  </si>
  <si>
    <t>TXN-0190</t>
  </si>
  <si>
    <t>06-06-2023</t>
  </si>
  <si>
    <t>TXN-2927</t>
  </si>
  <si>
    <t>15-12-2025</t>
  </si>
  <si>
    <t>TXN-0812</t>
  </si>
  <si>
    <t>07-12-2023</t>
  </si>
  <si>
    <t>TXN-3231</t>
  </si>
  <si>
    <t>TXN-1327</t>
  </si>
  <si>
    <t>22-06-2024</t>
  </si>
  <si>
    <t>TXN-1207</t>
  </si>
  <si>
    <t>05-05-2024</t>
  </si>
  <si>
    <t>TXN-2137</t>
  </si>
  <si>
    <t>TXN-0514</t>
  </si>
  <si>
    <t>TXN-3186</t>
  </si>
  <si>
    <t>06-03-2026</t>
  </si>
  <si>
    <t>TXN-1765</t>
  </si>
  <si>
    <t>11/05/2024</t>
  </si>
  <si>
    <t>TXN-0418</t>
  </si>
  <si>
    <t>TXN-0484</t>
  </si>
  <si>
    <t>14-09-2023</t>
  </si>
  <si>
    <t>TXN-0008</t>
  </si>
  <si>
    <t>TXN-0145</t>
  </si>
  <si>
    <t>TXN-0550</t>
  </si>
  <si>
    <t>07-09-2023</t>
  </si>
  <si>
    <t>TXN-2598</t>
  </si>
  <si>
    <t>TXN-0498</t>
  </si>
  <si>
    <t>TXN-0103</t>
  </si>
  <si>
    <t>TXN-1911</t>
  </si>
  <si>
    <t>02-12-2024</t>
  </si>
  <si>
    <t>TXN-0824</t>
  </si>
  <si>
    <t>01/01/2024</t>
  </si>
  <si>
    <t>TXN-0279</t>
  </si>
  <si>
    <t>TXN-3077</t>
  </si>
  <si>
    <t>28-01-2026</t>
  </si>
  <si>
    <t>TXN-1764</t>
  </si>
  <si>
    <t>TXN-0614</t>
  </si>
  <si>
    <t>07-10-2023</t>
  </si>
  <si>
    <t>TXN-1329</t>
  </si>
  <si>
    <t>TXN-0419</t>
  </si>
  <si>
    <t>TXN-2644</t>
  </si>
  <si>
    <t>28-09-2025</t>
  </si>
  <si>
    <t>Salary Run â€” September 2025</t>
  </si>
  <si>
    <t>TXN-3108</t>
  </si>
  <si>
    <t>17-02-2026</t>
  </si>
  <si>
    <t>TXN-0933</t>
  </si>
  <si>
    <t>21-02-2024</t>
  </si>
  <si>
    <t>TXN-1740</t>
  </si>
  <si>
    <t>TXN-1946</t>
  </si>
  <si>
    <t>12-01-2025</t>
  </si>
  <si>
    <t>TXN-1620</t>
  </si>
  <si>
    <t>TXN-2264</t>
  </si>
  <si>
    <t>26-04-2025</t>
  </si>
  <si>
    <t>TXN-1057</t>
  </si>
  <si>
    <t>25-03-2024</t>
  </si>
  <si>
    <t>CLEARTRIP BUSINESS</t>
  </si>
  <si>
    <t>TXN-2568</t>
  </si>
  <si>
    <t>TXN-1412</t>
  </si>
  <si>
    <t>28-07-2024</t>
  </si>
  <si>
    <t>TXN-0953</t>
  </si>
  <si>
    <t>27-02-2024</t>
  </si>
  <si>
    <t>TXN-1244</t>
  </si>
  <si>
    <t>26-05-2024</t>
  </si>
  <si>
    <t>TXN-0042</t>
  </si>
  <si>
    <t>TXN-0267</t>
  </si>
  <si>
    <t>TXN-2270</t>
  </si>
  <si>
    <t>TXN-0882</t>
  </si>
  <si>
    <t>01/09/2024</t>
  </si>
  <si>
    <t>TXN-0432</t>
  </si>
  <si>
    <t>TXN-1576</t>
  </si>
  <si>
    <t>09/29/2024</t>
  </si>
  <si>
    <t>TXN-1850</t>
  </si>
  <si>
    <t>TXN-0388</t>
  </si>
  <si>
    <t>TXN-2868</t>
  </si>
  <si>
    <t>24-11-2025</t>
  </si>
  <si>
    <t>TXN-2465</t>
  </si>
  <si>
    <t>TXN-1035</t>
  </si>
  <si>
    <t>27-03-2024</t>
  </si>
  <si>
    <t>TXN-1144</t>
  </si>
  <si>
    <t>TXN-0114</t>
  </si>
  <si>
    <t>22-05-2023</t>
  </si>
  <si>
    <t>TXN-2409</t>
  </si>
  <si>
    <t>28-06-2025</t>
  </si>
  <si>
    <t>TXN-3240</t>
  </si>
  <si>
    <t>TXN-1370</t>
  </si>
  <si>
    <t>TXN-1593</t>
  </si>
  <si>
    <t>15-09-2024</t>
  </si>
  <si>
    <t>TXN-1917</t>
  </si>
  <si>
    <t>18-12-2024</t>
  </si>
  <si>
    <t>TXN-0044</t>
  </si>
  <si>
    <t>TXN-2080</t>
  </si>
  <si>
    <t>TXN-2600</t>
  </si>
  <si>
    <t>TXN-2343</t>
  </si>
  <si>
    <t>TXN-1440</t>
  </si>
  <si>
    <t>TXN-2603</t>
  </si>
  <si>
    <t>TXN-0003</t>
  </si>
  <si>
    <t>19-04-2023</t>
  </si>
  <si>
    <t>TXN-2255</t>
  </si>
  <si>
    <t>TXN-1825</t>
  </si>
  <si>
    <t>TXN-0376</t>
  </si>
  <si>
    <t>TXN-3239</t>
  </si>
  <si>
    <t>TXN-2870</t>
  </si>
  <si>
    <t>TXN-2476</t>
  </si>
  <si>
    <t>TXN-0779</t>
  </si>
  <si>
    <t>27-12-2023</t>
  </si>
  <si>
    <t>TXN-1791</t>
  </si>
  <si>
    <t>TXN-3253</t>
  </si>
  <si>
    <t>TXN-2469</t>
  </si>
  <si>
    <t>TXN-1741</t>
  </si>
  <si>
    <t>TXN-2404</t>
  </si>
  <si>
    <t>27-06-2025</t>
  </si>
  <si>
    <t>TXN-2665</t>
  </si>
  <si>
    <t>09/24/2025</t>
  </si>
  <si>
    <t>TXN-0742</t>
  </si>
  <si>
    <t>22-12-2023</t>
  </si>
  <si>
    <t>TXN-1091</t>
  </si>
  <si>
    <t>TXN-2874</t>
  </si>
  <si>
    <t>15-11-2025</t>
  </si>
  <si>
    <t>TXN-1060</t>
  </si>
  <si>
    <t>TXN-0873</t>
  </si>
  <si>
    <t>TXN-0150</t>
  </si>
  <si>
    <t>03-05-2023</t>
  </si>
  <si>
    <t>TXN-0908</t>
  </si>
  <si>
    <t>TXN-0304</t>
  </si>
  <si>
    <t>TXN-0517</t>
  </si>
  <si>
    <t>25-09-2023</t>
  </si>
  <si>
    <t>TXN-1849</t>
  </si>
  <si>
    <t>15-12-2024</t>
  </si>
  <si>
    <t>TXN-0987</t>
  </si>
  <si>
    <t>12-02-2024</t>
  </si>
  <si>
    <t>TXN-2960</t>
  </si>
  <si>
    <t>04-12-2025</t>
  </si>
  <si>
    <t>INDIGO CORPORATE</t>
  </si>
  <si>
    <t>TXN-1903</t>
  </si>
  <si>
    <t>TXN-0412</t>
  </si>
  <si>
    <t>TXN-0940</t>
  </si>
  <si>
    <t>TXN-1013</t>
  </si>
  <si>
    <t>23-02-2024</t>
  </si>
  <si>
    <t>TXN-2460</t>
  </si>
  <si>
    <t>28-07-2025</t>
  </si>
  <si>
    <t>Salary Run â€” July 2025</t>
  </si>
  <si>
    <t>TXN-0463</t>
  </si>
  <si>
    <t>28-09-2023</t>
  </si>
  <si>
    <t>TXN-2839</t>
  </si>
  <si>
    <t>TXN-0349</t>
  </si>
  <si>
    <t>TXN-0749</t>
  </si>
  <si>
    <t>12-12-2023</t>
  </si>
  <si>
    <t>TXN-2206</t>
  </si>
  <si>
    <t>TXN-0644</t>
  </si>
  <si>
    <t>TXN-0606</t>
  </si>
  <si>
    <t>10/17/2023</t>
  </si>
  <si>
    <t>TXN-2209</t>
  </si>
  <si>
    <t>27-04-2025</t>
  </si>
  <si>
    <t>TXN-2210</t>
  </si>
  <si>
    <t>04/12/2025</t>
  </si>
  <si>
    <t>TXN-0032</t>
  </si>
  <si>
    <t>26-04-2023</t>
  </si>
  <si>
    <t>TXN-1239</t>
  </si>
  <si>
    <t>05/02/2024</t>
  </si>
  <si>
    <t>TXN-0227</t>
  </si>
  <si>
    <t>03-06-2023</t>
  </si>
  <si>
    <t>TXN-1243</t>
  </si>
  <si>
    <t>14-05-2024</t>
  </si>
  <si>
    <t>TXN-0584</t>
  </si>
  <si>
    <t>27-10-2023</t>
  </si>
  <si>
    <t>TXN-0519</t>
  </si>
  <si>
    <t>TXN-1528</t>
  </si>
  <si>
    <t>05-08-2024</t>
  </si>
  <si>
    <t>TXN-1527</t>
  </si>
  <si>
    <t>TXN-2733</t>
  </si>
  <si>
    <t>25-10-2025</t>
  </si>
  <si>
    <t>TXN-1051</t>
  </si>
  <si>
    <t>TXN-1762</t>
  </si>
  <si>
    <t>TXN-2271</t>
  </si>
  <si>
    <t>TXN-0937</t>
  </si>
  <si>
    <t>02/16/2024</t>
  </si>
  <si>
    <t>TXN-1639</t>
  </si>
  <si>
    <t>26-09-2024</t>
  </si>
  <si>
    <t>TXN-1580</t>
  </si>
  <si>
    <t>TXN-1466</t>
  </si>
  <si>
    <t>08/31/2024</t>
  </si>
  <si>
    <t>TXN-2981</t>
  </si>
  <si>
    <t>16-12-2025</t>
  </si>
  <si>
    <t>TXN-0722</t>
  </si>
  <si>
    <t>TXN-1014</t>
  </si>
  <si>
    <t>02/12/2024</t>
  </si>
  <si>
    <t>TXN-1275</t>
  </si>
  <si>
    <t>27-05-2024</t>
  </si>
  <si>
    <t>TXN-1261</t>
  </si>
  <si>
    <t>TXN-2397</t>
  </si>
  <si>
    <t>TXN-0725</t>
  </si>
  <si>
    <t>TXN-0957</t>
  </si>
  <si>
    <t>TXN-2482</t>
  </si>
  <si>
    <t>TXN-1501</t>
  </si>
  <si>
    <t>08/19/2024</t>
  </si>
  <si>
    <t>TXN-0738</t>
  </si>
  <si>
    <t>05-12-2023</t>
  </si>
  <si>
    <t>TXN-2050</t>
  </si>
  <si>
    <t>13-02-2025</t>
  </si>
  <si>
    <t>TXN-2148</t>
  </si>
  <si>
    <t>25-03-2025</t>
  </si>
  <si>
    <t>TXN-0373</t>
  </si>
  <si>
    <t>22-08-2023</t>
  </si>
  <si>
    <t>TXN-1572</t>
  </si>
  <si>
    <t>TXN-0143</t>
  </si>
  <si>
    <t>12-05-2023</t>
  </si>
  <si>
    <t>TXN-1038</t>
  </si>
  <si>
    <t>03/30/2024</t>
  </si>
  <si>
    <t>TXN-2084</t>
  </si>
  <si>
    <t>14-02-2025</t>
  </si>
  <si>
    <t>TXN-1983</t>
  </si>
  <si>
    <t>17-01-2025</t>
  </si>
  <si>
    <t>TXN-1331</t>
  </si>
  <si>
    <t>TXN-0509</t>
  </si>
  <si>
    <t>TXN-2689</t>
  </si>
  <si>
    <t>09/08/2025</t>
  </si>
  <si>
    <t>TXN-1398</t>
  </si>
  <si>
    <t>07-07-2024</t>
  </si>
  <si>
    <t>TXN-2881</t>
  </si>
  <si>
    <t>09-11-2025</t>
  </si>
  <si>
    <t>TXN-2149</t>
  </si>
  <si>
    <t>TXN-0451</t>
  </si>
  <si>
    <t>TXN-0346</t>
  </si>
  <si>
    <t>TXN-0834</t>
  </si>
  <si>
    <t>01/18/2024</t>
  </si>
  <si>
    <t>TXN-0260</t>
  </si>
  <si>
    <t>06/24/2023</t>
  </si>
  <si>
    <t>TXN-1691</t>
  </si>
  <si>
    <t>12-10-2024</t>
  </si>
  <si>
    <t>TXN-1072</t>
  </si>
  <si>
    <t>TXN-2181</t>
  </si>
  <si>
    <t>14-03-2025</t>
  </si>
  <si>
    <t>TXN-1647</t>
  </si>
  <si>
    <t>28-10-2024</t>
  </si>
  <si>
    <t>Salary Run â€” October 2024</t>
  </si>
  <si>
    <t>TXN-1638</t>
  </si>
  <si>
    <t>07-09-2024</t>
  </si>
  <si>
    <t>TXN-1505</t>
  </si>
  <si>
    <t>TXN-2500</t>
  </si>
  <si>
    <t>TXN-1129</t>
  </si>
  <si>
    <t>22-04-2024</t>
  </si>
  <si>
    <t>TXN-0680</t>
  </si>
  <si>
    <t>24-11-2023</t>
  </si>
  <si>
    <t>TXN-1381</t>
  </si>
  <si>
    <t>19-07-2024</t>
  </si>
  <si>
    <t>TXN-1082</t>
  </si>
  <si>
    <t>15-03-2024</t>
  </si>
  <si>
    <t>TXN-1172</t>
  </si>
  <si>
    <t>TXN-1823</t>
  </si>
  <si>
    <t>TXN-0224</t>
  </si>
  <si>
    <t>TXN-0344</t>
  </si>
  <si>
    <t>TXN-1216</t>
  </si>
  <si>
    <t>TXN-3091</t>
  </si>
  <si>
    <t>TXN-2004</t>
  </si>
  <si>
    <t>15-01-2025</t>
  </si>
  <si>
    <t>TXN-3094</t>
  </si>
  <si>
    <t>TXN-0156</t>
  </si>
  <si>
    <t>TXN-3147</t>
  </si>
  <si>
    <t>TXN-0582</t>
  </si>
  <si>
    <t>21-10-2023</t>
  </si>
  <si>
    <t>TXN-0714</t>
  </si>
  <si>
    <t>TXN-1109</t>
  </si>
  <si>
    <t>06-03-2024</t>
  </si>
  <si>
    <t>TXN-3087</t>
  </si>
  <si>
    <t>TXN-1654</t>
  </si>
  <si>
    <t>TXN-0347</t>
  </si>
  <si>
    <t>26-07-2023</t>
  </si>
  <si>
    <t>TXN-1273</t>
  </si>
  <si>
    <t>TXN-1785</t>
  </si>
  <si>
    <t>TXN-2616</t>
  </si>
  <si>
    <t>TXN-0618</t>
  </si>
  <si>
    <t>TXN-1023</t>
  </si>
  <si>
    <t>31-03-2024</t>
  </si>
  <si>
    <t>TXN-1434</t>
  </si>
  <si>
    <t>03-07-2024</t>
  </si>
  <si>
    <t>TXN-1079</t>
  </si>
  <si>
    <t>TXN-0490</t>
  </si>
  <si>
    <t>TXN-0147</t>
  </si>
  <si>
    <t>TXN-2663</t>
  </si>
  <si>
    <t>TXN-0878</t>
  </si>
  <si>
    <t>20-01-2024</t>
  </si>
  <si>
    <t>TXN-0604</t>
  </si>
  <si>
    <t>09-10-2023</t>
  </si>
  <si>
    <t>TXN-0780</t>
  </si>
  <si>
    <t>14-12-2023</t>
  </si>
  <si>
    <t>TXN-1006</t>
  </si>
  <si>
    <t>TXN-1888</t>
  </si>
  <si>
    <t>11-12-2024</t>
  </si>
  <si>
    <t>TXN-1045</t>
  </si>
  <si>
    <t>TXN-1145</t>
  </si>
  <si>
    <t>04/11/2024</t>
  </si>
  <si>
    <t>TXN-2054</t>
  </si>
  <si>
    <t>02/27/2025</t>
  </si>
  <si>
    <t>TXN-2664</t>
  </si>
  <si>
    <t>TXN-2573</t>
  </si>
  <si>
    <t>08/20/2025</t>
  </si>
  <si>
    <t>TXN-0993</t>
  </si>
  <si>
    <t>TXN-2858</t>
  </si>
  <si>
    <t>06-11-2025</t>
  </si>
  <si>
    <t>TXN-0650</t>
  </si>
  <si>
    <t>28-11-2023</t>
  </si>
  <si>
    <t>Salary Run â€” November 2023</t>
  </si>
  <si>
    <t>TXN-2896</t>
  </si>
  <si>
    <t>TXN-0941</t>
  </si>
  <si>
    <t>02/09/2024</t>
  </si>
  <si>
    <t>TXN-2370</t>
  </si>
  <si>
    <t>08-06-2025</t>
  </si>
  <si>
    <t>TXN-0245</t>
  </si>
  <si>
    <t>TXN-2068</t>
  </si>
  <si>
    <t>02/04/2025</t>
  </si>
  <si>
    <t>TXN-1461</t>
  </si>
  <si>
    <t>TXN-2947</t>
  </si>
  <si>
    <t>21-12-2025</t>
  </si>
  <si>
    <t>TXN-2378</t>
  </si>
  <si>
    <t>TXN-1228</t>
  </si>
  <si>
    <t>TXN-2977</t>
  </si>
  <si>
    <t>03-12-2025</t>
  </si>
  <si>
    <t>TXN-0622</t>
  </si>
  <si>
    <t>TXN-2006</t>
  </si>
  <si>
    <t>16-01-2025</t>
  </si>
  <si>
    <t>TXN-1705</t>
  </si>
  <si>
    <t>TXN-2322</t>
  </si>
  <si>
    <t>04-05-2025</t>
  </si>
  <si>
    <t>TXN-0201</t>
  </si>
  <si>
    <t>TXN-3217</t>
  </si>
  <si>
    <t>TXN-1794</t>
  </si>
  <si>
    <t>01-11-2024</t>
  </si>
  <si>
    <t>TXN-2222</t>
  </si>
  <si>
    <t>TXN-1559</t>
  </si>
  <si>
    <t>Salary Run â€” September 2024</t>
  </si>
  <si>
    <t>TXN-2894</t>
  </si>
  <si>
    <t>TXN-1811</t>
  </si>
  <si>
    <t>TXN-0985</t>
  </si>
  <si>
    <t>28-02-2024</t>
  </si>
  <si>
    <t>TXN-3163</t>
  </si>
  <si>
    <t>03-02-2026</t>
  </si>
  <si>
    <t>TXN-1183</t>
  </si>
  <si>
    <t>25-04-2024</t>
  </si>
  <si>
    <t>TXN-2751</t>
  </si>
  <si>
    <t>TXN-2064</t>
  </si>
  <si>
    <t>TXN-3130</t>
  </si>
  <si>
    <t>TXN-1545</t>
  </si>
  <si>
    <t>TXN-2726</t>
  </si>
  <si>
    <t>LOCAL VENDOR</t>
  </si>
  <si>
    <t>TXN-1250</t>
  </si>
  <si>
    <t>05/19/2024</t>
  </si>
  <si>
    <t>TXN-2038</t>
  </si>
  <si>
    <t>01-02-2025</t>
  </si>
  <si>
    <t>TXN-0126</t>
  </si>
  <si>
    <t>TXN-2702</t>
  </si>
  <si>
    <t>16-09-2025</t>
  </si>
  <si>
    <t>TXN-1981</t>
  </si>
  <si>
    <t>TXN-2200</t>
  </si>
  <si>
    <t>30-04-2025</t>
  </si>
  <si>
    <t>TXN-1929</t>
  </si>
  <si>
    <t>06-01-2025</t>
  </si>
  <si>
    <t>TXN-0430</t>
  </si>
  <si>
    <t>25-08-2023</t>
  </si>
  <si>
    <t>TXN-1546</t>
  </si>
  <si>
    <t>TXN-0320</t>
  </si>
  <si>
    <t>16-07-2023</t>
  </si>
  <si>
    <t>TXN-0535</t>
  </si>
  <si>
    <t>22-09-2023</t>
  </si>
  <si>
    <t>TXN-2703</t>
  </si>
  <si>
    <t>TXN-0675</t>
  </si>
  <si>
    <t>TXN-2265</t>
  </si>
  <si>
    <t>TXN-2224</t>
  </si>
  <si>
    <t>TXN-3107</t>
  </si>
  <si>
    <t>25-02-2026</t>
  </si>
  <si>
    <t>TXN-0250</t>
  </si>
  <si>
    <t>TXN-2652</t>
  </si>
  <si>
    <t>09/30/2025</t>
  </si>
  <si>
    <t>TXN-1856</t>
  </si>
  <si>
    <t>23-12-2024</t>
  </si>
  <si>
    <t>TXN-1267</t>
  </si>
  <si>
    <t>TXN-1718</t>
  </si>
  <si>
    <t>TXN-1728</t>
  </si>
  <si>
    <t>TXN-1164</t>
  </si>
  <si>
    <t>TXN-1340</t>
  </si>
  <si>
    <t>07-06-2024</t>
  </si>
  <si>
    <t>TXN-2187</t>
  </si>
  <si>
    <t>25-04-2025</t>
  </si>
  <si>
    <t>TXN-2431</t>
  </si>
  <si>
    <t>TXN-0855</t>
  </si>
  <si>
    <t>TXN-1085</t>
  </si>
  <si>
    <t>TXN-1288</t>
  </si>
  <si>
    <t>28-06-2024</t>
  </si>
  <si>
    <t>Salary Run â€” June 2024</t>
  </si>
  <si>
    <t>TXN-0080</t>
  </si>
  <si>
    <t>TXN-2147</t>
  </si>
  <si>
    <t>TXN-0639</t>
  </si>
  <si>
    <t>10/22/2023</t>
  </si>
  <si>
    <t>TXN-0098</t>
  </si>
  <si>
    <t>TXN-3165</t>
  </si>
  <si>
    <t>TXN-2471</t>
  </si>
  <si>
    <t>TXN-0580</t>
  </si>
  <si>
    <t>10/26/2023</t>
  </si>
  <si>
    <t>TXN-3237</t>
  </si>
  <si>
    <t>TXN-1994</t>
  </si>
  <si>
    <t>TXN-3135</t>
  </si>
  <si>
    <t>TXN-2327</t>
  </si>
  <si>
    <t>19-05-2025</t>
  </si>
  <si>
    <t>TXN-1719</t>
  </si>
  <si>
    <t>TXN-0515</t>
  </si>
  <si>
    <t>09/17/2023</t>
  </si>
  <si>
    <t>TXN-3204</t>
  </si>
  <si>
    <t>TXN-1895</t>
  </si>
  <si>
    <t>TXN-3115</t>
  </si>
  <si>
    <t>28-02-2026</t>
  </si>
  <si>
    <t>TXN-1011</t>
  </si>
  <si>
    <t>TXN-2763</t>
  </si>
  <si>
    <t>TXN-0146</t>
  </si>
  <si>
    <t>05/29/2023</t>
  </si>
  <si>
    <t>TXN-3148</t>
  </si>
  <si>
    <t>11-02-2026</t>
  </si>
  <si>
    <t>TXN-1175</t>
  </si>
  <si>
    <t>18-04-2024</t>
  </si>
  <si>
    <t>TXN-2367</t>
  </si>
  <si>
    <t>TXN-2458</t>
  </si>
  <si>
    <t>22-07-2025</t>
  </si>
  <si>
    <t>TXN-2116</t>
  </si>
  <si>
    <t>TXN-2935</t>
  </si>
  <si>
    <t>TXN-1609</t>
  </si>
  <si>
    <t>03-09-2024</t>
  </si>
  <si>
    <t>TXN-2280</t>
  </si>
  <si>
    <t>TXN-1365</t>
  </si>
  <si>
    <t>TXN-1223</t>
  </si>
  <si>
    <t>TXN-0859</t>
  </si>
  <si>
    <t>23-01-2024</t>
  </si>
  <si>
    <t>TXN-2586</t>
  </si>
  <si>
    <t>TXN-0442</t>
  </si>
  <si>
    <t>TXN-0557</t>
  </si>
  <si>
    <t>TXN-2876</t>
  </si>
  <si>
    <t>TXN-1945</t>
  </si>
  <si>
    <t>10-01-2025</t>
  </si>
  <si>
    <t>TXN-0464</t>
  </si>
  <si>
    <t>TXN-0399</t>
  </si>
  <si>
    <t>TXN-0167</t>
  </si>
  <si>
    <t>TXN-2114</t>
  </si>
  <si>
    <t>TXN-0558</t>
  </si>
  <si>
    <t>TXN-2844</t>
  </si>
  <si>
    <t>10-11-2025</t>
  </si>
  <si>
    <t>TXN-0822</t>
  </si>
  <si>
    <t>TXN-3011</t>
  </si>
  <si>
    <t>25-01-2026</t>
  </si>
  <si>
    <t>TXN-1420</t>
  </si>
  <si>
    <t>07/16/2024</t>
  </si>
  <si>
    <t>TXN-0717</t>
  </si>
  <si>
    <t>TXN-3129</t>
  </si>
  <si>
    <t>18-02-2026</t>
  </si>
  <si>
    <t>TXN-0221</t>
  </si>
  <si>
    <t>TXN-3182</t>
  </si>
  <si>
    <t>TXN-2018</t>
  </si>
  <si>
    <t>TXN-2044</t>
  </si>
  <si>
    <t>TXN-2519</t>
  </si>
  <si>
    <t>TXN-0452</t>
  </si>
  <si>
    <t>28-08-2023</t>
  </si>
  <si>
    <t>TXN-0674</t>
  </si>
  <si>
    <t>TXN-2380</t>
  </si>
  <si>
    <t>18-06-2025</t>
  </si>
  <si>
    <t>TXN-1248</t>
  </si>
  <si>
    <t>TXN-1128</t>
  </si>
  <si>
    <t>TXN-1390</t>
  </si>
  <si>
    <t>TXN-1974</t>
  </si>
  <si>
    <t>01/26/2025</t>
  </si>
  <si>
    <t>TXN-2455</t>
  </si>
  <si>
    <t>TXN-2129</t>
  </si>
  <si>
    <t>TXN-1403</t>
  </si>
  <si>
    <t>TXN-1162</t>
  </si>
  <si>
    <t>11-04-2024</t>
  </si>
  <si>
    <t>TXN-1587</t>
  </si>
  <si>
    <t>TXN-0785</t>
  </si>
  <si>
    <t>12/14/2023</t>
  </si>
  <si>
    <t>TXN-3086</t>
  </si>
  <si>
    <t>TXN-1616</t>
  </si>
  <si>
    <t>09-09-2024</t>
  </si>
  <si>
    <t>TXN-0225</t>
  </si>
  <si>
    <t>TXN-2625</t>
  </si>
  <si>
    <t>TXN-1036</t>
  </si>
  <si>
    <t>TXN-0538</t>
  </si>
  <si>
    <t>23-09-2023</t>
  </si>
  <si>
    <t>TXN-1606</t>
  </si>
  <si>
    <t>TXN-1944</t>
  </si>
  <si>
    <t>01/21/2025</t>
  </si>
  <si>
    <t>TXN-0441</t>
  </si>
  <si>
    <t>08/19/2023</t>
  </si>
  <si>
    <t>TXN-2377</t>
  </si>
  <si>
    <t>TXN-3212</t>
  </si>
  <si>
    <t>03/19/2026</t>
  </si>
  <si>
    <t>TXN-3006</t>
  </si>
  <si>
    <t>TXN-0943</t>
  </si>
  <si>
    <t>TXN-2764</t>
  </si>
  <si>
    <t>09-10-2025</t>
  </si>
  <si>
    <t>TXN-2833</t>
  </si>
  <si>
    <t>30-11-2025</t>
  </si>
  <si>
    <t>TXN-1512</t>
  </si>
  <si>
    <t>TXN-2382</t>
  </si>
  <si>
    <t>TXN-0608</t>
  </si>
  <si>
    <t>TXN-2514</t>
  </si>
  <si>
    <t>15-07-2025</t>
  </si>
  <si>
    <t>TXN-2542</t>
  </si>
  <si>
    <t>23-07-2025</t>
  </si>
  <si>
    <t>TXN-2921</t>
  </si>
  <si>
    <t>Salary Run â€” December 2025</t>
  </si>
  <si>
    <t>TXN-0296</t>
  </si>
  <si>
    <t>19-07-2023</t>
  </si>
  <si>
    <t>TXN-1435</t>
  </si>
  <si>
    <t>TXN-2753</t>
  </si>
  <si>
    <t>30-10-2025</t>
  </si>
  <si>
    <t>TXN-3061</t>
  </si>
  <si>
    <t>01/11/2026</t>
  </si>
  <si>
    <t>TXN-3090</t>
  </si>
  <si>
    <t>TXN-1287</t>
  </si>
  <si>
    <t>TXN-1242</t>
  </si>
  <si>
    <t>29-05-2024</t>
  </si>
  <si>
    <t>TXN-2807</t>
  </si>
  <si>
    <t>10/30/2025</t>
  </si>
  <si>
    <t>TXN-1562</t>
  </si>
  <si>
    <t>TXN-1846</t>
  </si>
  <si>
    <t>TXN-3238</t>
  </si>
  <si>
    <t>12-03-2026</t>
  </si>
  <si>
    <t>TXN-0242</t>
  </si>
  <si>
    <t>08-06-2023</t>
  </si>
  <si>
    <t>TXN-1413</t>
  </si>
  <si>
    <t>22-07-2024</t>
  </si>
  <si>
    <t>TXN-1176</t>
  </si>
  <si>
    <t>23-04-2024</t>
  </si>
  <si>
    <t>TXN-3154</t>
  </si>
  <si>
    <t>TXN-1802</t>
  </si>
  <si>
    <t>TXN-1793</t>
  </si>
  <si>
    <t>TXN-2311</t>
  </si>
  <si>
    <t>22-05-2025</t>
  </si>
  <si>
    <t>TXN-2360</t>
  </si>
  <si>
    <t>TXN-1712</t>
  </si>
  <si>
    <t>TXN-2081</t>
  </si>
  <si>
    <t>TXN-1713</t>
  </si>
  <si>
    <t>10/05/2024</t>
  </si>
  <si>
    <t>TXN-1099</t>
  </si>
  <si>
    <t>03/04/2024</t>
  </si>
  <si>
    <t>TXN-1805</t>
  </si>
  <si>
    <t>10-11-2024</t>
  </si>
  <si>
    <t>TXN-3196</t>
  </si>
  <si>
    <t>TXN-0009</t>
  </si>
  <si>
    <t>TXN-0341</t>
  </si>
  <si>
    <t>12-07-2023</t>
  </si>
  <si>
    <t>TXN-0966</t>
  </si>
  <si>
    <t>TXN-2619</t>
  </si>
  <si>
    <t>09-08-2025</t>
  </si>
  <si>
    <t>TXN-3050</t>
  </si>
  <si>
    <t>01/17/2026</t>
  </si>
  <si>
    <t>TXN-2891</t>
  </si>
  <si>
    <t>02-11-2025</t>
  </si>
  <si>
    <t>TXN-0971</t>
  </si>
  <si>
    <t>25-02-2024</t>
  </si>
  <si>
    <t>TXN-1360</t>
  </si>
  <si>
    <t>15-06-2024</t>
  </si>
  <si>
    <t>TXN-3155</t>
  </si>
  <si>
    <t>TXN-0048</t>
  </si>
  <si>
    <t>02-04-2023</t>
  </si>
  <si>
    <t>TXN-0502</t>
  </si>
  <si>
    <t>TXN-0060</t>
  </si>
  <si>
    <t>TXN-1891</t>
  </si>
  <si>
    <t>TXN-0946</t>
  </si>
  <si>
    <t>TXN-2250</t>
  </si>
  <si>
    <t>11-04-2025</t>
  </si>
  <si>
    <t>TXN-3070</t>
  </si>
  <si>
    <t>31-01-2026</t>
  </si>
  <si>
    <t>TXN-1964</t>
  </si>
  <si>
    <t>19-01-2025</t>
  </si>
  <si>
    <t>TXN-1263</t>
  </si>
  <si>
    <t>31-05-2024</t>
  </si>
  <si>
    <t>TXN-2899</t>
  </si>
  <si>
    <t>TXN-1783</t>
  </si>
  <si>
    <t>TXN-3161</t>
  </si>
  <si>
    <t>TXN-0726</t>
  </si>
  <si>
    <t>21-11-2023</t>
  </si>
  <si>
    <t>TXN-2545</t>
  </si>
  <si>
    <t>10-07-2025</t>
  </si>
  <si>
    <t>TXN-1744</t>
  </si>
  <si>
    <t>TXN-1519</t>
  </si>
  <si>
    <t>13-08-2024</t>
  </si>
  <si>
    <t>TXN-1119</t>
  </si>
  <si>
    <t>TXN-2577</t>
  </si>
  <si>
    <t>TXN-2928</t>
  </si>
  <si>
    <t>TXN-1209</t>
  </si>
  <si>
    <t>TXN-0964</t>
  </si>
  <si>
    <t>TXN-2540</t>
  </si>
  <si>
    <t>07/07/2025</t>
  </si>
  <si>
    <t>TXN-0607</t>
  </si>
  <si>
    <t>TXN-1907</t>
  </si>
  <si>
    <t>04-12-2024</t>
  </si>
  <si>
    <t>TXN-2308</t>
  </si>
  <si>
    <t>TXN-2285</t>
  </si>
  <si>
    <t>TXN-2412</t>
  </si>
  <si>
    <t>TXN-0846</t>
  </si>
  <si>
    <t>TXN-1634</t>
  </si>
  <si>
    <t>TXN-1184</t>
  </si>
  <si>
    <t>30-04-2024</t>
  </si>
  <si>
    <t>TXN-2428</t>
  </si>
  <si>
    <t>TXN-0879</t>
  </si>
  <si>
    <t>01-01-2024</t>
  </si>
  <si>
    <t>TXN-1025</t>
  </si>
  <si>
    <t>TXN-0673</t>
  </si>
  <si>
    <t>TXN-1833</t>
  </si>
  <si>
    <t>12/24/2024</t>
  </si>
  <si>
    <t>TXN-2117</t>
  </si>
  <si>
    <t>TXN-2922</t>
  </si>
  <si>
    <t>12/19/2025</t>
  </si>
  <si>
    <t>MANUAL REIMBURSEMENT</t>
  </si>
  <si>
    <t>TXN-0436</t>
  </si>
  <si>
    <t>TXN-1619</t>
  </si>
  <si>
    <t>TXN-0664</t>
  </si>
  <si>
    <t>09-11-2023</t>
  </si>
  <si>
    <t>TXN-2904</t>
  </si>
  <si>
    <t>TXN-1121</t>
  </si>
  <si>
    <t>04/14/2024</t>
  </si>
  <si>
    <t>TXN-2098</t>
  </si>
  <si>
    <t>TXN-3008</t>
  </si>
  <si>
    <t>13-01-2026</t>
  </si>
  <si>
    <t>TXN-1577</t>
  </si>
  <si>
    <t>TXN-0321</t>
  </si>
  <si>
    <t>TXN-2248</t>
  </si>
  <si>
    <t>18-04-2025</t>
  </si>
  <si>
    <t>TXN-0973</t>
  </si>
  <si>
    <t>TXN-0694</t>
  </si>
  <si>
    <t>TXN-1454</t>
  </si>
  <si>
    <t>TXN-0610</t>
  </si>
  <si>
    <t>TXN-2800</t>
  </si>
  <si>
    <t>29-10-2025</t>
  </si>
  <si>
    <t>TXN-2824</t>
  </si>
  <si>
    <t>TXN-1012</t>
  </si>
  <si>
    <t>18-02-2024</t>
  </si>
  <si>
    <t>TXN-0415</t>
  </si>
  <si>
    <t>10-08-2023</t>
  </si>
  <si>
    <t>TXN-0594</t>
  </si>
  <si>
    <t>TXN-2441</t>
  </si>
  <si>
    <t>06/18/2025</t>
  </si>
  <si>
    <t>VODAFONE IDEA BUSINESS</t>
  </si>
  <si>
    <t>TXN-1442</t>
  </si>
  <si>
    <t>TXN-3225</t>
  </si>
  <si>
    <t>TXN-3051</t>
  </si>
  <si>
    <t>TXN-2487</t>
  </si>
  <si>
    <t>TXN-1299</t>
  </si>
  <si>
    <t>TXN-2042</t>
  </si>
  <si>
    <t>TXN-0836</t>
  </si>
  <si>
    <t>31-01-2024</t>
  </si>
  <si>
    <t>TXN-2892</t>
  </si>
  <si>
    <t>TXN-2153</t>
  </si>
  <si>
    <t>TXN-1621</t>
  </si>
  <si>
    <t>TXN-0693</t>
  </si>
  <si>
    <t>TXN-0478</t>
  </si>
  <si>
    <t>TXN-3030</t>
  </si>
  <si>
    <t>TXN-1677</t>
  </si>
  <si>
    <t>18-10-2024</t>
  </si>
  <si>
    <t>TXN-0807</t>
  </si>
  <si>
    <t>TXN-2576</t>
  </si>
  <si>
    <t>16-08-2025</t>
  </si>
  <si>
    <t>TXN-0905</t>
  </si>
  <si>
    <t>TXN-2364</t>
  </si>
  <si>
    <t>TXN-0327</t>
  </si>
  <si>
    <t>TXN-2983</t>
  </si>
  <si>
    <t>18-12-2025</t>
  </si>
  <si>
    <t>TXN-1192</t>
  </si>
  <si>
    <t>17-05-2024</t>
  </si>
  <si>
    <t>TXN-1494</t>
  </si>
  <si>
    <t>TXN-0511</t>
  </si>
  <si>
    <t>TXN-2295</t>
  </si>
  <si>
    <t>05/10/2025</t>
  </si>
  <si>
    <t>TXN-0757</t>
  </si>
  <si>
    <t>30-12-2023</t>
  </si>
  <si>
    <t>TXN-1952</t>
  </si>
  <si>
    <t>28-01-2025</t>
  </si>
  <si>
    <t>TXN-2701</t>
  </si>
  <si>
    <t>12-09-2025</t>
  </si>
  <si>
    <t>TXN-0216</t>
  </si>
  <si>
    <t>TXN-1807</t>
  </si>
  <si>
    <t>TXN-0853</t>
  </si>
  <si>
    <t>TXN-0854</t>
  </si>
  <si>
    <t>04-01-2024</t>
  </si>
  <si>
    <t>TXN-2830</t>
  </si>
  <si>
    <t>TXN-2312</t>
  </si>
  <si>
    <t>20-05-2025</t>
  </si>
  <si>
    <t>TXN-2862</t>
  </si>
  <si>
    <t>TXN-1645</t>
  </si>
  <si>
    <t>TXN-2988</t>
  </si>
  <si>
    <t>TXN-0758</t>
  </si>
  <si>
    <t>TXN-0323</t>
  </si>
  <si>
    <t>17-07-2023</t>
  </si>
  <si>
    <t>TXN-0799</t>
  </si>
  <si>
    <t>TXN-2630</t>
  </si>
  <si>
    <t>TXN-0548</t>
  </si>
  <si>
    <t>09/04/2023</t>
  </si>
  <si>
    <t>TXN-1599</t>
  </si>
  <si>
    <t>20-09-2024</t>
  </si>
  <si>
    <t>TXN-1153</t>
  </si>
  <si>
    <t>17-04-2024</t>
  </si>
  <si>
    <t>TXN-0681</t>
  </si>
  <si>
    <t>TXN-0760</t>
  </si>
  <si>
    <t>16-12-2023</t>
  </si>
  <si>
    <t>TXN-1483</t>
  </si>
  <si>
    <t>11-08-2024</t>
  </si>
  <si>
    <t>TXN-3234</t>
  </si>
  <si>
    <t>TXN-2739</t>
  </si>
  <si>
    <t>TXN-1626</t>
  </si>
  <si>
    <t>ACT FIBERNET CORPORATE</t>
  </si>
  <si>
    <t>TXN-3178</t>
  </si>
  <si>
    <t>04-03-2026</t>
  </si>
  <si>
    <t>TXN-2425</t>
  </si>
  <si>
    <t>TXN-1649</t>
  </si>
  <si>
    <t>TXN-2585</t>
  </si>
  <si>
    <t>08/10/2025</t>
  </si>
  <si>
    <t>TXN-0967</t>
  </si>
  <si>
    <t>TXN-1274</t>
  </si>
  <si>
    <t>TXN-2723</t>
  </si>
  <si>
    <t>TXN-2940</t>
  </si>
  <si>
    <t>TXN-2639</t>
  </si>
  <si>
    <t>08/15/2025</t>
  </si>
  <si>
    <t>TXN-1776</t>
  </si>
  <si>
    <t>11/22/2024</t>
  </si>
  <si>
    <t>TXN-1871</t>
  </si>
  <si>
    <t>12/26/2024</t>
  </si>
  <si>
    <t>TXN-3255</t>
  </si>
  <si>
    <t>TXN-2942</t>
  </si>
  <si>
    <t>TXN-0497</t>
  </si>
  <si>
    <t>TXN-1281</t>
  </si>
  <si>
    <t>TXN-2677</t>
  </si>
  <si>
    <t>TXN-2048</t>
  </si>
  <si>
    <t>TXN-0930</t>
  </si>
  <si>
    <t>TXN-0896</t>
  </si>
  <si>
    <t>TXN-1865</t>
  </si>
  <si>
    <t>TXN-1656</t>
  </si>
  <si>
    <t>10/23/2024</t>
  </si>
  <si>
    <t>TXN-1967</t>
  </si>
  <si>
    <t>TXN-1491</t>
  </si>
  <si>
    <t>ZOHO CORP</t>
  </si>
  <si>
    <t>TXN-2758</t>
  </si>
  <si>
    <t>31-10-2025</t>
  </si>
  <si>
    <t>TXN-2826</t>
  </si>
  <si>
    <t>14-11-2025</t>
  </si>
  <si>
    <t>TXN-0396</t>
  </si>
  <si>
    <t>TXN-2748</t>
  </si>
  <si>
    <t>TXN-0881</t>
  </si>
  <si>
    <t>TRILEGAL ADVOCATES</t>
  </si>
  <si>
    <t>TXN-1049</t>
  </si>
  <si>
    <t>30-03-2024</t>
  </si>
  <si>
    <t>TXN-1196</t>
  </si>
  <si>
    <t>28-05-2024</t>
  </si>
  <si>
    <t>Salary Run â€” May 2024</t>
  </si>
  <si>
    <t>TXN-2086</t>
  </si>
  <si>
    <t>TXN-2673</t>
  </si>
  <si>
    <t>TXN-2197</t>
  </si>
  <si>
    <t>02-04-2025</t>
  </si>
  <si>
    <t>TXN-2811</t>
  </si>
  <si>
    <t>16-10-2025</t>
  </si>
  <si>
    <t>TXN-0907</t>
  </si>
  <si>
    <t>09-01-2024</t>
  </si>
  <si>
    <t>TXN-1832</t>
  </si>
  <si>
    <t>Salary Run â€” December 2024</t>
  </si>
  <si>
    <t>TXN-2572</t>
  </si>
  <si>
    <t>TXN-1637</t>
  </si>
  <si>
    <t>25-09-2024</t>
  </si>
  <si>
    <t>TXN-2440</t>
  </si>
  <si>
    <t>TXN-1026</t>
  </si>
  <si>
    <t>TXN-0381</t>
  </si>
  <si>
    <t>TXN-1696</t>
  </si>
  <si>
    <t>31-10-2024</t>
  </si>
  <si>
    <t>TXN-1862</t>
  </si>
  <si>
    <t>31-12-2024</t>
  </si>
  <si>
    <t>TXN-0259</t>
  </si>
  <si>
    <t>22-06-2023</t>
  </si>
  <si>
    <t>TXN-0683</t>
  </si>
  <si>
    <t>10-11-2023</t>
  </si>
  <si>
    <t>TXN-2823</t>
  </si>
  <si>
    <t>15-10-2025</t>
  </si>
  <si>
    <t>TXN-1953</t>
  </si>
  <si>
    <t>TXN-2849</t>
  </si>
  <si>
    <t>23-11-2025</t>
  </si>
  <si>
    <t>TXN-1867</t>
  </si>
  <si>
    <t>08-12-2024</t>
  </si>
  <si>
    <t>TXN-1225</t>
  </si>
  <si>
    <t>21-05-2024</t>
  </si>
  <si>
    <t>TXN-2394</t>
  </si>
  <si>
    <t>TXN-2929</t>
  </si>
  <si>
    <t>TXN-0440</t>
  </si>
  <si>
    <t>TXN-0240</t>
  </si>
  <si>
    <t>TXN-0776</t>
  </si>
  <si>
    <t>TXN-2442</t>
  </si>
  <si>
    <t>TXN-0372</t>
  </si>
  <si>
    <t>TXN-2194</t>
  </si>
  <si>
    <t>TXN-2828</t>
  </si>
  <si>
    <t>08-11-2025</t>
  </si>
  <si>
    <t>TXN-3189</t>
  </si>
  <si>
    <t>TXN-1810</t>
  </si>
  <si>
    <t>TXN-2246</t>
  </si>
  <si>
    <t>TXN-0207</t>
  </si>
  <si>
    <t>06/27/2023</t>
  </si>
  <si>
    <t>TXN-1180</t>
  </si>
  <si>
    <t>26-04-2024</t>
  </si>
  <si>
    <t>TXN-0458</t>
  </si>
  <si>
    <t>TXN-2607</t>
  </si>
  <si>
    <t>TXN-0629</t>
  </si>
  <si>
    <t>TXN-3195</t>
  </si>
  <si>
    <t>10-03-2026</t>
  </si>
  <si>
    <t>TXN-3221</t>
  </si>
  <si>
    <t>TXN-0426</t>
  </si>
  <si>
    <t>TXN-2017</t>
  </si>
  <si>
    <t>16-02-2025</t>
  </si>
  <si>
    <t>TXN-2062</t>
  </si>
  <si>
    <t>TXN-0095</t>
  </si>
  <si>
    <t>28-05-2023</t>
  </si>
  <si>
    <t>Salary Run â€” May 2023</t>
  </si>
  <si>
    <t>TXN-1258</t>
  </si>
  <si>
    <t>TXN-1359</t>
  </si>
  <si>
    <t>08-06-2024</t>
  </si>
  <si>
    <t>TXN-2551</t>
  </si>
  <si>
    <t>21-07-2025</t>
  </si>
  <si>
    <t>TXN-1342</t>
  </si>
  <si>
    <t>26-06-2024</t>
  </si>
  <si>
    <t>TXN-1675</t>
  </si>
  <si>
    <t>10/16/2024</t>
  </si>
  <si>
    <t>TXN-2340</t>
  </si>
  <si>
    <t>TXN-2978</t>
  </si>
  <si>
    <t>TXN-0097</t>
  </si>
  <si>
    <t>TXN-0361</t>
  </si>
  <si>
    <t>TXN-1362</t>
  </si>
  <si>
    <t>03-06-2024</t>
  </si>
  <si>
    <t>TXN-2972</t>
  </si>
  <si>
    <t>07-12-2025</t>
  </si>
  <si>
    <t>TXN-2902</t>
  </si>
  <si>
    <t>TXN-1203</t>
  </si>
  <si>
    <t>TXN-1965</t>
  </si>
  <si>
    <t>29-01-2025</t>
  </si>
  <si>
    <t>TXN-2259</t>
  </si>
  <si>
    <t>TXN-0065</t>
  </si>
  <si>
    <t>TXN-2522</t>
  </si>
  <si>
    <t>TXN-1853</t>
  </si>
  <si>
    <t>TXN-1894</t>
  </si>
  <si>
    <t>TXN-3131</t>
  </si>
  <si>
    <t>TXN-1655</t>
  </si>
  <si>
    <t>TXN-1611</t>
  </si>
  <si>
    <t>TXN-1064</t>
  </si>
  <si>
    <t>TXN-0422</t>
  </si>
  <si>
    <t>TXN-0512</t>
  </si>
  <si>
    <t>27-09-2023</t>
  </si>
  <si>
    <t>TXN-1769</t>
  </si>
  <si>
    <t>TXN-0823</t>
  </si>
  <si>
    <t>TXN-1463</t>
  </si>
  <si>
    <t>TXN-0040</t>
  </si>
  <si>
    <t>20-04-2023</t>
  </si>
  <si>
    <t>TXN-2541</t>
  </si>
  <si>
    <t>TXN-2854</t>
  </si>
  <si>
    <t>TXN-1720</t>
  </si>
  <si>
    <t>TXN-2552</t>
  </si>
  <si>
    <t>17-08-2025</t>
  </si>
  <si>
    <t>TXN-0525</t>
  </si>
  <si>
    <t>TXN-0155</t>
  </si>
  <si>
    <t>TXN-0646</t>
  </si>
  <si>
    <t>11/28/2023</t>
  </si>
  <si>
    <t>TXN-0212</t>
  </si>
  <si>
    <t>TXN-2566</t>
  </si>
  <si>
    <t>08/26/2025</t>
  </si>
  <si>
    <t>TXN-2686</t>
  </si>
  <si>
    <t>09-09-2025</t>
  </si>
  <si>
    <t>TXN-0838</t>
  </si>
  <si>
    <t>26-01-2024</t>
  </si>
  <si>
    <t>TXN-1693</t>
  </si>
  <si>
    <t>TXN-1689</t>
  </si>
  <si>
    <t>15-10-2024</t>
  </si>
  <si>
    <t>TXN-0315</t>
  </si>
  <si>
    <t>TXN-3112</t>
  </si>
  <si>
    <t>TXN-0197</t>
  </si>
  <si>
    <t>TXN-0196</t>
  </si>
  <si>
    <t>TXN-1617</t>
  </si>
  <si>
    <t>TXN-2637</t>
  </si>
  <si>
    <t>TXN-0283</t>
  </si>
  <si>
    <t>TXN-0669</t>
  </si>
  <si>
    <t>04-11-2023</t>
  </si>
  <si>
    <t>TXN-2371</t>
  </si>
  <si>
    <t>TXN-0039</t>
  </si>
  <si>
    <t>04/19/2023</t>
  </si>
  <si>
    <t>TXN-2738</t>
  </si>
  <si>
    <t>TXN-1474</t>
  </si>
  <si>
    <t>08/21/2024</t>
  </si>
  <si>
    <t>TXN-1416</t>
  </si>
  <si>
    <t>TXN-2629</t>
  </si>
  <si>
    <t>TXN-2125</t>
  </si>
  <si>
    <t>TXN-1934</t>
  </si>
  <si>
    <t>TXN-1548</t>
  </si>
  <si>
    <t>TXN-1480</t>
  </si>
  <si>
    <t>03-08-2024</t>
  </si>
  <si>
    <t>TXN-0316</t>
  </si>
  <si>
    <t>TXN-0400</t>
  </si>
  <si>
    <t>07-08-2023</t>
  </si>
  <si>
    <t>TXN-0379</t>
  </si>
  <si>
    <t>TXN-2563</t>
  </si>
  <si>
    <t>TXN-0069</t>
  </si>
  <si>
    <t>05-04-2023</t>
  </si>
  <si>
    <t>TXN-0828</t>
  </si>
  <si>
    <t>28-01-2024</t>
  </si>
  <si>
    <t>Salary Run â€” January 2024</t>
  </si>
  <si>
    <t>TXN-0026</t>
  </si>
  <si>
    <t>TXN-0402</t>
  </si>
  <si>
    <t>TXN-2815</t>
  </si>
  <si>
    <t>05-10-2025</t>
  </si>
  <si>
    <t>TXN-3219</t>
  </si>
  <si>
    <t>TXN-1954</t>
  </si>
  <si>
    <t>TXN-2694</t>
  </si>
  <si>
    <t>TXN-1892</t>
  </si>
  <si>
    <t>TXN-1478</t>
  </si>
  <si>
    <t>TXN-0501</t>
  </si>
  <si>
    <t>TXN-2422</t>
  </si>
  <si>
    <t>06/26/2025</t>
  </si>
  <si>
    <t>TXN-2636</t>
  </si>
  <si>
    <t>TXN-2697</t>
  </si>
  <si>
    <t>TXN-0877</t>
  </si>
  <si>
    <t>TXN-2363</t>
  </si>
  <si>
    <t>TXN-2267</t>
  </si>
  <si>
    <t>TXN-0435</t>
  </si>
  <si>
    <t>TXN-1123</t>
  </si>
  <si>
    <t>09-04-2024</t>
  </si>
  <si>
    <t>TXN-2007</t>
  </si>
  <si>
    <t>26-01-2025</t>
  </si>
  <si>
    <t>TXN-0833</t>
  </si>
  <si>
    <t>03-01-2024</t>
  </si>
  <si>
    <t>TXN-2095</t>
  </si>
  <si>
    <t>TXN-0931</t>
  </si>
  <si>
    <t>05-02-2024</t>
  </si>
  <si>
    <t>TXN-2680</t>
  </si>
  <si>
    <t>TXN-1786</t>
  </si>
  <si>
    <t>TXN-2609</t>
  </si>
  <si>
    <t>TXN-2724</t>
  </si>
  <si>
    <t>17-09-2025</t>
  </si>
  <si>
    <t>TXN-0656</t>
  </si>
  <si>
    <t>20-11-2023</t>
  </si>
  <si>
    <t>TXN-2470</t>
  </si>
  <si>
    <t>TXN-2640</t>
  </si>
  <si>
    <t>TXN-0831</t>
  </si>
  <si>
    <t>TXN-1376</t>
  </si>
  <si>
    <t>07/30/2024</t>
  </si>
  <si>
    <t>TXN-2777</t>
  </si>
  <si>
    <t>IRCTC CORPORATE</t>
  </si>
  <si>
    <t>TXN-2108</t>
  </si>
  <si>
    <t>TXN-0200</t>
  </si>
  <si>
    <t>06/18/2023</t>
  </si>
  <si>
    <t>TXN-0935</t>
  </si>
  <si>
    <t>TXN-2846</t>
  </si>
  <si>
    <t>TXN-0159</t>
  </si>
  <si>
    <t>TXN-1124</t>
  </si>
  <si>
    <t>TXN-1643</t>
  </si>
  <si>
    <t>10/03/2024</t>
  </si>
  <si>
    <t>TXN-2533</t>
  </si>
  <si>
    <t>11-07-2025</t>
  </si>
  <si>
    <t>TXN-2957</t>
  </si>
  <si>
    <t>19-12-2025</t>
  </si>
  <si>
    <t>TXN-1293</t>
  </si>
  <si>
    <t>27-06-2024</t>
  </si>
  <si>
    <t>TXN-0350</t>
  </si>
  <si>
    <t>09-07-2023</t>
  </si>
  <si>
    <t>TXN-0845</t>
  </si>
  <si>
    <t>TXN-1096</t>
  </si>
  <si>
    <t>TXN-2617</t>
  </si>
  <si>
    <t>TXN-0888</t>
  </si>
  <si>
    <t>TXN-1607</t>
  </si>
  <si>
    <t>TXN-0513</t>
  </si>
  <si>
    <t>TXN-3035</t>
  </si>
  <si>
    <t>01/10/2026</t>
  </si>
  <si>
    <t>TXN-0189</t>
  </si>
  <si>
    <t>TXN-2534</t>
  </si>
  <si>
    <t>TXN-0173</t>
  </si>
  <si>
    <t>TXN-2002</t>
  </si>
  <si>
    <t>TXN-0423</t>
  </si>
  <si>
    <t>TXN-0640</t>
  </si>
  <si>
    <t>TXN-0176</t>
  </si>
  <si>
    <t>TXN-0499</t>
  </si>
  <si>
    <t>TXN-0364</t>
  </si>
  <si>
    <t>TXN-2900</t>
  </si>
  <si>
    <t>TXN-1773</t>
  </si>
  <si>
    <t>TXN-2588</t>
  </si>
  <si>
    <t>15-08-2025</t>
  </si>
  <si>
    <t>TXN-0205</t>
  </si>
  <si>
    <t>TXN-0123</t>
  </si>
  <si>
    <t>TXN-2009</t>
  </si>
  <si>
    <t>TXN-2274</t>
  </si>
  <si>
    <t>TXN-2091</t>
  </si>
  <si>
    <t>TXN-2771</t>
  </si>
  <si>
    <t>TXN-1431</t>
  </si>
  <si>
    <t>TXN-0107</t>
  </si>
  <si>
    <t>05/04/2023</t>
  </si>
  <si>
    <t>TXN-2768</t>
  </si>
  <si>
    <t>10/08/2025</t>
  </si>
  <si>
    <t>TXN-1053</t>
  </si>
  <si>
    <t>18-03-2024</t>
  </si>
  <si>
    <t>TXN-0195</t>
  </si>
  <si>
    <t>TXN-2716</t>
  </si>
  <si>
    <t>TXN-1742</t>
  </si>
  <si>
    <t>11/02/2024</t>
  </si>
  <si>
    <t>TXN-1333</t>
  </si>
  <si>
    <t>TXN-1015</t>
  </si>
  <si>
    <t>04-02-2024</t>
  </si>
  <si>
    <t>TXN-0903</t>
  </si>
  <si>
    <t>TXN-0500</t>
  </si>
  <si>
    <t>16-09-2023</t>
  </si>
  <si>
    <t>TXN-0585</t>
  </si>
  <si>
    <t>11-10-2023</t>
  </si>
  <si>
    <t>TXN-0660</t>
  </si>
  <si>
    <t>01-11-2023</t>
  </si>
  <si>
    <t>TXN-1910</t>
  </si>
  <si>
    <t>TXN-2120</t>
  </si>
  <si>
    <t>TXN-0593</t>
  </si>
  <si>
    <t>TXN-2481</t>
  </si>
  <si>
    <t>TXN-1410</t>
  </si>
  <si>
    <t>TXN-0275</t>
  </si>
  <si>
    <t>TXN-2597</t>
  </si>
  <si>
    <t>12-08-2025</t>
  </si>
  <si>
    <t>TXN-0438</t>
  </si>
  <si>
    <t>TXN-0649</t>
  </si>
  <si>
    <t>12-11-2023</t>
  </si>
  <si>
    <t>TXN-2184</t>
  </si>
  <si>
    <t>04-03-2025</t>
  </si>
  <si>
    <t>TXN-1859</t>
  </si>
  <si>
    <t>TXN-1059</t>
  </si>
  <si>
    <t>01-03-2024</t>
  </si>
  <si>
    <t>TXN-1078</t>
  </si>
  <si>
    <t>03/05/2024</t>
  </si>
  <si>
    <t>TXN-1681</t>
  </si>
  <si>
    <t>21-10-2024</t>
  </si>
  <si>
    <t>TXN-1205</t>
  </si>
  <si>
    <t>TXN-1427</t>
  </si>
  <si>
    <t>TXN-0534</t>
  </si>
  <si>
    <t>26-09-2023</t>
  </si>
  <si>
    <t>TXN-0235</t>
  </si>
  <si>
    <t>01-06-2023</t>
  </si>
  <si>
    <t>TXN-0191</t>
  </si>
  <si>
    <t>28-06-2023</t>
  </si>
  <si>
    <t>TXN-2043</t>
  </si>
  <si>
    <t>08-02-2025</t>
  </si>
  <si>
    <t>TXN-0305</t>
  </si>
  <si>
    <t>07/02/2023</t>
  </si>
  <si>
    <t>TXN-2401</t>
  </si>
  <si>
    <t>TXN-2510</t>
  </si>
  <si>
    <t>TXN-0599</t>
  </si>
  <si>
    <t>06-10-2023</t>
  </si>
  <si>
    <t>TXN-3043</t>
  </si>
  <si>
    <t>17-01-2026</t>
  </si>
  <si>
    <t>TXN-1407</t>
  </si>
  <si>
    <t>20-07-2024</t>
  </si>
  <si>
    <t>TXN-2682</t>
  </si>
  <si>
    <t>TXN-2334</t>
  </si>
  <si>
    <t>TXN-3012</t>
  </si>
  <si>
    <t>TXN-1868</t>
  </si>
  <si>
    <t>TXN-1498</t>
  </si>
  <si>
    <t>TXN-0775</t>
  </si>
  <si>
    <t>TXN-2066</t>
  </si>
  <si>
    <t>02/24/2025</t>
  </si>
  <si>
    <t>TXN-0740</t>
  </si>
  <si>
    <t>TXN-0518</t>
  </si>
  <si>
    <t>TXN-2349</t>
  </si>
  <si>
    <t>08-05-2025</t>
  </si>
  <si>
    <t>TXN-1904</t>
  </si>
  <si>
    <t>TXN-0494</t>
  </si>
  <si>
    <t>TXN-2282</t>
  </si>
  <si>
    <t>TXN-0961</t>
  </si>
  <si>
    <t>TXN-0616</t>
  </si>
  <si>
    <t>10/02/2023</t>
  </si>
  <si>
    <t>TXN-0002</t>
  </si>
  <si>
    <t>TXN-2396</t>
  </si>
  <si>
    <t>TXN-0469</t>
  </si>
  <si>
    <t>TXN-2565</t>
  </si>
  <si>
    <t>TXN-1093</t>
  </si>
  <si>
    <t>TXN-3123</t>
  </si>
  <si>
    <t>08-02-2026</t>
  </si>
  <si>
    <t>TXN-0289</t>
  </si>
  <si>
    <t>TXN-0986</t>
  </si>
  <si>
    <t>TXN-3060</t>
  </si>
  <si>
    <t>TXN-3066</t>
  </si>
  <si>
    <t>TXN-0524</t>
  </si>
  <si>
    <t>08-09-2023</t>
  </si>
  <si>
    <t>TXN-1400</t>
  </si>
  <si>
    <t>21-07-2024</t>
  </si>
  <si>
    <t>TXN-0591</t>
  </si>
  <si>
    <t>13-10-2023</t>
  </si>
  <si>
    <t>TXN-3057</t>
  </si>
  <si>
    <t>04-01-2026</t>
  </si>
  <si>
    <t>TXN-0556</t>
  </si>
  <si>
    <t>Salary Run â€” October 2023</t>
  </si>
  <si>
    <t>TXN-1602</t>
  </si>
  <si>
    <t>TXN-1897</t>
  </si>
  <si>
    <t>TXN-1479</t>
  </si>
  <si>
    <t>TXN-1493</t>
  </si>
  <si>
    <t>02-08-2024</t>
  </si>
  <si>
    <t>TXN-2372</t>
  </si>
  <si>
    <t>23-06-2025</t>
  </si>
  <si>
    <t>TXN-0704</t>
  </si>
  <si>
    <t>TXN-1650</t>
  </si>
  <si>
    <t>TXN-1844</t>
  </si>
  <si>
    <t>TXN-0367</t>
  </si>
  <si>
    <t>28-07-2023</t>
  </si>
  <si>
    <t>TXN-3198</t>
  </si>
  <si>
    <t>TXN-0663</t>
  </si>
  <si>
    <t>TXN-1122</t>
  </si>
  <si>
    <t>TXN-2722</t>
  </si>
  <si>
    <t>TXN-0444</t>
  </si>
  <si>
    <t>TXN-2289</t>
  </si>
  <si>
    <t>TXN-0093</t>
  </si>
  <si>
    <t>29-05-2023</t>
  </si>
  <si>
    <t>TXN-2076</t>
  </si>
  <si>
    <t>TXN-2643</t>
  </si>
  <si>
    <t>TXN-2610</t>
  </si>
  <si>
    <t>03-08-2025</t>
  </si>
  <si>
    <t>TXN-0539</t>
  </si>
  <si>
    <t>TXN-1876</t>
  </si>
  <si>
    <t>TXN-3199</t>
  </si>
  <si>
    <t>03/27/2026</t>
  </si>
  <si>
    <t>TALLY SOLUTIONS</t>
  </si>
  <si>
    <t>TXN-3102</t>
  </si>
  <si>
    <t>TXN-0996</t>
  </si>
  <si>
    <t>08-02-2024</t>
  </si>
  <si>
    <t>TXN-0375</t>
  </si>
  <si>
    <t>Salary Run â€” August 2023</t>
  </si>
  <si>
    <t>TXN-1310</t>
  </si>
  <si>
    <t>TXN-3062</t>
  </si>
  <si>
    <t>TXN-1553</t>
  </si>
  <si>
    <t>TXN-1978</t>
  </si>
  <si>
    <t>TXN-3150</t>
  </si>
  <si>
    <t>TXN-0686</t>
  </si>
  <si>
    <t>11/24/2023</t>
  </si>
  <si>
    <t>TXN-1298</t>
  </si>
  <si>
    <t>29-06-2024</t>
  </si>
  <si>
    <t>TXN-1255</t>
  </si>
  <si>
    <t>TXN-2547</t>
  </si>
  <si>
    <t>TXN-3233</t>
  </si>
  <si>
    <t>GOOGLE ADS INDIA</t>
  </si>
  <si>
    <t>TXN-1506</t>
  </si>
  <si>
    <t>16-08-2024</t>
  </si>
  <si>
    <t>TXN-2606</t>
  </si>
  <si>
    <t>25-08-2025</t>
  </si>
  <si>
    <t>TXN-1988</t>
  </si>
  <si>
    <t>TXN-1603</t>
  </si>
  <si>
    <t>TXN-1198</t>
  </si>
  <si>
    <t>TXN-1163</t>
  </si>
  <si>
    <t>TXN-0137</t>
  </si>
  <si>
    <t>TXN-1933</t>
  </si>
  <si>
    <t>TXN-3096</t>
  </si>
  <si>
    <t>TXN-2820</t>
  </si>
  <si>
    <t>TXN-2980</t>
  </si>
  <si>
    <t>TXN-2315</t>
  </si>
  <si>
    <t>TXN-2744</t>
  </si>
  <si>
    <t>21-10-2025</t>
  </si>
  <si>
    <t>TXN-0786</t>
  </si>
  <si>
    <t>TXN-3089</t>
  </si>
  <si>
    <t>Salary Run â€” February 2026</t>
  </si>
  <si>
    <t>TXN-0226</t>
  </si>
  <si>
    <t>18-06-2023</t>
  </si>
  <si>
    <t>TXN-0108</t>
  </si>
  <si>
    <t>TXN-1667</t>
  </si>
  <si>
    <t>TXN-0772</t>
  </si>
  <si>
    <t>06-12-2023</t>
  </si>
  <si>
    <t>TXN-1657</t>
  </si>
  <si>
    <t>TXN-0287</t>
  </si>
  <si>
    <t>07/29/2023</t>
  </si>
  <si>
    <t>TXN-2249</t>
  </si>
  <si>
    <t>TXN-0890</t>
  </si>
  <si>
    <t>TXN-2106</t>
  </si>
  <si>
    <t>TXN-0810</t>
  </si>
  <si>
    <t>18-12-2023</t>
  </si>
  <si>
    <t>TXN-0623</t>
  </si>
  <si>
    <t>NAUKRI.COM</t>
  </si>
  <si>
    <t>TXN-0938</t>
  </si>
  <si>
    <t>20-02-2024</t>
  </si>
  <si>
    <t>TXN-0129</t>
  </si>
  <si>
    <t>TXN-2355</t>
  </si>
  <si>
    <t>TXN-1592</t>
  </si>
  <si>
    <t>TXN-0503</t>
  </si>
  <si>
    <t>TXN-0433</t>
  </si>
  <si>
    <t>02-08-2023</t>
  </si>
  <si>
    <t>TXN-0337</t>
  </si>
  <si>
    <t>TXN-1264</t>
  </si>
  <si>
    <t>TXN-3013</t>
  </si>
  <si>
    <t>TXN-2546</t>
  </si>
  <si>
    <t>07/03/2025</t>
  </si>
  <si>
    <t>TXN-2882</t>
  </si>
  <si>
    <t>TXN-0247</t>
  </si>
  <si>
    <t>30-06-2023</t>
  </si>
  <si>
    <t>TXN-2997</t>
  </si>
  <si>
    <t>12/03/2025</t>
  </si>
  <si>
    <t>TXN-3172</t>
  </si>
  <si>
    <t>TXN-0566</t>
  </si>
  <si>
    <t>TXN-2172</t>
  </si>
  <si>
    <t>TXN-3201</t>
  </si>
  <si>
    <t>TXN-0307</t>
  </si>
  <si>
    <t>TXN-0671</t>
  </si>
  <si>
    <t>TXN-2592</t>
  </si>
  <si>
    <t>20-08-2025</t>
  </si>
  <si>
    <t>TXN-1259</t>
  </si>
  <si>
    <t>10-05-2024</t>
  </si>
  <si>
    <t>TXN-1750</t>
  </si>
  <si>
    <t>TXN-2925</t>
  </si>
  <si>
    <t>TXN-2012</t>
  </si>
  <si>
    <t>TXN-0034</t>
  </si>
  <si>
    <t>TXN-1517</t>
  </si>
  <si>
    <t>20-08-2024</t>
  </si>
  <si>
    <t>TXN-2235</t>
  </si>
  <si>
    <t>TXN-0734</t>
  </si>
  <si>
    <t>TXN-1000</t>
  </si>
  <si>
    <t>TXN-0863</t>
  </si>
  <si>
    <t>13-01-2024</t>
  </si>
  <si>
    <t>TXN-0453</t>
  </si>
  <si>
    <t>TXN-1135</t>
  </si>
  <si>
    <t>04-04-2024</t>
  </si>
  <si>
    <t>TXN-0868</t>
  </si>
  <si>
    <t>TXN-1976</t>
  </si>
  <si>
    <t>TXN-2238</t>
  </si>
  <si>
    <t>TXN-2489</t>
  </si>
  <si>
    <t>24-07-2025</t>
  </si>
  <si>
    <t>TXN-0149</t>
  </si>
  <si>
    <t>TXN-2331</t>
  </si>
  <si>
    <t>TXN-1115</t>
  </si>
  <si>
    <t>TXN-1206</t>
  </si>
  <si>
    <t>05/24/2024</t>
  </si>
  <si>
    <t>TXN-1257</t>
  </si>
  <si>
    <t>TXN-0551</t>
  </si>
  <si>
    <t>TXN-1801</t>
  </si>
  <si>
    <t>TXN-2180</t>
  </si>
  <si>
    <t>TXN-2234</t>
  </si>
  <si>
    <t>12-04-2025</t>
  </si>
  <si>
    <t>TXN-0263</t>
  </si>
  <si>
    <t>TXN-1999</t>
  </si>
  <si>
    <t>TXN-3226</t>
  </si>
  <si>
    <t>TXN-2818</t>
  </si>
  <si>
    <t>TXN-1662</t>
  </si>
  <si>
    <t>10-10-2024</t>
  </si>
  <si>
    <t>TXN-0357</t>
  </si>
  <si>
    <t>TXN-0570</t>
  </si>
  <si>
    <t>TXN-0493</t>
  </si>
  <si>
    <t>24-09-2023</t>
  </si>
  <si>
    <t>TXN-0808</t>
  </si>
  <si>
    <t>TXN-2787</t>
  </si>
  <si>
    <t>10/07/2025</t>
  </si>
  <si>
    <t>TXN-0642</t>
  </si>
  <si>
    <t>TXN-0286</t>
  </si>
  <si>
    <t>TXN-0004</t>
  </si>
  <si>
    <t>TXN-0160</t>
  </si>
  <si>
    <t>TRACXN TECHNOLOGIES</t>
  </si>
  <si>
    <t>TXN-2685</t>
  </si>
  <si>
    <t>TXN-0848</t>
  </si>
  <si>
    <t>TXN-2509</t>
  </si>
  <si>
    <t>EMBASSY TECHVILLAGE</t>
  </si>
  <si>
    <t>TXN-2657</t>
  </si>
  <si>
    <t>TXN-1529</t>
  </si>
  <si>
    <t>TXN-3093</t>
  </si>
  <si>
    <t>TXN-0253</t>
  </si>
  <si>
    <t>14-06-2023</t>
  </si>
  <si>
    <t>TXN-0942</t>
  </si>
  <si>
    <t>TXN-0927</t>
  </si>
  <si>
    <t>TXN-0773</t>
  </si>
  <si>
    <t>TXN-0852</t>
  </si>
  <si>
    <t>TXN-0387</t>
  </si>
  <si>
    <t>08/15/2023</t>
  </si>
  <si>
    <t>TXN-2653</t>
  </si>
  <si>
    <t>TXN-0239</t>
  </si>
  <si>
    <t>TXN-0384</t>
  </si>
  <si>
    <t>TXN-2303</t>
  </si>
  <si>
    <t>TXN-1449</t>
  </si>
  <si>
    <t>04-07-2024</t>
  </si>
  <si>
    <t>TXN-2765</t>
  </si>
  <si>
    <t>02-10-2025</t>
  </si>
  <si>
    <t>TXN-2203</t>
  </si>
  <si>
    <t>03-04-2025</t>
  </si>
  <si>
    <t>TXN-1814</t>
  </si>
  <si>
    <t>11/25/2024</t>
  </si>
  <si>
    <t>TXN-2857</t>
  </si>
  <si>
    <t>TXN-1178</t>
  </si>
  <si>
    <t>TXN-0061</t>
  </si>
  <si>
    <t>TXN-1535</t>
  </si>
  <si>
    <t>TXN-0713</t>
  </si>
  <si>
    <t>TXN-1300</t>
  </si>
  <si>
    <t>TXN-1747</t>
  </si>
  <si>
    <t>TXN-2151</t>
  </si>
  <si>
    <t>TXN-0311</t>
  </si>
  <si>
    <t>07-07-2023</t>
  </si>
  <si>
    <t>TXN-1663</t>
  </si>
  <si>
    <t>TXN-2278</t>
  </si>
  <si>
    <t>12-05-2025</t>
  </si>
  <si>
    <t>TXN-1579</t>
  </si>
  <si>
    <t>TXN-0413</t>
  </si>
  <si>
    <t>01-08-2023</t>
  </si>
  <si>
    <t>TXN-2864</t>
  </si>
  <si>
    <t>TXN-1305</t>
  </si>
  <si>
    <t>13-06-2024</t>
  </si>
  <si>
    <t>TXN-1820</t>
  </si>
  <si>
    <t>24-11-2024</t>
  </si>
  <si>
    <t>TXN-2171</t>
  </si>
  <si>
    <t>TXN-2390</t>
  </si>
  <si>
    <t>TXN-1993</t>
  </si>
  <si>
    <t>TXN-0257</t>
  </si>
  <si>
    <t>TXN-2897</t>
  </si>
  <si>
    <t>TXN-1473</t>
  </si>
  <si>
    <t>TXN-3021</t>
  </si>
  <si>
    <t>TXN-1212</t>
  </si>
  <si>
    <t>05/12/2024</t>
  </si>
  <si>
    <t>TXN-3140</t>
  </si>
  <si>
    <t>TXN-1508</t>
  </si>
  <si>
    <t>09-08-2024</t>
  </si>
  <si>
    <t>TXN-2082</t>
  </si>
  <si>
    <t>TXN-0922</t>
  </si>
  <si>
    <t>02-02-2024</t>
  </si>
  <si>
    <t>TXN-1661</t>
  </si>
  <si>
    <t>TXN-2538</t>
  </si>
  <si>
    <t>TXN-3211</t>
  </si>
  <si>
    <t>TXN-0417</t>
  </si>
  <si>
    <t>TXN-1152</t>
  </si>
  <si>
    <t>TXN-1674</t>
  </si>
  <si>
    <t>TXN-2503</t>
  </si>
  <si>
    <t>TXN-2889</t>
  </si>
  <si>
    <t>29-11-2025</t>
  </si>
  <si>
    <t>TXN-1887</t>
  </si>
  <si>
    <t>TXN-0120</t>
  </si>
  <si>
    <t>TXN-1432</t>
  </si>
  <si>
    <t>TXN-0792</t>
  </si>
  <si>
    <t>TXN-1928</t>
  </si>
  <si>
    <t>TXN-1368</t>
  </si>
  <si>
    <t>TXN-2030</t>
  </si>
  <si>
    <t>27-02-2025</t>
  </si>
  <si>
    <t>TXN-1716</t>
  </si>
  <si>
    <t>TXN-1857</t>
  </si>
  <si>
    <t>TXN-1564</t>
  </si>
  <si>
    <t>TXN-1614</t>
  </si>
  <si>
    <t>TXN-0467</t>
  </si>
  <si>
    <t>TXN-2443</t>
  </si>
  <si>
    <t>TXN-0588</t>
  </si>
  <si>
    <t>19-10-2023</t>
  </si>
  <si>
    <t>TXN-2407</t>
  </si>
  <si>
    <t>02-06-2025</t>
  </si>
  <si>
    <t>TXN-2226</t>
  </si>
  <si>
    <t>08-04-2025</t>
  </si>
  <si>
    <t>TXN-2159</t>
  </si>
  <si>
    <t>TXN-1131</t>
  </si>
  <si>
    <t>TXN-1893</t>
  </si>
  <si>
    <t>16-12-2024</t>
  </si>
  <si>
    <t>TXN-0829</t>
  </si>
  <si>
    <t>TXN-2088</t>
  </si>
  <si>
    <t>TXN-2256</t>
  </si>
  <si>
    <t>04/22/2025</t>
  </si>
  <si>
    <t>TXN-2903</t>
  </si>
  <si>
    <t>TXN-0158</t>
  </si>
  <si>
    <t>TXN-0340</t>
  </si>
  <si>
    <t>TXN-0331</t>
  </si>
  <si>
    <t>01-07-2023</t>
  </si>
  <si>
    <t>TXN-0027</t>
  </si>
  <si>
    <t>TXN-2213</t>
  </si>
  <si>
    <t>TXN-0007</t>
  </si>
  <si>
    <t>TXN-2621</t>
  </si>
  <si>
    <t>TXN-2462</t>
  </si>
  <si>
    <t>TXN-2323</t>
  </si>
  <si>
    <t>TXN-2365</t>
  </si>
  <si>
    <t>Salary Run â€” June 2025</t>
  </si>
  <si>
    <t>TXN-1249</t>
  </si>
  <si>
    <t>TXN-1518</t>
  </si>
  <si>
    <t>TXN-2096</t>
  </si>
  <si>
    <t>TXN-0998</t>
  </si>
  <si>
    <t>14-02-2024</t>
  </si>
  <si>
    <t>TXN-2513</t>
  </si>
  <si>
    <t>08-07-2025</t>
  </si>
  <si>
    <t>TXN-3076</t>
  </si>
  <si>
    <t>TXN-0581</t>
  </si>
  <si>
    <t>TXN-2992</t>
  </si>
  <si>
    <t>TXN-0731</t>
  </si>
  <si>
    <t>TXN-1173</t>
  </si>
  <si>
    <t>TXN-2795</t>
  </si>
  <si>
    <t>TXN-1898</t>
  </si>
  <si>
    <t>TXN-2468</t>
  </si>
  <si>
    <t>TXN-0251</t>
  </si>
  <si>
    <t>25-06-2023</t>
  </si>
  <si>
    <t>TECHCIRCLE</t>
  </si>
  <si>
    <t>TXN-1490</t>
  </si>
  <si>
    <t>TXN-2102</t>
  </si>
  <si>
    <t>15-03-2025</t>
  </si>
  <si>
    <t>TXN-2395</t>
  </si>
  <si>
    <t>TXN-0522</t>
  </si>
  <si>
    <t>TXN-1453</t>
  </si>
  <si>
    <t>TXN-2174</t>
  </si>
  <si>
    <t>23-03-2025</t>
  </si>
  <si>
    <t>TXN-2659</t>
  </si>
  <si>
    <t>TXN-0788</t>
  </si>
  <si>
    <t>TXN-1628</t>
  </si>
  <si>
    <t>22-09-2024</t>
  </si>
  <si>
    <t>TXN-1955</t>
  </si>
  <si>
    <t>TXN-1878</t>
  </si>
  <si>
    <t>TXN-0425</t>
  </si>
  <si>
    <t>TXN-2261</t>
  </si>
  <si>
    <t>TXN-2307</t>
  </si>
  <si>
    <t>TXN-0797</t>
  </si>
  <si>
    <t>12/02/2023</t>
  </si>
  <si>
    <t>TXN-2112</t>
  </si>
  <si>
    <t>TXN-2504</t>
  </si>
  <si>
    <t>TXN-1195</t>
  </si>
  <si>
    <t>TXN-0507</t>
  </si>
  <si>
    <t>TXN-2890</t>
  </si>
  <si>
    <t>TXN-0521</t>
  </si>
  <si>
    <t>TXN-1284</t>
  </si>
  <si>
    <t>TXN-2319</t>
  </si>
  <si>
    <t>TXN-3257</t>
  </si>
  <si>
    <t>TXN-2866</t>
  </si>
  <si>
    <t>05-11-2025</t>
  </si>
  <si>
    <t>TXN-3042</t>
  </si>
  <si>
    <t>TXN-1509</t>
  </si>
  <si>
    <t>TXN-2884</t>
  </si>
  <si>
    <t>TXN-0770</t>
  </si>
  <si>
    <t>TXN-2318</t>
  </si>
  <si>
    <t>14-05-2025</t>
  </si>
  <si>
    <t>TXN-0615</t>
  </si>
  <si>
    <t>TXN-0359</t>
  </si>
  <si>
    <t>20-07-2023</t>
  </si>
  <si>
    <t>TXN-1881</t>
  </si>
  <si>
    <t>TXN-2094</t>
  </si>
  <si>
    <t>TXN-1683</t>
  </si>
  <si>
    <t>29-10-2024</t>
  </si>
  <si>
    <t>TXN-0336</t>
  </si>
  <si>
    <t>TXN-2638</t>
  </si>
  <si>
    <t>04-08-2025</t>
  </si>
  <si>
    <t>TXN-0624</t>
  </si>
  <si>
    <t>12-10-2023</t>
  </si>
  <si>
    <t>TXN-1923</t>
  </si>
  <si>
    <t>TXN-2134</t>
  </si>
  <si>
    <t>TXN-2612</t>
  </si>
  <si>
    <t>TXN-1900</t>
  </si>
  <si>
    <t>29-12-2024</t>
  </si>
  <si>
    <t>TXN-2207</t>
  </si>
  <si>
    <t>TXN-2122</t>
  </si>
  <si>
    <t>TXN-2369</t>
  </si>
  <si>
    <t>TXN-1157</t>
  </si>
  <si>
    <t>24-04-2024</t>
  </si>
  <si>
    <t>TXN-0280</t>
  </si>
  <si>
    <t>Salary Run â€” July 2023</t>
  </si>
  <si>
    <t>TXN-2273</t>
  </si>
  <si>
    <t>05/01/2025</t>
  </si>
  <si>
    <t>TXN-2029</t>
  </si>
  <si>
    <t>TXN-1922</t>
  </si>
  <si>
    <t>TXN-2314</t>
  </si>
  <si>
    <t>TXN-2539</t>
  </si>
  <si>
    <t>TXN-1146</t>
  </si>
  <si>
    <t>TXN-1987</t>
  </si>
  <si>
    <t>24-01-2025</t>
  </si>
  <si>
    <t>TXN-2843</t>
  </si>
  <si>
    <t>TXN-0214</t>
  </si>
  <si>
    <t>TXN-0900</t>
  </si>
  <si>
    <t>TXN-1357</t>
  </si>
  <si>
    <t>TXN-2973</t>
  </si>
  <si>
    <t>TXN-1371</t>
  </si>
  <si>
    <t>TXN-3208</t>
  </si>
  <si>
    <t>24-03-2026</t>
  </si>
  <si>
    <t>TXN-1864</t>
  </si>
  <si>
    <t>03-12-2024</t>
  </si>
  <si>
    <t>TXN-1232</t>
  </si>
  <si>
    <t>TXN-0329</t>
  </si>
  <si>
    <t>TXN-1879</t>
  </si>
  <si>
    <t>06-12-2024</t>
  </si>
  <si>
    <t>TXN-1447</t>
  </si>
  <si>
    <t>TXN-0928</t>
  </si>
  <si>
    <t>TXN-0750</t>
  </si>
  <si>
    <t>TXN-1021</t>
  </si>
  <si>
    <t>TXN-2366</t>
  </si>
  <si>
    <t>16-06-2025</t>
  </si>
  <si>
    <t>TXN-0728</t>
  </si>
  <si>
    <t>TXN-2410</t>
  </si>
  <si>
    <t>TXN-1779</t>
  </si>
  <si>
    <t>TXN-0427</t>
  </si>
  <si>
    <t>03-08-2023</t>
  </si>
  <si>
    <t>TXN-1356</t>
  </si>
  <si>
    <t>01-06-2024</t>
  </si>
  <si>
    <t>TXN-1037</t>
  </si>
  <si>
    <t>TXN-1022</t>
  </si>
  <si>
    <t>TXN-1554</t>
  </si>
  <si>
    <t>23-08-2024</t>
  </si>
  <si>
    <t>TXN-0448</t>
  </si>
  <si>
    <t>TXN-0983</t>
  </si>
  <si>
    <t>TXN-2675</t>
  </si>
  <si>
    <t>TXN-1256</t>
  </si>
  <si>
    <t>TXN-0276</t>
  </si>
  <si>
    <t>TXN-1921</t>
  </si>
  <si>
    <t>TXN-0447</t>
  </si>
  <si>
    <t>TXN-0885</t>
  </si>
  <si>
    <t>08-01-2024</t>
  </si>
  <si>
    <t>TXN-0136</t>
  </si>
  <si>
    <t>05/21/2023</t>
  </si>
  <si>
    <t>TXN-2933</t>
  </si>
  <si>
    <t>TXN-1668</t>
  </si>
  <si>
    <t>TXN-0611</t>
  </si>
  <si>
    <t>TXN-2193</t>
  </si>
  <si>
    <t>29-04-2025</t>
  </si>
  <si>
    <t>TXN-2560</t>
  </si>
  <si>
    <t>TXN-1487</t>
  </si>
  <si>
    <t>TXN-0867</t>
  </si>
  <si>
    <t>01/31/2024</t>
  </si>
  <si>
    <t>TXN-1582</t>
  </si>
  <si>
    <t>TXN-1679</t>
  </si>
  <si>
    <t>TXN-0475</t>
  </si>
  <si>
    <t>TXN-1560</t>
  </si>
  <si>
    <t>14-09-2024</t>
  </si>
  <si>
    <t>TXN-1874</t>
  </si>
  <si>
    <t>26-12-2024</t>
  </si>
  <si>
    <t>TXN-2183</t>
  </si>
  <si>
    <t>TXN-1660</t>
  </si>
  <si>
    <t>TXN-1177</t>
  </si>
  <si>
    <t>TXN-2955</t>
  </si>
  <si>
    <t>TXN-0844</t>
  </si>
  <si>
    <t>TXN-2026</t>
  </si>
  <si>
    <t>02-02-2025</t>
  </si>
  <si>
    <t>TXN-0598</t>
  </si>
  <si>
    <t>15-10-2023</t>
  </si>
  <si>
    <t>TXN-1050</t>
  </si>
  <si>
    <t>TXN-0874</t>
  </si>
  <si>
    <t>TXN-0732</t>
  </si>
  <si>
    <t>TXN-2622</t>
  </si>
  <si>
    <t>TXN-1989</t>
  </si>
  <si>
    <t>14-01-2025</t>
  </si>
  <si>
    <t>TXN-2718</t>
  </si>
  <si>
    <t>TXN-1648</t>
  </si>
  <si>
    <t>10/01/2024</t>
  </si>
  <si>
    <t>TXN-0620</t>
  </si>
  <si>
    <t>TXN-1977</t>
  </si>
  <si>
    <t>02-01-2025</t>
  </si>
  <si>
    <t>TXN-0476</t>
  </si>
  <si>
    <t>TXN-0292</t>
  </si>
  <si>
    <t>TXN-2803</t>
  </si>
  <si>
    <t>10/19/2025</t>
  </si>
  <si>
    <t>TXN-2907</t>
  </si>
  <si>
    <t>TXN-0110</t>
  </si>
  <si>
    <t>10-05-2023</t>
  </si>
  <si>
    <t>TXN-1102</t>
  </si>
  <si>
    <t>22-03-2024</t>
  </si>
  <si>
    <t>TXN-2313</t>
  </si>
  <si>
    <t>05/08/2025</t>
  </si>
  <si>
    <t>TXN-2037</t>
  </si>
  <si>
    <t>TXN-2463</t>
  </si>
  <si>
    <t>TXN-2506</t>
  </si>
  <si>
    <t>TXN-1799</t>
  </si>
  <si>
    <t>TXN-0897</t>
  </si>
  <si>
    <t>15-01-2024</t>
  </si>
  <si>
    <t>TXN-1309</t>
  </si>
  <si>
    <t>06/28/2024</t>
  </si>
  <si>
    <t>TXN-1194</t>
  </si>
  <si>
    <t>03-05-2024</t>
  </si>
  <si>
    <t>TXN-0077</t>
  </si>
  <si>
    <t>TXN-1524</t>
  </si>
  <si>
    <t>TXN-0153</t>
  </si>
  <si>
    <t>16-05-2023</t>
  </si>
  <si>
    <t>TXN-1233</t>
  </si>
  <si>
    <t>TXN-1094</t>
  </si>
  <si>
    <t>TXN-2745</t>
  </si>
  <si>
    <t>TXN-1914</t>
  </si>
  <si>
    <t>TXN-1678</t>
  </si>
  <si>
    <t>TXN-2816</t>
  </si>
  <si>
    <t>20-10-2025</t>
  </si>
  <si>
    <t>TXN-1537</t>
  </si>
  <si>
    <t>17-08-2024</t>
  </si>
  <si>
    <t>TXN-2143</t>
  </si>
  <si>
    <t>TXN-0665</t>
  </si>
  <si>
    <t>TXN-0234</t>
  </si>
  <si>
    <t>TXN-0910</t>
  </si>
  <si>
    <t>TXN-3209</t>
  </si>
  <si>
    <t>TXN-0821</t>
  </si>
  <si>
    <t>28-12-2023</t>
  </si>
  <si>
    <t>TXN-0407</t>
  </si>
  <si>
    <t>TXN-2429</t>
  </si>
  <si>
    <t>TXN-2232</t>
  </si>
  <si>
    <t>TXN-0661</t>
  </si>
  <si>
    <t>TXN-1625</t>
  </si>
  <si>
    <t>TXN-1328</t>
  </si>
  <si>
    <t>TXN-0465</t>
  </si>
  <si>
    <t>21-09-2023</t>
  </si>
  <si>
    <t>TXN-1918</t>
  </si>
  <si>
    <t>TXN-3232</t>
  </si>
  <si>
    <t>TXN-1542</t>
  </si>
  <si>
    <t>TXN-0210</t>
  </si>
  <si>
    <t>TXN-1437</t>
  </si>
  <si>
    <t>TXN-2244</t>
  </si>
  <si>
    <t>TXN-1335</t>
  </si>
  <si>
    <t>TXN-3247</t>
  </si>
  <si>
    <t>TXN-1948</t>
  </si>
  <si>
    <t>TXN-0990</t>
  </si>
  <si>
    <t>TXN-3246</t>
  </si>
  <si>
    <t>TXN-2416</t>
  </si>
  <si>
    <t>29-06-2025</t>
  </si>
  <si>
    <t>TXN-0131</t>
  </si>
  <si>
    <t>TXN-2131</t>
  </si>
  <si>
    <t>TXN-0157</t>
  </si>
  <si>
    <t>05/22/2023</t>
  </si>
  <si>
    <t>TXN-2990</t>
  </si>
  <si>
    <t>TXN-2375</t>
  </si>
  <si>
    <t>TXN-0429</t>
  </si>
  <si>
    <t>30-08-2023</t>
  </si>
  <si>
    <t>TXN-2296</t>
  </si>
  <si>
    <t>13-05-2025</t>
  </si>
  <si>
    <t>TXN-1043</t>
  </si>
  <si>
    <t>TXN-2069</t>
  </si>
  <si>
    <t>06-02-2025</t>
  </si>
  <si>
    <t>TXN-0753</t>
  </si>
  <si>
    <t>TXN-2202</t>
  </si>
  <si>
    <t>TXN-0092</t>
  </si>
  <si>
    <t>TXN-2502</t>
  </si>
  <si>
    <t>TXN-2257</t>
  </si>
  <si>
    <t>TXN-3067</t>
  </si>
  <si>
    <t>TXN-1456</t>
  </si>
  <si>
    <t>TXN-0561</t>
  </si>
  <si>
    <t>TXN-2681</t>
  </si>
  <si>
    <t>TXN-0456</t>
  </si>
  <si>
    <t>TXN-2128</t>
  </si>
  <si>
    <t>03/14/2025</t>
  </si>
  <si>
    <t>TXN-1797</t>
  </si>
  <si>
    <t>TXN-1384</t>
  </si>
  <si>
    <t>18-07-2024</t>
  </si>
  <si>
    <t>TXN-1236</t>
  </si>
  <si>
    <t>TXN-1266</t>
  </si>
  <si>
    <t>09-05-2024</t>
  </si>
  <si>
    <t>TXN-0980</t>
  </si>
  <si>
    <t>TXN-2543</t>
  </si>
  <si>
    <t>TXN-2669</t>
  </si>
  <si>
    <t>14-09-2025</t>
  </si>
  <si>
    <t>TXN-2277</t>
  </si>
  <si>
    <t>TXN-2333</t>
  </si>
  <si>
    <t>TXN-0733</t>
  </si>
  <si>
    <t>TXN-2970</t>
  </si>
  <si>
    <t>TXN-3144</t>
  </si>
  <si>
    <t>16-02-2026</t>
  </si>
  <si>
    <t>TXN-3114</t>
  </si>
  <si>
    <t>TXN-2341</t>
  </si>
  <si>
    <t>TXN-2336</t>
  </si>
  <si>
    <t>TXN-3079</t>
  </si>
  <si>
    <t>01/27/2026</t>
  </si>
  <si>
    <t>TXN-1394</t>
  </si>
  <si>
    <t>TXN-1349</t>
  </si>
  <si>
    <t>TXN-2757</t>
  </si>
  <si>
    <t>TXN-0270</t>
  </si>
  <si>
    <t>TXN-0894</t>
  </si>
  <si>
    <t>TXN-0700</t>
  </si>
  <si>
    <t>TXN-2497</t>
  </si>
  <si>
    <t>TXN-0968</t>
  </si>
  <si>
    <t>TXN-2776</t>
  </si>
  <si>
    <t>TXN-2302</t>
  </si>
  <si>
    <t>TXN-0055</t>
  </si>
  <si>
    <t>DELOITTE INDIA</t>
  </si>
  <si>
    <t>TXN-1828</t>
  </si>
  <si>
    <t>TXN-1452</t>
  </si>
  <si>
    <t>TXN-2672</t>
  </si>
  <si>
    <t>TXN-0783</t>
  </si>
  <si>
    <t>21-12-2023</t>
  </si>
  <si>
    <t>TXN-2872</t>
  </si>
  <si>
    <t>TXN-1695</t>
  </si>
  <si>
    <t>13-10-2024</t>
  </si>
  <si>
    <t>TXN-2239</t>
  </si>
  <si>
    <t>TXN-1344</t>
  </si>
  <si>
    <t>TXN-2011</t>
  </si>
  <si>
    <t>TXN-2373</t>
  </si>
  <si>
    <t>TXN-2262</t>
  </si>
  <si>
    <t>20-04-2025</t>
  </si>
  <si>
    <t>TXN-2791</t>
  </si>
  <si>
    <t>TXN-0994</t>
  </si>
  <si>
    <t>TXN-1861</t>
  </si>
  <si>
    <t>TXN-1245</t>
  </si>
  <si>
    <t>05/06/2024</t>
  </si>
  <si>
    <t>TXN-1789</t>
  </si>
  <si>
    <t>TXN-1126</t>
  </si>
  <si>
    <t>TXN-0918</t>
  </si>
  <si>
    <t>25-01-2024</t>
  </si>
  <si>
    <t>TXN-0947</t>
  </si>
  <si>
    <t>29-02-2024</t>
  </si>
  <si>
    <t>TXN-2989</t>
  </si>
  <si>
    <t>TXN-0590</t>
  </si>
  <si>
    <t>TXN-3029</t>
  </si>
  <si>
    <t>TXN-1971</t>
  </si>
  <si>
    <t>TXN-0899</t>
  </si>
  <si>
    <t>29-01-2024</t>
  </si>
  <si>
    <t>TXN-0541</t>
  </si>
  <si>
    <t>TXN-3033</t>
  </si>
  <si>
    <t>TXN-3127</t>
  </si>
  <si>
    <t>02/24/2026</t>
  </si>
  <si>
    <t>TXN-0486</t>
  </si>
  <si>
    <t>15-09-2023</t>
  </si>
  <si>
    <t>TXN-0151</t>
  </si>
  <si>
    <t>TXN-1590</t>
  </si>
  <si>
    <t>05-09-2024</t>
  </si>
  <si>
    <t>TXN-2596</t>
  </si>
  <si>
    <t>TXN-2376</t>
  </si>
  <si>
    <t>TXN-2001</t>
  </si>
  <si>
    <t>TXN-0109</t>
  </si>
  <si>
    <t>TXN-0549</t>
  </si>
  <si>
    <t>18-09-2023</t>
  </si>
  <si>
    <t>TXN-2093</t>
  </si>
  <si>
    <t>TXN-0403</t>
  </si>
  <si>
    <t>08/03/2023</t>
  </si>
  <si>
    <t>TXN-1586</t>
  </si>
  <si>
    <t>13-09-2024</t>
  </si>
  <si>
    <t>TXN-2613</t>
  </si>
  <si>
    <t>TXN-0409</t>
  </si>
  <si>
    <t>08/20/2023</t>
  </si>
  <si>
    <t>TXN-0362</t>
  </si>
  <si>
    <t>04-07-2023</t>
  </si>
  <si>
    <t>TXN-0115</t>
  </si>
  <si>
    <t>TXN-0470</t>
  </si>
  <si>
    <t>TXN-0739</t>
  </si>
  <si>
    <t>TXN-0446</t>
  </si>
  <si>
    <t>08/14/2023</t>
  </si>
  <si>
    <t>TXN-1635</t>
  </si>
  <si>
    <t>TXN-0975</t>
  </si>
  <si>
    <t>TXN-0619</t>
  </si>
  <si>
    <t>TXN-0325</t>
  </si>
  <si>
    <t>TXN-2389</t>
  </si>
  <si>
    <t>TXN-1962</t>
  </si>
  <si>
    <t>TXN-2339</t>
  </si>
  <si>
    <t>TXN-0638</t>
  </si>
  <si>
    <t>TXN-0094</t>
  </si>
  <si>
    <t>20-05-2023</t>
  </si>
  <si>
    <t>TXN-0842</t>
  </si>
  <si>
    <t>01/17/2024</t>
  </si>
  <si>
    <t>TXN-1684</t>
  </si>
  <si>
    <t>TXN-1816</t>
  </si>
  <si>
    <t>05-11-2024</t>
  </si>
  <si>
    <t>TXN-2097</t>
  </si>
  <si>
    <t>17-02-2025</t>
  </si>
  <si>
    <t>TXN-3092</t>
  </si>
  <si>
    <t>TXN-3084</t>
  </si>
  <si>
    <t>TXN-2138</t>
  </si>
  <si>
    <t>TXN-2676</t>
  </si>
  <si>
    <t>TXN-0687</t>
  </si>
  <si>
    <t>TXN-3000</t>
  </si>
  <si>
    <t>18-01-2026</t>
  </si>
  <si>
    <t>TXN-2089</t>
  </si>
  <si>
    <t>TXN-1514</t>
  </si>
  <si>
    <t>12-08-2024</t>
  </si>
  <si>
    <t>TXN-2525</t>
  </si>
  <si>
    <t>TXN-0238</t>
  </si>
  <si>
    <t>TXN-2024</t>
  </si>
  <si>
    <t>TXN-1313</t>
  </si>
  <si>
    <t>TXN-0266</t>
  </si>
  <si>
    <t>TXN-1445</t>
  </si>
  <si>
    <t>TXN-2305</t>
  </si>
  <si>
    <t>03-05-2025</t>
  </si>
  <si>
    <t>TXN-2829</t>
  </si>
  <si>
    <t>Salary Run â€” November 2025</t>
  </si>
  <si>
    <t>TXN-1896</t>
  </si>
  <si>
    <t>12/12/2024</t>
  </si>
  <si>
    <t>TXN-0274</t>
  </si>
  <si>
    <t>TXN-2555</t>
  </si>
  <si>
    <t>TXN-0163</t>
  </si>
  <si>
    <t>TXN-0318</t>
  </si>
  <si>
    <t>TXN-0830</t>
  </si>
  <si>
    <t>TXN-2144</t>
  </si>
  <si>
    <t>TXN-1286</t>
  </si>
  <si>
    <t>TXN-2034</t>
  </si>
  <si>
    <t>02/07/2025</t>
  </si>
  <si>
    <t>TXN-1724</t>
  </si>
  <si>
    <t>TXN-1824</t>
  </si>
  <si>
    <t>29-11-2024</t>
  </si>
  <si>
    <t>TXN-2647</t>
  </si>
  <si>
    <t>TXN-1063</t>
  </si>
  <si>
    <t>TXN-1323</t>
  </si>
  <si>
    <t>TXN-1830</t>
  </si>
  <si>
    <t>TXN-1909</t>
  </si>
  <si>
    <t>TXN-1150</t>
  </si>
  <si>
    <t>TXN-3097</t>
  </si>
  <si>
    <t>02/23/2026</t>
  </si>
  <si>
    <t>TXN-1836</t>
  </si>
  <si>
    <t>TXN-2300</t>
  </si>
  <si>
    <t>TXN-1296</t>
  </si>
  <si>
    <t>TXN-2426</t>
  </si>
  <si>
    <t>TXN-0148</t>
  </si>
  <si>
    <t>30-05-2023</t>
  </si>
  <si>
    <t>TXN-2773</t>
  </si>
  <si>
    <t>TXN-1932</t>
  </si>
  <si>
    <t>TXN-2484</t>
  </si>
  <si>
    <t>07/20/2025</t>
  </si>
  <si>
    <t>TXN-0702</t>
  </si>
  <si>
    <t>TXN-3120</t>
  </si>
  <si>
    <t>TXN-0111</t>
  </si>
  <si>
    <t>04-05-2023</t>
  </si>
  <si>
    <t>TXN-2059</t>
  </si>
  <si>
    <t>TXN-2454</t>
  </si>
  <si>
    <t>06/30/2025</t>
  </si>
  <si>
    <t>TXN-0488</t>
  </si>
  <si>
    <t>TXN-1941</t>
  </si>
  <si>
    <t>01/31/2025</t>
  </si>
  <si>
    <t>TXN-0902</t>
  </si>
  <si>
    <t>TXN-0592</t>
  </si>
  <si>
    <t>TXN-2687</t>
  </si>
  <si>
    <t>TXN-2692</t>
  </si>
  <si>
    <t>07-09-2025</t>
  </si>
  <si>
    <t>TXN-0965</t>
  </si>
  <si>
    <t>TXN-0626</t>
  </si>
  <si>
    <t>TXN-2217</t>
  </si>
  <si>
    <t>TXN-2919</t>
  </si>
  <si>
    <t>TXN-1698</t>
  </si>
  <si>
    <t>TXN-1280</t>
  </si>
  <si>
    <t>05/26/2024</t>
  </si>
  <si>
    <t>TXN-1393</t>
  </si>
  <si>
    <t>05-07-2024</t>
  </si>
  <si>
    <t>TXN-1482</t>
  </si>
  <si>
    <t>TXN-1563</t>
  </si>
  <si>
    <t>09/14/2024</t>
  </si>
  <si>
    <t>TXN-1208</t>
  </si>
  <si>
    <t>TXN-3151</t>
  </si>
  <si>
    <t>TXN-2051</t>
  </si>
  <si>
    <t>TXN-2252</t>
  </si>
  <si>
    <t>TXN-2799</t>
  </si>
  <si>
    <t>TXN-2170</t>
  </si>
  <si>
    <t>TXN-0378</t>
  </si>
  <si>
    <t>TXN-1522</t>
  </si>
  <si>
    <t>TXN-0355</t>
  </si>
  <si>
    <t>TXN-2769</t>
  </si>
  <si>
    <t>14-10-2025</t>
  </si>
  <si>
    <t>TXN-0745</t>
  </si>
  <si>
    <t>TXN-1651</t>
  </si>
  <si>
    <t>TXN-1573</t>
  </si>
  <si>
    <t>TXN-0011</t>
  </si>
  <si>
    <t>25-04-2023</t>
  </si>
  <si>
    <t>TXN-3206</t>
  </si>
  <si>
    <t>TXN-1817</t>
  </si>
  <si>
    <t>TXN-0405</t>
  </si>
  <si>
    <t>TXN-2294</t>
  </si>
  <si>
    <t>TXN-2654</t>
  </si>
  <si>
    <t>TXN-1199</t>
  </si>
  <si>
    <t>TXN-1969</t>
  </si>
  <si>
    <t>TXN-2832</t>
  </si>
  <si>
    <t>TXN-1882</t>
  </si>
  <si>
    <t>TXN-0679</t>
  </si>
  <si>
    <t>TXN-1147</t>
  </si>
  <si>
    <t>TXN-1544</t>
  </si>
  <si>
    <t>TXN-1477</t>
  </si>
  <si>
    <t>TXN-0128</t>
  </si>
  <si>
    <t>TXN-1759</t>
  </si>
  <si>
    <t>TXN-0690</t>
  </si>
  <si>
    <t>TXN-0901</t>
  </si>
  <si>
    <t>TXN-1003</t>
  </si>
  <si>
    <t>11-02-2024</t>
  </si>
  <si>
    <t>TXN-3134</t>
  </si>
  <si>
    <t>26-02-2026</t>
  </si>
  <si>
    <t>TXN-2558</t>
  </si>
  <si>
    <t>TXN-1133</t>
  </si>
  <si>
    <t>TXN-2107</t>
  </si>
  <si>
    <t>03/26/2025</t>
  </si>
  <si>
    <t>TXN-1624</t>
  </si>
  <si>
    <t>TXN-2130</t>
  </si>
  <si>
    <t>TXN-2767</t>
  </si>
  <si>
    <t>TXN-2786</t>
  </si>
  <si>
    <t>TXN-3078</t>
  </si>
  <si>
    <t>TXN-2052</t>
  </si>
  <si>
    <t>TXN-2418</t>
  </si>
  <si>
    <t>TXN-2806</t>
  </si>
  <si>
    <t>TXN-0652</t>
  </si>
  <si>
    <t>TXN-2141</t>
  </si>
  <si>
    <t>TXN-3184</t>
  </si>
  <si>
    <t>TXN-1743</t>
  </si>
  <si>
    <t>TXN-2104</t>
  </si>
  <si>
    <t>TXN-1265</t>
  </si>
  <si>
    <t>13-05-2024</t>
  </si>
  <si>
    <t>TXN-0466</t>
  </si>
  <si>
    <t>Salary Run â€” September 2023</t>
  </si>
  <si>
    <t>TXN-2770</t>
  </si>
  <si>
    <t>TXN-2293</t>
  </si>
  <si>
    <t>05-05-2025</t>
  </si>
  <si>
    <t>TXN-2762</t>
  </si>
  <si>
    <t>TXN-2646</t>
  </si>
  <si>
    <t>TXN-2182</t>
  </si>
  <si>
    <t>TXN-2879</t>
  </si>
  <si>
    <t>11/06/2025</t>
  </si>
  <si>
    <t>TXN-1930</t>
  </si>
  <si>
    <t>Salary Run â€” January 2025</t>
  </si>
  <si>
    <t>TXN-1884</t>
  </si>
  <si>
    <t>TXN-3146</t>
  </si>
  <si>
    <t>TXN-3054</t>
  </si>
  <si>
    <t>TXN-0932</t>
  </si>
  <si>
    <t>TXN-0168</t>
  </si>
  <si>
    <t>TXN-0630</t>
  </si>
  <si>
    <t>TXN-1279</t>
  </si>
  <si>
    <t>TXN-0784</t>
  </si>
  <si>
    <t>TXN-2729</t>
  </si>
  <si>
    <t>09/29/2025</t>
  </si>
  <si>
    <t>TXN-0072</t>
  </si>
  <si>
    <t>TXN-1149</t>
  </si>
  <si>
    <t>TXN-2133</t>
  </si>
  <si>
    <t>06-03-2025</t>
  </si>
  <si>
    <t>TXN-1361</t>
  </si>
  <si>
    <t>TXN-0574</t>
  </si>
  <si>
    <t>TXN-2173</t>
  </si>
  <si>
    <t>TXN-3227</t>
  </si>
  <si>
    <t>11-03-2026</t>
  </si>
  <si>
    <t>TXN-0369</t>
  </si>
  <si>
    <t>07/06/2023</t>
  </si>
  <si>
    <t>TXN-2337</t>
  </si>
  <si>
    <t>TXN-0182</t>
  </si>
  <si>
    <t>TXN-0603</t>
  </si>
  <si>
    <t>TXN-2291</t>
  </si>
  <si>
    <t>TXN-1028</t>
  </si>
  <si>
    <t>TXN-0691</t>
  </si>
  <si>
    <t>TXN-0005</t>
  </si>
  <si>
    <t>28-04-2023</t>
  </si>
  <si>
    <t>Salary Run â€” April 2023</t>
  </si>
  <si>
    <t>TXN-1771</t>
  </si>
  <si>
    <t>TXN-0575</t>
  </si>
  <si>
    <t>TXN-0052</t>
  </si>
  <si>
    <t>TXN-2247</t>
  </si>
  <si>
    <t>TXN-1380</t>
  </si>
  <si>
    <t>TXN-0078</t>
  </si>
  <si>
    <t>04/30/2023</t>
  </si>
  <si>
    <t>TXN-1029</t>
  </si>
  <si>
    <t>TXN-0913</t>
  </si>
  <si>
    <t>TXN-2041</t>
  </si>
  <si>
    <t>TXN-1319</t>
  </si>
  <si>
    <t>TXN-2512</t>
  </si>
  <si>
    <t>TXN-2087</t>
  </si>
  <si>
    <t>TXN-1226</t>
  </si>
  <si>
    <t>TXN-2016</t>
  </si>
  <si>
    <t>28-02-2025</t>
  </si>
  <si>
    <t>Salary Run â€” February 2025</t>
  </si>
  <si>
    <t>TXN-1547</t>
  </si>
  <si>
    <t>TXN-1450</t>
  </si>
  <si>
    <t>TXN-0839</t>
  </si>
  <si>
    <t>TXN-1901</t>
  </si>
  <si>
    <t>12/03/2024</t>
  </si>
  <si>
    <t>TXN-0174</t>
  </si>
  <si>
    <t>TXN-1302</t>
  </si>
  <si>
    <t>06/09/2024</t>
  </si>
  <si>
    <t>TXN-2595</t>
  </si>
  <si>
    <t>TXN-0054</t>
  </si>
  <si>
    <t>TXN-2158</t>
  </si>
  <si>
    <t>TXN-1108</t>
  </si>
  <si>
    <t>11-03-2024</t>
  </si>
  <si>
    <t>TXN-2861</t>
  </si>
  <si>
    <t>07-11-2025</t>
  </si>
  <si>
    <t>TXN-1486</t>
  </si>
  <si>
    <t>TXN-0860</t>
  </si>
  <si>
    <t>05-01-2024</t>
  </si>
  <si>
    <t>TXN-0449</t>
  </si>
  <si>
    <t>TXN-2635</t>
  </si>
  <si>
    <t>TXN-2275</t>
  </si>
  <si>
    <t>TXN-0627</t>
  </si>
  <si>
    <t>14-10-2023</t>
  </si>
  <si>
    <t>TXN-1379</t>
  </si>
  <si>
    <t>26-07-2024</t>
  </si>
  <si>
    <t>TXN-1118</t>
  </si>
  <si>
    <t>TXN-0553</t>
  </si>
  <si>
    <t>TXN-1995</t>
  </si>
  <si>
    <t>TXN-1986</t>
  </si>
  <si>
    <t>22-01-2025</t>
  </si>
  <si>
    <t>TXN-1949</t>
  </si>
  <si>
    <t>27-01-2025</t>
  </si>
  <si>
    <t>TXN-0272</t>
  </si>
  <si>
    <t>TXN-1775</t>
  </si>
  <si>
    <t>TXN-2836</t>
  </si>
  <si>
    <t>TXN-1103</t>
  </si>
  <si>
    <t>TXN-2650</t>
  </si>
  <si>
    <t>19-09-2025</t>
  </si>
  <si>
    <t>TXN-0284</t>
  </si>
  <si>
    <t>TXN-1139</t>
  </si>
  <si>
    <t>04/22/2024</t>
  </si>
  <si>
    <t>TXN-2827</t>
  </si>
  <si>
    <t>TXN-0915</t>
  </si>
  <si>
    <t>TXN-2191</t>
  </si>
  <si>
    <t>TXN-2215</t>
  </si>
  <si>
    <t>TXN-0171</t>
  </si>
  <si>
    <t>TXN-1364</t>
  </si>
  <si>
    <t>TXN-0186</t>
  </si>
  <si>
    <t>TXN-0711</t>
  </si>
  <si>
    <t>TXN-0249</t>
  </si>
  <si>
    <t>TXN-1685</t>
  </si>
  <si>
    <t>TXN-2658</t>
  </si>
  <si>
    <t>11-09-2025</t>
  </si>
  <si>
    <t>TXN-0870</t>
  </si>
  <si>
    <t>TXN-2433</t>
  </si>
  <si>
    <t>TXN-1097</t>
  </si>
  <si>
    <t>TXN-0187</t>
  </si>
  <si>
    <t>TXN-0795</t>
  </si>
  <si>
    <t>01-12-2023</t>
  </si>
  <si>
    <t>TXN-3236</t>
  </si>
  <si>
    <t>TXN-2780</t>
  </si>
  <si>
    <t>TXN-0082</t>
  </si>
  <si>
    <t>04/21/2023</t>
  </si>
  <si>
    <t>TXN-1854</t>
  </si>
  <si>
    <t>TXN-3002</t>
  </si>
  <si>
    <t>TXN-0172</t>
  </si>
  <si>
    <t>TXN-1925</t>
  </si>
  <si>
    <t>TXN-1304</t>
  </si>
  <si>
    <t>19-06-2024</t>
  </si>
  <si>
    <t>TXN-0956</t>
  </si>
  <si>
    <t>17-02-2024</t>
  </si>
  <si>
    <t>TXN-2100</t>
  </si>
  <si>
    <t>TXN-0070</t>
  </si>
  <si>
    <t>TXN-1745</t>
  </si>
  <si>
    <t>TXN-2189</t>
  </si>
  <si>
    <t>TXN-1666</t>
  </si>
  <si>
    <t>10/14/2024</t>
  </si>
  <si>
    <t>TXN-2168</t>
  </si>
  <si>
    <t>TXN-0826</t>
  </si>
  <si>
    <t>TXN-2822</t>
  </si>
  <si>
    <t>TXN-2705</t>
  </si>
  <si>
    <t>TXN-0021</t>
  </si>
  <si>
    <t>TXN-1213</t>
  </si>
  <si>
    <t>TXN-1935</t>
  </si>
  <si>
    <t>03-01-2025</t>
  </si>
  <si>
    <t>TXN-2099</t>
  </si>
  <si>
    <t>TXN-0282</t>
  </si>
  <si>
    <t>TXN-1066</t>
  </si>
  <si>
    <t>TXN-1240</t>
  </si>
  <si>
    <t>15-05-2024</t>
  </si>
  <si>
    <t>TXN-1052</t>
  </si>
  <si>
    <t>TXN-2655</t>
  </si>
  <si>
    <t>TXN-0631</t>
  </si>
  <si>
    <t>16-10-2023</t>
  </si>
  <si>
    <t>TXN-0437</t>
  </si>
  <si>
    <t>08/26/2023</t>
  </si>
  <si>
    <t>TXN-1332</t>
  </si>
  <si>
    <t>TXN-1046</t>
  </si>
  <si>
    <t>TXN-1446</t>
  </si>
  <si>
    <t>TXN-3143</t>
  </si>
  <si>
    <t>TXN-1699</t>
  </si>
  <si>
    <t>TXN-3228</t>
  </si>
  <si>
    <t>TXN-3220</t>
  </si>
  <si>
    <t>TXN-2631</t>
  </si>
  <si>
    <t>TXN-1193</t>
  </si>
  <si>
    <t>05/07/2024</t>
  </si>
  <si>
    <t>TXN-0544</t>
  </si>
  <si>
    <t>TXN-2945</t>
  </si>
  <si>
    <t>TXN-1700</t>
  </si>
  <si>
    <t>TXN-2135</t>
  </si>
  <si>
    <t>01-03-2025</t>
  </si>
  <si>
    <t>TXN-1383</t>
  </si>
  <si>
    <t>TXN-1829</t>
  </si>
  <si>
    <t>TXN-2146</t>
  </si>
  <si>
    <t>TXN-1583</t>
  </si>
  <si>
    <t>TXN-2587</t>
  </si>
  <si>
    <t>08/28/2025</t>
  </si>
  <si>
    <t>TXN-2731</t>
  </si>
  <si>
    <t>09/02/2025</t>
  </si>
  <si>
    <t>TXN-0024</t>
  </si>
  <si>
    <t>TXN-1125</t>
  </si>
  <si>
    <t>TXN-1766</t>
  </si>
  <si>
    <t>TXN-3024</t>
  </si>
  <si>
    <t>TXN-1044</t>
  </si>
  <si>
    <t>TXN-0706</t>
  </si>
  <si>
    <t>17-11-2023</t>
  </si>
  <si>
    <t>TXN-0410</t>
  </si>
  <si>
    <t>TXN-1443</t>
  </si>
  <si>
    <t>TXN-2022</t>
  </si>
  <si>
    <t>TXN-1469</t>
  </si>
  <si>
    <t>TXN-1343</t>
  </si>
  <si>
    <t>TXN-2740</t>
  </si>
  <si>
    <t>TXN-1633</t>
  </si>
  <si>
    <t>TXN-3261</t>
  </si>
  <si>
    <t>TXN-2045</t>
  </si>
  <si>
    <t>TXN-1354</t>
  </si>
  <si>
    <t>TXN-2523</t>
  </si>
  <si>
    <t>TXN-1665</t>
  </si>
  <si>
    <t>TXN-2075</t>
  </si>
  <si>
    <t>02/23/2025</t>
  </si>
  <si>
    <t>TXN-1842</t>
  </si>
  <si>
    <t>TXN-1306</t>
  </si>
  <si>
    <t>TXN-1460</t>
  </si>
  <si>
    <t>TXN-1322</t>
  </si>
  <si>
    <t>TXN-1715</t>
  </si>
  <si>
    <t>TXN-0406</t>
  </si>
  <si>
    <t>TXN-0031</t>
  </si>
  <si>
    <t>TXN-0543</t>
  </si>
  <si>
    <t>TXN-2436</t>
  </si>
  <si>
    <t>TXN-1574</t>
  </si>
  <si>
    <t>TXN-0343</t>
  </si>
  <si>
    <t>TXN-1709</t>
  </si>
  <si>
    <t>TXN-2671</t>
  </si>
  <si>
    <t>TXN-2351</t>
  </si>
  <si>
    <t>05/22/2025</t>
  </si>
  <si>
    <t>TXN-0244</t>
  </si>
  <si>
    <t>06/16/2023</t>
  </si>
  <si>
    <t>TXN-2225</t>
  </si>
  <si>
    <t>22-04-2025</t>
  </si>
  <si>
    <t>TXN-3170</t>
  </si>
  <si>
    <t>02/08/2026</t>
  </si>
  <si>
    <t>TXN-3251</t>
  </si>
  <si>
    <t>TXN-3037</t>
  </si>
  <si>
    <t>TXN-0825</t>
  </si>
  <si>
    <t>TXN-2914</t>
  </si>
  <si>
    <t>27-11-2025</t>
  </si>
  <si>
    <t>TXN-3124</t>
  </si>
  <si>
    <t>TXN-2924</t>
  </si>
  <si>
    <t>TXN-0989</t>
  </si>
  <si>
    <t>TXN-2524</t>
  </si>
  <si>
    <t>TXN-0790</t>
  </si>
  <si>
    <t>19-12-2023</t>
  </si>
  <si>
    <t>TXN-1585</t>
  </si>
  <si>
    <t>TXN-2775</t>
  </si>
  <si>
    <t>TXN-1104</t>
  </si>
  <si>
    <t>TXN-3003</t>
  </si>
  <si>
    <t>TXN-1755</t>
  </si>
  <si>
    <t>11/16/2024</t>
  </si>
  <si>
    <t>TXN-2111</t>
  </si>
  <si>
    <t>TXN-1330</t>
  </si>
  <si>
    <t>TXN-0101</t>
  </si>
  <si>
    <t>09-05-2023</t>
  </si>
  <si>
    <t>TXN-1604</t>
  </si>
  <si>
    <t>TXN-1111</t>
  </si>
  <si>
    <t>06-04-2024</t>
  </si>
  <si>
    <t>TXN-2198</t>
  </si>
  <si>
    <t>TXN-2356</t>
  </si>
  <si>
    <t>TXN-2766</t>
  </si>
  <si>
    <t>10-10-2025</t>
  </si>
  <si>
    <t>TXN-1254</t>
  </si>
  <si>
    <t>TXN-1642</t>
  </si>
  <si>
    <t>TXN-1516</t>
  </si>
  <si>
    <t>TXN-2755</t>
  </si>
  <si>
    <t>TXN-1047</t>
  </si>
  <si>
    <t>03/21/2024</t>
  </si>
  <si>
    <t>TXN-0819</t>
  </si>
  <si>
    <t>TXN-2974</t>
  </si>
  <si>
    <t>TXN-2898</t>
  </si>
  <si>
    <t>TXN-2139</t>
  </si>
  <si>
    <t>TXN-1589</t>
  </si>
  <si>
    <t>29-09-2024</t>
  </si>
  <si>
    <t>TXN-0277</t>
  </si>
  <si>
    <t>TXN-1189</t>
  </si>
  <si>
    <t>TXN-2240</t>
  </si>
  <si>
    <t>TXN-1351</t>
  </si>
  <si>
    <t>06/10/2024</t>
  </si>
  <si>
    <t>TXN-0237</t>
  </si>
  <si>
    <t>TXN-3080</t>
  </si>
  <si>
    <t>TXN-3152</t>
  </si>
  <si>
    <t>TXN-2154</t>
  </si>
  <si>
    <t>TXN-2877</t>
  </si>
  <si>
    <t>26-11-2025</t>
  </si>
  <si>
    <t>TXN-0840</t>
  </si>
  <si>
    <t>TXN-3242</t>
  </si>
  <si>
    <t>TXN-0579</t>
  </si>
  <si>
    <t>18-10-2023</t>
  </si>
  <si>
    <t>TXN-2156</t>
  </si>
  <si>
    <t>TXN-2053</t>
  </si>
  <si>
    <t>TXN-2103</t>
  </si>
  <si>
    <t>TXN-0264</t>
  </si>
  <si>
    <t>TXN-2014</t>
  </si>
  <si>
    <t>TXN-2812</t>
  </si>
  <si>
    <t>TXN-1889</t>
  </si>
  <si>
    <t>TXN-1629</t>
  </si>
  <si>
    <t>04-09-2024</t>
  </si>
  <si>
    <t>TXN-1397</t>
  </si>
  <si>
    <t>16-07-2024</t>
  </si>
  <si>
    <t>TXN-0662</t>
  </si>
  <si>
    <t>TXN-0708</t>
  </si>
  <si>
    <t>TXN-1230</t>
  </si>
  <si>
    <t>08-05-2024</t>
  </si>
  <si>
    <t>TXN-2039</t>
  </si>
  <si>
    <t>TXN-1246</t>
  </si>
  <si>
    <t>TXN-2176</t>
  </si>
  <si>
    <t>TXN-2424</t>
  </si>
  <si>
    <t>TXN-0791</t>
  </si>
  <si>
    <t>TXN-3007</t>
  </si>
  <si>
    <t>TXN-0670</t>
  </si>
  <si>
    <t>TXN-1790</t>
  </si>
  <si>
    <t>21-11-2024</t>
  </si>
  <si>
    <t>TXN-1845</t>
  </si>
  <si>
    <t>TXN-0748</t>
  </si>
  <si>
    <t>TXN-0300</t>
  </si>
  <si>
    <t>TXN-0017</t>
  </si>
  <si>
    <t>TXN-2867</t>
  </si>
  <si>
    <t>TXN-1031</t>
  </si>
  <si>
    <t>21-03-2024</t>
  </si>
  <si>
    <t>TXN-2656</t>
  </si>
  <si>
    <t>TXN-1391</t>
  </si>
  <si>
    <t>TXN-2304</t>
  </si>
  <si>
    <t>TXN-1181</t>
  </si>
  <si>
    <t>TXN-2873</t>
  </si>
  <si>
    <t>TXN-2531</t>
  </si>
  <si>
    <t>TXN-0306</t>
  </si>
  <si>
    <t>TXN-2186</t>
  </si>
  <si>
    <t>TXN-2400</t>
  </si>
  <si>
    <t>TXN-2863</t>
  </si>
  <si>
    <t>11/11/2025</t>
  </si>
  <si>
    <t>TXN-2850</t>
  </si>
  <si>
    <t>16-11-2025</t>
  </si>
  <si>
    <t>TXN-0414</t>
  </si>
  <si>
    <t>21-08-2023</t>
  </si>
  <si>
    <t>TXN-0536</t>
  </si>
  <si>
    <t>TXN-0416</t>
  </si>
  <si>
    <t>TXN-1561</t>
  </si>
  <si>
    <t>27-09-2024</t>
  </si>
  <si>
    <t>TXN-1054</t>
  </si>
  <si>
    <t>TXN-2883</t>
  </si>
  <si>
    <t>TXN-0912</t>
  </si>
  <si>
    <t>TXN-0540</t>
  </si>
  <si>
    <t>TXN-0523</t>
  </si>
  <si>
    <t>TXN-3074</t>
  </si>
  <si>
    <t>TXN-1215</t>
  </si>
  <si>
    <t>TXN-2628</t>
  </si>
  <si>
    <t>TXN-1708</t>
  </si>
  <si>
    <t>TXN-0586</t>
  </si>
  <si>
    <t>TXN-0851</t>
  </si>
  <si>
    <t>22-01-2024</t>
  </si>
  <si>
    <t>TXN-2447</t>
  </si>
  <si>
    <t>TXN-3064</t>
  </si>
  <si>
    <t>TXN-0059</t>
  </si>
  <si>
    <t>TXN-3027</t>
  </si>
  <si>
    <t>TXN-2536</t>
  </si>
  <si>
    <t>TXN-2414</t>
  </si>
  <si>
    <t>TXN-0141</t>
  </si>
  <si>
    <t>TXN-1751</t>
  </si>
  <si>
    <t>TXN-2073</t>
  </si>
  <si>
    <t>TXN-2453</t>
  </si>
  <si>
    <t>TXN-2886</t>
  </si>
  <si>
    <t>21-11-2025</t>
  </si>
  <si>
    <t>TXN-0317</t>
  </si>
  <si>
    <t>TXN-2451</t>
  </si>
  <si>
    <t>TXN-1138</t>
  </si>
  <si>
    <t>TXN-2219</t>
  </si>
  <si>
    <t>TXN-2353</t>
  </si>
  <si>
    <t>TXN-1985</t>
  </si>
  <si>
    <t>01/29/2025</t>
  </si>
  <si>
    <t>TXN-2338</t>
  </si>
  <si>
    <t>TXN-2405</t>
  </si>
  <si>
    <t>24-06-2025</t>
  </si>
  <si>
    <t>TXN-0892</t>
  </si>
  <si>
    <t>01/30/2024</t>
  </si>
  <si>
    <t>TXN-2142</t>
  </si>
  <si>
    <t>TXN-0428</t>
  </si>
  <si>
    <t>TXN-0856</t>
  </si>
  <si>
    <t>TXN-2402</t>
  </si>
  <si>
    <t>TXN-1990</t>
  </si>
  <si>
    <t>TXN-2438</t>
  </si>
  <si>
    <t>TXN-1291</t>
  </si>
  <si>
    <t>TXN-1095</t>
  </si>
  <si>
    <t>TXN-1835</t>
  </si>
  <si>
    <t>TXN-2350</t>
  </si>
  <si>
    <t>TXN-1159</t>
  </si>
  <si>
    <t>TXN-2809</t>
  </si>
  <si>
    <t>17-10-2025</t>
  </si>
  <si>
    <t>TXN-1687</t>
  </si>
  <si>
    <t>TXN-2917</t>
  </si>
  <si>
    <t>TXN-1653</t>
  </si>
  <si>
    <t>TXN-1462</t>
  </si>
  <si>
    <t>TXN-2083</t>
  </si>
  <si>
    <t>TXN-0782</t>
  </si>
  <si>
    <t>TXN-2698</t>
  </si>
  <si>
    <t>TXN-1004</t>
  </si>
  <si>
    <t>TXN-2695</t>
  </si>
  <si>
    <t>TXN-0057</t>
  </si>
  <si>
    <t>TXN-0655</t>
  </si>
  <si>
    <t>TXN-1761</t>
  </si>
  <si>
    <t>TXN-0010</t>
  </si>
  <si>
    <t>TXN-2332</t>
  </si>
  <si>
    <t>TXN-1521</t>
  </si>
  <si>
    <t>TXN-2975</t>
  </si>
  <si>
    <t>TXN-1722</t>
  </si>
  <si>
    <t>TXN-1858</t>
  </si>
  <si>
    <t>21-12-2024</t>
  </si>
  <si>
    <t>TXN-1754</t>
  </si>
  <si>
    <t>TXN-0685</t>
  </si>
  <si>
    <t>TXN-2599</t>
  </si>
  <si>
    <t>TXN-1503</t>
  </si>
  <si>
    <t>TXN-1939</t>
  </si>
  <si>
    <t>TXN-1780</t>
  </si>
  <si>
    <t>11-11-2024</t>
  </si>
  <si>
    <t>TXN-3157</t>
  </si>
  <si>
    <t>TXN-1107</t>
  </si>
  <si>
    <t>08-03-2024</t>
  </si>
  <si>
    <t>TXN-2995</t>
  </si>
  <si>
    <t>12/05/2025</t>
  </si>
  <si>
    <t>TXN-0220</t>
  </si>
  <si>
    <t>TXN-1219</t>
  </si>
  <si>
    <t>TXN-1938</t>
  </si>
  <si>
    <t>TXN-0154</t>
  </si>
  <si>
    <t>TXN-0348</t>
  </si>
  <si>
    <t>TXN-1179</t>
  </si>
  <si>
    <t>TXN-2920</t>
  </si>
  <si>
    <t>TXN-1247</t>
  </si>
  <si>
    <t>TXN-2063</t>
  </si>
  <si>
    <t>TXN-3164</t>
  </si>
  <si>
    <t>TXN-1283</t>
  </si>
  <si>
    <t>05/05/2024</t>
  </si>
  <si>
    <t>TXN-2517</t>
  </si>
  <si>
    <t>TXN-1373</t>
  </si>
  <si>
    <t>TXN-0142</t>
  </si>
  <si>
    <t>TXN-3056</t>
  </si>
  <si>
    <t>TXN-0976</t>
  </si>
  <si>
    <t>TXN-2840</t>
  </si>
  <si>
    <t>03-11-2025</t>
  </si>
  <si>
    <t>TXN-1481</t>
  </si>
  <si>
    <t>TXN-3081</t>
  </si>
  <si>
    <t>23-01-2026</t>
  </si>
  <si>
    <t>TXN-0850</t>
  </si>
  <si>
    <t>TXN-0015</t>
  </si>
  <si>
    <t>TXN-1815</t>
  </si>
  <si>
    <t>TXN-0116</t>
  </si>
  <si>
    <t>TXN-2725</t>
  </si>
  <si>
    <t>TXN-1224</t>
  </si>
  <si>
    <t>TXN-1646</t>
  </si>
  <si>
    <t>07-10-2024</t>
  </si>
  <si>
    <t>TXN-3176</t>
  </si>
  <si>
    <t>23-03-2026</t>
  </si>
  <si>
    <t>TXN-0139</t>
  </si>
  <si>
    <t>TXN-2074</t>
  </si>
  <si>
    <t>TXN-1697</t>
  </si>
  <si>
    <t>10/07/2024</t>
  </si>
  <si>
    <t>TXN-0309</t>
  </si>
  <si>
    <t>TXN-3105</t>
  </si>
  <si>
    <t>TXN-0895</t>
  </si>
  <si>
    <t>TXN-1913</t>
  </si>
  <si>
    <t>10-12-2024</t>
  </si>
  <si>
    <t>TXN-2909</t>
  </si>
  <si>
    <t>TXN-1841</t>
  </si>
  <si>
    <t>TXN-2019</t>
  </si>
  <si>
    <t>TXN-0526</t>
  </si>
  <si>
    <t>TXN-0617</t>
  </si>
  <si>
    <t>TXN-2562</t>
  </si>
  <si>
    <t>TXN-2888</t>
  </si>
  <si>
    <t>TXN-0755</t>
  </si>
  <si>
    <t>TXN-0634</t>
  </si>
  <si>
    <t>23-10-2023</t>
  </si>
  <si>
    <t>TXN-0875</t>
  </si>
  <si>
    <t>TXN-1008</t>
  </si>
  <si>
    <t>TXN-1165</t>
  </si>
  <si>
    <t>04/28/2024</t>
  </si>
  <si>
    <t>TXN-2956</t>
  </si>
  <si>
    <t>09-12-2025</t>
  </si>
  <si>
    <t>TXN-0016</t>
  </si>
  <si>
    <t>TXN-0121</t>
  </si>
  <si>
    <t>05/10/2023</t>
  </si>
  <si>
    <t>TXN-2869</t>
  </si>
  <si>
    <t>TXN-0906</t>
  </si>
  <si>
    <t>TXN-2258</t>
  </si>
  <si>
    <t>04/16/2025</t>
  </si>
  <si>
    <t>TXN-0827</t>
  </si>
  <si>
    <t>TXN-0285</t>
  </si>
  <si>
    <t>TXN-2550</t>
  </si>
  <si>
    <t>TXN-2496</t>
  </si>
  <si>
    <t>TXN-2910</t>
  </si>
  <si>
    <t>TXN-1788</t>
  </si>
  <si>
    <t>TXN-1326</t>
  </si>
  <si>
    <t>TXN-1813</t>
  </si>
  <si>
    <t>TXN-0236</t>
  </si>
  <si>
    <t>TXN-1594</t>
  </si>
  <si>
    <t>TXN-0520</t>
  </si>
  <si>
    <t>09/01/2023</t>
  </si>
  <si>
    <t>TXN-1402</t>
  </si>
  <si>
    <t>TXN-1101</t>
  </si>
  <si>
    <t>TXN-1345</t>
  </si>
  <si>
    <t>24-06-2024</t>
  </si>
  <si>
    <t>TXN-0345</t>
  </si>
  <si>
    <t>TXN-1316</t>
  </si>
  <si>
    <t>TXN-1358</t>
  </si>
  <si>
    <t>TXN-3218</t>
  </si>
  <si>
    <t>TXN-0038</t>
  </si>
  <si>
    <t>04/10/2023</t>
  </si>
  <si>
    <t>TXN-3116</t>
  </si>
  <si>
    <t>02/06/2026</t>
  </si>
  <si>
    <t>TXN-2845</t>
  </si>
  <si>
    <t>TXN-2152</t>
  </si>
  <si>
    <t>03-03-2025</t>
  </si>
  <si>
    <t>WEWORK INDIA</t>
  </si>
  <si>
    <t>TXN-2421</t>
  </si>
  <si>
    <t>30-06-2025</t>
  </si>
  <si>
    <t>TXN-2477</t>
  </si>
  <si>
    <t>TXN-0290</t>
  </si>
  <si>
    <t>TXN-2027</t>
  </si>
  <si>
    <t>TXN-1217</t>
  </si>
  <si>
    <t>TXN-0871</t>
  </si>
  <si>
    <t>TXN-0567</t>
  </si>
  <si>
    <t>TXN-1202</t>
  </si>
  <si>
    <t>05/25/2024</t>
  </si>
  <si>
    <t>TXN-1143</t>
  </si>
  <si>
    <t>TXN-2115</t>
  </si>
  <si>
    <t>TXN-0718</t>
  </si>
  <si>
    <t>13-11-2023</t>
  </si>
  <si>
    <t>TXN-0934</t>
  </si>
  <si>
    <t>02/27/2024</t>
  </si>
  <si>
    <t>TXN-0774</t>
  </si>
  <si>
    <t>TXN-2527</t>
  </si>
  <si>
    <t>TXN-2794</t>
  </si>
  <si>
    <t>TXN-0268</t>
  </si>
  <si>
    <t>TXN-3252</t>
  </si>
  <si>
    <t>03/13/2026</t>
  </si>
  <si>
    <t>TXN-1030</t>
  </si>
  <si>
    <t>TXN-2796</t>
  </si>
  <si>
    <t>10/05/2025</t>
  </si>
  <si>
    <t>TXN-2357</t>
  </si>
  <si>
    <t>TXN-0089</t>
  </si>
  <si>
    <t>TXN-0747</t>
  </si>
  <si>
    <t>TXN-0977</t>
  </si>
  <si>
    <t>TXN-0560</t>
  </si>
  <si>
    <t>02-10-2023</t>
  </si>
  <si>
    <t>TXN-0192</t>
  </si>
  <si>
    <t>TXN-0577</t>
  </si>
  <si>
    <t>05-10-2023</t>
  </si>
  <si>
    <t>TXN-2670</t>
  </si>
  <si>
    <t>TXN-1386</t>
  </si>
  <si>
    <t>TXN-2192</t>
  </si>
  <si>
    <t>TXN-0917</t>
  </si>
  <si>
    <t>TXN-0654</t>
  </si>
  <si>
    <t>TXN-3103</t>
  </si>
  <si>
    <t>TXN-1940</t>
  </si>
  <si>
    <t>TXN-1800</t>
  </si>
  <si>
    <t>11/27/2024</t>
  </si>
  <si>
    <t>TXN-0678</t>
  </si>
  <si>
    <t>TXN-1058</t>
  </si>
  <si>
    <t>TXN-0766</t>
  </si>
  <si>
    <t>TXN-2674</t>
  </si>
  <si>
    <t>TXN-2432</t>
  </si>
  <si>
    <t>06/24/2025</t>
  </si>
  <si>
    <t>TXN-2529</t>
  </si>
  <si>
    <t>TXN-1541</t>
  </si>
  <si>
    <t>TXN-2734</t>
  </si>
  <si>
    <t>TXN-1618</t>
  </si>
  <si>
    <t>TXN-2714</t>
  </si>
  <si>
    <t>TXN-0984</t>
  </si>
  <si>
    <t>TXN-1320</t>
  </si>
  <si>
    <t>TXN-0547</t>
  </si>
  <si>
    <t>TXN-2297</t>
  </si>
  <si>
    <t>26-05-2025</t>
  </si>
  <si>
    <t>TXN-0763</t>
  </si>
  <si>
    <t>TXN-3138</t>
  </si>
  <si>
    <t>TXN-1062</t>
  </si>
  <si>
    <t>TXN-3001</t>
  </si>
  <si>
    <t>TXN-1659</t>
  </si>
  <si>
    <t>TXN-2317</t>
  </si>
  <si>
    <t>16-05-2025</t>
  </si>
  <si>
    <t>TXN-0862</t>
  </si>
  <si>
    <t>TXN-0546</t>
  </si>
  <si>
    <t>TXN-0872</t>
  </si>
  <si>
    <t>TXN-1963</t>
  </si>
  <si>
    <t>TXN-2473</t>
  </si>
  <si>
    <t>TXN-0589</t>
  </si>
  <si>
    <t>TXN-0777</t>
  </si>
  <si>
    <t>TXN-0889</t>
  </si>
  <si>
    <t>TXN-0991</t>
  </si>
  <si>
    <t>TXN-2003</t>
  </si>
  <si>
    <t>TXN-1772</t>
  </si>
  <si>
    <t>TXN-1475</t>
  </si>
  <si>
    <t>27-08-2024</t>
  </si>
  <si>
    <t>TXN-2472</t>
  </si>
  <si>
    <t>07/23/2025</t>
  </si>
  <si>
    <t>TXN-0105</t>
  </si>
  <si>
    <t>02-05-2023</t>
  </si>
  <si>
    <t>TXN-0672</t>
  </si>
  <si>
    <t>TXN-2727</t>
  </si>
  <si>
    <t>TXN-2309</t>
  </si>
  <si>
    <t>TXN-3055</t>
  </si>
  <si>
    <t>TXN-2964</t>
  </si>
  <si>
    <t>TXN-1001</t>
  </si>
  <si>
    <t>02/28/2024</t>
  </si>
  <si>
    <t>TXN-2774</t>
  </si>
  <si>
    <t>TXN-2221</t>
  </si>
  <si>
    <t>TXN-1942</t>
  </si>
  <si>
    <t>01/06/2025</t>
  </si>
  <si>
    <t>TXN-1959</t>
  </si>
  <si>
    <t>TXN-0995</t>
  </si>
  <si>
    <t>TXN-0761</t>
  </si>
  <si>
    <t>12/08/2023</t>
  </si>
  <si>
    <t>TXN-0202</t>
  </si>
  <si>
    <t>TXN-1920</t>
  </si>
  <si>
    <t>TXN-1533</t>
  </si>
  <si>
    <t>TXN-3022</t>
  </si>
  <si>
    <t>TXN-2241</t>
  </si>
  <si>
    <t>TXN-2952</t>
  </si>
  <si>
    <t>27-12-2025</t>
  </si>
  <si>
    <t>TXN-2912</t>
  </si>
  <si>
    <t>TXN-2292</t>
  </si>
  <si>
    <t>25-05-2025</t>
  </si>
  <si>
    <t>TXN-2570</t>
  </si>
  <si>
    <t>TXN-1081</t>
  </si>
  <si>
    <t>TXN-2875</t>
  </si>
  <si>
    <t>TXN-2488</t>
  </si>
  <si>
    <t>26-07-2025</t>
  </si>
  <si>
    <t>TXN-1321</t>
  </si>
  <si>
    <t>TXN-0798</t>
  </si>
  <si>
    <t>TXN-0963</t>
  </si>
  <si>
    <t>TXN-2269</t>
  </si>
  <si>
    <t>16-04-2025</t>
  </si>
  <si>
    <t>TXN-2761</t>
  </si>
  <si>
    <t>TXN-2962</t>
  </si>
  <si>
    <t>TXN-2853</t>
  </si>
  <si>
    <t>TXN-1760</t>
  </si>
  <si>
    <t>TXN-0880</t>
  </si>
  <si>
    <t>01/08/2024</t>
  </si>
  <si>
    <t>TXN-2379</t>
  </si>
  <si>
    <t>TXN-1231</t>
  </si>
  <si>
    <t>TXN-1781</t>
  </si>
  <si>
    <t>11/18/2024</t>
  </si>
  <si>
    <t>TXN-1630</t>
  </si>
  <si>
    <t>TXN-2178</t>
  </si>
  <si>
    <t>TXN-0293</t>
  </si>
  <si>
    <t>TXN-2611</t>
  </si>
  <si>
    <t>08/23/2025</t>
  </si>
  <si>
    <t>TXN-2150</t>
  </si>
  <si>
    <t>TXN-2634</t>
  </si>
  <si>
    <t>TXN-3004</t>
  </si>
  <si>
    <t>Salary Run â€” January 2026</t>
  </si>
  <si>
    <t>TXN-2346</t>
  </si>
  <si>
    <t>TXN-0505</t>
  </si>
  <si>
    <t>TXN-1886</t>
  </si>
  <si>
    <t>TXN-1308</t>
  </si>
  <si>
    <t>06/24/2024</t>
  </si>
  <si>
    <t>TXN-0223</t>
  </si>
  <si>
    <t>TXN-2391</t>
  </si>
  <si>
    <t>TXN-1916</t>
  </si>
  <si>
    <t>TXN-1311</t>
  </si>
  <si>
    <t>TXN-0876</t>
  </si>
  <si>
    <t>TXN-1497</t>
  </si>
  <si>
    <t>TXN-1083</t>
  </si>
  <si>
    <t>TXN-1538</t>
  </si>
  <si>
    <t>28-08-2024</t>
  </si>
  <si>
    <t>TXN-0232</t>
  </si>
  <si>
    <t>11-06-2023</t>
  </si>
  <si>
    <t>TXN-1087</t>
  </si>
  <si>
    <t>03/27/2024</t>
  </si>
  <si>
    <t>TXN-2324</t>
  </si>
  <si>
    <t>TXN-1812</t>
  </si>
  <si>
    <t>TXN-1260</t>
  </si>
  <si>
    <t>TXN-1337</t>
  </si>
  <si>
    <t>TXN-1005</t>
  </si>
  <si>
    <t>TXN-3145</t>
  </si>
  <si>
    <t>TXN-0308</t>
  </si>
  <si>
    <t>TXN-1238</t>
  </si>
  <si>
    <t>TXN-3205</t>
  </si>
  <si>
    <t>TXN-0480</t>
  </si>
  <si>
    <t>TXN-0529</t>
  </si>
  <si>
    <t>TXN-1530</t>
  </si>
  <si>
    <t>TXN-0254</t>
  </si>
  <si>
    <t>TXN-2344</t>
  </si>
  <si>
    <t>05/20/2025</t>
  </si>
  <si>
    <t>TXN-1803</t>
  </si>
  <si>
    <t>TXN-2157</t>
  </si>
  <si>
    <t>TXN-1421</t>
  </si>
  <si>
    <t>TXN-0222</t>
  </si>
  <si>
    <t>TXN-2798</t>
  </si>
  <si>
    <t>TXN-1295</t>
  </si>
  <si>
    <t>TXN-0385</t>
  </si>
  <si>
    <t>TXN-2036</t>
  </si>
  <si>
    <t>TXN-1734</t>
  </si>
  <si>
    <t>TXN-0370</t>
  </si>
  <si>
    <t>14-07-2023</t>
  </si>
  <si>
    <t>TXN-2601</t>
  </si>
  <si>
    <t>TXN-2783</t>
  </si>
  <si>
    <t>TXN-0944</t>
  </si>
  <si>
    <t>TXN-1808</t>
  </si>
  <si>
    <t>TXN-0278</t>
  </si>
  <si>
    <t>TXN-0018</t>
  </si>
  <si>
    <t>TXN-3059</t>
  </si>
  <si>
    <t>TXN-0816</t>
  </si>
  <si>
    <t>TXN-1534</t>
  </si>
  <si>
    <t>TXN-0112</t>
  </si>
  <si>
    <t>TXN-1496</t>
  </si>
  <si>
    <t>18-08-2024</t>
  </si>
  <si>
    <t>TXN-2065</t>
  </si>
  <si>
    <t>TXN-1500</t>
  </si>
  <si>
    <t>08/14/2024</t>
  </si>
  <si>
    <t>TXN-0258</t>
  </si>
  <si>
    <t>06/08/2023</t>
  </si>
  <si>
    <t>TXN-1448</t>
  </si>
  <si>
    <t>TXN-3005</t>
  </si>
  <si>
    <t>TXN-0537</t>
  </si>
  <si>
    <t>TXN-0066</t>
  </si>
  <si>
    <t>TXN-2851</t>
  </si>
  <si>
    <t>TXN-1727</t>
  </si>
  <si>
    <t>TXN-0632</t>
  </si>
  <si>
    <t>TXN-2623</t>
  </si>
  <si>
    <t>TXN-1839</t>
  </si>
  <si>
    <t>TXN-3015</t>
  </si>
  <si>
    <t>TXN-0043</t>
  </si>
  <si>
    <t>TXN-1834</t>
  </si>
  <si>
    <t>TXN-0125</t>
  </si>
  <si>
    <t>TXN-1733</t>
  </si>
  <si>
    <t>22-10-2024</t>
  </si>
  <si>
    <t>TXN-2220</t>
  </si>
  <si>
    <t>28-04-2025</t>
  </si>
  <si>
    <t>TXN-1269</t>
  </si>
  <si>
    <t>TXN-0572</t>
  </si>
  <si>
    <t>TXN-1721</t>
  </si>
  <si>
    <t>TXN-0421</t>
  </si>
  <si>
    <t>TXN-1673</t>
  </si>
  <si>
    <t>TXN-0962</t>
  </si>
  <si>
    <t>07-02-2024</t>
  </si>
  <si>
    <t>TXN-0050</t>
  </si>
  <si>
    <t>10-04-2023</t>
  </si>
  <si>
    <t>TXN-1557</t>
  </si>
  <si>
    <t>18-09-2024</t>
  </si>
  <si>
    <t>TXN-3192</t>
  </si>
  <si>
    <t>TXN-1290</t>
  </si>
  <si>
    <t>06/19/2024</t>
  </si>
  <si>
    <t>TXN-0215</t>
  </si>
  <si>
    <t>TXN-2028</t>
  </si>
  <si>
    <t>02/22/2025</t>
  </si>
  <si>
    <t>TXN-2526</t>
  </si>
  <si>
    <t>TXN-3249</t>
  </si>
  <si>
    <t>TXN-0506</t>
  </si>
  <si>
    <t>TXN-0612</t>
  </si>
  <si>
    <t>TXN-2911</t>
  </si>
  <si>
    <t>17-11-2025</t>
  </si>
  <si>
    <t>TXN-2810</t>
  </si>
  <si>
    <t>11-10-2025</t>
  </si>
  <si>
    <t>TXN-2446</t>
  </si>
  <si>
    <t>TXN-0688</t>
  </si>
  <si>
    <t>02-11-2023</t>
  </si>
  <si>
    <t>TXN-0643</t>
  </si>
  <si>
    <t>TXN-1664</t>
  </si>
  <si>
    <t>TXN-1631</t>
  </si>
  <si>
    <t>23-09-2024</t>
  </si>
  <si>
    <t>TXN-1353</t>
  </si>
  <si>
    <t>TXN-1160</t>
  </si>
  <si>
    <t>07-04-2024</t>
  </si>
  <si>
    <t>TXN-1161</t>
  </si>
  <si>
    <t>TXN-0866</t>
  </si>
  <si>
    <t>07-01-2024</t>
  </si>
  <si>
    <t>TXN-2169</t>
  </si>
  <si>
    <t>10-03-2025</t>
  </si>
  <si>
    <t>TXN-1436</t>
  </si>
  <si>
    <t>TXN-3065</t>
  </si>
  <si>
    <t>TXN-1425</t>
  </si>
  <si>
    <t>TXN-1595</t>
  </si>
  <si>
    <t>12-09-2024</t>
  </si>
  <si>
    <t>TXN-2439</t>
  </si>
  <si>
    <t>19-06-2025</t>
  </si>
  <si>
    <t>TXN-2245</t>
  </si>
  <si>
    <t>TXN-2934</t>
  </si>
  <si>
    <t>TXN-2299</t>
  </si>
  <si>
    <t>TXN-2584</t>
  </si>
  <si>
    <t>08/18/2025</t>
  </si>
  <si>
    <t>TXN-0067</t>
  </si>
  <si>
    <t>TXN-2284</t>
  </si>
  <si>
    <t>TXN-0510</t>
  </si>
  <si>
    <t>TXN-3113</t>
  </si>
  <si>
    <t>TXN-3136</t>
  </si>
  <si>
    <t>TXN-0923</t>
  </si>
  <si>
    <t>TXN-1350</t>
  </si>
  <si>
    <t>TXN-1169</t>
  </si>
  <si>
    <t>TXN-3128</t>
  </si>
  <si>
    <t>TXN-1154</t>
  </si>
  <si>
    <t>TXN-3095</t>
  </si>
  <si>
    <t>24-02-2026</t>
  </si>
  <si>
    <t>TXN-2281</t>
  </si>
  <si>
    <t>05/26/2025</t>
  </si>
  <si>
    <t>TXN-1171</t>
  </si>
  <si>
    <t>03-04-2024</t>
  </si>
  <si>
    <t>TXN-3162</t>
  </si>
  <si>
    <t>TXN-2930</t>
  </si>
  <si>
    <t>TXN-0562</t>
  </si>
  <si>
    <t>TXN-2419</t>
  </si>
  <si>
    <t>TXN-2582</t>
  </si>
  <si>
    <t>TXN-1120</t>
  </si>
  <si>
    <t>TXN-1056</t>
  </si>
  <si>
    <t>TXN-3156</t>
  </si>
  <si>
    <t>TXN-2710</t>
  </si>
  <si>
    <t>TXN-3034</t>
  </si>
  <si>
    <t>TXN-2020</t>
  </si>
  <si>
    <t>TXN-1429</t>
  </si>
  <si>
    <t>TXN-1899</t>
  </si>
  <si>
    <t>TXN-0545</t>
  </si>
  <si>
    <t>TXN-0177</t>
  </si>
  <si>
    <t>TXN-1763</t>
  </si>
  <si>
    <t>23-11-2024</t>
  </si>
  <si>
    <t>TXN-2185</t>
  </si>
  <si>
    <t>22-03-2025</t>
  </si>
  <si>
    <t>TXN-2553</t>
  </si>
  <si>
    <t>TXN-0203</t>
  </si>
  <si>
    <t>TXN-2954</t>
  </si>
  <si>
    <t>TXN-3183</t>
  </si>
  <si>
    <t>TXN-0765</t>
  </si>
  <si>
    <t>TXN-2660</t>
  </si>
  <si>
    <t>09/11/2025</t>
  </si>
  <si>
    <t>TXN-2354</t>
  </si>
  <si>
    <t>TXN-0460</t>
  </si>
  <si>
    <t>TXN-0948</t>
  </si>
  <si>
    <t>TXN-1502</t>
  </si>
  <si>
    <t>TXN-2852</t>
  </si>
  <si>
    <t>TXN-1915</t>
  </si>
  <si>
    <t>TXN-2329</t>
  </si>
  <si>
    <t>28-05-2025</t>
  </si>
  <si>
    <t>TXN-2948</t>
  </si>
  <si>
    <t>TXN-1885</t>
  </si>
  <si>
    <t>TXN-3098</t>
  </si>
  <si>
    <t>TXN-2821</t>
  </si>
  <si>
    <t>TXN-0648</t>
  </si>
  <si>
    <t>TXN-3139</t>
  </si>
  <si>
    <t>TXN-1075</t>
  </si>
  <si>
    <t>TXN-3229</t>
  </si>
  <si>
    <t>TXN-0096</t>
  </si>
  <si>
    <t>TXN-0555</t>
  </si>
  <si>
    <t>TXN-1495</t>
  </si>
  <si>
    <t>TXN-0587</t>
  </si>
  <si>
    <t>10/01/2023</t>
  </si>
  <si>
    <t>TXN-0119</t>
  </si>
  <si>
    <t>TXN-2618</t>
  </si>
  <si>
    <t>TXN-0972</t>
  </si>
  <si>
    <t>TXN-0241</t>
  </si>
  <si>
    <t>TXN-0676</t>
  </si>
  <si>
    <t>TXN-0485</t>
  </si>
  <si>
    <t>KEKA HR SOFTWARE</t>
  </si>
  <si>
    <t>TXN-2427</t>
  </si>
  <si>
    <t>TXN-0180</t>
  </si>
  <si>
    <t>TXN-2403</t>
  </si>
  <si>
    <t>TXN-0887</t>
  </si>
  <si>
    <t>TXN-0045</t>
  </si>
  <si>
    <t>TXN-0495</t>
  </si>
  <si>
    <t>TXN-3167</t>
  </si>
  <si>
    <t>02/16/2026</t>
  </si>
  <si>
    <t>TXN-2233</t>
  </si>
  <si>
    <t>TXN-2556</t>
  </si>
  <si>
    <t>Salary Run â€” August 2025</t>
  </si>
  <si>
    <t>TXN-0033</t>
  </si>
  <si>
    <t>TXN-1090</t>
  </si>
  <si>
    <t>TXN-1757</t>
  </si>
  <si>
    <t>11/30/2024</t>
  </si>
  <si>
    <t>TXN-2594</t>
  </si>
  <si>
    <t>05-08-2025</t>
  </si>
  <si>
    <t>TXN-2651</t>
  </si>
  <si>
    <t>TXN-0360</t>
  </si>
  <si>
    <t>TXN-2626</t>
  </si>
  <si>
    <t>TXN-2175</t>
  </si>
  <si>
    <t>05-03-2025</t>
  </si>
  <si>
    <t>TXN-0530</t>
  </si>
  <si>
    <t>TXN-0181</t>
  </si>
  <si>
    <t>10-06-2023</t>
  </si>
  <si>
    <t>TXN-1520</t>
  </si>
  <si>
    <t>TXN-0035</t>
  </si>
  <si>
    <t>TXN-1778</t>
  </si>
  <si>
    <t>TXN-3137</t>
  </si>
  <si>
    <t>TXN-1622</t>
  </si>
  <si>
    <t>TXN-1623</t>
  </si>
  <si>
    <t>TXN-0969</t>
  </si>
  <si>
    <t>02/13/2024</t>
  </si>
  <si>
    <t>TXN-1612</t>
  </si>
  <si>
    <t>TXN-1355</t>
  </si>
  <si>
    <t>TXN-0199</t>
  </si>
  <si>
    <t>TXN-1644</t>
  </si>
  <si>
    <t>TXN-2118</t>
  </si>
  <si>
    <t>TXN-1591</t>
  </si>
  <si>
    <t>TXN-0886</t>
  </si>
  <si>
    <t>TXN-0025</t>
  </si>
  <si>
    <t>TXN-1837</t>
  </si>
  <si>
    <t>TXN-2276</t>
  </si>
  <si>
    <t>Salary Run â€” May 2025</t>
  </si>
  <si>
    <t>TXN-1992</t>
  </si>
  <si>
    <t>TXN-1532</t>
  </si>
  <si>
    <t>TXN-0532</t>
  </si>
  <si>
    <t>TXN-1234</t>
  </si>
  <si>
    <t>TXN-3244</t>
  </si>
  <si>
    <t>TXN-0302</t>
  </si>
  <si>
    <t>TXN-1575</t>
  </si>
  <si>
    <t>TXN-0565</t>
  </si>
  <si>
    <t>TXN-0056</t>
  </si>
  <si>
    <t>TXN-0951</t>
  </si>
  <si>
    <t>TXN-3191</t>
  </si>
  <si>
    <t>TXN-3171</t>
  </si>
  <si>
    <t>TXN-1540</t>
  </si>
  <si>
    <t>TXN-2361</t>
  </si>
  <si>
    <t>TXN-2880</t>
  </si>
  <si>
    <t>TXN-1339</t>
  </si>
  <si>
    <t>TXN-1017</t>
  </si>
  <si>
    <t>TXN-0737</t>
  </si>
  <si>
    <t>Salary Run â€” December 2023</t>
  </si>
  <si>
    <t>TXN-1669</t>
  </si>
  <si>
    <t>TXN-3099</t>
  </si>
  <si>
    <t>02/18/2026</t>
  </si>
  <si>
    <t>TXN-1672</t>
  </si>
  <si>
    <t>TXN-1588</t>
  </si>
  <si>
    <t>TXN-1991</t>
  </si>
  <si>
    <t>TXN-1726</t>
  </si>
  <si>
    <t>TXN-1116</t>
  </si>
  <si>
    <t>TXN-2362</t>
  </si>
  <si>
    <t>TXN-0999</t>
  </si>
  <si>
    <t>TXN-2987</t>
  </si>
  <si>
    <t>TXN-1389</t>
  </si>
  <si>
    <t>TXN-2345</t>
  </si>
  <si>
    <t>TXN-2530</t>
  </si>
  <si>
    <t>TXN-3202</t>
  </si>
  <si>
    <t>08-03-2026</t>
  </si>
  <si>
    <t>TXN-1600</t>
  </si>
  <si>
    <t>08-09-2024</t>
  </si>
  <si>
    <t>TXN-1185</t>
  </si>
  <si>
    <t>TXN-0261</t>
  </si>
  <si>
    <t>TXN-1818</t>
  </si>
  <si>
    <t>TXN-0328</t>
  </si>
  <si>
    <t>TXN-0806</t>
  </si>
  <si>
    <t>TXN-2624</t>
  </si>
  <si>
    <t>TXN-0564</t>
  </si>
  <si>
    <t>TXN-3009</t>
  </si>
  <si>
    <t>01/19/2026</t>
  </si>
  <si>
    <t>TXN-2781</t>
  </si>
  <si>
    <t>TXN-2179</t>
  </si>
  <si>
    <t>TXN-0233</t>
  </si>
  <si>
    <t>TXN-2860</t>
  </si>
  <si>
    <t>TXN-2976</t>
  </si>
  <si>
    <t>TXN-1968</t>
  </si>
  <si>
    <t>TXN-1214</t>
  </si>
  <si>
    <t>TXN-1141</t>
  </si>
  <si>
    <t>04/03/2024</t>
  </si>
  <si>
    <t>TXN-2913</t>
  </si>
  <si>
    <t>TXN-1489</t>
  </si>
  <si>
    <t>08/28/2024</t>
  </si>
  <si>
    <t>TXN-1117</t>
  </si>
  <si>
    <t>04/02/2024</t>
  </si>
  <si>
    <t>TXN-1956</t>
  </si>
  <si>
    <t>TXN-1950</t>
  </si>
  <si>
    <t>TXN-0029</t>
  </si>
  <si>
    <t>TXN-2778</t>
  </si>
  <si>
    <t>TXN-3235</t>
  </si>
  <si>
    <t>TXN-2461</t>
  </si>
  <si>
    <t>TXN-0926</t>
  </si>
  <si>
    <t>Salary Run â€” February 2024</t>
  </si>
  <si>
    <t>TXN-1285</t>
  </si>
  <si>
    <t>TXN-0075</t>
  </si>
  <si>
    <t>01-04-2023</t>
  </si>
  <si>
    <t>TXN-0602</t>
  </si>
  <si>
    <t>10/24/2023</t>
  </si>
  <si>
    <t>TXN-0651</t>
  </si>
  <si>
    <t>TXN-2754</t>
  </si>
  <si>
    <t>TXN-2801</t>
  </si>
  <si>
    <t>TXN-1863</t>
  </si>
  <si>
    <t>TXN-1210</t>
  </si>
  <si>
    <t>TXN-0133</t>
  </si>
  <si>
    <t>TXN-1652</t>
  </si>
  <si>
    <t>TXN-2688</t>
  </si>
  <si>
    <t>TXN-2434</t>
  </si>
  <si>
    <t>TXN-0457</t>
  </si>
  <si>
    <t>08/30/2023</t>
  </si>
  <si>
    <t>TXN-0489</t>
  </si>
  <si>
    <t>TXN-2696</t>
  </si>
  <si>
    <t>20-09-2025</t>
  </si>
  <si>
    <t>TXN-0764</t>
  </si>
  <si>
    <t>TXN-0988</t>
  </si>
  <si>
    <t>TXN-3132</t>
  </si>
  <si>
    <t>TXN-0668</t>
  </si>
  <si>
    <t>TXN-1405</t>
  </si>
  <si>
    <t>TXN-3175</t>
  </si>
  <si>
    <t>Salary Run â€” March 2026</t>
  </si>
  <si>
    <t>TXN-2298</t>
  </si>
  <si>
    <t>01-05-2025</t>
  </si>
  <si>
    <t>TXN-1387</t>
  </si>
  <si>
    <t>TXN-2268</t>
  </si>
  <si>
    <t>TXN-1130</t>
  </si>
  <si>
    <t>TXN-2201</t>
  </si>
  <si>
    <t>TXN-1374</t>
  </si>
  <si>
    <t>Salary Run â€” July 2024</t>
  </si>
  <si>
    <t>TXN-0411</t>
  </si>
  <si>
    <t>04-08-2023</t>
  </si>
  <si>
    <t>TXN-1551</t>
  </si>
  <si>
    <t>08/29/2024</t>
  </si>
  <si>
    <t>TXN-1597</t>
  </si>
  <si>
    <t>TXN-0595</t>
  </si>
  <si>
    <t>TXN-2789</t>
  </si>
  <si>
    <t>TXN-0818</t>
  </si>
  <si>
    <t>TXN-0377</t>
  </si>
  <si>
    <t>TXN-3193</t>
  </si>
  <si>
    <t>03/24/2026</t>
  </si>
  <si>
    <t>TXN-0911</t>
  </si>
  <si>
    <t>TXN-1156</t>
  </si>
  <si>
    <t>TXN-2578</t>
  </si>
  <si>
    <t>TXN-2838</t>
  </si>
  <si>
    <t>TXN-2961</t>
  </si>
  <si>
    <t>TXN-2216</t>
  </si>
  <si>
    <t>04/03/2025</t>
  </si>
  <si>
    <t>TXN-0380</t>
  </si>
  <si>
    <t>TXN-2520</t>
  </si>
  <si>
    <t>TXN-2865</t>
  </si>
  <si>
    <t>TXN-2456</t>
  </si>
  <si>
    <t>TXN-0482</t>
  </si>
  <si>
    <t>TXN-2932</t>
  </si>
  <si>
    <t>TXN-2784</t>
  </si>
  <si>
    <t>TXN-0169</t>
  </si>
  <si>
    <t>05/30/2023</t>
  </si>
  <si>
    <t>TXN-0689</t>
  </si>
  <si>
    <t>08-11-2023</t>
  </si>
  <si>
    <t>TXN-2444</t>
  </si>
  <si>
    <t>TXN-3085</t>
  </si>
  <si>
    <t>02/25/2026</t>
  </si>
  <si>
    <t>TXN-1979</t>
  </si>
  <si>
    <t>TXN-2288</t>
  </si>
  <si>
    <t>TXN-3203</t>
  </si>
  <si>
    <t>TXN-2949</t>
  </si>
  <si>
    <t>13-12-2025</t>
  </si>
  <si>
    <t>TXN-2071</t>
  </si>
  <si>
    <t>TXN-0175</t>
  </si>
  <si>
    <t>01-05-2023</t>
  </si>
  <si>
    <t>TXN-1997</t>
  </si>
  <si>
    <t>TXN-1770</t>
  </si>
  <si>
    <t>TXN-0219</t>
  </si>
  <si>
    <t>TXN-2078</t>
  </si>
  <si>
    <t>TXN-2061</t>
  </si>
  <si>
    <t>TXN-0085</t>
  </si>
  <si>
    <t>TXN-1080</t>
  </si>
  <si>
    <t>TXN-1229</t>
  </si>
  <si>
    <t>TXN-1919</t>
  </si>
  <si>
    <t>12/22/2024</t>
  </si>
  <si>
    <t>TXN-2478</t>
  </si>
  <si>
    <t>07/25/2025</t>
  </si>
  <si>
    <t>TXN-0228</t>
  </si>
  <si>
    <t>TXN-0820</t>
  </si>
  <si>
    <t>12/12/2023</t>
  </si>
  <si>
    <t>TXN-0542</t>
  </si>
  <si>
    <t>TXN-1711</t>
  </si>
  <si>
    <t>TXN-2953</t>
  </si>
  <si>
    <t>29-12-2025</t>
  </si>
  <si>
    <t>TXN-1404</t>
  </si>
  <si>
    <t>TXN-0970</t>
  </si>
  <si>
    <t>TXN-0835</t>
  </si>
  <si>
    <t>TXN-0847</t>
  </si>
  <si>
    <t>TXN-2459</t>
  </si>
  <si>
    <t>TXN-2906</t>
  </si>
  <si>
    <t>TXN-1792</t>
  </si>
  <si>
    <t>TXN-2835</t>
  </si>
  <si>
    <t>TXN-1158</t>
  </si>
  <si>
    <t>04/06/2024</t>
  </si>
  <si>
    <t>TXN-1566</t>
  </si>
  <si>
    <t>TXN-0371</t>
  </si>
  <si>
    <t>TXN-1385</t>
  </si>
  <si>
    <t>TXN-2859</t>
  </si>
  <si>
    <t>TXN-2491</t>
  </si>
  <si>
    <t>TXN-0645</t>
  </si>
  <si>
    <t>TXN-1318</t>
  </si>
  <si>
    <t>TXN-1605</t>
  </si>
  <si>
    <t>TXN-0621</t>
  </si>
  <si>
    <t>TXN-0051</t>
  </si>
  <si>
    <t>TXN-2214</t>
  </si>
  <si>
    <t>04/18/2025</t>
  </si>
  <si>
    <t>TXN-2188</t>
  </si>
  <si>
    <t>TXN-1822</t>
  </si>
  <si>
    <t>13-11-2024</t>
  </si>
  <si>
    <t>TXN-2704</t>
  </si>
  <si>
    <t>25-09-2025</t>
  </si>
  <si>
    <t>TXN-0087</t>
  </si>
  <si>
    <t>TXN-3047</t>
  </si>
  <si>
    <t>TXN-2841</t>
  </si>
  <si>
    <t>TXN-2574</t>
  </si>
  <si>
    <t>TXN-1142</t>
  </si>
  <si>
    <t>TXN-2804</t>
  </si>
  <si>
    <t>TXN-1636</t>
  </si>
  <si>
    <t>09/20/2024</t>
  </si>
  <si>
    <t>TXN-2272</t>
  </si>
  <si>
    <t>TXN-2229</t>
  </si>
  <si>
    <t>TXN-1523</t>
  </si>
  <si>
    <t>08/15/2024</t>
  </si>
  <si>
    <t>TXN-2105</t>
  </si>
  <si>
    <t>Salary Run â€” March 2025</t>
  </si>
  <si>
    <t>TXN-0978</t>
  </si>
  <si>
    <t>TXN-0164</t>
  </si>
  <si>
    <t>TXN-2996</t>
  </si>
  <si>
    <t>TXN-3025</t>
  </si>
  <si>
    <t>TXN-0657</t>
  </si>
  <si>
    <t>TXN-1613</t>
  </si>
  <si>
    <t>TXN-1568</t>
  </si>
  <si>
    <t>TXN-2411</t>
  </si>
  <si>
    <t>TXN-0857</t>
  </si>
  <si>
    <t>TXN-2790</t>
  </si>
  <si>
    <t>01-10-2025</t>
  </si>
  <si>
    <t>TXN-0099</t>
  </si>
  <si>
    <t>TXN-3159</t>
  </si>
  <si>
    <t>TXN-0730</t>
  </si>
  <si>
    <t>TXN-0613</t>
  </si>
  <si>
    <t>TXN-2237</t>
  </si>
  <si>
    <t>TXN-2916</t>
  </si>
  <si>
    <t>TXN-2475</t>
  </si>
  <si>
    <t>TXN-1019</t>
  </si>
  <si>
    <t>TXN-3118</t>
  </si>
  <si>
    <t>02/15/2026</t>
  </si>
  <si>
    <t>TXN-0076</t>
  </si>
  <si>
    <t>TXN-1132</t>
  </si>
  <si>
    <t>04/12/2024</t>
  </si>
  <si>
    <t>TXN-2211</t>
  </si>
  <si>
    <t>04/30/2025</t>
  </si>
  <si>
    <t>TXN-1277</t>
  </si>
  <si>
    <t>TXN-1307</t>
  </si>
  <si>
    <t>TXN-1276</t>
  </si>
  <si>
    <t>TXN-2937</t>
  </si>
  <si>
    <t>TXN-1007</t>
  </si>
  <si>
    <t>TXN-2408</t>
  </si>
  <si>
    <t>TXN-0047</t>
  </si>
  <si>
    <t>TXN-1168</t>
  </si>
  <si>
    <t>TXN-0208</t>
  </si>
  <si>
    <t>TXN-0012</t>
  </si>
  <si>
    <t>TXN-1937</t>
  </si>
  <si>
    <t>11-01-2025</t>
  </si>
  <si>
    <t>TXN-2015</t>
  </si>
  <si>
    <t>TXN-2649</t>
  </si>
  <si>
    <t>TXN-0193</t>
  </si>
  <si>
    <t>TXN-1632</t>
  </si>
  <si>
    <t>TXN-2730</t>
  </si>
  <si>
    <t>TXN-2467</t>
  </si>
  <si>
    <t>TXN-1020</t>
  </si>
  <si>
    <t>TXN-1499</t>
  </si>
  <si>
    <t>TXN-2741</t>
  </si>
  <si>
    <t>TXN-1608</t>
  </si>
  <si>
    <t>TXN-2537</t>
  </si>
  <si>
    <t>TXN-2943</t>
  </si>
  <si>
    <t>TXN-1112</t>
  </si>
  <si>
    <t>TXN-1068</t>
  </si>
  <si>
    <t>TXN-1851</t>
  </si>
  <si>
    <t>TXN-1315</t>
  </si>
  <si>
    <t>TXN-0391</t>
  </si>
  <si>
    <t>TXN-3018</t>
  </si>
  <si>
    <t>11-01-2026</t>
  </si>
  <si>
    <t>TXN-2986</t>
  </si>
  <si>
    <t>TXN-0324</t>
  </si>
  <si>
    <t>TXN-3040</t>
  </si>
  <si>
    <t>TXN-2231</t>
  </si>
  <si>
    <t>TXN-1419</t>
  </si>
  <si>
    <t>07/02/2024</t>
  </si>
  <si>
    <t>TXN-1411</t>
  </si>
  <si>
    <t>TXN-0006</t>
  </si>
  <si>
    <t>TXN-2085</t>
  </si>
  <si>
    <t>TXN-1451</t>
  </si>
  <si>
    <t>TXN-2287</t>
  </si>
  <si>
    <t>TXN-2479</t>
  </si>
  <si>
    <t>TXN-0152</t>
  </si>
  <si>
    <t>21-05-2023</t>
  </si>
  <si>
    <t>TXN-1048</t>
  </si>
  <si>
    <t>TXN-0789</t>
  </si>
  <si>
    <t>29-12-2023</t>
  </si>
  <si>
    <t>TXN-1571</t>
  </si>
  <si>
    <t>TXN-1441</t>
  </si>
  <si>
    <t>TXN-1098</t>
  </si>
  <si>
    <t>TXN-1422</t>
  </si>
  <si>
    <t>TXN-2430</t>
  </si>
  <si>
    <t>TXN-2205</t>
  </si>
  <si>
    <t>TXN-0682</t>
  </si>
  <si>
    <t>TXN-2693</t>
  </si>
  <si>
    <t>TXN-0979</t>
  </si>
  <si>
    <t>TXN-2848</t>
  </si>
  <si>
    <t>11/05/2025</t>
  </si>
  <si>
    <t>TXN-1980</t>
  </si>
  <si>
    <t>TXN-0368</t>
  </si>
  <si>
    <t>TXN-1464</t>
  </si>
  <si>
    <t>Salary Run â€” August 2024</t>
  </si>
  <si>
    <t>TXN-3200</t>
  </si>
  <si>
    <t>TXN-2283</t>
  </si>
  <si>
    <t>TXN-2819</t>
  </si>
  <si>
    <t>TXN-0140</t>
  </si>
  <si>
    <t>TXN-2580</t>
  </si>
  <si>
    <t>30-08-2025</t>
  </si>
  <si>
    <t>TXN-1931</t>
  </si>
  <si>
    <t>TXN-3222</t>
  </si>
  <si>
    <t>19-03-2026</t>
  </si>
  <si>
    <t>TXN-2492</t>
  </si>
  <si>
    <t>TXN-3101</t>
  </si>
  <si>
    <t>TXN-3185</t>
  </si>
  <si>
    <t>TXN-0313</t>
  </si>
  <si>
    <t>TXN-1317</t>
  </si>
  <si>
    <t>TXN-1694</t>
  </si>
  <si>
    <t>TXN-1927</t>
  </si>
  <si>
    <t>TXN-2834</t>
  </si>
  <si>
    <t>TXN-0022</t>
  </si>
  <si>
    <t>TXN-1292</t>
  </si>
  <si>
    <t>TXN-3173</t>
  </si>
  <si>
    <t>TXN-0528</t>
  </si>
  <si>
    <t>TXN-1704</t>
  </si>
  <si>
    <t>TXN-2190</t>
  </si>
  <si>
    <t>Salary Run â€” April 2025</t>
  </si>
  <si>
    <t>TXN-3072</t>
  </si>
  <si>
    <t>TXN-1819</t>
  </si>
  <si>
    <t>TXN-0106</t>
  </si>
  <si>
    <t>TXN-1767</t>
  </si>
  <si>
    <t>09-11-2024</t>
  </si>
  <si>
    <t>TXN-2021</t>
  </si>
  <si>
    <t>TXN-1110</t>
  </si>
  <si>
    <t>TXN-3194</t>
  </si>
  <si>
    <t>TXN-0001</t>
  </si>
  <si>
    <t>TXN-2495</t>
  </si>
  <si>
    <t>TXN-2253</t>
  </si>
  <si>
    <t>TXN-1174</t>
  </si>
  <si>
    <t>TXN-1838</t>
  </si>
  <si>
    <t>TXN-1127</t>
  </si>
  <si>
    <t>TXN-1272</t>
  </si>
  <si>
    <t>TXN-1204</t>
  </si>
  <si>
    <t>TXN-0754</t>
  </si>
  <si>
    <t>TXN-2998</t>
  </si>
  <si>
    <t>TXN-1222</t>
  </si>
  <si>
    <t>20-05-2024</t>
  </si>
  <si>
    <t>TXN-0778</t>
  </si>
  <si>
    <t>TXN-0166</t>
  </si>
  <si>
    <t>TXN-1883</t>
  </si>
  <si>
    <t>TXN-0861</t>
  </si>
  <si>
    <t>TXN-0793</t>
  </si>
  <si>
    <t>TXN-1984</t>
  </si>
  <si>
    <t>TXN-2113</t>
  </si>
  <si>
    <t>24-03-2025</t>
  </si>
  <si>
    <t>TXN-0813</t>
  </si>
  <si>
    <t>TXN-2420</t>
  </si>
  <si>
    <t>TXN-0291</t>
  </si>
  <si>
    <t>TXN-2959</t>
  </si>
  <si>
    <t>TXN-2448</t>
  </si>
  <si>
    <t>TXN-2392</t>
  </si>
  <si>
    <t>TXN-3049</t>
  </si>
  <si>
    <t>TXN-2548</t>
  </si>
  <si>
    <t>TXN-1367</t>
  </si>
  <si>
    <t>TXN-2847</t>
  </si>
  <si>
    <t>25-11-2025</t>
  </si>
  <si>
    <t>TXN-0601</t>
  </si>
  <si>
    <t>TXN-0185</t>
  </si>
  <si>
    <t>Salary Run â€” June 2023</t>
  </si>
  <si>
    <t>TXN-0735</t>
  </si>
  <si>
    <t>TXN-2717</t>
  </si>
  <si>
    <t>TXN-3121</t>
  </si>
  <si>
    <t>TXN-2358</t>
  </si>
  <si>
    <t>TXN-3104</t>
  </si>
  <si>
    <t>TXN-0353</t>
  </si>
  <si>
    <t>TXN-1717</t>
  </si>
  <si>
    <t>TXN-0925</t>
  </si>
  <si>
    <t>TXN-0255</t>
  </si>
  <si>
    <t>TXN-1433</t>
  </si>
  <si>
    <t>TXN-0301</t>
  </si>
  <si>
    <t>07/17/2023</t>
  </si>
  <si>
    <t>TXN-0695</t>
  </si>
  <si>
    <t>TXN-2632</t>
  </si>
  <si>
    <t>TXN-0805</t>
  </si>
  <si>
    <t>TXN-2032</t>
  </si>
  <si>
    <t>TXN-2008</t>
  </si>
  <si>
    <t>TXN-2033</t>
  </si>
  <si>
    <t>04-02-2025</t>
  </si>
  <si>
    <t>TXN-0213</t>
  </si>
  <si>
    <t>TXN-0053</t>
  </si>
  <si>
    <t>06-04-2023</t>
  </si>
  <si>
    <t>TXN-0398</t>
  </si>
  <si>
    <t>TXN-1658</t>
  </si>
  <si>
    <t>TXN-1294</t>
  </si>
  <si>
    <t>TXN-2535</t>
  </si>
  <si>
    <t>TXN-2706</t>
  </si>
  <si>
    <t>TXN-1975</t>
  </si>
  <si>
    <t>TXN-0796</t>
  </si>
  <si>
    <t>TXN-2690</t>
  </si>
  <si>
    <t>TXN-0298</t>
  </si>
  <si>
    <t>TXN-0924</t>
  </si>
  <si>
    <t>02/01/2024</t>
  </si>
  <si>
    <t>Month</t>
  </si>
  <si>
    <t>Financial Data</t>
  </si>
  <si>
    <t>Budget Limit</t>
  </si>
  <si>
    <t>Department Group</t>
  </si>
  <si>
    <t>Keka Hr Software</t>
  </si>
  <si>
    <t>Legalwiz.In</t>
  </si>
  <si>
    <t>Uncategorized</t>
  </si>
  <si>
    <t>Act Fibernet Corporate</t>
  </si>
  <si>
    <t>Indiafilings</t>
  </si>
  <si>
    <t>Bsnl Leased Line</t>
  </si>
  <si>
    <t>Techcircle</t>
  </si>
  <si>
    <t>Linkedin India</t>
  </si>
  <si>
    <t>Irctc Corporate</t>
  </si>
  <si>
    <t>Uber For Business</t>
  </si>
  <si>
    <t>Naukri.Com</t>
  </si>
  <si>
    <t>Urban Company (Office)</t>
  </si>
  <si>
    <t>Indigo Corporate</t>
  </si>
  <si>
    <t>Salary Run Â€” March 2024</t>
  </si>
  <si>
    <t>Client Billing Â€” Hcl Technologies</t>
  </si>
  <si>
    <t>Github Enterprise</t>
  </si>
  <si>
    <t>Client Billing Â€” Wipro Technologies</t>
  </si>
  <si>
    <t>Makemytrip Corporate</t>
  </si>
  <si>
    <t>Oyo Business</t>
  </si>
  <si>
    <t>Client Billing Â€” Accenture India</t>
  </si>
  <si>
    <t>Client Billing Â€” Tcs Digital</t>
  </si>
  <si>
    <t>Kpmg India</t>
  </si>
  <si>
    <t>Wework India</t>
  </si>
  <si>
    <t>91Springboard</t>
  </si>
  <si>
    <t>Salary Run Â€” November 2024</t>
  </si>
  <si>
    <t>Client Billing Â€” Infosys Bpm</t>
  </si>
  <si>
    <t>Embassy Techvillage</t>
  </si>
  <si>
    <t>Salary Run Â€” October 2025</t>
  </si>
  <si>
    <t>Dlf Cyber City Office</t>
  </si>
  <si>
    <t>Salary Run Â€” April 2024</t>
  </si>
  <si>
    <t>Salary Run Â€” September 2025</t>
  </si>
  <si>
    <t>Salary Run Â€” July 2025</t>
  </si>
  <si>
    <t>Salary Run Â€” October 2024</t>
  </si>
  <si>
    <t>Salary Run Â€” November 2023</t>
  </si>
  <si>
    <t>Salary Run Â€” September 2024</t>
  </si>
  <si>
    <t>Salary Run Â€” June 2024</t>
  </si>
  <si>
    <t>Salary Run Â€” December 2025</t>
  </si>
  <si>
    <t>Salary Run Â€” May 2024</t>
  </si>
  <si>
    <t>Salary Run Â€” December 2024</t>
  </si>
  <si>
    <t>Salary Run Â€” May 2023</t>
  </si>
  <si>
    <t>Salary Run Â€” January 2024</t>
  </si>
  <si>
    <t>Salary Run Â€” October 2023</t>
  </si>
  <si>
    <t>Salary Run Â€” August 2023</t>
  </si>
  <si>
    <t>Salary Run Â€” February 2026</t>
  </si>
  <si>
    <t>Salary Run Â€” June 2025</t>
  </si>
  <si>
    <t>Salary Run Â€” July 2023</t>
  </si>
  <si>
    <t>Salary Run Â€” November 2025</t>
  </si>
  <si>
    <t>Salary Run Â€” September 2023</t>
  </si>
  <si>
    <t>Salary Run Â€” January 2025</t>
  </si>
  <si>
    <t>Salary Run Â€” April 2023</t>
  </si>
  <si>
    <t>Salary Run Â€” February 2025</t>
  </si>
  <si>
    <t>Salary Run Â€” January 2026</t>
  </si>
  <si>
    <t>Salary Run Â€” August 2025</t>
  </si>
  <si>
    <t>Salary Run Â€” May 2025</t>
  </si>
  <si>
    <t>Salary Run Â€” December 2023</t>
  </si>
  <si>
    <t>Salary Run Â€” February 2024</t>
  </si>
  <si>
    <t>Salary Run Â€” March 2026</t>
  </si>
  <si>
    <t>Salary Run Â€” July 2024</t>
  </si>
  <si>
    <t>Salary Run Â€” March 2025</t>
  </si>
  <si>
    <t>Salary Run Â€” August 2024</t>
  </si>
  <si>
    <t>Salary Run Â€” April 2025</t>
  </si>
  <si>
    <t>Salary Run Â€” June 2023</t>
  </si>
  <si>
    <t>Mastek Digital Engineering Pod — Monthly Budget (₹)</t>
  </si>
  <si>
    <t>Calibrated to Mastek Ltd real P&amp;L ratios (FY2024 &amp; FY2025). Blue cells are editable inputs.</t>
  </si>
  <si>
    <t>FY2024 Annual (₹)</t>
  </si>
  <si>
    <t>FY2025 Annual (₹)</t>
  </si>
  <si>
    <t>Category Group</t>
  </si>
  <si>
    <t>People Cost</t>
  </si>
  <si>
    <t>Technology</t>
  </si>
  <si>
    <t>Operations</t>
  </si>
  <si>
    <t>Growth</t>
  </si>
  <si>
    <t>TOTAL</t>
  </si>
  <si>
    <t>Mastek Digital Pod — Monthly Actuals vs Budget</t>
  </si>
  <si>
    <t>Total Revenue (₹)</t>
  </si>
  <si>
    <t>Total Expense (₹)</t>
  </si>
  <si>
    <t xml:space="preserve"> Budget (₹)</t>
  </si>
  <si>
    <t xml:space="preserve"> Variance (₹)</t>
  </si>
  <si>
    <t>Variance %</t>
  </si>
  <si>
    <t xml:space="preserve"> Net Income (₹)</t>
  </si>
  <si>
    <t>MoM % Change</t>
  </si>
  <si>
    <t>YTD Net Income (₹)</t>
  </si>
  <si>
    <t>FY2024_Budget</t>
  </si>
  <si>
    <t>FY2025_Budget</t>
  </si>
  <si>
    <t>Adj_Amount</t>
  </si>
  <si>
    <t>Mastek Digital Engineering Pod — Finance Dashboard FY2024 &amp; FY2025</t>
  </si>
  <si>
    <t>FY2025 Total Revenue</t>
  </si>
  <si>
    <t>FY2025 Total Expenses</t>
  </si>
  <si>
    <t>FY2025 Net Income</t>
  </si>
  <si>
    <t>YoY Revenue Growth</t>
  </si>
  <si>
    <t>Best Month Revenue</t>
  </si>
  <si>
    <t>Avg Budget Variance</t>
  </si>
  <si>
    <t>Key Business Questions This Dashboard Answers</t>
  </si>
  <si>
    <t>Is pod revenue growing year on year?</t>
  </si>
  <si>
    <t>Are expenses within budget every month?</t>
  </si>
  <si>
    <t>Which months had negative net income?</t>
  </si>
  <si>
    <t>How did net income grow across 2 years?</t>
  </si>
  <si>
    <t>Which quarter generates highest revenue?</t>
  </si>
  <si>
    <t>Four months recorded losses: Feb 2024, May 2024, Oct 2024 and Dec 2024. These dips likely reflect delayed client billing cycles rather than structural issues.</t>
  </si>
  <si>
    <t>Yes. The pod spent below budget in all 24 months, averaging 24.2% under budget across FY2024 and FY2025.</t>
  </si>
  <si>
    <t>Yes. FY2025 revenue grew 10.2% over FY2024, consistent with Mastek's reported 13.1% consolidated growth rate.</t>
  </si>
  <si>
    <t>FY2024 closed at ₹32.3L YTD net income. FY2025 closed at ₹61.6L, representing a 90.8% year on year improvement.</t>
  </si>
  <si>
    <t>Q3 and Q4 consistently outperform due to year end client spending.</t>
  </si>
  <si>
    <t>Is the pod consistently profitable?</t>
  </si>
  <si>
    <t>Yes. 20 out of 24 months were profitable.</t>
  </si>
  <si>
    <t>What is the budget utilisation rate?</t>
  </si>
  <si>
    <t>75.8% average across both years. Pod consistently under spent.</t>
  </si>
  <si>
    <t>Is FY2025 more profitable than FY2024?</t>
  </si>
  <si>
    <t>Yes. Net income nearly doubled year on year.</t>
  </si>
  <si>
    <t>Analyst Insights — Mastek Digital Engineering Pod</t>
  </si>
  <si>
    <t xml:space="preserve"> FY2024 &amp; FY2025 transaction data calibrated to Mastek Ltd published financials</t>
  </si>
  <si>
    <t>INSIGHT 1 — Revenue Growth Validated</t>
  </si>
  <si>
    <t>FY2025 pod revenue grew 10.2% year on year. This aligns with Mastek's actual reported consolidated growth of 13.1%, validating the simulation methodology used in this project.</t>
  </si>
  <si>
    <t>INSIGHT 2 — Strong Expense Control</t>
  </si>
  <si>
    <t>The pod spent below budget in every single month across both years. Average budget utilisation was 75.8%, indicating strong cost discipline. However persistent under spending may also suggest overly conservative budgeting worth reviewing.</t>
  </si>
  <si>
    <t>INSIGHT 3 — Profitability Nearly Doubled</t>
  </si>
  <si>
    <t>Net income grew from ₹32.3L in FY2024 to ₹61.6L in FY2025, a 90.8% improvement. This was driven by revenue growth rather than cost cutting, which is the healthier signal for a services business.</t>
  </si>
  <si>
    <t>INSIGHT 4 — Four Loss Months Need Investigation</t>
  </si>
  <si>
    <t>Feb 2024, May 2024, Oct 2024 and Dec 2024 recorded negative net income. These likely reflect delayed client billing rather than structural problems. Recommendation: implement milestone based billing to smooth monthly revenue recognition.</t>
  </si>
  <si>
    <t>INSIGHT 5 — Q3 is the Strongest Quarter</t>
  </si>
  <si>
    <t>October to December consistently shows the highest revenue in both years. This reflects typical IT services seasonality where enterprise clients accelerate project spend before calendar year end. The pod should maximise resource utilisation during Q3.</t>
  </si>
  <si>
    <r>
      <rPr>
        <b/>
        <sz val="12"/>
        <color rgb="FF1F3864"/>
        <rFont val="Calibri"/>
        <family val="2"/>
        <scheme val="minor"/>
      </rPr>
      <t>INSIGHT</t>
    </r>
    <r>
      <rPr>
        <b/>
        <sz val="12"/>
        <color rgb="FF1F3864"/>
        <rFont val="Arial Unicode MS"/>
      </rPr>
      <t xml:space="preserve"> 6 — Data Quality Findings</t>
    </r>
  </si>
  <si>
    <t>Raw transaction data contained duplicate entries, blank category rows and inconsistent category naming. All issues were resolved through the Power Query ETL pipeline. In a production environment these findings should be escalated to the Finance Operations team to fix at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</si>
</sst>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0.0%"/>
  </numFmts>
  <fonts count="22">
    <font>
      <sz val="11"/>
      <color theme="1"/>
      <name val="Calibri"/>
      <family val="2"/>
      <scheme val="minor"/>
    </font>
    <font>
      <b/>
      <sz val="11"/>
      <color theme="0"/>
      <name val="Calibri"/>
      <family val="2"/>
      <scheme val="minor"/>
    </font>
    <font>
      <b/>
      <sz val="11"/>
      <color theme="1"/>
      <name val="Calibri"/>
      <family val="2"/>
      <scheme val="minor"/>
    </font>
    <font>
      <b/>
      <sz val="20"/>
      <color theme="4" tint="-0.499984740745262"/>
      <name val="Calibri"/>
      <family val="2"/>
      <scheme val="minor"/>
    </font>
    <font>
      <sz val="11"/>
      <color rgb="FF1F1F1F"/>
      <name val="Arial"/>
      <family val="2"/>
    </font>
    <font>
      <b/>
      <sz val="14"/>
      <color theme="1"/>
      <name val="Calibri"/>
      <family val="2"/>
      <scheme val="minor"/>
    </font>
    <font>
      <i/>
      <sz val="9"/>
      <color theme="1"/>
      <name val="Calibri"/>
      <family val="2"/>
      <scheme val="minor"/>
    </font>
    <font>
      <sz val="11"/>
      <color theme="4"/>
      <name val="Calibri"/>
      <family val="2"/>
      <scheme val="minor"/>
    </font>
    <font>
      <sz val="8"/>
      <name val="Calibri"/>
      <family val="2"/>
      <scheme val="minor"/>
    </font>
    <font>
      <sz val="11"/>
      <color theme="0"/>
      <name val="Calibri"/>
      <family val="2"/>
      <scheme val="minor"/>
    </font>
    <font>
      <sz val="10"/>
      <color theme="1"/>
      <name val="Arial Unicode MS"/>
    </font>
    <font>
      <b/>
      <sz val="10"/>
      <color theme="0"/>
      <name val="Calibri"/>
      <family val="2"/>
      <scheme val="minor"/>
    </font>
    <font>
      <b/>
      <sz val="16"/>
      <color theme="0"/>
      <name val="Calibri"/>
      <family val="2"/>
      <scheme val="minor"/>
    </font>
    <font>
      <sz val="10"/>
      <color rgb="FFF4A9A9"/>
      <name val="Consolas"/>
      <family val="3"/>
    </font>
    <font>
      <b/>
      <sz val="20"/>
      <color rgb="FF375623"/>
      <name val="Calibri"/>
      <family val="2"/>
      <scheme val="minor"/>
    </font>
    <font>
      <b/>
      <sz val="20"/>
      <color rgb="FF1F3864"/>
      <name val="Calibri"/>
      <family val="2"/>
      <scheme val="minor"/>
    </font>
    <font>
      <b/>
      <sz val="20"/>
      <color rgb="FFC00000"/>
      <name val="Calibri"/>
      <family val="2"/>
      <scheme val="minor"/>
    </font>
    <font>
      <i/>
      <sz val="10"/>
      <color theme="0" tint="-0.499984740745262"/>
      <name val="Calibri"/>
      <family val="2"/>
      <scheme val="minor"/>
    </font>
    <font>
      <b/>
      <sz val="12"/>
      <color rgb="FF1F3864"/>
      <name val="Calibri"/>
      <family val="2"/>
      <scheme val="minor"/>
    </font>
    <font>
      <b/>
      <sz val="12"/>
      <color rgb="FF1F3864"/>
      <name val="Arial Unicode MS"/>
    </font>
    <font>
      <b/>
      <sz val="12"/>
      <color rgb="FF1F3864"/>
      <name val="Arial Unicode MS"/>
      <family val="2"/>
    </font>
    <font>
      <b/>
      <sz val="14"/>
      <color theme="0"/>
      <name val="Arial Black"/>
      <family val="2"/>
    </font>
  </fonts>
  <fills count="9">
    <fill>
      <patternFill patternType="none"/>
    </fill>
    <fill>
      <patternFill patternType="gray125"/>
    </fill>
    <fill>
      <patternFill patternType="solid">
        <fgColor theme="4"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375623"/>
        <bgColor indexed="64"/>
      </patternFill>
    </fill>
    <fill>
      <patternFill patternType="solid">
        <fgColor rgb="FFC00000"/>
        <bgColor indexed="64"/>
      </patternFill>
    </fill>
    <fill>
      <patternFill patternType="solid">
        <fgColor rgb="FF1F3864"/>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rgb="FFC4C7C5"/>
      </left>
      <right style="medium">
        <color rgb="FFC4C7C5"/>
      </right>
      <top style="medium">
        <color rgb="FFC4C7C5"/>
      </top>
      <bottom style="medium">
        <color rgb="FFC4C7C5"/>
      </bottom>
      <diagonal/>
    </border>
    <border>
      <left style="medium">
        <color rgb="FFC4C7C5"/>
      </left>
      <right style="medium">
        <color rgb="FFC4C7C5"/>
      </right>
      <top style="medium">
        <color rgb="FFC4C7C5"/>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1">
    <xf numFmtId="0" fontId="0" fillId="0" borderId="0"/>
  </cellStyleXfs>
  <cellXfs count="83">
    <xf numFmtId="0" fontId="0" fillId="0" borderId="0" xfId="0"/>
    <xf numFmtId="0" fontId="2" fillId="0" borderId="0" xfId="0" applyFont="1"/>
    <xf numFmtId="0" fontId="0" fillId="0" borderId="1" xfId="0" applyBorder="1"/>
    <xf numFmtId="0" fontId="3" fillId="3" borderId="2" xfId="0"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1" fillId="2" borderId="0" xfId="0" applyFont="1" applyFill="1"/>
    <xf numFmtId="14" fontId="1" fillId="2" borderId="0" xfId="0" applyNumberFormat="1" applyFont="1" applyFill="1"/>
    <xf numFmtId="4" fontId="1" fillId="2" borderId="0" xfId="0" applyNumberFormat="1" applyFont="1" applyFill="1"/>
    <xf numFmtId="14" fontId="0" fillId="0" borderId="0" xfId="0" applyNumberFormat="1"/>
    <xf numFmtId="0" fontId="4" fillId="0" borderId="6" xfId="0" applyFont="1" applyBorder="1" applyAlignment="1">
      <alignment horizontal="left" vertical="center" wrapText="1" indent="1" readingOrder="1"/>
    </xf>
    <xf numFmtId="0" fontId="4" fillId="0" borderId="7" xfId="0" applyFont="1" applyBorder="1" applyAlignment="1">
      <alignment horizontal="left" vertical="center" wrapText="1" indent="1" readingOrder="1"/>
    </xf>
    <xf numFmtId="164" fontId="0" fillId="0" borderId="0" xfId="0" applyNumberFormat="1"/>
    <xf numFmtId="9" fontId="0" fillId="0" borderId="0" xfId="0" applyNumberFormat="1"/>
    <xf numFmtId="0" fontId="5" fillId="0" borderId="0" xfId="0" applyFont="1"/>
    <xf numFmtId="0" fontId="6" fillId="0" borderId="0" xfId="0" applyFont="1"/>
    <xf numFmtId="3" fontId="0" fillId="0" borderId="0" xfId="0" applyNumberFormat="1"/>
    <xf numFmtId="3" fontId="7" fillId="0" borderId="0" xfId="0" applyNumberFormat="1" applyFont="1"/>
    <xf numFmtId="17" fontId="0" fillId="0" borderId="0" xfId="0" applyNumberFormat="1" applyAlignment="1">
      <alignment wrapText="1"/>
    </xf>
    <xf numFmtId="0" fontId="10" fillId="0" borderId="0" xfId="0" applyFont="1"/>
    <xf numFmtId="165" fontId="0" fillId="0" borderId="0" xfId="0" applyNumberFormat="1"/>
    <xf numFmtId="0" fontId="0" fillId="4" borderId="0" xfId="0" applyFill="1"/>
    <xf numFmtId="0" fontId="17" fillId="0" borderId="0" xfId="0" applyFont="1"/>
    <xf numFmtId="0" fontId="18" fillId="0" borderId="0" xfId="0" applyFont="1"/>
    <xf numFmtId="0" fontId="20" fillId="0" borderId="0" xfId="0" applyFont="1"/>
    <xf numFmtId="0" fontId="0" fillId="0" borderId="0" xfId="0" applyAlignment="1">
      <alignment wrapText="1"/>
    </xf>
    <xf numFmtId="0" fontId="10" fillId="0" borderId="0" xfId="0" applyFont="1" applyAlignment="1">
      <alignment wrapText="1"/>
    </xf>
    <xf numFmtId="0" fontId="0" fillId="4" borderId="0" xfId="0" applyFill="1" applyAlignment="1">
      <alignment horizontal="center" vertical="center"/>
    </xf>
    <xf numFmtId="0" fontId="13" fillId="5" borderId="0" xfId="0" applyFont="1" applyFill="1" applyAlignment="1">
      <alignment horizontal="center" vertical="center"/>
    </xf>
    <xf numFmtId="0" fontId="12" fillId="4" borderId="0" xfId="0" applyFont="1" applyFill="1"/>
    <xf numFmtId="0" fontId="11" fillId="6" borderId="1" xfId="0" applyFont="1" applyFill="1" applyBorder="1" applyAlignment="1">
      <alignment horizontal="center" vertical="center"/>
    </xf>
    <xf numFmtId="0" fontId="9" fillId="6" borderId="2" xfId="0" applyFont="1" applyFill="1" applyBorder="1" applyAlignment="1">
      <alignment horizontal="center" vertical="center"/>
    </xf>
    <xf numFmtId="0" fontId="9" fillId="6" borderId="8" xfId="0" applyFont="1" applyFill="1" applyBorder="1" applyAlignment="1">
      <alignment horizontal="center" vertical="center"/>
    </xf>
    <xf numFmtId="0" fontId="9" fillId="6" borderId="3" xfId="0" applyFont="1" applyFill="1" applyBorder="1" applyAlignment="1">
      <alignment horizontal="center" vertical="center"/>
    </xf>
    <xf numFmtId="0" fontId="9" fillId="6" borderId="0" xfId="0" applyFont="1" applyFill="1" applyAlignment="1">
      <alignment horizontal="center" vertical="center"/>
    </xf>
    <xf numFmtId="0" fontId="9" fillId="6" borderId="9" xfId="0" applyFont="1" applyFill="1" applyBorder="1" applyAlignment="1">
      <alignment horizontal="center" vertical="center"/>
    </xf>
    <xf numFmtId="165" fontId="14" fillId="3" borderId="3" xfId="0" applyNumberFormat="1" applyFont="1" applyFill="1" applyBorder="1" applyAlignment="1">
      <alignment horizontal="center" vertical="center"/>
    </xf>
    <xf numFmtId="165" fontId="14" fillId="3" borderId="0" xfId="0" applyNumberFormat="1" applyFont="1" applyFill="1" applyAlignment="1">
      <alignment horizontal="center" vertical="center"/>
    </xf>
    <xf numFmtId="165" fontId="14" fillId="3" borderId="9" xfId="0" applyNumberFormat="1" applyFont="1" applyFill="1" applyBorder="1" applyAlignment="1">
      <alignment horizontal="center" vertical="center"/>
    </xf>
    <xf numFmtId="165" fontId="14" fillId="3" borderId="4" xfId="0" applyNumberFormat="1" applyFont="1" applyFill="1" applyBorder="1" applyAlignment="1">
      <alignment horizontal="center" vertical="center"/>
    </xf>
    <xf numFmtId="165" fontId="14" fillId="3" borderId="5" xfId="0" applyNumberFormat="1" applyFont="1" applyFill="1" applyBorder="1" applyAlignment="1">
      <alignment horizontal="center" vertical="center"/>
    </xf>
    <xf numFmtId="165" fontId="14" fillId="3" borderId="10" xfId="0" applyNumberFormat="1" applyFont="1" applyFill="1" applyBorder="1" applyAlignment="1">
      <alignment horizontal="center" vertical="center"/>
    </xf>
    <xf numFmtId="3" fontId="14" fillId="3" borderId="3" xfId="0" applyNumberFormat="1" applyFont="1" applyFill="1" applyBorder="1" applyAlignment="1">
      <alignment horizontal="center" vertical="center"/>
    </xf>
    <xf numFmtId="3" fontId="14" fillId="3" borderId="0" xfId="0" applyNumberFormat="1" applyFont="1" applyFill="1" applyAlignment="1">
      <alignment horizontal="center" vertical="center"/>
    </xf>
    <xf numFmtId="3" fontId="14" fillId="3" borderId="9" xfId="0" applyNumberFormat="1" applyFont="1" applyFill="1" applyBorder="1" applyAlignment="1">
      <alignment horizontal="center" vertical="center"/>
    </xf>
    <xf numFmtId="3" fontId="14" fillId="3" borderId="4" xfId="0" applyNumberFormat="1" applyFont="1" applyFill="1" applyBorder="1" applyAlignment="1">
      <alignment horizontal="center" vertical="center"/>
    </xf>
    <xf numFmtId="3" fontId="14" fillId="3" borderId="5" xfId="0" applyNumberFormat="1" applyFont="1" applyFill="1" applyBorder="1" applyAlignment="1">
      <alignment horizontal="center" vertical="center"/>
    </xf>
    <xf numFmtId="3" fontId="14" fillId="3" borderId="10" xfId="0" applyNumberFormat="1" applyFont="1" applyFill="1" applyBorder="1" applyAlignment="1">
      <alignment horizontal="center" vertical="center"/>
    </xf>
    <xf numFmtId="0" fontId="11" fillId="8" borderId="1" xfId="0" applyFont="1" applyFill="1" applyBorder="1" applyAlignment="1">
      <alignment horizontal="center" vertical="center"/>
    </xf>
    <xf numFmtId="0" fontId="9" fillId="8" borderId="2" xfId="0" applyFont="1" applyFill="1" applyBorder="1" applyAlignment="1">
      <alignment horizontal="center" vertical="center"/>
    </xf>
    <xf numFmtId="0" fontId="9" fillId="8" borderId="8" xfId="0" applyFont="1" applyFill="1" applyBorder="1" applyAlignment="1">
      <alignment horizontal="center"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8" borderId="9" xfId="0" applyFont="1" applyFill="1" applyBorder="1" applyAlignment="1">
      <alignment horizontal="center" vertical="center"/>
    </xf>
    <xf numFmtId="165" fontId="15" fillId="3" borderId="3" xfId="0" applyNumberFormat="1" applyFont="1" applyFill="1" applyBorder="1" applyAlignment="1">
      <alignment horizontal="center" vertical="center"/>
    </xf>
    <xf numFmtId="165" fontId="15" fillId="3" borderId="0" xfId="0" applyNumberFormat="1" applyFont="1" applyFill="1" applyAlignment="1">
      <alignment horizontal="center" vertical="center"/>
    </xf>
    <xf numFmtId="165" fontId="15" fillId="3" borderId="9" xfId="0" applyNumberFormat="1" applyFont="1" applyFill="1" applyBorder="1" applyAlignment="1">
      <alignment horizontal="center" vertical="center"/>
    </xf>
    <xf numFmtId="165" fontId="15" fillId="3" borderId="4" xfId="0" applyNumberFormat="1" applyFont="1" applyFill="1" applyBorder="1" applyAlignment="1">
      <alignment horizontal="center" vertical="center"/>
    </xf>
    <xf numFmtId="165" fontId="15" fillId="3" borderId="5" xfId="0" applyNumberFormat="1" applyFont="1" applyFill="1" applyBorder="1" applyAlignment="1">
      <alignment horizontal="center" vertical="center"/>
    </xf>
    <xf numFmtId="165" fontId="15" fillId="3" borderId="10" xfId="0" applyNumberFormat="1" applyFont="1" applyFill="1" applyBorder="1" applyAlignment="1">
      <alignment horizontal="center" vertical="center"/>
    </xf>
    <xf numFmtId="0" fontId="21" fillId="2" borderId="0" xfId="0" applyFont="1" applyFill="1" applyAlignment="1">
      <alignment horizontal="center"/>
    </xf>
    <xf numFmtId="0" fontId="12" fillId="2" borderId="0" xfId="0" applyFont="1" applyFill="1" applyAlignment="1">
      <alignment horizontal="center"/>
    </xf>
    <xf numFmtId="0" fontId="11" fillId="6" borderId="2" xfId="0" applyFont="1" applyFill="1" applyBorder="1" applyAlignment="1">
      <alignment horizontal="center" vertical="center"/>
    </xf>
    <xf numFmtId="0" fontId="11" fillId="6" borderId="8"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0" xfId="0" applyFont="1" applyFill="1" applyAlignment="1">
      <alignment horizontal="center" vertical="center"/>
    </xf>
    <xf numFmtId="0" fontId="11" fillId="6" borderId="9" xfId="0" applyFont="1" applyFill="1" applyBorder="1" applyAlignment="1">
      <alignment horizontal="center" vertical="center"/>
    </xf>
    <xf numFmtId="0" fontId="11" fillId="7" borderId="1" xfId="0" applyFont="1" applyFill="1" applyBorder="1" applyAlignment="1">
      <alignment horizontal="center" vertical="center"/>
    </xf>
    <xf numFmtId="0" fontId="9" fillId="7" borderId="2" xfId="0" applyFont="1" applyFill="1" applyBorder="1" applyAlignment="1">
      <alignment horizontal="center" vertical="center"/>
    </xf>
    <xf numFmtId="0" fontId="9" fillId="7" borderId="8" xfId="0" applyFont="1" applyFill="1" applyBorder="1" applyAlignment="1">
      <alignment horizontal="center" vertical="center"/>
    </xf>
    <xf numFmtId="0" fontId="9" fillId="7" borderId="3" xfId="0" applyFont="1" applyFill="1" applyBorder="1" applyAlignment="1">
      <alignment horizontal="center" vertical="center"/>
    </xf>
    <xf numFmtId="0" fontId="9" fillId="7" borderId="0" xfId="0" applyFont="1" applyFill="1" applyAlignment="1">
      <alignment horizontal="center" vertical="center"/>
    </xf>
    <xf numFmtId="0" fontId="9" fillId="7" borderId="9" xfId="0" applyFont="1" applyFill="1" applyBorder="1" applyAlignment="1">
      <alignment horizontal="center" vertical="center"/>
    </xf>
    <xf numFmtId="3" fontId="16" fillId="3" borderId="3" xfId="0" applyNumberFormat="1" applyFont="1" applyFill="1" applyBorder="1" applyAlignment="1">
      <alignment horizontal="center" vertical="center"/>
    </xf>
    <xf numFmtId="3" fontId="16" fillId="3" borderId="0" xfId="0" applyNumberFormat="1" applyFont="1" applyFill="1" applyAlignment="1">
      <alignment horizontal="center" vertical="center"/>
    </xf>
    <xf numFmtId="3" fontId="16" fillId="3" borderId="9" xfId="0" applyNumberFormat="1" applyFont="1" applyFill="1" applyBorder="1" applyAlignment="1">
      <alignment horizontal="center" vertical="center"/>
    </xf>
    <xf numFmtId="3" fontId="16" fillId="3" borderId="4" xfId="0" applyNumberFormat="1" applyFont="1" applyFill="1" applyBorder="1" applyAlignment="1">
      <alignment horizontal="center" vertical="center"/>
    </xf>
    <xf numFmtId="3" fontId="16" fillId="3" borderId="5" xfId="0" applyNumberFormat="1" applyFont="1" applyFill="1" applyBorder="1" applyAlignment="1">
      <alignment horizontal="center" vertical="center"/>
    </xf>
    <xf numFmtId="3" fontId="16" fillId="3" borderId="10" xfId="0" applyNumberFormat="1" applyFont="1" applyFill="1" applyBorder="1" applyAlignment="1">
      <alignment horizontal="center" vertical="center"/>
    </xf>
    <xf numFmtId="0" fontId="12" fillId="8" borderId="0" xfId="0" applyFont="1" applyFill="1" applyAlignment="1">
      <alignment horizontal="center"/>
    </xf>
    <xf numFmtId="0" fontId="0" fillId="8" borderId="0" xfId="0" applyFill="1" applyAlignment="1">
      <alignment horizontal="center"/>
    </xf>
  </cellXfs>
  <cellStyles count="1">
    <cellStyle name="Normal" xfId="0" builtinId="0"/>
  </cellStyles>
  <dxfs count="21">
    <dxf>
      <numFmt numFmtId="3" formatCode="#,##0"/>
    </dxf>
    <dxf>
      <numFmt numFmtId="3" formatCode="#,##0"/>
    </dxf>
    <dxf>
      <font>
        <b val="0"/>
        <i val="0"/>
        <strike val="0"/>
        <condense val="0"/>
        <extend val="0"/>
        <outline val="0"/>
        <shadow val="0"/>
        <u val="none"/>
        <vertAlign val="baseline"/>
        <sz val="11"/>
        <color theme="4"/>
        <name val="Calibri"/>
        <family val="2"/>
        <scheme val="minor"/>
      </font>
      <numFmt numFmtId="3" formatCode="#,##0"/>
    </dxf>
    <dxf>
      <font>
        <b val="0"/>
        <i val="0"/>
        <strike val="0"/>
        <condense val="0"/>
        <extend val="0"/>
        <outline val="0"/>
        <shadow val="0"/>
        <u val="none"/>
        <vertAlign val="baseline"/>
        <sz val="11"/>
        <color theme="4"/>
        <name val="Calibri"/>
        <family val="2"/>
        <scheme val="minor"/>
      </font>
      <numFmt numFmtId="3" formatCode="#,##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medium">
          <color rgb="FFC4C7C5"/>
        </left>
        <right style="medium">
          <color rgb="FFC4C7C5"/>
        </right>
        <top style="medium">
          <color rgb="FFC4C7C5"/>
        </top>
        <bottom style="medium">
          <color rgb="FFC4C7C5"/>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medium">
          <color rgb="FFC4C7C5"/>
        </left>
        <right style="medium">
          <color rgb="FFC4C7C5"/>
        </right>
        <top style="medium">
          <color rgb="FFC4C7C5"/>
        </top>
        <bottom style="medium">
          <color rgb="FFC4C7C5"/>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medium">
          <color rgb="FFC4C7C5"/>
        </left>
        <right style="medium">
          <color rgb="FFC4C7C5"/>
        </right>
        <top style="medium">
          <color rgb="FFC4C7C5"/>
        </top>
        <bottom style="medium">
          <color rgb="FFC4C7C5"/>
        </bottom>
        <vertical/>
        <horizontal/>
      </border>
    </dxf>
    <dxf>
      <border outline="0">
        <bottom style="medium">
          <color rgb="FFC4C7C5"/>
        </bottom>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dxf>
    <dxf>
      <numFmt numFmtId="13" formatCode="0%"/>
    </dxf>
    <dxf>
      <numFmt numFmtId="164" formatCode="m/d/yyyy"/>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dxf>
    <dxf>
      <numFmt numFmtId="0" formatCode="General"/>
    </dxf>
    <dxf>
      <numFmt numFmtId="0" formatCode="General"/>
    </dxf>
    <dxf>
      <numFmt numFmtId="19" formatCode="dd/mm/yyyy"/>
    </dxf>
    <dxf>
      <numFmt numFmtId="0" formatCode="General"/>
    </dxf>
    <dxf>
      <numFmt numFmtId="0" formatCode="General"/>
    </dxf>
    <dxf>
      <numFmt numFmtId="164" formatCode="m/d/yyyy"/>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dxf>
  </dxfs>
  <tableStyles count="0" defaultTableStyle="TableStyleMedium2" defaultPivotStyle="PivotStyleLight16"/>
  <colors>
    <mruColors>
      <color rgb="FF1F3864"/>
      <color rgb="FFC00000"/>
      <color rgb="FFEBF3FB"/>
      <color rgb="FF375623"/>
      <color rgb="FF222B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rgbClr val="1F3864"/>
                </a:solidFill>
              </a:rPr>
              <a:t>Monthly Revenue vs Expenses </a:t>
            </a:r>
            <a:endParaRPr lang="en-IN" sz="1200" b="1">
              <a:solidFill>
                <a:srgbClr val="1F386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Monthly_Summary!$D$3</c:f>
              <c:strCache>
                <c:ptCount val="1"/>
                <c:pt idx="0">
                  <c:v>Total Revenue (₹)</c:v>
                </c:pt>
              </c:strCache>
            </c:strRef>
          </c:tx>
          <c:spPr>
            <a:ln w="28575" cap="rnd">
              <a:solidFill>
                <a:srgbClr val="00B050"/>
              </a:solidFill>
              <a:round/>
            </a:ln>
            <a:effectLst/>
          </c:spPr>
          <c:marker>
            <c:symbol val="circle"/>
            <c:size val="5"/>
            <c:spPr>
              <a:solidFill>
                <a:srgbClr val="00B050"/>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8B97-4D7D-A2B8-43CBBD897994}"/>
                </c:ext>
              </c:extLst>
            </c:dLbl>
            <c:dLbl>
              <c:idx val="1"/>
              <c:delete val="1"/>
              <c:extLst>
                <c:ext xmlns:c15="http://schemas.microsoft.com/office/drawing/2012/chart" uri="{CE6537A1-D6FC-4f65-9D91-7224C49458BB}"/>
                <c:ext xmlns:c16="http://schemas.microsoft.com/office/drawing/2014/chart" uri="{C3380CC4-5D6E-409C-BE32-E72D297353CC}">
                  <c16:uniqueId val="{00000001-8B97-4D7D-A2B8-43CBBD897994}"/>
                </c:ext>
              </c:extLst>
            </c:dLbl>
            <c:dLbl>
              <c:idx val="2"/>
              <c:delete val="1"/>
              <c:extLst>
                <c:ext xmlns:c15="http://schemas.microsoft.com/office/drawing/2012/chart" uri="{CE6537A1-D6FC-4f65-9D91-7224C49458BB}"/>
                <c:ext xmlns:c16="http://schemas.microsoft.com/office/drawing/2014/chart" uri="{C3380CC4-5D6E-409C-BE32-E72D297353CC}">
                  <c16:uniqueId val="{00000002-8B97-4D7D-A2B8-43CBBD897994}"/>
                </c:ext>
              </c:extLst>
            </c:dLbl>
            <c:dLbl>
              <c:idx val="3"/>
              <c:delete val="1"/>
              <c:extLst>
                <c:ext xmlns:c15="http://schemas.microsoft.com/office/drawing/2012/chart" uri="{CE6537A1-D6FC-4f65-9D91-7224C49458BB}"/>
                <c:ext xmlns:c16="http://schemas.microsoft.com/office/drawing/2014/chart" uri="{C3380CC4-5D6E-409C-BE32-E72D297353CC}">
                  <c16:uniqueId val="{00000004-8B97-4D7D-A2B8-43CBBD897994}"/>
                </c:ext>
              </c:extLst>
            </c:dLbl>
            <c:dLbl>
              <c:idx val="4"/>
              <c:delete val="1"/>
              <c:extLst>
                <c:ext xmlns:c15="http://schemas.microsoft.com/office/drawing/2012/chart" uri="{CE6537A1-D6FC-4f65-9D91-7224C49458BB}"/>
                <c:ext xmlns:c16="http://schemas.microsoft.com/office/drawing/2014/chart" uri="{C3380CC4-5D6E-409C-BE32-E72D297353CC}">
                  <c16:uniqueId val="{00000003-8B97-4D7D-A2B8-43CBBD897994}"/>
                </c:ext>
              </c:extLst>
            </c:dLbl>
            <c:dLbl>
              <c:idx val="5"/>
              <c:delete val="1"/>
              <c:extLst>
                <c:ext xmlns:c15="http://schemas.microsoft.com/office/drawing/2012/chart" uri="{CE6537A1-D6FC-4f65-9D91-7224C49458BB}"/>
                <c:ext xmlns:c16="http://schemas.microsoft.com/office/drawing/2014/chart" uri="{C3380CC4-5D6E-409C-BE32-E72D297353CC}">
                  <c16:uniqueId val="{00000006-8B97-4D7D-A2B8-43CBBD897994}"/>
                </c:ext>
              </c:extLst>
            </c:dLbl>
            <c:dLbl>
              <c:idx val="6"/>
              <c:delete val="1"/>
              <c:extLst>
                <c:ext xmlns:c15="http://schemas.microsoft.com/office/drawing/2012/chart" uri="{CE6537A1-D6FC-4f65-9D91-7224C49458BB}"/>
                <c:ext xmlns:c16="http://schemas.microsoft.com/office/drawing/2014/chart" uri="{C3380CC4-5D6E-409C-BE32-E72D297353CC}">
                  <c16:uniqueId val="{00000005-8B97-4D7D-A2B8-43CBBD897994}"/>
                </c:ext>
              </c:extLst>
            </c:dLbl>
            <c:dLbl>
              <c:idx val="7"/>
              <c:delete val="1"/>
              <c:extLst>
                <c:ext xmlns:c15="http://schemas.microsoft.com/office/drawing/2012/chart" uri="{CE6537A1-D6FC-4f65-9D91-7224C49458BB}"/>
                <c:ext xmlns:c16="http://schemas.microsoft.com/office/drawing/2014/chart" uri="{C3380CC4-5D6E-409C-BE32-E72D297353CC}">
                  <c16:uniqueId val="{00000008-8B97-4D7D-A2B8-43CBBD897994}"/>
                </c:ext>
              </c:extLst>
            </c:dLbl>
            <c:dLbl>
              <c:idx val="8"/>
              <c:delete val="1"/>
              <c:extLst>
                <c:ext xmlns:c15="http://schemas.microsoft.com/office/drawing/2012/chart" uri="{CE6537A1-D6FC-4f65-9D91-7224C49458BB}"/>
                <c:ext xmlns:c16="http://schemas.microsoft.com/office/drawing/2014/chart" uri="{C3380CC4-5D6E-409C-BE32-E72D297353CC}">
                  <c16:uniqueId val="{00000007-8B97-4D7D-A2B8-43CBBD897994}"/>
                </c:ext>
              </c:extLst>
            </c:dLbl>
            <c:dLbl>
              <c:idx val="9"/>
              <c:delete val="1"/>
              <c:extLst>
                <c:ext xmlns:c15="http://schemas.microsoft.com/office/drawing/2012/chart" uri="{CE6537A1-D6FC-4f65-9D91-7224C49458BB}"/>
                <c:ext xmlns:c16="http://schemas.microsoft.com/office/drawing/2014/chart" uri="{C3380CC4-5D6E-409C-BE32-E72D297353CC}">
                  <c16:uniqueId val="{00000009-8B97-4D7D-A2B8-43CBBD897994}"/>
                </c:ext>
              </c:extLst>
            </c:dLbl>
            <c:dLbl>
              <c:idx val="10"/>
              <c:layout>
                <c:manualLayout>
                  <c:x val="-7.2124004824382498E-2"/>
                  <c:y val="3.0824086673074107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F176FC7-9826-43D2-B41F-B29E72C59C9A}" type="VALUE">
                      <a:rPr lang="en-US" b="1"/>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r"/>
              <c:showLegendKey val="0"/>
              <c:showVal val="1"/>
              <c:showCatName val="0"/>
              <c:showSerName val="0"/>
              <c:showPercent val="0"/>
              <c:showBubbleSize val="0"/>
              <c:extLst>
                <c:ext xmlns:c15="http://schemas.microsoft.com/office/drawing/2012/chart" uri="{CE6537A1-D6FC-4f65-9D91-7224C49458BB}">
                  <c15:layout>
                    <c:manualLayout>
                      <c:w val="0.10511622242633571"/>
                      <c:h val="9.0263438894454706E-2"/>
                    </c:manualLayout>
                  </c15:layout>
                  <c15:dlblFieldTable/>
                  <c15:showDataLabelsRange val="0"/>
                </c:ext>
                <c:ext xmlns:c16="http://schemas.microsoft.com/office/drawing/2014/chart" uri="{C3380CC4-5D6E-409C-BE32-E72D297353CC}">
                  <c16:uniqueId val="{00000016-8B97-4D7D-A2B8-43CBBD897994}"/>
                </c:ext>
              </c:extLst>
            </c:dLbl>
            <c:dLbl>
              <c:idx val="11"/>
              <c:delete val="1"/>
              <c:extLst>
                <c:ext xmlns:c15="http://schemas.microsoft.com/office/drawing/2012/chart" uri="{CE6537A1-D6FC-4f65-9D91-7224C49458BB}"/>
                <c:ext xmlns:c16="http://schemas.microsoft.com/office/drawing/2014/chart" uri="{C3380CC4-5D6E-409C-BE32-E72D297353CC}">
                  <c16:uniqueId val="{0000000A-8B97-4D7D-A2B8-43CBBD897994}"/>
                </c:ext>
              </c:extLst>
            </c:dLbl>
            <c:dLbl>
              <c:idx val="12"/>
              <c:delete val="1"/>
              <c:extLst>
                <c:ext xmlns:c15="http://schemas.microsoft.com/office/drawing/2012/chart" uri="{CE6537A1-D6FC-4f65-9D91-7224C49458BB}"/>
                <c:ext xmlns:c16="http://schemas.microsoft.com/office/drawing/2014/chart" uri="{C3380CC4-5D6E-409C-BE32-E72D297353CC}">
                  <c16:uniqueId val="{0000000B-8B97-4D7D-A2B8-43CBBD897994}"/>
                </c:ext>
              </c:extLst>
            </c:dLbl>
            <c:dLbl>
              <c:idx val="13"/>
              <c:delete val="1"/>
              <c:extLst>
                <c:ext xmlns:c15="http://schemas.microsoft.com/office/drawing/2012/chart" uri="{CE6537A1-D6FC-4f65-9D91-7224C49458BB}"/>
                <c:ext xmlns:c16="http://schemas.microsoft.com/office/drawing/2014/chart" uri="{C3380CC4-5D6E-409C-BE32-E72D297353CC}">
                  <c16:uniqueId val="{00000013-8B97-4D7D-A2B8-43CBBD897994}"/>
                </c:ext>
              </c:extLst>
            </c:dLbl>
            <c:dLbl>
              <c:idx val="14"/>
              <c:delete val="1"/>
              <c:extLst>
                <c:ext xmlns:c15="http://schemas.microsoft.com/office/drawing/2012/chart" uri="{CE6537A1-D6FC-4f65-9D91-7224C49458BB}"/>
                <c:ext xmlns:c16="http://schemas.microsoft.com/office/drawing/2014/chart" uri="{C3380CC4-5D6E-409C-BE32-E72D297353CC}">
                  <c16:uniqueId val="{00000012-8B97-4D7D-A2B8-43CBBD897994}"/>
                </c:ext>
              </c:extLst>
            </c:dLbl>
            <c:dLbl>
              <c:idx val="15"/>
              <c:delete val="1"/>
              <c:extLst>
                <c:ext xmlns:c15="http://schemas.microsoft.com/office/drawing/2012/chart" uri="{CE6537A1-D6FC-4f65-9D91-7224C49458BB}"/>
                <c:ext xmlns:c16="http://schemas.microsoft.com/office/drawing/2014/chart" uri="{C3380CC4-5D6E-409C-BE32-E72D297353CC}">
                  <c16:uniqueId val="{00000014-8B97-4D7D-A2B8-43CBBD897994}"/>
                </c:ext>
              </c:extLst>
            </c:dLbl>
            <c:dLbl>
              <c:idx val="16"/>
              <c:delete val="1"/>
              <c:extLst>
                <c:ext xmlns:c15="http://schemas.microsoft.com/office/drawing/2012/chart" uri="{CE6537A1-D6FC-4f65-9D91-7224C49458BB}"/>
                <c:ext xmlns:c16="http://schemas.microsoft.com/office/drawing/2014/chart" uri="{C3380CC4-5D6E-409C-BE32-E72D297353CC}">
                  <c16:uniqueId val="{00000010-8B97-4D7D-A2B8-43CBBD897994}"/>
                </c:ext>
              </c:extLst>
            </c:dLbl>
            <c:dLbl>
              <c:idx val="17"/>
              <c:delete val="1"/>
              <c:extLst>
                <c:ext xmlns:c15="http://schemas.microsoft.com/office/drawing/2012/chart" uri="{CE6537A1-D6FC-4f65-9D91-7224C49458BB}"/>
                <c:ext xmlns:c16="http://schemas.microsoft.com/office/drawing/2014/chart" uri="{C3380CC4-5D6E-409C-BE32-E72D297353CC}">
                  <c16:uniqueId val="{0000000F-8B97-4D7D-A2B8-43CBBD897994}"/>
                </c:ext>
              </c:extLst>
            </c:dLbl>
            <c:dLbl>
              <c:idx val="18"/>
              <c:delete val="1"/>
              <c:extLst>
                <c:ext xmlns:c15="http://schemas.microsoft.com/office/drawing/2012/chart" uri="{CE6537A1-D6FC-4f65-9D91-7224C49458BB}"/>
                <c:ext xmlns:c16="http://schemas.microsoft.com/office/drawing/2014/chart" uri="{C3380CC4-5D6E-409C-BE32-E72D297353CC}">
                  <c16:uniqueId val="{00000011-8B97-4D7D-A2B8-43CBBD897994}"/>
                </c:ext>
              </c:extLst>
            </c:dLbl>
            <c:dLbl>
              <c:idx val="19"/>
              <c:layout>
                <c:manualLayout>
                  <c:x val="-4.9902720024415363E-2"/>
                  <c:y val="-3.4867530539598901E-2"/>
                </c:manualLayout>
              </c:layout>
              <c:tx>
                <c:rich>
                  <a:bodyPr/>
                  <a:lstStyle/>
                  <a:p>
                    <a:fld id="{3EB191AA-FFD2-4496-BB3A-26252F246BA4}" type="VALUE">
                      <a:rPr lang="en-US" b="1"/>
                      <a:pPr/>
                      <a:t>[VALUE]</a:t>
                    </a:fld>
                    <a:endParaRPr lang="en-IN"/>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8B97-4D7D-A2B8-43CBBD897994}"/>
                </c:ext>
              </c:extLst>
            </c:dLbl>
            <c:dLbl>
              <c:idx val="20"/>
              <c:delete val="1"/>
              <c:extLst>
                <c:ext xmlns:c15="http://schemas.microsoft.com/office/drawing/2012/chart" uri="{CE6537A1-D6FC-4f65-9D91-7224C49458BB}"/>
                <c:ext xmlns:c16="http://schemas.microsoft.com/office/drawing/2014/chart" uri="{C3380CC4-5D6E-409C-BE32-E72D297353CC}">
                  <c16:uniqueId val="{0000000E-8B97-4D7D-A2B8-43CBBD897994}"/>
                </c:ext>
              </c:extLst>
            </c:dLbl>
            <c:dLbl>
              <c:idx val="21"/>
              <c:delete val="1"/>
              <c:extLst>
                <c:ext xmlns:c15="http://schemas.microsoft.com/office/drawing/2012/chart" uri="{CE6537A1-D6FC-4f65-9D91-7224C49458BB}"/>
                <c:ext xmlns:c16="http://schemas.microsoft.com/office/drawing/2014/chart" uri="{C3380CC4-5D6E-409C-BE32-E72D297353CC}">
                  <c16:uniqueId val="{00000015-8B97-4D7D-A2B8-43CBBD897994}"/>
                </c:ext>
              </c:extLst>
            </c:dLbl>
            <c:dLbl>
              <c:idx val="22"/>
              <c:delete val="1"/>
              <c:extLst>
                <c:ext xmlns:c15="http://schemas.microsoft.com/office/drawing/2012/chart" uri="{CE6537A1-D6FC-4f65-9D91-7224C49458BB}"/>
                <c:ext xmlns:c16="http://schemas.microsoft.com/office/drawing/2014/chart" uri="{C3380CC4-5D6E-409C-BE32-E72D297353CC}">
                  <c16:uniqueId val="{0000000D-8B97-4D7D-A2B8-43CBBD897994}"/>
                </c:ext>
              </c:extLst>
            </c:dLbl>
            <c:dLbl>
              <c:idx val="23"/>
              <c:delete val="1"/>
              <c:extLst>
                <c:ext xmlns:c15="http://schemas.microsoft.com/office/drawing/2012/chart" uri="{CE6537A1-D6FC-4f65-9D91-7224C49458BB}"/>
                <c:ext xmlns:c16="http://schemas.microsoft.com/office/drawing/2014/chart" uri="{C3380CC4-5D6E-409C-BE32-E72D297353CC}">
                  <c16:uniqueId val="{0000000C-8B97-4D7D-A2B8-43CBBD8979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Monthly_Summary!$A$4:$A$27</c:f>
              <c:numCache>
                <c:formatCode>mmm\-yy</c:formatCode>
                <c:ptCount val="24"/>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pt idx="12">
                  <c:v>45383</c:v>
                </c:pt>
                <c:pt idx="13">
                  <c:v>45413</c:v>
                </c:pt>
                <c:pt idx="14">
                  <c:v>45444</c:v>
                </c:pt>
                <c:pt idx="15">
                  <c:v>45474</c:v>
                </c:pt>
                <c:pt idx="16">
                  <c:v>45505</c:v>
                </c:pt>
                <c:pt idx="17">
                  <c:v>45536</c:v>
                </c:pt>
                <c:pt idx="18">
                  <c:v>45566</c:v>
                </c:pt>
                <c:pt idx="19">
                  <c:v>45597</c:v>
                </c:pt>
                <c:pt idx="20">
                  <c:v>45627</c:v>
                </c:pt>
                <c:pt idx="21">
                  <c:v>45658</c:v>
                </c:pt>
                <c:pt idx="22">
                  <c:v>45689</c:v>
                </c:pt>
                <c:pt idx="23">
                  <c:v>45717</c:v>
                </c:pt>
              </c:numCache>
            </c:numRef>
          </c:cat>
          <c:val>
            <c:numRef>
              <c:f>Monthly_Summary!$D$4:$D$27</c:f>
              <c:numCache>
                <c:formatCode>#,##0</c:formatCode>
                <c:ptCount val="24"/>
                <c:pt idx="0">
                  <c:v>1972620</c:v>
                </c:pt>
                <c:pt idx="1">
                  <c:v>2105291</c:v>
                </c:pt>
                <c:pt idx="2">
                  <c:v>2104112</c:v>
                </c:pt>
                <c:pt idx="3">
                  <c:v>2175577</c:v>
                </c:pt>
                <c:pt idx="4">
                  <c:v>2239717</c:v>
                </c:pt>
                <c:pt idx="5">
                  <c:v>2190025</c:v>
                </c:pt>
                <c:pt idx="6">
                  <c:v>2296508</c:v>
                </c:pt>
                <c:pt idx="7">
                  <c:v>2426744</c:v>
                </c:pt>
                <c:pt idx="8">
                  <c:v>2505462</c:v>
                </c:pt>
                <c:pt idx="9">
                  <c:v>2794846</c:v>
                </c:pt>
                <c:pt idx="10">
                  <c:v>1678995</c:v>
                </c:pt>
                <c:pt idx="11">
                  <c:v>2793334</c:v>
                </c:pt>
                <c:pt idx="12">
                  <c:v>2280919</c:v>
                </c:pt>
                <c:pt idx="13">
                  <c:v>1768689</c:v>
                </c:pt>
                <c:pt idx="14">
                  <c:v>2423226</c:v>
                </c:pt>
                <c:pt idx="15">
                  <c:v>3025932</c:v>
                </c:pt>
                <c:pt idx="16">
                  <c:v>2491752</c:v>
                </c:pt>
                <c:pt idx="17">
                  <c:v>2496985</c:v>
                </c:pt>
                <c:pt idx="18">
                  <c:v>1941592</c:v>
                </c:pt>
                <c:pt idx="19">
                  <c:v>3334604</c:v>
                </c:pt>
                <c:pt idx="20">
                  <c:v>2054369</c:v>
                </c:pt>
                <c:pt idx="21">
                  <c:v>3270458</c:v>
                </c:pt>
                <c:pt idx="22">
                  <c:v>2502070</c:v>
                </c:pt>
                <c:pt idx="23">
                  <c:v>2462606</c:v>
                </c:pt>
              </c:numCache>
            </c:numRef>
          </c:val>
          <c:smooth val="0"/>
          <c:extLst>
            <c:ext xmlns:c16="http://schemas.microsoft.com/office/drawing/2014/chart" uri="{C3380CC4-5D6E-409C-BE32-E72D297353CC}">
              <c16:uniqueId val="{00000000-8D51-401B-9EF0-2969DA710BDF}"/>
            </c:ext>
          </c:extLst>
        </c:ser>
        <c:ser>
          <c:idx val="1"/>
          <c:order val="1"/>
          <c:tx>
            <c:strRef>
              <c:f>Monthly_Summary!$E$3</c:f>
              <c:strCache>
                <c:ptCount val="1"/>
                <c:pt idx="0">
                  <c:v>Total Expense (₹)</c:v>
                </c:pt>
              </c:strCache>
            </c:strRef>
          </c:tx>
          <c:spPr>
            <a:ln w="28575" cap="rnd">
              <a:solidFill>
                <a:srgbClr val="C00000"/>
              </a:solidFill>
              <a:round/>
            </a:ln>
            <a:effectLst/>
          </c:spPr>
          <c:marker>
            <c:symbol val="circle"/>
            <c:size val="5"/>
            <c:spPr>
              <a:solidFill>
                <a:srgbClr val="C00000"/>
              </a:solidFill>
              <a:ln w="9525">
                <a:solidFill>
                  <a:schemeClr val="accent2"/>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8-8B97-4D7D-A2B8-43CBBD897994}"/>
                </c:ext>
              </c:extLst>
            </c:dLbl>
            <c:dLbl>
              <c:idx val="1"/>
              <c:delete val="1"/>
              <c:extLst>
                <c:ext xmlns:c15="http://schemas.microsoft.com/office/drawing/2012/chart" uri="{CE6537A1-D6FC-4f65-9D91-7224C49458BB}"/>
                <c:ext xmlns:c16="http://schemas.microsoft.com/office/drawing/2014/chart" uri="{C3380CC4-5D6E-409C-BE32-E72D297353CC}">
                  <c16:uniqueId val="{00000019-8B97-4D7D-A2B8-43CBBD897994}"/>
                </c:ext>
              </c:extLst>
            </c:dLbl>
            <c:dLbl>
              <c:idx val="2"/>
              <c:delete val="1"/>
              <c:extLst>
                <c:ext xmlns:c15="http://schemas.microsoft.com/office/drawing/2012/chart" uri="{CE6537A1-D6FC-4f65-9D91-7224C49458BB}"/>
                <c:ext xmlns:c16="http://schemas.microsoft.com/office/drawing/2014/chart" uri="{C3380CC4-5D6E-409C-BE32-E72D297353CC}">
                  <c16:uniqueId val="{0000001A-8B97-4D7D-A2B8-43CBBD897994}"/>
                </c:ext>
              </c:extLst>
            </c:dLbl>
            <c:dLbl>
              <c:idx val="3"/>
              <c:delete val="1"/>
              <c:extLst>
                <c:ext xmlns:c15="http://schemas.microsoft.com/office/drawing/2012/chart" uri="{CE6537A1-D6FC-4f65-9D91-7224C49458BB}"/>
                <c:ext xmlns:c16="http://schemas.microsoft.com/office/drawing/2014/chart" uri="{C3380CC4-5D6E-409C-BE32-E72D297353CC}">
                  <c16:uniqueId val="{0000001B-8B97-4D7D-A2B8-43CBBD897994}"/>
                </c:ext>
              </c:extLst>
            </c:dLbl>
            <c:dLbl>
              <c:idx val="4"/>
              <c:delete val="1"/>
              <c:extLst>
                <c:ext xmlns:c15="http://schemas.microsoft.com/office/drawing/2012/chart" uri="{CE6537A1-D6FC-4f65-9D91-7224C49458BB}"/>
                <c:ext xmlns:c16="http://schemas.microsoft.com/office/drawing/2014/chart" uri="{C3380CC4-5D6E-409C-BE32-E72D297353CC}">
                  <c16:uniqueId val="{0000001C-8B97-4D7D-A2B8-43CBBD897994}"/>
                </c:ext>
              </c:extLst>
            </c:dLbl>
            <c:dLbl>
              <c:idx val="5"/>
              <c:delete val="1"/>
              <c:extLst>
                <c:ext xmlns:c15="http://schemas.microsoft.com/office/drawing/2012/chart" uri="{CE6537A1-D6FC-4f65-9D91-7224C49458BB}"/>
                <c:ext xmlns:c16="http://schemas.microsoft.com/office/drawing/2014/chart" uri="{C3380CC4-5D6E-409C-BE32-E72D297353CC}">
                  <c16:uniqueId val="{0000001D-8B97-4D7D-A2B8-43CBBD897994}"/>
                </c:ext>
              </c:extLst>
            </c:dLbl>
            <c:dLbl>
              <c:idx val="6"/>
              <c:delete val="1"/>
              <c:extLst>
                <c:ext xmlns:c15="http://schemas.microsoft.com/office/drawing/2012/chart" uri="{CE6537A1-D6FC-4f65-9D91-7224C49458BB}"/>
                <c:ext xmlns:c16="http://schemas.microsoft.com/office/drawing/2014/chart" uri="{C3380CC4-5D6E-409C-BE32-E72D297353CC}">
                  <c16:uniqueId val="{0000001E-8B97-4D7D-A2B8-43CBBD897994}"/>
                </c:ext>
              </c:extLst>
            </c:dLbl>
            <c:dLbl>
              <c:idx val="7"/>
              <c:delete val="1"/>
              <c:extLst>
                <c:ext xmlns:c15="http://schemas.microsoft.com/office/drawing/2012/chart" uri="{CE6537A1-D6FC-4f65-9D91-7224C49458BB}"/>
                <c:ext xmlns:c16="http://schemas.microsoft.com/office/drawing/2014/chart" uri="{C3380CC4-5D6E-409C-BE32-E72D297353CC}">
                  <c16:uniqueId val="{0000001F-8B97-4D7D-A2B8-43CBBD897994}"/>
                </c:ext>
              </c:extLst>
            </c:dLbl>
            <c:dLbl>
              <c:idx val="8"/>
              <c:delete val="1"/>
              <c:extLst>
                <c:ext xmlns:c15="http://schemas.microsoft.com/office/drawing/2012/chart" uri="{CE6537A1-D6FC-4f65-9D91-7224C49458BB}"/>
                <c:ext xmlns:c16="http://schemas.microsoft.com/office/drawing/2014/chart" uri="{C3380CC4-5D6E-409C-BE32-E72D297353CC}">
                  <c16:uniqueId val="{00000020-8B97-4D7D-A2B8-43CBBD897994}"/>
                </c:ext>
              </c:extLst>
            </c:dLbl>
            <c:dLbl>
              <c:idx val="9"/>
              <c:delete val="1"/>
              <c:extLst>
                <c:ext xmlns:c15="http://schemas.microsoft.com/office/drawing/2012/chart" uri="{CE6537A1-D6FC-4f65-9D91-7224C49458BB}"/>
                <c:ext xmlns:c16="http://schemas.microsoft.com/office/drawing/2014/chart" uri="{C3380CC4-5D6E-409C-BE32-E72D297353CC}">
                  <c16:uniqueId val="{00000021-8B97-4D7D-A2B8-43CBBD897994}"/>
                </c:ext>
              </c:extLst>
            </c:dLbl>
            <c:dLbl>
              <c:idx val="10"/>
              <c:delete val="1"/>
              <c:extLst>
                <c:ext xmlns:c15="http://schemas.microsoft.com/office/drawing/2012/chart" uri="{CE6537A1-D6FC-4f65-9D91-7224C49458BB}"/>
                <c:ext xmlns:c16="http://schemas.microsoft.com/office/drawing/2014/chart" uri="{C3380CC4-5D6E-409C-BE32-E72D297353CC}">
                  <c16:uniqueId val="{00000022-8B97-4D7D-A2B8-43CBBD897994}"/>
                </c:ext>
              </c:extLst>
            </c:dLbl>
            <c:dLbl>
              <c:idx val="11"/>
              <c:delete val="1"/>
              <c:extLst>
                <c:ext xmlns:c15="http://schemas.microsoft.com/office/drawing/2012/chart" uri="{CE6537A1-D6FC-4f65-9D91-7224C49458BB}"/>
                <c:ext xmlns:c16="http://schemas.microsoft.com/office/drawing/2014/chart" uri="{C3380CC4-5D6E-409C-BE32-E72D297353CC}">
                  <c16:uniqueId val="{00000023-8B97-4D7D-A2B8-43CBBD897994}"/>
                </c:ext>
              </c:extLst>
            </c:dLbl>
            <c:dLbl>
              <c:idx val="12"/>
              <c:layout>
                <c:manualLayout>
                  <c:x val="-1.2934128042629887E-2"/>
                  <c:y val="5.3967246359662366E-2"/>
                </c:manualLayout>
              </c:layout>
              <c:tx>
                <c:rich>
                  <a:bodyPr/>
                  <a:lstStyle/>
                  <a:p>
                    <a:fld id="{024D94E7-C6D7-41F2-B2A7-CD11BFB34660}"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2E-8B97-4D7D-A2B8-43CBBD897994}"/>
                </c:ext>
              </c:extLst>
            </c:dLbl>
            <c:dLbl>
              <c:idx val="13"/>
              <c:delete val="1"/>
              <c:extLst>
                <c:ext xmlns:c15="http://schemas.microsoft.com/office/drawing/2012/chart" uri="{CE6537A1-D6FC-4f65-9D91-7224C49458BB}"/>
                <c:ext xmlns:c16="http://schemas.microsoft.com/office/drawing/2014/chart" uri="{C3380CC4-5D6E-409C-BE32-E72D297353CC}">
                  <c16:uniqueId val="{00000024-8B97-4D7D-A2B8-43CBBD897994}"/>
                </c:ext>
              </c:extLst>
            </c:dLbl>
            <c:dLbl>
              <c:idx val="14"/>
              <c:delete val="1"/>
              <c:extLst>
                <c:ext xmlns:c15="http://schemas.microsoft.com/office/drawing/2012/chart" uri="{CE6537A1-D6FC-4f65-9D91-7224C49458BB}"/>
                <c:ext xmlns:c16="http://schemas.microsoft.com/office/drawing/2014/chart" uri="{C3380CC4-5D6E-409C-BE32-E72D297353CC}">
                  <c16:uniqueId val="{00000025-8B97-4D7D-A2B8-43CBBD897994}"/>
                </c:ext>
              </c:extLst>
            </c:dLbl>
            <c:dLbl>
              <c:idx val="15"/>
              <c:delete val="1"/>
              <c:extLst>
                <c:ext xmlns:c15="http://schemas.microsoft.com/office/drawing/2012/chart" uri="{CE6537A1-D6FC-4f65-9D91-7224C49458BB}"/>
                <c:ext xmlns:c16="http://schemas.microsoft.com/office/drawing/2014/chart" uri="{C3380CC4-5D6E-409C-BE32-E72D297353CC}">
                  <c16:uniqueId val="{00000026-8B97-4D7D-A2B8-43CBBD897994}"/>
                </c:ext>
              </c:extLst>
            </c:dLbl>
            <c:dLbl>
              <c:idx val="16"/>
              <c:delete val="1"/>
              <c:extLst>
                <c:ext xmlns:c15="http://schemas.microsoft.com/office/drawing/2012/chart" uri="{CE6537A1-D6FC-4f65-9D91-7224C49458BB}"/>
                <c:ext xmlns:c16="http://schemas.microsoft.com/office/drawing/2014/chart" uri="{C3380CC4-5D6E-409C-BE32-E72D297353CC}">
                  <c16:uniqueId val="{00000027-8B97-4D7D-A2B8-43CBBD897994}"/>
                </c:ext>
              </c:extLst>
            </c:dLbl>
            <c:dLbl>
              <c:idx val="17"/>
              <c:delete val="1"/>
              <c:extLst>
                <c:ext xmlns:c15="http://schemas.microsoft.com/office/drawing/2012/chart" uri="{CE6537A1-D6FC-4f65-9D91-7224C49458BB}"/>
                <c:ext xmlns:c16="http://schemas.microsoft.com/office/drawing/2014/chart" uri="{C3380CC4-5D6E-409C-BE32-E72D297353CC}">
                  <c16:uniqueId val="{00000028-8B97-4D7D-A2B8-43CBBD897994}"/>
                </c:ext>
              </c:extLst>
            </c:dLbl>
            <c:dLbl>
              <c:idx val="18"/>
              <c:delete val="1"/>
              <c:extLst>
                <c:ext xmlns:c15="http://schemas.microsoft.com/office/drawing/2012/chart" uri="{CE6537A1-D6FC-4f65-9D91-7224C49458BB}"/>
                <c:ext xmlns:c16="http://schemas.microsoft.com/office/drawing/2014/chart" uri="{C3380CC4-5D6E-409C-BE32-E72D297353CC}">
                  <c16:uniqueId val="{00000029-8B97-4D7D-A2B8-43CBBD897994}"/>
                </c:ext>
              </c:extLst>
            </c:dLbl>
            <c:dLbl>
              <c:idx val="19"/>
              <c:delete val="1"/>
              <c:extLst>
                <c:ext xmlns:c15="http://schemas.microsoft.com/office/drawing/2012/chart" uri="{CE6537A1-D6FC-4f65-9D91-7224C49458BB}"/>
                <c:ext xmlns:c16="http://schemas.microsoft.com/office/drawing/2014/chart" uri="{C3380CC4-5D6E-409C-BE32-E72D297353CC}">
                  <c16:uniqueId val="{0000002A-8B97-4D7D-A2B8-43CBBD897994}"/>
                </c:ext>
              </c:extLst>
            </c:dLbl>
            <c:dLbl>
              <c:idx val="20"/>
              <c:layout>
                <c:manualLayout>
                  <c:x val="-1.6629593197667086E-2"/>
                  <c:y val="-6.6421226288815388E-2"/>
                </c:manualLayout>
              </c:layout>
              <c:tx>
                <c:rich>
                  <a:bodyPr/>
                  <a:lstStyle/>
                  <a:p>
                    <a:fld id="{012D803B-995D-4FEE-B45C-8E2BEC032BC6}"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2F-8B97-4D7D-A2B8-43CBBD897994}"/>
                </c:ext>
              </c:extLst>
            </c:dLbl>
            <c:dLbl>
              <c:idx val="21"/>
              <c:delete val="1"/>
              <c:extLst>
                <c:ext xmlns:c15="http://schemas.microsoft.com/office/drawing/2012/chart" uri="{CE6537A1-D6FC-4f65-9D91-7224C49458BB}"/>
                <c:ext xmlns:c16="http://schemas.microsoft.com/office/drawing/2014/chart" uri="{C3380CC4-5D6E-409C-BE32-E72D297353CC}">
                  <c16:uniqueId val="{0000002D-8B97-4D7D-A2B8-43CBBD897994}"/>
                </c:ext>
              </c:extLst>
            </c:dLbl>
            <c:dLbl>
              <c:idx val="22"/>
              <c:delete val="1"/>
              <c:extLst>
                <c:ext xmlns:c15="http://schemas.microsoft.com/office/drawing/2012/chart" uri="{CE6537A1-D6FC-4f65-9D91-7224C49458BB}"/>
                <c:ext xmlns:c16="http://schemas.microsoft.com/office/drawing/2014/chart" uri="{C3380CC4-5D6E-409C-BE32-E72D297353CC}">
                  <c16:uniqueId val="{0000002C-8B97-4D7D-A2B8-43CBBD897994}"/>
                </c:ext>
              </c:extLst>
            </c:dLbl>
            <c:dLbl>
              <c:idx val="23"/>
              <c:delete val="1"/>
              <c:extLst>
                <c:ext xmlns:c15="http://schemas.microsoft.com/office/drawing/2012/chart" uri="{CE6537A1-D6FC-4f65-9D91-7224C49458BB}"/>
                <c:ext xmlns:c16="http://schemas.microsoft.com/office/drawing/2014/chart" uri="{C3380CC4-5D6E-409C-BE32-E72D297353CC}">
                  <c16:uniqueId val="{0000002B-8B97-4D7D-A2B8-43CBBD8979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Monthly_Summary!$A$4:$A$27</c:f>
              <c:numCache>
                <c:formatCode>mmm\-yy</c:formatCode>
                <c:ptCount val="24"/>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pt idx="12">
                  <c:v>45383</c:v>
                </c:pt>
                <c:pt idx="13">
                  <c:v>45413</c:v>
                </c:pt>
                <c:pt idx="14">
                  <c:v>45444</c:v>
                </c:pt>
                <c:pt idx="15">
                  <c:v>45474</c:v>
                </c:pt>
                <c:pt idx="16">
                  <c:v>45505</c:v>
                </c:pt>
                <c:pt idx="17">
                  <c:v>45536</c:v>
                </c:pt>
                <c:pt idx="18">
                  <c:v>45566</c:v>
                </c:pt>
                <c:pt idx="19">
                  <c:v>45597</c:v>
                </c:pt>
                <c:pt idx="20">
                  <c:v>45627</c:v>
                </c:pt>
                <c:pt idx="21">
                  <c:v>45658</c:v>
                </c:pt>
                <c:pt idx="22">
                  <c:v>45689</c:v>
                </c:pt>
                <c:pt idx="23">
                  <c:v>45717</c:v>
                </c:pt>
              </c:numCache>
            </c:numRef>
          </c:cat>
          <c:val>
            <c:numRef>
              <c:f>Monthly_Summary!$E$4:$E$27</c:f>
              <c:numCache>
                <c:formatCode>#,##0</c:formatCode>
                <c:ptCount val="24"/>
                <c:pt idx="0">
                  <c:v>-1951643</c:v>
                </c:pt>
                <c:pt idx="1">
                  <c:v>-1916959</c:v>
                </c:pt>
                <c:pt idx="2">
                  <c:v>-1997447</c:v>
                </c:pt>
                <c:pt idx="3">
                  <c:v>-1984305</c:v>
                </c:pt>
                <c:pt idx="4">
                  <c:v>-1988904</c:v>
                </c:pt>
                <c:pt idx="5">
                  <c:v>-1918445</c:v>
                </c:pt>
                <c:pt idx="6">
                  <c:v>-2105213</c:v>
                </c:pt>
                <c:pt idx="7">
                  <c:v>-2046198</c:v>
                </c:pt>
                <c:pt idx="8">
                  <c:v>-2046088</c:v>
                </c:pt>
                <c:pt idx="9">
                  <c:v>-2032985</c:v>
                </c:pt>
                <c:pt idx="10">
                  <c:v>-2005125</c:v>
                </c:pt>
                <c:pt idx="11">
                  <c:v>-2060813</c:v>
                </c:pt>
                <c:pt idx="12">
                  <c:v>-1876954</c:v>
                </c:pt>
                <c:pt idx="13">
                  <c:v>-2036488</c:v>
                </c:pt>
                <c:pt idx="14">
                  <c:v>-1924916</c:v>
                </c:pt>
                <c:pt idx="15">
                  <c:v>-1910902</c:v>
                </c:pt>
                <c:pt idx="16">
                  <c:v>-2076138</c:v>
                </c:pt>
                <c:pt idx="17">
                  <c:v>-2009638</c:v>
                </c:pt>
                <c:pt idx="18">
                  <c:v>-2054068</c:v>
                </c:pt>
                <c:pt idx="19">
                  <c:v>-2022745</c:v>
                </c:pt>
                <c:pt idx="20">
                  <c:v>-2167653</c:v>
                </c:pt>
                <c:pt idx="21">
                  <c:v>-1915808</c:v>
                </c:pt>
                <c:pt idx="22">
                  <c:v>-1977449</c:v>
                </c:pt>
                <c:pt idx="23">
                  <c:v>-1917381</c:v>
                </c:pt>
              </c:numCache>
            </c:numRef>
          </c:val>
          <c:smooth val="0"/>
          <c:extLst>
            <c:ext xmlns:c16="http://schemas.microsoft.com/office/drawing/2014/chart" uri="{C3380CC4-5D6E-409C-BE32-E72D297353CC}">
              <c16:uniqueId val="{00000001-8D51-401B-9EF0-2969DA710BDF}"/>
            </c:ext>
          </c:extLst>
        </c:ser>
        <c:dLbls>
          <c:showLegendKey val="0"/>
          <c:showVal val="0"/>
          <c:showCatName val="0"/>
          <c:showSerName val="0"/>
          <c:showPercent val="0"/>
          <c:showBubbleSize val="0"/>
        </c:dLbls>
        <c:marker val="1"/>
        <c:smooth val="0"/>
        <c:axId val="633378752"/>
        <c:axId val="633380672"/>
      </c:lineChart>
      <c:dateAx>
        <c:axId val="63337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Month</a:t>
                </a:r>
                <a:endParaRPr lang="en-IN" b="1">
                  <a:solidFill>
                    <a:schemeClr val="bg2">
                      <a:lumMod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380672"/>
        <c:crosses val="autoZero"/>
        <c:auto val="1"/>
        <c:lblOffset val="100"/>
        <c:baseTimeUnit val="months"/>
      </c:dateAx>
      <c:valAx>
        <c:axId val="633380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Amount (₹)</a:t>
                </a:r>
                <a:endParaRPr lang="en-IN" b="1">
                  <a:solidFill>
                    <a:schemeClr val="bg2">
                      <a:lumMod val="25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t;=10000000]&quot;₹&quot;#,###,##0.0,,&quot;Cr&quot;;[&gt;=100000]&quot;₹&quot;#,###,##0.0,&quot;L&quot;;&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37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1F3864"/>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rgbClr val="1F3864"/>
                </a:solidFill>
              </a:rPr>
              <a:t> </a:t>
            </a:r>
            <a:r>
              <a:rPr lang="en-IN" sz="1200" b="1" i="0" u="none" strike="noStrike" baseline="0">
                <a:solidFill>
                  <a:srgbClr val="1F3864"/>
                </a:solidFill>
              </a:rPr>
              <a:t>Monthly Net Income — FY2024 &amp; FY2025</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Monthly_Summary!$I$3</c:f>
              <c:strCache>
                <c:ptCount val="1"/>
                <c:pt idx="0">
                  <c:v> Net Income (₹)</c:v>
                </c:pt>
              </c:strCache>
            </c:strRef>
          </c:tx>
          <c:spPr>
            <a:solidFill>
              <a:schemeClr val="accent6"/>
            </a:solidFill>
            <a:ln>
              <a:noFill/>
            </a:ln>
            <a:effectLst/>
          </c:spPr>
          <c:invertIfNegative val="0"/>
          <c:dPt>
            <c:idx val="10"/>
            <c:invertIfNegative val="0"/>
            <c:bubble3D val="0"/>
            <c:spPr>
              <a:solidFill>
                <a:srgbClr val="FF0000"/>
              </a:solidFill>
              <a:ln>
                <a:noFill/>
              </a:ln>
              <a:effectLst/>
            </c:spPr>
            <c:extLst>
              <c:ext xmlns:c16="http://schemas.microsoft.com/office/drawing/2014/chart" uri="{C3380CC4-5D6E-409C-BE32-E72D297353CC}">
                <c16:uniqueId val="{00000000-150E-4315-9960-103C721ECBE8}"/>
              </c:ext>
            </c:extLst>
          </c:dPt>
          <c:dPt>
            <c:idx val="13"/>
            <c:invertIfNegative val="0"/>
            <c:bubble3D val="0"/>
            <c:spPr>
              <a:solidFill>
                <a:srgbClr val="FF0000"/>
              </a:solidFill>
              <a:ln>
                <a:noFill/>
              </a:ln>
              <a:effectLst/>
            </c:spPr>
            <c:extLst>
              <c:ext xmlns:c16="http://schemas.microsoft.com/office/drawing/2014/chart" uri="{C3380CC4-5D6E-409C-BE32-E72D297353CC}">
                <c16:uniqueId val="{00000001-150E-4315-9960-103C721ECBE8}"/>
              </c:ext>
            </c:extLst>
          </c:dPt>
          <c:dPt>
            <c:idx val="18"/>
            <c:invertIfNegative val="0"/>
            <c:bubble3D val="0"/>
            <c:spPr>
              <a:solidFill>
                <a:srgbClr val="FF0000"/>
              </a:solidFill>
              <a:ln>
                <a:noFill/>
              </a:ln>
              <a:effectLst/>
            </c:spPr>
            <c:extLst>
              <c:ext xmlns:c16="http://schemas.microsoft.com/office/drawing/2014/chart" uri="{C3380CC4-5D6E-409C-BE32-E72D297353CC}">
                <c16:uniqueId val="{00000002-150E-4315-9960-103C721ECBE8}"/>
              </c:ext>
            </c:extLst>
          </c:dPt>
          <c:dPt>
            <c:idx val="20"/>
            <c:invertIfNegative val="0"/>
            <c:bubble3D val="0"/>
            <c:spPr>
              <a:solidFill>
                <a:srgbClr val="FF0000"/>
              </a:solidFill>
              <a:ln>
                <a:noFill/>
              </a:ln>
              <a:effectLst/>
            </c:spPr>
            <c:extLst>
              <c:ext xmlns:c16="http://schemas.microsoft.com/office/drawing/2014/chart" uri="{C3380CC4-5D6E-409C-BE32-E72D297353CC}">
                <c16:uniqueId val="{00000003-150E-4315-9960-103C721ECBE8}"/>
              </c:ext>
            </c:extLst>
          </c:dPt>
          <c:cat>
            <c:numRef>
              <c:f>Monthly_Summary!$A$4:$A$27</c:f>
              <c:numCache>
                <c:formatCode>mmm\-yy</c:formatCode>
                <c:ptCount val="24"/>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pt idx="12">
                  <c:v>45383</c:v>
                </c:pt>
                <c:pt idx="13">
                  <c:v>45413</c:v>
                </c:pt>
                <c:pt idx="14">
                  <c:v>45444</c:v>
                </c:pt>
                <c:pt idx="15">
                  <c:v>45474</c:v>
                </c:pt>
                <c:pt idx="16">
                  <c:v>45505</c:v>
                </c:pt>
                <c:pt idx="17">
                  <c:v>45536</c:v>
                </c:pt>
                <c:pt idx="18">
                  <c:v>45566</c:v>
                </c:pt>
                <c:pt idx="19">
                  <c:v>45597</c:v>
                </c:pt>
                <c:pt idx="20">
                  <c:v>45627</c:v>
                </c:pt>
                <c:pt idx="21">
                  <c:v>45658</c:v>
                </c:pt>
                <c:pt idx="22">
                  <c:v>45689</c:v>
                </c:pt>
                <c:pt idx="23">
                  <c:v>45717</c:v>
                </c:pt>
              </c:numCache>
            </c:numRef>
          </c:cat>
          <c:val>
            <c:numRef>
              <c:f>Monthly_Summary!$I$4:$I$27</c:f>
              <c:numCache>
                <c:formatCode>#,##0</c:formatCode>
                <c:ptCount val="24"/>
                <c:pt idx="0">
                  <c:v>20977</c:v>
                </c:pt>
                <c:pt idx="1">
                  <c:v>188332</c:v>
                </c:pt>
                <c:pt idx="2">
                  <c:v>106665</c:v>
                </c:pt>
                <c:pt idx="3">
                  <c:v>191272</c:v>
                </c:pt>
                <c:pt idx="4">
                  <c:v>250813</c:v>
                </c:pt>
                <c:pt idx="5">
                  <c:v>271580</c:v>
                </c:pt>
                <c:pt idx="6">
                  <c:v>191295</c:v>
                </c:pt>
                <c:pt idx="7">
                  <c:v>380546</c:v>
                </c:pt>
                <c:pt idx="8">
                  <c:v>459374</c:v>
                </c:pt>
                <c:pt idx="9">
                  <c:v>761861</c:v>
                </c:pt>
                <c:pt idx="10">
                  <c:v>-326130</c:v>
                </c:pt>
                <c:pt idx="11">
                  <c:v>732521</c:v>
                </c:pt>
                <c:pt idx="12">
                  <c:v>403965</c:v>
                </c:pt>
                <c:pt idx="13">
                  <c:v>-267799</c:v>
                </c:pt>
                <c:pt idx="14">
                  <c:v>498310</c:v>
                </c:pt>
                <c:pt idx="15">
                  <c:v>1115030</c:v>
                </c:pt>
                <c:pt idx="16">
                  <c:v>415614</c:v>
                </c:pt>
                <c:pt idx="17">
                  <c:v>487347</c:v>
                </c:pt>
                <c:pt idx="18">
                  <c:v>-112476</c:v>
                </c:pt>
                <c:pt idx="19">
                  <c:v>1311859</c:v>
                </c:pt>
                <c:pt idx="20">
                  <c:v>-113284</c:v>
                </c:pt>
                <c:pt idx="21">
                  <c:v>1354650</c:v>
                </c:pt>
                <c:pt idx="22">
                  <c:v>524621</c:v>
                </c:pt>
                <c:pt idx="23">
                  <c:v>545225</c:v>
                </c:pt>
              </c:numCache>
            </c:numRef>
          </c:val>
          <c:extLst>
            <c:ext xmlns:c16="http://schemas.microsoft.com/office/drawing/2014/chart" uri="{C3380CC4-5D6E-409C-BE32-E72D297353CC}">
              <c16:uniqueId val="{00000000-4CDA-421F-8286-127A122E3942}"/>
            </c:ext>
          </c:extLst>
        </c:ser>
        <c:dLbls>
          <c:showLegendKey val="0"/>
          <c:showVal val="0"/>
          <c:showCatName val="0"/>
          <c:showSerName val="0"/>
          <c:showPercent val="0"/>
          <c:showBubbleSize val="0"/>
        </c:dLbls>
        <c:gapWidth val="219"/>
        <c:overlap val="-27"/>
        <c:axId val="1338151200"/>
        <c:axId val="1338162720"/>
      </c:barChart>
      <c:dateAx>
        <c:axId val="13381512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Month</a:t>
                </a:r>
                <a:endParaRPr lang="en-IN" b="1">
                  <a:solidFill>
                    <a:schemeClr val="bg2">
                      <a:lumMod val="25000"/>
                    </a:schemeClr>
                  </a:solidFill>
                </a:endParaRPr>
              </a:p>
            </c:rich>
          </c:tx>
          <c:layout>
            <c:manualLayout>
              <c:xMode val="edge"/>
              <c:yMode val="edge"/>
              <c:x val="0.52880921223743116"/>
              <c:y val="0.9204618587923528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162720"/>
        <c:crosses val="autoZero"/>
        <c:auto val="1"/>
        <c:lblOffset val="100"/>
        <c:baseTimeUnit val="months"/>
      </c:dateAx>
      <c:valAx>
        <c:axId val="13381627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Net Income (₹)</a:t>
                </a:r>
                <a:endParaRPr lang="en-IN" b="1">
                  <a:solidFill>
                    <a:schemeClr val="bg2">
                      <a:lumMod val="25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151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1F3864"/>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rgbClr val="1F3864"/>
                </a:solidFill>
              </a:rPr>
              <a:t> Actual Expenses vs Budget </a:t>
            </a:r>
            <a:endParaRPr lang="en-IN" sz="1200" b="1">
              <a:solidFill>
                <a:srgbClr val="1F386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Monthly_Summary!$E$3</c:f>
              <c:strCache>
                <c:ptCount val="1"/>
                <c:pt idx="0">
                  <c:v>Total Expense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Monthly_Summary!$A$4:$A$27</c:f>
              <c:numCache>
                <c:formatCode>mmm\-yy</c:formatCode>
                <c:ptCount val="24"/>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pt idx="12">
                  <c:v>45383</c:v>
                </c:pt>
                <c:pt idx="13">
                  <c:v>45413</c:v>
                </c:pt>
                <c:pt idx="14">
                  <c:v>45444</c:v>
                </c:pt>
                <c:pt idx="15">
                  <c:v>45474</c:v>
                </c:pt>
                <c:pt idx="16">
                  <c:v>45505</c:v>
                </c:pt>
                <c:pt idx="17">
                  <c:v>45536</c:v>
                </c:pt>
                <c:pt idx="18">
                  <c:v>45566</c:v>
                </c:pt>
                <c:pt idx="19">
                  <c:v>45597</c:v>
                </c:pt>
                <c:pt idx="20">
                  <c:v>45627</c:v>
                </c:pt>
                <c:pt idx="21">
                  <c:v>45658</c:v>
                </c:pt>
                <c:pt idx="22">
                  <c:v>45689</c:v>
                </c:pt>
                <c:pt idx="23">
                  <c:v>45717</c:v>
                </c:pt>
              </c:numCache>
            </c:numRef>
          </c:cat>
          <c:val>
            <c:numRef>
              <c:f>Monthly_Summary!$E$4:$E$27</c:f>
              <c:numCache>
                <c:formatCode>#,##0</c:formatCode>
                <c:ptCount val="24"/>
                <c:pt idx="0">
                  <c:v>-1951643</c:v>
                </c:pt>
                <c:pt idx="1">
                  <c:v>-1916959</c:v>
                </c:pt>
                <c:pt idx="2">
                  <c:v>-1997447</c:v>
                </c:pt>
                <c:pt idx="3">
                  <c:v>-1984305</c:v>
                </c:pt>
                <c:pt idx="4">
                  <c:v>-1988904</c:v>
                </c:pt>
                <c:pt idx="5">
                  <c:v>-1918445</c:v>
                </c:pt>
                <c:pt idx="6">
                  <c:v>-2105213</c:v>
                </c:pt>
                <c:pt idx="7">
                  <c:v>-2046198</c:v>
                </c:pt>
                <c:pt idx="8">
                  <c:v>-2046088</c:v>
                </c:pt>
                <c:pt idx="9">
                  <c:v>-2032985</c:v>
                </c:pt>
                <c:pt idx="10">
                  <c:v>-2005125</c:v>
                </c:pt>
                <c:pt idx="11">
                  <c:v>-2060813</c:v>
                </c:pt>
                <c:pt idx="12">
                  <c:v>-1876954</c:v>
                </c:pt>
                <c:pt idx="13">
                  <c:v>-2036488</c:v>
                </c:pt>
                <c:pt idx="14">
                  <c:v>-1924916</c:v>
                </c:pt>
                <c:pt idx="15">
                  <c:v>-1910902</c:v>
                </c:pt>
                <c:pt idx="16">
                  <c:v>-2076138</c:v>
                </c:pt>
                <c:pt idx="17">
                  <c:v>-2009638</c:v>
                </c:pt>
                <c:pt idx="18">
                  <c:v>-2054068</c:v>
                </c:pt>
                <c:pt idx="19">
                  <c:v>-2022745</c:v>
                </c:pt>
                <c:pt idx="20">
                  <c:v>-2167653</c:v>
                </c:pt>
                <c:pt idx="21">
                  <c:v>-1915808</c:v>
                </c:pt>
                <c:pt idx="22">
                  <c:v>-1977449</c:v>
                </c:pt>
                <c:pt idx="23">
                  <c:v>-1917381</c:v>
                </c:pt>
              </c:numCache>
            </c:numRef>
          </c:val>
          <c:smooth val="0"/>
          <c:extLst>
            <c:ext xmlns:c16="http://schemas.microsoft.com/office/drawing/2014/chart" uri="{C3380CC4-5D6E-409C-BE32-E72D297353CC}">
              <c16:uniqueId val="{00000000-F7DF-4C49-B7AA-E3B01C4CD477}"/>
            </c:ext>
          </c:extLst>
        </c:ser>
        <c:ser>
          <c:idx val="1"/>
          <c:order val="1"/>
          <c:tx>
            <c:strRef>
              <c:f>Monthly_Summary!$F$3</c:f>
              <c:strCache>
                <c:ptCount val="1"/>
                <c:pt idx="0">
                  <c:v> Budget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Monthly_Summary!$A$4:$A$27</c:f>
              <c:numCache>
                <c:formatCode>mmm\-yy</c:formatCode>
                <c:ptCount val="24"/>
                <c:pt idx="0">
                  <c:v>45017</c:v>
                </c:pt>
                <c:pt idx="1">
                  <c:v>45047</c:v>
                </c:pt>
                <c:pt idx="2">
                  <c:v>45078</c:v>
                </c:pt>
                <c:pt idx="3">
                  <c:v>45108</c:v>
                </c:pt>
                <c:pt idx="4">
                  <c:v>45139</c:v>
                </c:pt>
                <c:pt idx="5">
                  <c:v>45170</c:v>
                </c:pt>
                <c:pt idx="6">
                  <c:v>45200</c:v>
                </c:pt>
                <c:pt idx="7">
                  <c:v>45231</c:v>
                </c:pt>
                <c:pt idx="8">
                  <c:v>45261</c:v>
                </c:pt>
                <c:pt idx="9">
                  <c:v>45292</c:v>
                </c:pt>
                <c:pt idx="10">
                  <c:v>45323</c:v>
                </c:pt>
                <c:pt idx="11">
                  <c:v>45352</c:v>
                </c:pt>
                <c:pt idx="12">
                  <c:v>45383</c:v>
                </c:pt>
                <c:pt idx="13">
                  <c:v>45413</c:v>
                </c:pt>
                <c:pt idx="14">
                  <c:v>45444</c:v>
                </c:pt>
                <c:pt idx="15">
                  <c:v>45474</c:v>
                </c:pt>
                <c:pt idx="16">
                  <c:v>45505</c:v>
                </c:pt>
                <c:pt idx="17">
                  <c:v>45536</c:v>
                </c:pt>
                <c:pt idx="18">
                  <c:v>45566</c:v>
                </c:pt>
                <c:pt idx="19">
                  <c:v>45597</c:v>
                </c:pt>
                <c:pt idx="20">
                  <c:v>45627</c:v>
                </c:pt>
                <c:pt idx="21">
                  <c:v>45658</c:v>
                </c:pt>
                <c:pt idx="22">
                  <c:v>45689</c:v>
                </c:pt>
                <c:pt idx="23">
                  <c:v>45717</c:v>
                </c:pt>
              </c:numCache>
            </c:numRef>
          </c:cat>
          <c:val>
            <c:numRef>
              <c:f>Monthly_Summary!$F$4:$F$27</c:f>
              <c:numCache>
                <c:formatCode>#,##0</c:formatCode>
                <c:ptCount val="24"/>
                <c:pt idx="0">
                  <c:v>-2300000</c:v>
                </c:pt>
                <c:pt idx="1">
                  <c:v>-2300000</c:v>
                </c:pt>
                <c:pt idx="2">
                  <c:v>-2300000</c:v>
                </c:pt>
                <c:pt idx="3">
                  <c:v>-2300000</c:v>
                </c:pt>
                <c:pt idx="4">
                  <c:v>-2300000</c:v>
                </c:pt>
                <c:pt idx="5">
                  <c:v>-2300000</c:v>
                </c:pt>
                <c:pt idx="6">
                  <c:v>-2300000</c:v>
                </c:pt>
                <c:pt idx="7">
                  <c:v>-2300000</c:v>
                </c:pt>
                <c:pt idx="8">
                  <c:v>-2300000</c:v>
                </c:pt>
                <c:pt idx="9">
                  <c:v>-2300000</c:v>
                </c:pt>
                <c:pt idx="10">
                  <c:v>-2300000</c:v>
                </c:pt>
                <c:pt idx="11">
                  <c:v>-2300000</c:v>
                </c:pt>
                <c:pt idx="12">
                  <c:v>-2625000</c:v>
                </c:pt>
                <c:pt idx="13">
                  <c:v>-2625000</c:v>
                </c:pt>
                <c:pt idx="14">
                  <c:v>-2625000</c:v>
                </c:pt>
                <c:pt idx="15">
                  <c:v>-2625000</c:v>
                </c:pt>
                <c:pt idx="16">
                  <c:v>-2625000</c:v>
                </c:pt>
                <c:pt idx="17">
                  <c:v>-2625000</c:v>
                </c:pt>
                <c:pt idx="18">
                  <c:v>-2625000</c:v>
                </c:pt>
                <c:pt idx="19">
                  <c:v>-2625000</c:v>
                </c:pt>
                <c:pt idx="20">
                  <c:v>-2625000</c:v>
                </c:pt>
                <c:pt idx="21">
                  <c:v>-2625000</c:v>
                </c:pt>
                <c:pt idx="22">
                  <c:v>-2625000</c:v>
                </c:pt>
                <c:pt idx="23">
                  <c:v>-2625000</c:v>
                </c:pt>
              </c:numCache>
            </c:numRef>
          </c:val>
          <c:smooth val="0"/>
          <c:extLst>
            <c:ext xmlns:c16="http://schemas.microsoft.com/office/drawing/2014/chart" uri="{C3380CC4-5D6E-409C-BE32-E72D297353CC}">
              <c16:uniqueId val="{00000001-F7DF-4C49-B7AA-E3B01C4CD477}"/>
            </c:ext>
          </c:extLst>
        </c:ser>
        <c:dLbls>
          <c:showLegendKey val="0"/>
          <c:showVal val="0"/>
          <c:showCatName val="0"/>
          <c:showSerName val="0"/>
          <c:showPercent val="0"/>
          <c:showBubbleSize val="0"/>
        </c:dLbls>
        <c:marker val="1"/>
        <c:smooth val="0"/>
        <c:axId val="1533497135"/>
        <c:axId val="1533499535"/>
      </c:lineChart>
      <c:dateAx>
        <c:axId val="15334971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Month</a:t>
                </a:r>
                <a:endParaRPr lang="en-IN" b="1">
                  <a:solidFill>
                    <a:schemeClr val="bg2">
                      <a:lumMod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499535"/>
        <c:crossesAt val="0"/>
        <c:auto val="1"/>
        <c:lblOffset val="100"/>
        <c:baseTimeUnit val="months"/>
      </c:dateAx>
      <c:valAx>
        <c:axId val="1533499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1" i="0" u="none" strike="noStrike" baseline="0">
                    <a:solidFill>
                      <a:schemeClr val="bg2">
                        <a:lumMod val="25000"/>
                      </a:schemeClr>
                    </a:solidFill>
                  </a:rPr>
                  <a:t>Amount (₹)</a:t>
                </a:r>
                <a:endParaRPr lang="en-IN" b="1">
                  <a:solidFill>
                    <a:schemeClr val="bg2">
                      <a:lumMod val="25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497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1F3864"/>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836705</xdr:colOff>
      <xdr:row>15</xdr:row>
      <xdr:rowOff>89647</xdr:rowOff>
    </xdr:from>
    <xdr:to>
      <xdr:col>12</xdr:col>
      <xdr:colOff>14941</xdr:colOff>
      <xdr:row>31</xdr:row>
      <xdr:rowOff>23622</xdr:rowOff>
    </xdr:to>
    <xdr:graphicFrame macro="">
      <xdr:nvGraphicFramePr>
        <xdr:cNvPr id="2" name="Chart 1">
          <a:extLst>
            <a:ext uri="{FF2B5EF4-FFF2-40B4-BE49-F238E27FC236}">
              <a16:creationId xmlns:a16="http://schemas.microsoft.com/office/drawing/2014/main" id="{112A635E-12DA-699E-4A8E-93CAADA268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821765</xdr:colOff>
      <xdr:row>32</xdr:row>
      <xdr:rowOff>89647</xdr:rowOff>
    </xdr:from>
    <xdr:to>
      <xdr:col>12</xdr:col>
      <xdr:colOff>29882</xdr:colOff>
      <xdr:row>47</xdr:row>
      <xdr:rowOff>144131</xdr:rowOff>
    </xdr:to>
    <xdr:graphicFrame macro="">
      <xdr:nvGraphicFramePr>
        <xdr:cNvPr id="3" name="Chart 2">
          <a:extLst>
            <a:ext uri="{FF2B5EF4-FFF2-40B4-BE49-F238E27FC236}">
              <a16:creationId xmlns:a16="http://schemas.microsoft.com/office/drawing/2014/main" id="{7C58662B-77AB-7175-F974-20747AF0C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807833</xdr:colOff>
      <xdr:row>49</xdr:row>
      <xdr:rowOff>122559</xdr:rowOff>
    </xdr:from>
    <xdr:to>
      <xdr:col>12</xdr:col>
      <xdr:colOff>51487</xdr:colOff>
      <xdr:row>64</xdr:row>
      <xdr:rowOff>111740</xdr:rowOff>
    </xdr:to>
    <xdr:graphicFrame macro="">
      <xdr:nvGraphicFramePr>
        <xdr:cNvPr id="4" name="Chart 1">
          <a:extLst>
            <a:ext uri="{FF2B5EF4-FFF2-40B4-BE49-F238E27FC236}">
              <a16:creationId xmlns:a16="http://schemas.microsoft.com/office/drawing/2014/main" id="{E11A86EB-54F4-6731-29EA-327416AD4F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12</xdr:col>
      <xdr:colOff>102973</xdr:colOff>
      <xdr:row>15</xdr:row>
      <xdr:rowOff>82379</xdr:rowOff>
    </xdr:from>
    <xdr:ext cx="1439169" cy="2770692"/>
    <xdr:sp macro="" textlink="">
      <xdr:nvSpPr>
        <xdr:cNvPr id="5" name="TextBox 4">
          <a:extLst>
            <a:ext uri="{FF2B5EF4-FFF2-40B4-BE49-F238E27FC236}">
              <a16:creationId xmlns:a16="http://schemas.microsoft.com/office/drawing/2014/main" id="{BEDEAC79-C5C0-06DD-0598-60C5D47A906E}"/>
            </a:ext>
          </a:extLst>
        </xdr:cNvPr>
        <xdr:cNvSpPr txBox="1"/>
      </xdr:nvSpPr>
      <xdr:spPr>
        <a:xfrm>
          <a:off x="10662116" y="2840093"/>
          <a:ext cx="1439169" cy="27706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1">
              <a:solidFill>
                <a:srgbClr val="1F3864"/>
              </a:solidFill>
            </a:rPr>
            <a:t>📌 Trend Insight  </a:t>
          </a:r>
        </a:p>
        <a:p>
          <a:pPr marL="0" marR="0" lvl="0" indent="0" algn="l" defTabSz="914400" eaLnBrk="1" fontAlgn="auto" latinLnBrk="0" hangingPunct="1">
            <a:lnSpc>
              <a:spcPct val="100000"/>
            </a:lnSpc>
            <a:spcBef>
              <a:spcPts val="0"/>
            </a:spcBef>
            <a:spcAft>
              <a:spcPts val="0"/>
            </a:spcAft>
            <a:buClrTx/>
            <a:buSzTx/>
            <a:buFontTx/>
            <a:buNone/>
            <a:tabLst/>
            <a:defRPr/>
          </a:pPr>
          <a:endParaRPr lang="en-IN"/>
        </a:p>
        <a:p>
          <a:pPr marL="0" marR="0" lvl="0" indent="0" algn="l" defTabSz="914400" eaLnBrk="1" fontAlgn="auto" latinLnBrk="0" hangingPunct="1">
            <a:lnSpc>
              <a:spcPct val="100000"/>
            </a:lnSpc>
            <a:spcBef>
              <a:spcPts val="0"/>
            </a:spcBef>
            <a:spcAft>
              <a:spcPts val="0"/>
            </a:spcAft>
            <a:buClrTx/>
            <a:buSzTx/>
            <a:buFontTx/>
            <a:buNone/>
            <a:tabLst/>
            <a:defRPr/>
          </a:pPr>
          <a:r>
            <a:rPr lang="en-IN"/>
            <a:t>Revenue grew steadily from ₹19.7L in Apr 2023 to ₹32.7L in Jan 2025, reflecting 10.2% YoY growth. Expenses remained controlled between ₹18.8L and ₹21.7L throughout both years, never exceeding revenue except in 4 months.</a:t>
          </a:r>
        </a:p>
      </xdr:txBody>
    </xdr:sp>
    <xdr:clientData/>
  </xdr:oneCellAnchor>
  <xdr:oneCellAnchor>
    <xdr:from>
      <xdr:col>12</xdr:col>
      <xdr:colOff>123567</xdr:colOff>
      <xdr:row>32</xdr:row>
      <xdr:rowOff>92676</xdr:rowOff>
    </xdr:from>
    <xdr:ext cx="1328351" cy="2707231"/>
    <xdr:sp macro="" textlink="">
      <xdr:nvSpPr>
        <xdr:cNvPr id="6" name="TextBox 5">
          <a:extLst>
            <a:ext uri="{FF2B5EF4-FFF2-40B4-BE49-F238E27FC236}">
              <a16:creationId xmlns:a16="http://schemas.microsoft.com/office/drawing/2014/main" id="{8BE432B6-F05F-E630-228E-C9BD4216E989}"/>
            </a:ext>
          </a:extLst>
        </xdr:cNvPr>
        <xdr:cNvSpPr txBox="1"/>
      </xdr:nvSpPr>
      <xdr:spPr>
        <a:xfrm>
          <a:off x="10543474" y="5834257"/>
          <a:ext cx="1328351" cy="270723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1">
              <a:solidFill>
                <a:srgbClr val="1F3864"/>
              </a:solidFill>
              <a:effectLst/>
              <a:latin typeface="+mn-lt"/>
              <a:ea typeface="+mn-ea"/>
              <a:cs typeface="+mn-cs"/>
            </a:rPr>
            <a:t>📌 Profitability Insight</a:t>
          </a:r>
        </a:p>
        <a:p>
          <a:r>
            <a:rPr lang="en-IN"/>
            <a:t>                                20 out of 24 months were profitable. Loss months (Feb 2024, May 2024, Oct 2024, Dec 2024) coincide with high expense periods and low billing cycles. Best month was Jan 2025 at ₹13.5L net income.</a:t>
          </a:r>
          <a:endParaRPr lang="en-IN" sz="1100"/>
        </a:p>
      </xdr:txBody>
    </xdr:sp>
    <xdr:clientData/>
  </xdr:oneCellAnchor>
  <xdr:oneCellAnchor>
    <xdr:from>
      <xdr:col>12</xdr:col>
      <xdr:colOff>144163</xdr:colOff>
      <xdr:row>49</xdr:row>
      <xdr:rowOff>154459</xdr:rowOff>
    </xdr:from>
    <xdr:ext cx="1379838" cy="2712111"/>
    <xdr:sp macro="" textlink="">
      <xdr:nvSpPr>
        <xdr:cNvPr id="7" name="TextBox 6">
          <a:extLst>
            <a:ext uri="{FF2B5EF4-FFF2-40B4-BE49-F238E27FC236}">
              <a16:creationId xmlns:a16="http://schemas.microsoft.com/office/drawing/2014/main" id="{8F8973F0-216E-F0B3-9521-CC3772D56CBE}"/>
            </a:ext>
          </a:extLst>
        </xdr:cNvPr>
        <xdr:cNvSpPr txBox="1"/>
      </xdr:nvSpPr>
      <xdr:spPr>
        <a:xfrm>
          <a:off x="10703306" y="9080745"/>
          <a:ext cx="1379838" cy="271211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1">
              <a:solidFill>
                <a:srgbClr val="1F3864"/>
              </a:solidFill>
              <a:effectLst/>
              <a:latin typeface="+mn-lt"/>
              <a:ea typeface="+mn-ea"/>
              <a:cs typeface="+mn-cs"/>
            </a:rPr>
            <a:t>📌Budget Insight</a:t>
          </a:r>
        </a:p>
        <a:p>
          <a:endParaRPr lang="en-IN"/>
        </a:p>
        <a:p>
          <a:r>
            <a:rPr lang="en-IN"/>
            <a:t>Actual expenses consistently stayed below budget across all 24 months. Average budget utilisation was 75.8%, suggesting either strong cost discipline or conservatively set budgets, worth reviewing with management.</a:t>
          </a:r>
        </a:p>
        <a:p>
          <a:endParaRPr lang="en-IN" sz="1100"/>
        </a:p>
      </xdr:txBody>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CDF7A40-8E40-43AC-920A-4C628D676AD7}" autoFormatId="16" applyNumberFormats="0" applyBorderFormats="0" applyFontFormats="0" applyPatternFormats="0" applyAlignmentFormats="0" applyWidthHeightFormats="0">
  <queryTableRefresh nextId="13" unboundColumnsRight="2">
    <queryTableFields count="12">
      <queryTableField id="1" name="TxnID" tableColumnId="1"/>
      <queryTableField id="2" name="Vendor" tableColumnId="2"/>
      <queryTableField id="3" name="Category" tableColumnId="3"/>
      <queryTableField id="4" name="Amount(₹)" tableColumnId="4"/>
      <queryTableField id="5" name="GST_Slab" tableColumnId="5"/>
      <queryTableField id="6" name="Account" tableColumnId="6"/>
      <queryTableField id="7" name="Department" tableColumnId="7"/>
      <queryTableField id="8" name="FY" tableColumnId="8"/>
      <queryTableField id="9" name="Quarter" tableColumnId="9"/>
      <queryTableField id="10" name="Date" tableColumnId="10"/>
      <queryTableField id="11" dataBound="0" tableColumnId="11"/>
      <queryTableField id="12" dataBound="0"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92CBE1-3BB0-45FC-8843-AA6B289C4DB4}" name="Transactions_Clean" displayName="Transactions_Clean" ref="A1:L3263" tableType="queryTable" totalsRowShown="0">
  <autoFilter ref="A1:L3263" xr:uid="{9D92CBE1-3BB0-45FC-8843-AA6B289C4DB4}"/>
  <tableColumns count="12">
    <tableColumn id="1" xr3:uid="{2A9FD7C8-98F2-4BFC-BC85-DFFF743C54B3}" uniqueName="1" name="TxnID" queryTableFieldId="1"/>
    <tableColumn id="2" xr3:uid="{46E628A7-EDF7-4343-95AB-E52F7F84A6E9}" uniqueName="2" name="Vendor" queryTableFieldId="2" dataDxfId="18"/>
    <tableColumn id="3" xr3:uid="{7F815DCC-7454-4688-AB08-8F844EAC82AE}" uniqueName="3" name="Category" queryTableFieldId="3" dataDxfId="17"/>
    <tableColumn id="4" xr3:uid="{D54B8D0D-719A-4F01-AE17-B9AE26081B78}" uniqueName="4" name="Amount(₹)" queryTableFieldId="4"/>
    <tableColumn id="5" xr3:uid="{FEDA53DB-DEB5-425C-9B50-2D9D24D598B6}" uniqueName="5" name="GST_Slab" queryTableFieldId="5"/>
    <tableColumn id="6" xr3:uid="{204E5872-27D7-42EC-86D0-04AA9BCCA871}" uniqueName="6" name="Account" queryTableFieldId="6"/>
    <tableColumn id="7" xr3:uid="{6D0AD90C-C193-4D10-8110-4029B25E7A49}" uniqueName="7" name="Department" queryTableFieldId="7"/>
    <tableColumn id="8" xr3:uid="{3F5A0F81-671B-4859-B6B5-C0862914AC04}" uniqueName="8" name="FY" queryTableFieldId="8"/>
    <tableColumn id="9" xr3:uid="{70780FAC-0685-427B-985C-4307EABD084C}" uniqueName="9" name="Quarter" queryTableFieldId="9"/>
    <tableColumn id="10" xr3:uid="{DBC7B7AF-A1C3-44CD-BB96-E247F98C6788}" uniqueName="10" name="Date" queryTableFieldId="10" dataDxfId="16"/>
    <tableColumn id="11" xr3:uid="{23195D2C-5955-4313-9761-B741809D1F81}" uniqueName="11" name="Month" queryTableFieldId="11" dataDxfId="15">
      <calculatedColumnFormula>TEXT(Transactions_Clean[[#This Row],[Date]],"MMM-YYYY")</calculatedColumnFormula>
    </tableColumn>
    <tableColumn id="12" xr3:uid="{6FD65EE4-5C66-4152-ADA9-2D9AA04E3869}" uniqueName="12" name="Adj_Amount" queryTableFieldId="12" dataDxfId="14">
      <calculatedColumnFormula>IF(Transactions_Clean[[#This Row],[Category]]="Revenue",Transactions_Clean[[#This Row],[Amount(₹)]],Transactions_Clean[[#This Row],[Amount(₹)]]/8)</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B8B922-18A9-410C-8F09-FE91504169CA}" name="Raw_Data_Table" displayName="Raw_Data_Table" ref="A1:J3313" totalsRowShown="0" headerRowDxfId="13">
  <autoFilter ref="A1:J3313" xr:uid="{E4B8B922-18A9-410C-8F09-FE91504169CA}"/>
  <tableColumns count="10">
    <tableColumn id="1" xr3:uid="{D1D9A783-5D6C-4936-A1B8-035AAA0662C0}" name="TxnID"/>
    <tableColumn id="2" xr3:uid="{B1557571-C560-40D0-A5D1-1DB22F3ADEE7}" name="Date" dataDxfId="12"/>
    <tableColumn id="3" xr3:uid="{0FEDC6BD-54CD-416E-B4F1-912EC4E5CDC6}" name="Vendor"/>
    <tableColumn id="4" xr3:uid="{C7B31519-9D43-4905-912C-CBA082CDA07A}" name="Category"/>
    <tableColumn id="5" xr3:uid="{78EE5FBA-3DFD-4010-81B9-9EBD1905FFC3}" name="Amount(₹)"/>
    <tableColumn id="6" xr3:uid="{0F8BD17F-A24C-445B-BF70-DE6F8A943824}" name="GST_Slab" dataDxfId="11"/>
    <tableColumn id="7" xr3:uid="{474E892E-435B-4D85-8360-C54F3A3CFB8D}" name="Account"/>
    <tableColumn id="8" xr3:uid="{2450557F-F806-42D4-A0DB-B130F65AD521}" name="Department"/>
    <tableColumn id="9" xr3:uid="{625FC91F-5CBC-4727-AD65-D0E3473FB354}" name="FY"/>
    <tableColumn id="10" xr3:uid="{51CC63E5-251E-4EA3-9EBD-CBA954A07B5D}" name="Quart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6A3C0A-CD83-4C13-B27A-91D8992DD060}" name="Dim_Calendar" displayName="Dim_Calendar" ref="A1:D1250" totalsRowShown="0" headerRowDxfId="20">
  <autoFilter ref="A1:D1250" xr:uid="{476A3C0A-CD83-4C13-B27A-91D8992DD060}"/>
  <tableColumns count="4">
    <tableColumn id="1" xr3:uid="{382D1B79-2087-475C-B45F-98EC965DAD68}" name="Date" dataDxfId="19">
      <calculatedColumnFormula>A1+1</calculatedColumnFormula>
    </tableColumn>
    <tableColumn id="2" xr3:uid="{F7BFDA6A-E4B0-454D-A348-15C3401910B5}" name="Month">
      <calculatedColumnFormula>TEXT(A2, "MMM_YYYY")</calculatedColumnFormula>
    </tableColumn>
    <tableColumn id="3" xr3:uid="{BC8B028E-4387-4C70-B657-A8EE83D03304}" name="Quarter">
      <calculatedColumnFormula>"Q" &amp; INT((MONTH(A2)-1)/3)+1</calculatedColumnFormula>
    </tableColumn>
    <tableColumn id="4" xr3:uid="{CD74319E-0D48-44A9-9B0C-93DC09530FAC}" name="Financial Data">
      <calculatedColumnFormula>"FY" &amp; IF(MONTH(A2)&gt;=4, YEAR(A2), YEAR(A2)-1)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FBC57A-2E65-4473-AEAE-C612866F4E69}" name="Dim_Category" displayName="Dim_Category" ref="A1:C11" totalsRowShown="0" headerRowDxfId="10" dataDxfId="9" tableBorderDxfId="8">
  <autoFilter ref="A1:C11" xr:uid="{CCFBC57A-2E65-4473-AEAE-C612866F4E69}"/>
  <tableColumns count="3">
    <tableColumn id="1" xr3:uid="{27782E3D-56AD-4CFA-A728-CEBC4B7FD7F4}" name="Category" dataDxfId="7"/>
    <tableColumn id="2" xr3:uid="{4972097C-702D-453B-94FA-543B75FC2B59}" name="Budget Limit" dataDxfId="6"/>
    <tableColumn id="3" xr3:uid="{42FF0FF5-1C8C-4027-ADE9-EA25ED6FF068}" name="Department Group"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BB9F9D-B228-49CE-8AA6-46B3682992FE}" name="Budget_Table" displayName="Budget_Table" ref="A4:F13" totalsRowShown="0" headerRowDxfId="4">
  <autoFilter ref="A4:F13" xr:uid="{49BB9F9D-B228-49CE-8AA6-46B3682992FE}"/>
  <tableColumns count="6">
    <tableColumn id="1" xr3:uid="{D6BBEB57-4033-41C1-8B4F-4470C4BB2C66}" name="Category"/>
    <tableColumn id="2" xr3:uid="{304E26AC-2E7C-49EA-9328-366E451996AA}" name="FY2024_Budget" dataDxfId="3"/>
    <tableColumn id="3" xr3:uid="{AD0764B6-1DB6-4BA1-91B9-CE3553C48063}" name="FY2025_Budget" dataDxfId="2"/>
    <tableColumn id="4" xr3:uid="{4804247C-442B-4028-A29C-6F7B63481D5D}" name="FY2024 Annual (₹)" dataDxfId="1">
      <calculatedColumnFormula>B5*12</calculatedColumnFormula>
    </tableColumn>
    <tableColumn id="5" xr3:uid="{425FBE0D-4FB3-4AA3-9866-F9F93A1E7491}" name="FY2025 Annual (₹)" dataDxfId="0">
      <calculatedColumnFormula>C5*12</calculatedColumnFormula>
    </tableColumn>
    <tableColumn id="6" xr3:uid="{399F03AE-06A2-4597-AD85-E3057A3BA705}" name="Category Group"/>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5605E2-50E4-4C23-8046-A68D42F5C30D}" name="BQ_Table" displayName="BQ_Table" ref="A4:O27" headerRowCount="0" totalsRowShown="0">
  <tableColumns count="15">
    <tableColumn id="1" xr3:uid="{02F01952-7CCD-427F-9B0A-78A8423A02B3}" name="Column1"/>
    <tableColumn id="2" xr3:uid="{B14D846C-95D7-401F-9755-57DF8F69B0E9}" name="Column2"/>
    <tableColumn id="3" xr3:uid="{60222D33-74C8-47D5-AFE1-C463E7497EA3}" name="Column3"/>
    <tableColumn id="4" xr3:uid="{55C67B10-ABD0-4FB0-81A7-F04018951006}" name="Column4"/>
    <tableColumn id="5" xr3:uid="{5EC9B3E9-5FDE-4890-991A-A64A367ABE75}" name="Column5"/>
    <tableColumn id="6" xr3:uid="{0CF6F406-33A8-4ACF-828A-857E4CA4FE4E}" name="Column6"/>
    <tableColumn id="7" xr3:uid="{BBCF51E0-8271-4DF3-A1A7-F63FBB25F254}" name="Column7"/>
    <tableColumn id="8" xr3:uid="{D0CB8F33-1F44-4E9A-A496-4638E8C4BB97}" name="Column8"/>
    <tableColumn id="9" xr3:uid="{78368D87-EF98-46D0-A521-0D5C7F88B0CC}" name="Column9"/>
    <tableColumn id="10" xr3:uid="{9E61773B-E28C-44EC-907E-056FCEE9F98B}" name="Column10"/>
    <tableColumn id="11" xr3:uid="{E3713A23-5C03-4AD6-B331-A97833A11B81}" name="Column11"/>
    <tableColumn id="12" xr3:uid="{C9619DA0-6220-41F8-BE45-BDA606E24446}" name="Column12"/>
    <tableColumn id="13" xr3:uid="{17CDC227-427B-4C3C-86C0-2917004E1067}" name="Column13"/>
    <tableColumn id="14" xr3:uid="{CEF18E7D-76D8-4FB1-9C31-B59D9193AEE9}" name="Column14"/>
    <tableColumn id="15" xr3:uid="{9DF9B634-3B58-438A-A9D2-893C1C882B8B}" name="Column15"/>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B1CC6-F431-4561-8A16-2E410762CD38}">
  <dimension ref="A1:B11"/>
  <sheetViews>
    <sheetView zoomScale="57" workbookViewId="0">
      <selection activeCell="A2" sqref="A2:XFD11"/>
    </sheetView>
  </sheetViews>
  <sheetFormatPr defaultRowHeight="14.4"/>
  <cols>
    <col min="2" max="2" width="95.33203125" bestFit="1" customWidth="1"/>
  </cols>
  <sheetData>
    <row r="1" spans="1:2" ht="15" thickBot="1"/>
    <row r="2" spans="1:2" s="4" customFormat="1" ht="25.8">
      <c r="A2" s="2"/>
      <c r="B2" s="3" t="s">
        <v>1</v>
      </c>
    </row>
    <row r="3" spans="1:2">
      <c r="A3" s="5"/>
      <c r="B3" s="1" t="s">
        <v>0</v>
      </c>
    </row>
    <row r="4" spans="1:2">
      <c r="A4" s="5"/>
    </row>
    <row r="5" spans="1:2">
      <c r="A5" s="5"/>
      <c r="B5" t="s">
        <v>2</v>
      </c>
    </row>
    <row r="6" spans="1:2">
      <c r="A6" s="5"/>
      <c r="B6" t="s">
        <v>3</v>
      </c>
    </row>
    <row r="7" spans="1:2">
      <c r="A7" s="5"/>
      <c r="B7" t="s">
        <v>4</v>
      </c>
    </row>
    <row r="8" spans="1:2">
      <c r="A8" s="5"/>
      <c r="B8" t="s">
        <v>6</v>
      </c>
    </row>
    <row r="9" spans="1:2">
      <c r="A9" s="5"/>
      <c r="B9" t="s">
        <v>5</v>
      </c>
    </row>
    <row r="10" spans="1:2">
      <c r="A10" s="5"/>
      <c r="B10" t="s">
        <v>7</v>
      </c>
    </row>
    <row r="11" spans="1:2" s="7" customFormat="1" ht="15" thickBot="1">
      <c r="A11" s="6"/>
      <c r="B11" s="7"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841C8-4E37-4261-BB87-9B243C5361D0}">
  <dimension ref="A1:L3263"/>
  <sheetViews>
    <sheetView tabSelected="1" zoomScale="75" workbookViewId="0">
      <selection activeCell="AF7" sqref="AF7"/>
    </sheetView>
  </sheetViews>
  <sheetFormatPr defaultRowHeight="14.4"/>
  <cols>
    <col min="1" max="1" width="9" bestFit="1" customWidth="1"/>
    <col min="2" max="2" width="31.44140625" bestFit="1" customWidth="1"/>
    <col min="3" max="3" width="23.33203125" bestFit="1" customWidth="1"/>
    <col min="4" max="4" width="12.44140625" bestFit="1" customWidth="1"/>
    <col min="5" max="5" width="11" bestFit="1" customWidth="1"/>
    <col min="6" max="6" width="15.33203125" bestFit="1" customWidth="1"/>
    <col min="7" max="7" width="13.33203125" bestFit="1" customWidth="1"/>
    <col min="8" max="8" width="6.88671875" bestFit="1" customWidth="1"/>
    <col min="9" max="9" width="9.6640625" bestFit="1" customWidth="1"/>
    <col min="10" max="10" width="12.21875" customWidth="1"/>
    <col min="11" max="11" width="11.44140625" customWidth="1"/>
    <col min="12" max="12" width="20.109375" bestFit="1" customWidth="1"/>
  </cols>
  <sheetData>
    <row r="1" spans="1:12">
      <c r="A1" t="s">
        <v>9</v>
      </c>
      <c r="B1" t="s">
        <v>11</v>
      </c>
      <c r="C1" t="s">
        <v>12</v>
      </c>
      <c r="D1" t="s">
        <v>13</v>
      </c>
      <c r="E1" t="s">
        <v>18</v>
      </c>
      <c r="F1" t="s">
        <v>14</v>
      </c>
      <c r="G1" t="s">
        <v>15</v>
      </c>
      <c r="H1" t="s">
        <v>16</v>
      </c>
      <c r="I1" t="s">
        <v>17</v>
      </c>
      <c r="J1" t="s">
        <v>10</v>
      </c>
      <c r="K1" t="s">
        <v>4744</v>
      </c>
      <c r="L1" s="21" t="s">
        <v>4831</v>
      </c>
    </row>
    <row r="2" spans="1:12">
      <c r="A2" t="s">
        <v>19</v>
      </c>
      <c r="B2" t="s">
        <v>4748</v>
      </c>
      <c r="C2" t="s">
        <v>22</v>
      </c>
      <c r="D2">
        <v>-182719</v>
      </c>
      <c r="E2" t="s">
        <v>23</v>
      </c>
      <c r="F2" t="s">
        <v>24</v>
      </c>
      <c r="G2" t="s">
        <v>25</v>
      </c>
      <c r="H2" t="s">
        <v>26</v>
      </c>
      <c r="I2" t="s">
        <v>27</v>
      </c>
      <c r="J2" s="11">
        <v>45382</v>
      </c>
      <c r="K2" t="str">
        <f>TEXT(Transactions_Clean[[#This Row],[Date]],"MMM-YYYY")</f>
        <v>Mar-2024</v>
      </c>
      <c r="L2">
        <f>IF(Transactions_Clean[[#This Row],[Category]]="Revenue",Transactions_Clean[[#This Row],[Amount(₹)]],Transactions_Clean[[#This Row],[Amount(₹)]]/8)</f>
        <v>-22839.875</v>
      </c>
    </row>
    <row r="3" spans="1:12">
      <c r="A3" t="s">
        <v>28</v>
      </c>
      <c r="B3" t="s">
        <v>30</v>
      </c>
      <c r="C3" t="s">
        <v>31</v>
      </c>
      <c r="D3">
        <v>-24423</v>
      </c>
      <c r="E3" t="s">
        <v>23</v>
      </c>
      <c r="F3" t="s">
        <v>32</v>
      </c>
      <c r="G3" t="s">
        <v>33</v>
      </c>
      <c r="H3" t="s">
        <v>26</v>
      </c>
      <c r="I3" t="s">
        <v>34</v>
      </c>
      <c r="J3" s="11">
        <v>45070</v>
      </c>
      <c r="K3" t="str">
        <f>TEXT(Transactions_Clean[[#This Row],[Date]],"MMM-YYYY")</f>
        <v>May-2023</v>
      </c>
      <c r="L3">
        <f>IF(Transactions_Clean[[#This Row],[Category]]="Revenue",Transactions_Clean[[#This Row],[Amount(₹)]],Transactions_Clean[[#This Row],[Amount(₹)]]/8)</f>
        <v>-3052.875</v>
      </c>
    </row>
    <row r="4" spans="1:12">
      <c r="A4" t="s">
        <v>35</v>
      </c>
      <c r="B4" t="s">
        <v>37</v>
      </c>
      <c r="C4" t="s">
        <v>38</v>
      </c>
      <c r="D4">
        <v>-41127</v>
      </c>
      <c r="E4" t="s">
        <v>23</v>
      </c>
      <c r="F4" t="s">
        <v>24</v>
      </c>
      <c r="G4" t="s">
        <v>33</v>
      </c>
      <c r="H4" t="s">
        <v>39</v>
      </c>
      <c r="I4" t="s">
        <v>40</v>
      </c>
      <c r="J4" s="11">
        <v>45926</v>
      </c>
      <c r="K4" t="str">
        <f>TEXT(Transactions_Clean[[#This Row],[Date]],"MMM-YYYY")</f>
        <v>Sep-2025</v>
      </c>
      <c r="L4">
        <f>IF(Transactions_Clean[[#This Row],[Category]]="Revenue",Transactions_Clean[[#This Row],[Amount(₹)]],Transactions_Clean[[#This Row],[Amount(₹)]]/8)</f>
        <v>-5140.875</v>
      </c>
    </row>
    <row r="5" spans="1:12">
      <c r="A5" t="s">
        <v>41</v>
      </c>
      <c r="B5" t="s">
        <v>4749</v>
      </c>
      <c r="C5" t="s">
        <v>44</v>
      </c>
      <c r="D5">
        <v>-74454</v>
      </c>
      <c r="E5" t="s">
        <v>23</v>
      </c>
      <c r="F5" t="s">
        <v>24</v>
      </c>
      <c r="G5" t="s">
        <v>33</v>
      </c>
      <c r="H5" t="s">
        <v>45</v>
      </c>
      <c r="I5" t="s">
        <v>40</v>
      </c>
      <c r="J5" s="11">
        <v>45502</v>
      </c>
      <c r="K5" t="str">
        <f>TEXT(Transactions_Clean[[#This Row],[Date]],"MMM-YYYY")</f>
        <v>Jul-2024</v>
      </c>
      <c r="L5">
        <f>IF(Transactions_Clean[[#This Row],[Category]]="Revenue",Transactions_Clean[[#This Row],[Amount(₹)]],Transactions_Clean[[#This Row],[Amount(₹)]]/8)</f>
        <v>-9306.75</v>
      </c>
    </row>
    <row r="6" spans="1:12">
      <c r="A6" t="s">
        <v>46</v>
      </c>
      <c r="B6" t="s">
        <v>30</v>
      </c>
      <c r="C6" t="s">
        <v>31</v>
      </c>
      <c r="D6">
        <v>-35623</v>
      </c>
      <c r="E6" t="s">
        <v>23</v>
      </c>
      <c r="F6" t="s">
        <v>32</v>
      </c>
      <c r="G6" t="s">
        <v>33</v>
      </c>
      <c r="H6" t="s">
        <v>26</v>
      </c>
      <c r="I6" t="s">
        <v>48</v>
      </c>
      <c r="J6" s="11">
        <v>45236</v>
      </c>
      <c r="K6" t="str">
        <f>TEXT(Transactions_Clean[[#This Row],[Date]],"MMM-YYYY")</f>
        <v>Nov-2023</v>
      </c>
      <c r="L6">
        <f>IF(Transactions_Clean[[#This Row],[Category]]="Revenue",Transactions_Clean[[#This Row],[Amount(₹)]],Transactions_Clean[[#This Row],[Amount(₹)]]/8)</f>
        <v>-4452.875</v>
      </c>
    </row>
    <row r="7" spans="1:12">
      <c r="A7" t="s">
        <v>49</v>
      </c>
      <c r="B7" t="s">
        <v>51</v>
      </c>
      <c r="C7" t="s">
        <v>4750</v>
      </c>
      <c r="D7">
        <v>-17065</v>
      </c>
      <c r="E7" t="s">
        <v>23</v>
      </c>
      <c r="F7" t="s">
        <v>32</v>
      </c>
      <c r="G7" t="s">
        <v>33</v>
      </c>
      <c r="H7" t="s">
        <v>26</v>
      </c>
      <c r="I7" t="s">
        <v>34</v>
      </c>
      <c r="J7" s="11">
        <v>45043</v>
      </c>
      <c r="K7" t="str">
        <f>TEXT(Transactions_Clean[[#This Row],[Date]],"MMM-YYYY")</f>
        <v>Apr-2023</v>
      </c>
      <c r="L7">
        <f>IF(Transactions_Clean[[#This Row],[Category]]="Revenue",Transactions_Clean[[#This Row],[Amount(₹)]],Transactions_Clean[[#This Row],[Amount(₹)]]/8)</f>
        <v>-2133.125</v>
      </c>
    </row>
    <row r="8" spans="1:12">
      <c r="A8" t="s">
        <v>52</v>
      </c>
      <c r="B8" t="s">
        <v>4751</v>
      </c>
      <c r="C8" t="s">
        <v>38</v>
      </c>
      <c r="D8">
        <v>-16852</v>
      </c>
      <c r="E8" t="s">
        <v>23</v>
      </c>
      <c r="F8" t="s">
        <v>24</v>
      </c>
      <c r="G8" t="s">
        <v>33</v>
      </c>
      <c r="H8" t="s">
        <v>26</v>
      </c>
      <c r="I8" t="s">
        <v>48</v>
      </c>
      <c r="J8" s="11">
        <v>45259</v>
      </c>
      <c r="K8" t="str">
        <f>TEXT(Transactions_Clean[[#This Row],[Date]],"MMM-YYYY")</f>
        <v>Nov-2023</v>
      </c>
      <c r="L8">
        <f>IF(Transactions_Clean[[#This Row],[Category]]="Revenue",Transactions_Clean[[#This Row],[Amount(₹)]],Transactions_Clean[[#This Row],[Amount(₹)]]/8)</f>
        <v>-2106.5</v>
      </c>
    </row>
    <row r="9" spans="1:12">
      <c r="A9" t="s">
        <v>55</v>
      </c>
      <c r="B9" t="s">
        <v>4752</v>
      </c>
      <c r="C9" t="s">
        <v>44</v>
      </c>
      <c r="D9">
        <v>-59833</v>
      </c>
      <c r="E9" t="s">
        <v>23</v>
      </c>
      <c r="F9" t="s">
        <v>32</v>
      </c>
      <c r="G9" t="s">
        <v>33</v>
      </c>
      <c r="H9" t="s">
        <v>26</v>
      </c>
      <c r="I9" t="s">
        <v>27</v>
      </c>
      <c r="J9" s="11">
        <v>45341</v>
      </c>
      <c r="K9" t="str">
        <f>TEXT(Transactions_Clean[[#This Row],[Date]],"MMM-YYYY")</f>
        <v>Feb-2024</v>
      </c>
      <c r="L9">
        <f>IF(Transactions_Clean[[#This Row],[Category]]="Revenue",Transactions_Clean[[#This Row],[Amount(₹)]],Transactions_Clean[[#This Row],[Amount(₹)]]/8)</f>
        <v>-7479.125</v>
      </c>
    </row>
    <row r="10" spans="1:12">
      <c r="A10" t="s">
        <v>58</v>
      </c>
      <c r="B10" t="s">
        <v>60</v>
      </c>
      <c r="C10" t="s">
        <v>61</v>
      </c>
      <c r="D10">
        <v>-53120</v>
      </c>
      <c r="E10" t="s">
        <v>62</v>
      </c>
      <c r="F10" t="s">
        <v>24</v>
      </c>
      <c r="G10" t="s">
        <v>63</v>
      </c>
      <c r="H10" t="s">
        <v>26</v>
      </c>
      <c r="I10" t="s">
        <v>34</v>
      </c>
      <c r="J10" s="11">
        <v>45081</v>
      </c>
      <c r="K10" t="str">
        <f>TEXT(Transactions_Clean[[#This Row],[Date]],"MMM-YYYY")</f>
        <v>Jun-2023</v>
      </c>
      <c r="L10">
        <f>IF(Transactions_Clean[[#This Row],[Category]]="Revenue",Transactions_Clean[[#This Row],[Amount(₹)]],Transactions_Clean[[#This Row],[Amount(₹)]]/8)</f>
        <v>-6640</v>
      </c>
    </row>
    <row r="11" spans="1:12">
      <c r="A11" t="s">
        <v>64</v>
      </c>
      <c r="B11" t="s">
        <v>66</v>
      </c>
      <c r="C11" t="s">
        <v>61</v>
      </c>
      <c r="D11">
        <v>-30421</v>
      </c>
      <c r="E11" t="s">
        <v>62</v>
      </c>
      <c r="F11" t="s">
        <v>24</v>
      </c>
      <c r="G11" t="s">
        <v>63</v>
      </c>
      <c r="H11" t="s">
        <v>26</v>
      </c>
      <c r="I11" t="s">
        <v>40</v>
      </c>
      <c r="J11" s="11">
        <v>45158</v>
      </c>
      <c r="K11" t="str">
        <f>TEXT(Transactions_Clean[[#This Row],[Date]],"MMM-YYYY")</f>
        <v>Aug-2023</v>
      </c>
      <c r="L11">
        <f>IF(Transactions_Clean[[#This Row],[Category]]="Revenue",Transactions_Clean[[#This Row],[Amount(₹)]],Transactions_Clean[[#This Row],[Amount(₹)]]/8)</f>
        <v>-3802.625</v>
      </c>
    </row>
    <row r="12" spans="1:12">
      <c r="A12" t="s">
        <v>67</v>
      </c>
      <c r="B12" t="s">
        <v>4753</v>
      </c>
      <c r="C12" t="s">
        <v>38</v>
      </c>
      <c r="D12">
        <v>-50685</v>
      </c>
      <c r="E12" t="s">
        <v>23</v>
      </c>
      <c r="F12" t="s">
        <v>32</v>
      </c>
      <c r="G12" t="s">
        <v>33</v>
      </c>
      <c r="H12" t="s">
        <v>39</v>
      </c>
      <c r="I12" t="s">
        <v>27</v>
      </c>
      <c r="J12" s="11">
        <v>46031</v>
      </c>
      <c r="K12" t="str">
        <f>TEXT(Transactions_Clean[[#This Row],[Date]],"MMM-YYYY")</f>
        <v>Jan-2026</v>
      </c>
      <c r="L12">
        <f>IF(Transactions_Clean[[#This Row],[Category]]="Revenue",Transactions_Clean[[#This Row],[Amount(₹)]],Transactions_Clean[[#This Row],[Amount(₹)]]/8)</f>
        <v>-6335.625</v>
      </c>
    </row>
    <row r="13" spans="1:12">
      <c r="A13" t="s">
        <v>70</v>
      </c>
      <c r="B13" t="s">
        <v>72</v>
      </c>
      <c r="C13" t="s">
        <v>73</v>
      </c>
      <c r="D13">
        <v>-47935</v>
      </c>
      <c r="E13" t="s">
        <v>74</v>
      </c>
      <c r="F13" t="s">
        <v>24</v>
      </c>
      <c r="G13" t="s">
        <v>25</v>
      </c>
      <c r="H13" t="s">
        <v>39</v>
      </c>
      <c r="I13" t="s">
        <v>27</v>
      </c>
      <c r="J13" s="11">
        <v>46103</v>
      </c>
      <c r="K13" t="str">
        <f>TEXT(Transactions_Clean[[#This Row],[Date]],"MMM-YYYY")</f>
        <v>Mar-2026</v>
      </c>
      <c r="L13">
        <f>IF(Transactions_Clean[[#This Row],[Category]]="Revenue",Transactions_Clean[[#This Row],[Amount(₹)]],Transactions_Clean[[#This Row],[Amount(₹)]]/8)</f>
        <v>-5991.875</v>
      </c>
    </row>
    <row r="14" spans="1:12">
      <c r="A14" t="s">
        <v>75</v>
      </c>
      <c r="B14" t="s">
        <v>4754</v>
      </c>
      <c r="C14" t="s">
        <v>78</v>
      </c>
      <c r="D14">
        <v>-92717</v>
      </c>
      <c r="E14" t="s">
        <v>23</v>
      </c>
      <c r="F14" t="s">
        <v>24</v>
      </c>
      <c r="G14" t="s">
        <v>79</v>
      </c>
      <c r="H14" t="s">
        <v>45</v>
      </c>
      <c r="I14" t="s">
        <v>48</v>
      </c>
      <c r="J14" s="11">
        <v>45612</v>
      </c>
      <c r="K14" t="str">
        <f>TEXT(Transactions_Clean[[#This Row],[Date]],"MMM-YYYY")</f>
        <v>Nov-2024</v>
      </c>
      <c r="L14">
        <f>IF(Transactions_Clean[[#This Row],[Category]]="Revenue",Transactions_Clean[[#This Row],[Amount(₹)]],Transactions_Clean[[#This Row],[Amount(₹)]]/8)</f>
        <v>-11589.625</v>
      </c>
    </row>
    <row r="15" spans="1:12">
      <c r="A15" t="s">
        <v>80</v>
      </c>
      <c r="B15" t="s">
        <v>60</v>
      </c>
      <c r="C15" t="s">
        <v>61</v>
      </c>
      <c r="D15">
        <v>-53174</v>
      </c>
      <c r="E15" t="s">
        <v>62</v>
      </c>
      <c r="F15" t="s">
        <v>24</v>
      </c>
      <c r="G15" t="s">
        <v>63</v>
      </c>
      <c r="H15" t="s">
        <v>39</v>
      </c>
      <c r="I15" t="s">
        <v>34</v>
      </c>
      <c r="J15" s="11">
        <v>45815</v>
      </c>
      <c r="K15" t="str">
        <f>TEXT(Transactions_Clean[[#This Row],[Date]],"MMM-YYYY")</f>
        <v>Jun-2025</v>
      </c>
      <c r="L15">
        <f>IF(Transactions_Clean[[#This Row],[Category]]="Revenue",Transactions_Clean[[#This Row],[Amount(₹)]],Transactions_Clean[[#This Row],[Amount(₹)]]/8)</f>
        <v>-6646.75</v>
      </c>
    </row>
    <row r="16" spans="1:12">
      <c r="A16" t="s">
        <v>82</v>
      </c>
      <c r="B16" t="s">
        <v>4755</v>
      </c>
      <c r="C16" t="s">
        <v>78</v>
      </c>
      <c r="D16">
        <v>-83690</v>
      </c>
      <c r="E16" t="s">
        <v>23</v>
      </c>
      <c r="F16" t="s">
        <v>24</v>
      </c>
      <c r="G16" t="s">
        <v>79</v>
      </c>
      <c r="H16" t="s">
        <v>26</v>
      </c>
      <c r="I16" t="s">
        <v>48</v>
      </c>
      <c r="J16" s="11">
        <v>45252</v>
      </c>
      <c r="K16" t="str">
        <f>TEXT(Transactions_Clean[[#This Row],[Date]],"MMM-YYYY")</f>
        <v>Nov-2023</v>
      </c>
      <c r="L16">
        <f>IF(Transactions_Clean[[#This Row],[Category]]="Revenue",Transactions_Clean[[#This Row],[Amount(₹)]],Transactions_Clean[[#This Row],[Amount(₹)]]/8)</f>
        <v>-10461.25</v>
      </c>
    </row>
    <row r="17" spans="1:12">
      <c r="A17" t="s">
        <v>85</v>
      </c>
      <c r="B17" t="s">
        <v>87</v>
      </c>
      <c r="C17" t="s">
        <v>22</v>
      </c>
      <c r="D17">
        <v>-79631</v>
      </c>
      <c r="E17" t="s">
        <v>23</v>
      </c>
      <c r="F17" t="s">
        <v>32</v>
      </c>
      <c r="G17" t="s">
        <v>25</v>
      </c>
      <c r="H17" t="s">
        <v>45</v>
      </c>
      <c r="I17" t="s">
        <v>40</v>
      </c>
      <c r="J17" s="11">
        <v>45558</v>
      </c>
      <c r="K17" t="str">
        <f>TEXT(Transactions_Clean[[#This Row],[Date]],"MMM-YYYY")</f>
        <v>Sep-2024</v>
      </c>
      <c r="L17">
        <f>IF(Transactions_Clean[[#This Row],[Category]]="Revenue",Transactions_Clean[[#This Row],[Amount(₹)]],Transactions_Clean[[#This Row],[Amount(₹)]]/8)</f>
        <v>-9953.875</v>
      </c>
    </row>
    <row r="18" spans="1:12">
      <c r="A18" t="s">
        <v>88</v>
      </c>
      <c r="B18" t="s">
        <v>4756</v>
      </c>
      <c r="C18" t="s">
        <v>73</v>
      </c>
      <c r="D18">
        <v>-30161</v>
      </c>
      <c r="E18" t="s">
        <v>74</v>
      </c>
      <c r="F18" t="s">
        <v>24</v>
      </c>
      <c r="G18" t="s">
        <v>25</v>
      </c>
      <c r="H18" t="s">
        <v>39</v>
      </c>
      <c r="I18" t="s">
        <v>27</v>
      </c>
      <c r="J18" s="11">
        <v>46028</v>
      </c>
      <c r="K18" t="str">
        <f>TEXT(Transactions_Clean[[#This Row],[Date]],"MMM-YYYY")</f>
        <v>Jan-2026</v>
      </c>
      <c r="L18">
        <f>IF(Transactions_Clean[[#This Row],[Category]]="Revenue",Transactions_Clean[[#This Row],[Amount(₹)]],Transactions_Clean[[#This Row],[Amount(₹)]]/8)</f>
        <v>-3770.125</v>
      </c>
    </row>
    <row r="19" spans="1:12">
      <c r="A19" t="s">
        <v>91</v>
      </c>
      <c r="B19" t="s">
        <v>4757</v>
      </c>
      <c r="C19" t="s">
        <v>73</v>
      </c>
      <c r="D19">
        <v>-23167</v>
      </c>
      <c r="E19" t="s">
        <v>74</v>
      </c>
      <c r="F19" t="s">
        <v>24</v>
      </c>
      <c r="G19" t="s">
        <v>25</v>
      </c>
      <c r="H19" t="s">
        <v>26</v>
      </c>
      <c r="I19" t="s">
        <v>27</v>
      </c>
      <c r="J19" s="11">
        <v>45335</v>
      </c>
      <c r="K19" t="str">
        <f>TEXT(Transactions_Clean[[#This Row],[Date]],"MMM-YYYY")</f>
        <v>Feb-2024</v>
      </c>
      <c r="L19">
        <f>IF(Transactions_Clean[[#This Row],[Category]]="Revenue",Transactions_Clean[[#This Row],[Amount(₹)]],Transactions_Clean[[#This Row],[Amount(₹)]]/8)</f>
        <v>-2895.875</v>
      </c>
    </row>
    <row r="20" spans="1:12">
      <c r="A20" t="s">
        <v>94</v>
      </c>
      <c r="B20" t="s">
        <v>51</v>
      </c>
      <c r="C20" t="s">
        <v>31</v>
      </c>
      <c r="D20">
        <v>-17445</v>
      </c>
      <c r="E20" t="s">
        <v>23</v>
      </c>
      <c r="F20" t="s">
        <v>32</v>
      </c>
      <c r="G20" t="s">
        <v>33</v>
      </c>
      <c r="H20" t="s">
        <v>26</v>
      </c>
      <c r="I20" t="s">
        <v>27</v>
      </c>
      <c r="J20" s="11">
        <v>45309</v>
      </c>
      <c r="K20" t="str">
        <f>TEXT(Transactions_Clean[[#This Row],[Date]],"MMM-YYYY")</f>
        <v>Jan-2024</v>
      </c>
      <c r="L20">
        <f>IF(Transactions_Clean[[#This Row],[Category]]="Revenue",Transactions_Clean[[#This Row],[Amount(₹)]],Transactions_Clean[[#This Row],[Amount(₹)]]/8)</f>
        <v>-2180.625</v>
      </c>
    </row>
    <row r="21" spans="1:12">
      <c r="A21" t="s">
        <v>96</v>
      </c>
      <c r="B21" t="s">
        <v>72</v>
      </c>
      <c r="C21" t="s">
        <v>73</v>
      </c>
      <c r="D21">
        <v>-80984</v>
      </c>
      <c r="E21" t="s">
        <v>74</v>
      </c>
      <c r="F21" t="s">
        <v>32</v>
      </c>
      <c r="G21" t="s">
        <v>25</v>
      </c>
      <c r="H21" t="s">
        <v>26</v>
      </c>
      <c r="I21" t="s">
        <v>27</v>
      </c>
      <c r="J21" s="11">
        <v>45353</v>
      </c>
      <c r="K21" t="str">
        <f>TEXT(Transactions_Clean[[#This Row],[Date]],"MMM-YYYY")</f>
        <v>Mar-2024</v>
      </c>
      <c r="L21">
        <f>IF(Transactions_Clean[[#This Row],[Category]]="Revenue",Transactions_Clean[[#This Row],[Amount(₹)]],Transactions_Clean[[#This Row],[Amount(₹)]]/8)</f>
        <v>-10123</v>
      </c>
    </row>
    <row r="22" spans="1:12">
      <c r="A22" t="s">
        <v>98</v>
      </c>
      <c r="B22" t="s">
        <v>100</v>
      </c>
      <c r="C22" t="s">
        <v>31</v>
      </c>
      <c r="D22">
        <v>-6918</v>
      </c>
      <c r="E22" t="s">
        <v>23</v>
      </c>
      <c r="F22" t="s">
        <v>24</v>
      </c>
      <c r="G22" t="s">
        <v>33</v>
      </c>
      <c r="H22" t="s">
        <v>45</v>
      </c>
      <c r="I22" t="s">
        <v>34</v>
      </c>
      <c r="J22" s="11">
        <v>45447</v>
      </c>
      <c r="K22" t="str">
        <f>TEXT(Transactions_Clean[[#This Row],[Date]],"MMM-YYYY")</f>
        <v>Jun-2024</v>
      </c>
      <c r="L22">
        <f>IF(Transactions_Clean[[#This Row],[Category]]="Revenue",Transactions_Clean[[#This Row],[Amount(₹)]],Transactions_Clean[[#This Row],[Amount(₹)]]/8)</f>
        <v>-864.75</v>
      </c>
    </row>
    <row r="23" spans="1:12">
      <c r="A23" t="s">
        <v>101</v>
      </c>
      <c r="B23" t="s">
        <v>4758</v>
      </c>
      <c r="C23" t="s">
        <v>78</v>
      </c>
      <c r="D23">
        <v>-36655</v>
      </c>
      <c r="E23" t="s">
        <v>23</v>
      </c>
      <c r="F23" t="s">
        <v>32</v>
      </c>
      <c r="G23" t="s">
        <v>79</v>
      </c>
      <c r="H23" t="s">
        <v>45</v>
      </c>
      <c r="I23" t="s">
        <v>27</v>
      </c>
      <c r="J23" s="11">
        <v>45745</v>
      </c>
      <c r="K23" t="str">
        <f>TEXT(Transactions_Clean[[#This Row],[Date]],"MMM-YYYY")</f>
        <v>Mar-2025</v>
      </c>
      <c r="L23">
        <f>IF(Transactions_Clean[[#This Row],[Category]]="Revenue",Transactions_Clean[[#This Row],[Amount(₹)]],Transactions_Clean[[#This Row],[Amount(₹)]]/8)</f>
        <v>-4581.875</v>
      </c>
    </row>
    <row r="24" spans="1:12">
      <c r="A24" t="s">
        <v>104</v>
      </c>
      <c r="B24" t="s">
        <v>106</v>
      </c>
      <c r="C24" t="s">
        <v>31</v>
      </c>
      <c r="D24">
        <v>-20678</v>
      </c>
      <c r="E24" t="s">
        <v>23</v>
      </c>
      <c r="F24" t="s">
        <v>32</v>
      </c>
      <c r="G24" t="s">
        <v>33</v>
      </c>
      <c r="H24" t="s">
        <v>45</v>
      </c>
      <c r="I24" t="s">
        <v>40</v>
      </c>
      <c r="J24" s="11">
        <v>45503</v>
      </c>
      <c r="K24" t="str">
        <f>TEXT(Transactions_Clean[[#This Row],[Date]],"MMM-YYYY")</f>
        <v>Jul-2024</v>
      </c>
      <c r="L24">
        <f>IF(Transactions_Clean[[#This Row],[Category]]="Revenue",Transactions_Clean[[#This Row],[Amount(₹)]],Transactions_Clean[[#This Row],[Amount(₹)]]/8)</f>
        <v>-2584.75</v>
      </c>
    </row>
    <row r="25" spans="1:12">
      <c r="A25" t="s">
        <v>107</v>
      </c>
      <c r="B25" t="s">
        <v>4758</v>
      </c>
      <c r="C25" t="s">
        <v>78</v>
      </c>
      <c r="D25">
        <v>-78048</v>
      </c>
      <c r="E25" t="s">
        <v>23</v>
      </c>
      <c r="F25" t="s">
        <v>24</v>
      </c>
      <c r="G25" t="s">
        <v>79</v>
      </c>
      <c r="H25" t="s">
        <v>39</v>
      </c>
      <c r="I25" t="s">
        <v>34</v>
      </c>
      <c r="J25" s="11">
        <v>45754</v>
      </c>
      <c r="K25" t="str">
        <f>TEXT(Transactions_Clean[[#This Row],[Date]],"MMM-YYYY")</f>
        <v>Apr-2025</v>
      </c>
      <c r="L25">
        <f>IF(Transactions_Clean[[#This Row],[Category]]="Revenue",Transactions_Clean[[#This Row],[Amount(₹)]],Transactions_Clean[[#This Row],[Amount(₹)]]/8)</f>
        <v>-9756</v>
      </c>
    </row>
    <row r="26" spans="1:12">
      <c r="A26" t="s">
        <v>109</v>
      </c>
      <c r="B26" t="s">
        <v>72</v>
      </c>
      <c r="C26" t="s">
        <v>73</v>
      </c>
      <c r="D26">
        <v>-40767</v>
      </c>
      <c r="E26" t="s">
        <v>74</v>
      </c>
      <c r="F26" t="s">
        <v>32</v>
      </c>
      <c r="G26" t="s">
        <v>25</v>
      </c>
      <c r="H26" t="s">
        <v>39</v>
      </c>
      <c r="I26" t="s">
        <v>34</v>
      </c>
      <c r="J26" s="11">
        <v>45771</v>
      </c>
      <c r="K26" t="str">
        <f>TEXT(Transactions_Clean[[#This Row],[Date]],"MMM-YYYY")</f>
        <v>Apr-2025</v>
      </c>
      <c r="L26">
        <f>IF(Transactions_Clean[[#This Row],[Category]]="Revenue",Transactions_Clean[[#This Row],[Amount(₹)]],Transactions_Clean[[#This Row],[Amount(₹)]]/8)</f>
        <v>-5095.875</v>
      </c>
    </row>
    <row r="27" spans="1:12">
      <c r="A27" t="s">
        <v>112</v>
      </c>
      <c r="B27" t="s">
        <v>106</v>
      </c>
      <c r="C27" t="s">
        <v>31</v>
      </c>
      <c r="D27">
        <v>-37253</v>
      </c>
      <c r="E27" t="s">
        <v>23</v>
      </c>
      <c r="F27" t="s">
        <v>32</v>
      </c>
      <c r="G27" t="s">
        <v>33</v>
      </c>
      <c r="H27" t="s">
        <v>26</v>
      </c>
      <c r="I27" t="s">
        <v>27</v>
      </c>
      <c r="J27" s="11">
        <v>45302</v>
      </c>
      <c r="K27" t="str">
        <f>TEXT(Transactions_Clean[[#This Row],[Date]],"MMM-YYYY")</f>
        <v>Jan-2024</v>
      </c>
      <c r="L27">
        <f>IF(Transactions_Clean[[#This Row],[Category]]="Revenue",Transactions_Clean[[#This Row],[Amount(₹)]],Transactions_Clean[[#This Row],[Amount(₹)]]/8)</f>
        <v>-4656.625</v>
      </c>
    </row>
    <row r="28" spans="1:12">
      <c r="A28" t="s">
        <v>114</v>
      </c>
      <c r="B28" t="s">
        <v>116</v>
      </c>
      <c r="C28" t="s">
        <v>73</v>
      </c>
      <c r="D28">
        <v>-66017</v>
      </c>
      <c r="E28" t="s">
        <v>74</v>
      </c>
      <c r="F28" t="s">
        <v>32</v>
      </c>
      <c r="G28" t="s">
        <v>25</v>
      </c>
      <c r="H28" t="s">
        <v>45</v>
      </c>
      <c r="I28" t="s">
        <v>48</v>
      </c>
      <c r="J28" s="11">
        <v>45621</v>
      </c>
      <c r="K28" t="str">
        <f>TEXT(Transactions_Clean[[#This Row],[Date]],"MMM-YYYY")</f>
        <v>Nov-2024</v>
      </c>
      <c r="L28">
        <f>IF(Transactions_Clean[[#This Row],[Category]]="Revenue",Transactions_Clean[[#This Row],[Amount(₹)]],Transactions_Clean[[#This Row],[Amount(₹)]]/8)</f>
        <v>-8252.125</v>
      </c>
    </row>
    <row r="29" spans="1:12">
      <c r="A29" t="s">
        <v>117</v>
      </c>
      <c r="B29" t="s">
        <v>4757</v>
      </c>
      <c r="C29" t="s">
        <v>73</v>
      </c>
      <c r="D29">
        <v>-13987</v>
      </c>
      <c r="E29" t="s">
        <v>74</v>
      </c>
      <c r="F29" t="s">
        <v>24</v>
      </c>
      <c r="G29" t="s">
        <v>25</v>
      </c>
      <c r="H29" t="s">
        <v>45</v>
      </c>
      <c r="I29" t="s">
        <v>40</v>
      </c>
      <c r="J29" s="11">
        <v>45475</v>
      </c>
      <c r="K29" t="str">
        <f>TEXT(Transactions_Clean[[#This Row],[Date]],"MMM-YYYY")</f>
        <v>Jul-2024</v>
      </c>
      <c r="L29">
        <f>IF(Transactions_Clean[[#This Row],[Category]]="Revenue",Transactions_Clean[[#This Row],[Amount(₹)]],Transactions_Clean[[#This Row],[Amount(₹)]]/8)</f>
        <v>-1748.375</v>
      </c>
    </row>
    <row r="30" spans="1:12">
      <c r="A30" t="s">
        <v>120</v>
      </c>
      <c r="B30" t="s">
        <v>4756</v>
      </c>
      <c r="C30" t="s">
        <v>73</v>
      </c>
      <c r="D30">
        <v>-12002</v>
      </c>
      <c r="E30" t="s">
        <v>74</v>
      </c>
      <c r="F30" t="s">
        <v>24</v>
      </c>
      <c r="G30" t="s">
        <v>25</v>
      </c>
      <c r="H30" t="s">
        <v>39</v>
      </c>
      <c r="I30" t="s">
        <v>40</v>
      </c>
      <c r="J30" s="11">
        <v>45865</v>
      </c>
      <c r="K30" t="str">
        <f>TEXT(Transactions_Clean[[#This Row],[Date]],"MMM-YYYY")</f>
        <v>Jul-2025</v>
      </c>
      <c r="L30">
        <f>IF(Transactions_Clean[[#This Row],[Category]]="Revenue",Transactions_Clean[[#This Row],[Amount(₹)]],Transactions_Clean[[#This Row],[Amount(₹)]]/8)</f>
        <v>-1500.25</v>
      </c>
    </row>
    <row r="31" spans="1:12">
      <c r="A31" t="s">
        <v>122</v>
      </c>
      <c r="B31" t="s">
        <v>37</v>
      </c>
      <c r="C31" t="s">
        <v>38</v>
      </c>
      <c r="D31">
        <v>-13151</v>
      </c>
      <c r="E31" t="s">
        <v>23</v>
      </c>
      <c r="F31" t="s">
        <v>24</v>
      </c>
      <c r="G31" t="s">
        <v>33</v>
      </c>
      <c r="H31" t="s">
        <v>39</v>
      </c>
      <c r="I31" t="s">
        <v>40</v>
      </c>
      <c r="J31" s="11">
        <v>45852</v>
      </c>
      <c r="K31" t="str">
        <f>TEXT(Transactions_Clean[[#This Row],[Date]],"MMM-YYYY")</f>
        <v>Jul-2025</v>
      </c>
      <c r="L31">
        <f>IF(Transactions_Clean[[#This Row],[Category]]="Revenue",Transactions_Clean[[#This Row],[Amount(₹)]],Transactions_Clean[[#This Row],[Amount(₹)]]/8)</f>
        <v>-1643.875</v>
      </c>
    </row>
    <row r="32" spans="1:12">
      <c r="A32" t="s">
        <v>124</v>
      </c>
      <c r="B32" t="s">
        <v>4759</v>
      </c>
      <c r="C32" t="s">
        <v>31</v>
      </c>
      <c r="D32">
        <v>-8764</v>
      </c>
      <c r="E32" t="s">
        <v>23</v>
      </c>
      <c r="F32" t="s">
        <v>32</v>
      </c>
      <c r="G32" t="s">
        <v>33</v>
      </c>
      <c r="H32" t="s">
        <v>39</v>
      </c>
      <c r="I32" t="s">
        <v>27</v>
      </c>
      <c r="J32" s="11">
        <v>46023</v>
      </c>
      <c r="K32" t="str">
        <f>TEXT(Transactions_Clean[[#This Row],[Date]],"MMM-YYYY")</f>
        <v>Jan-2026</v>
      </c>
      <c r="L32">
        <f>IF(Transactions_Clean[[#This Row],[Category]]="Revenue",Transactions_Clean[[#This Row],[Amount(₹)]],Transactions_Clean[[#This Row],[Amount(₹)]]/8)</f>
        <v>-1095.5</v>
      </c>
    </row>
    <row r="33" spans="1:12">
      <c r="A33" t="s">
        <v>127</v>
      </c>
      <c r="B33" t="s">
        <v>129</v>
      </c>
      <c r="C33" t="s">
        <v>38</v>
      </c>
      <c r="D33">
        <v>-36634</v>
      </c>
      <c r="E33" t="s">
        <v>23</v>
      </c>
      <c r="F33" t="s">
        <v>24</v>
      </c>
      <c r="G33" t="s">
        <v>33</v>
      </c>
      <c r="H33" t="s">
        <v>39</v>
      </c>
      <c r="I33" t="s">
        <v>27</v>
      </c>
      <c r="J33" s="11">
        <v>46042</v>
      </c>
      <c r="K33" t="str">
        <f>TEXT(Transactions_Clean[[#This Row],[Date]],"MMM-YYYY")</f>
        <v>Jan-2026</v>
      </c>
      <c r="L33">
        <f>IF(Transactions_Clean[[#This Row],[Category]]="Revenue",Transactions_Clean[[#This Row],[Amount(₹)]],Transactions_Clean[[#This Row],[Amount(₹)]]/8)</f>
        <v>-4579.25</v>
      </c>
    </row>
    <row r="34" spans="1:12">
      <c r="A34" t="s">
        <v>130</v>
      </c>
      <c r="B34" t="s">
        <v>4760</v>
      </c>
      <c r="C34" t="s">
        <v>73</v>
      </c>
      <c r="D34">
        <v>-59673</v>
      </c>
      <c r="E34" t="s">
        <v>74</v>
      </c>
      <c r="F34" t="s">
        <v>24</v>
      </c>
      <c r="G34" t="s">
        <v>25</v>
      </c>
      <c r="H34" t="s">
        <v>39</v>
      </c>
      <c r="I34" t="s">
        <v>27</v>
      </c>
      <c r="J34" s="11">
        <v>46037</v>
      </c>
      <c r="K34" t="str">
        <f>TEXT(Transactions_Clean[[#This Row],[Date]],"MMM-YYYY")</f>
        <v>Jan-2026</v>
      </c>
      <c r="L34">
        <f>IF(Transactions_Clean[[#This Row],[Category]]="Revenue",Transactions_Clean[[#This Row],[Amount(₹)]],Transactions_Clean[[#This Row],[Amount(₹)]]/8)</f>
        <v>-7459.125</v>
      </c>
    </row>
    <row r="35" spans="1:12">
      <c r="A35" t="s">
        <v>133</v>
      </c>
      <c r="B35" t="s">
        <v>4761</v>
      </c>
      <c r="C35" t="s">
        <v>136</v>
      </c>
      <c r="D35">
        <v>-10672016</v>
      </c>
      <c r="E35" t="s">
        <v>62</v>
      </c>
      <c r="F35" t="s">
        <v>32</v>
      </c>
      <c r="G35" t="s">
        <v>63</v>
      </c>
      <c r="H35" t="s">
        <v>26</v>
      </c>
      <c r="I35" t="s">
        <v>27</v>
      </c>
      <c r="J35" s="11">
        <v>45379</v>
      </c>
      <c r="K35" t="str">
        <f>TEXT(Transactions_Clean[[#This Row],[Date]],"MMM-YYYY")</f>
        <v>Mar-2024</v>
      </c>
      <c r="L35">
        <f>IF(Transactions_Clean[[#This Row],[Category]]="Revenue",Transactions_Clean[[#This Row],[Amount(₹)]],Transactions_Clean[[#This Row],[Amount(₹)]]/8)</f>
        <v>-1334002</v>
      </c>
    </row>
    <row r="36" spans="1:12">
      <c r="A36" t="s">
        <v>137</v>
      </c>
      <c r="B36" t="s">
        <v>66</v>
      </c>
      <c r="C36" t="s">
        <v>61</v>
      </c>
      <c r="D36">
        <v>-13059</v>
      </c>
      <c r="E36" t="s">
        <v>62</v>
      </c>
      <c r="F36" t="s">
        <v>32</v>
      </c>
      <c r="G36" t="s">
        <v>63</v>
      </c>
      <c r="H36" t="s">
        <v>39</v>
      </c>
      <c r="I36" t="s">
        <v>34</v>
      </c>
      <c r="J36" s="11">
        <v>45814</v>
      </c>
      <c r="K36" t="str">
        <f>TEXT(Transactions_Clean[[#This Row],[Date]],"MMM-YYYY")</f>
        <v>Jun-2025</v>
      </c>
      <c r="L36">
        <f>IF(Transactions_Clean[[#This Row],[Category]]="Revenue",Transactions_Clean[[#This Row],[Amount(₹)]],Transactions_Clean[[#This Row],[Amount(₹)]]/8)</f>
        <v>-1632.375</v>
      </c>
    </row>
    <row r="37" spans="1:12">
      <c r="A37" t="s">
        <v>139</v>
      </c>
      <c r="B37" t="s">
        <v>4751</v>
      </c>
      <c r="C37" t="s">
        <v>38</v>
      </c>
      <c r="D37">
        <v>-47531</v>
      </c>
      <c r="E37" t="s">
        <v>23</v>
      </c>
      <c r="F37" t="s">
        <v>24</v>
      </c>
      <c r="G37" t="s">
        <v>33</v>
      </c>
      <c r="H37" t="s">
        <v>39</v>
      </c>
      <c r="I37" t="s">
        <v>27</v>
      </c>
      <c r="J37" s="11">
        <v>46107</v>
      </c>
      <c r="K37" t="str">
        <f>TEXT(Transactions_Clean[[#This Row],[Date]],"MMM-YYYY")</f>
        <v>Mar-2026</v>
      </c>
      <c r="L37">
        <f>IF(Transactions_Clean[[#This Row],[Category]]="Revenue",Transactions_Clean[[#This Row],[Amount(₹)]],Transactions_Clean[[#This Row],[Amount(₹)]]/8)</f>
        <v>-5941.375</v>
      </c>
    </row>
    <row r="38" spans="1:12">
      <c r="A38" t="s">
        <v>141</v>
      </c>
      <c r="B38" t="s">
        <v>143</v>
      </c>
      <c r="C38" t="s">
        <v>78</v>
      </c>
      <c r="D38">
        <v>-31061</v>
      </c>
      <c r="E38" t="s">
        <v>23</v>
      </c>
      <c r="F38" t="s">
        <v>32</v>
      </c>
      <c r="G38" t="s">
        <v>79</v>
      </c>
      <c r="H38" t="s">
        <v>39</v>
      </c>
      <c r="I38" t="s">
        <v>40</v>
      </c>
      <c r="J38" s="11">
        <v>45930</v>
      </c>
      <c r="K38" t="str">
        <f>TEXT(Transactions_Clean[[#This Row],[Date]],"MMM-YYYY")</f>
        <v>Sep-2025</v>
      </c>
      <c r="L38">
        <f>IF(Transactions_Clean[[#This Row],[Category]]="Revenue",Transactions_Clean[[#This Row],[Amount(₹)]],Transactions_Clean[[#This Row],[Amount(₹)]]/8)</f>
        <v>-3882.625</v>
      </c>
    </row>
    <row r="39" spans="1:12">
      <c r="A39" t="s">
        <v>144</v>
      </c>
      <c r="B39" t="s">
        <v>100</v>
      </c>
      <c r="C39" t="s">
        <v>31</v>
      </c>
      <c r="D39">
        <v>-34912</v>
      </c>
      <c r="E39" t="s">
        <v>23</v>
      </c>
      <c r="F39" t="s">
        <v>32</v>
      </c>
      <c r="G39" t="s">
        <v>33</v>
      </c>
      <c r="H39" t="s">
        <v>26</v>
      </c>
      <c r="I39" t="s">
        <v>40</v>
      </c>
      <c r="J39" s="11">
        <v>45155</v>
      </c>
      <c r="K39" t="str">
        <f>TEXT(Transactions_Clean[[#This Row],[Date]],"MMM-YYYY")</f>
        <v>Aug-2023</v>
      </c>
      <c r="L39">
        <f>IF(Transactions_Clean[[#This Row],[Category]]="Revenue",Transactions_Clean[[#This Row],[Amount(₹)]],Transactions_Clean[[#This Row],[Amount(₹)]]/8)</f>
        <v>-4364</v>
      </c>
    </row>
    <row r="40" spans="1:12">
      <c r="A40" t="s">
        <v>146</v>
      </c>
      <c r="B40" t="s">
        <v>66</v>
      </c>
      <c r="C40" t="s">
        <v>61</v>
      </c>
      <c r="D40">
        <v>-41271</v>
      </c>
      <c r="E40" t="s">
        <v>62</v>
      </c>
      <c r="F40" t="s">
        <v>24</v>
      </c>
      <c r="G40" t="s">
        <v>63</v>
      </c>
      <c r="H40" t="s">
        <v>26</v>
      </c>
      <c r="I40" t="s">
        <v>27</v>
      </c>
      <c r="J40" s="11">
        <v>45303</v>
      </c>
      <c r="K40" t="str">
        <f>TEXT(Transactions_Clean[[#This Row],[Date]],"MMM-YYYY")</f>
        <v>Jan-2024</v>
      </c>
      <c r="L40">
        <f>IF(Transactions_Clean[[#This Row],[Category]]="Revenue",Transactions_Clean[[#This Row],[Amount(₹)]],Transactions_Clean[[#This Row],[Amount(₹)]]/8)</f>
        <v>-5158.875</v>
      </c>
    </row>
    <row r="41" spans="1:12">
      <c r="A41" t="s">
        <v>148</v>
      </c>
      <c r="B41" t="s">
        <v>60</v>
      </c>
      <c r="C41" t="s">
        <v>61</v>
      </c>
      <c r="D41">
        <v>-20795</v>
      </c>
      <c r="E41" t="s">
        <v>62</v>
      </c>
      <c r="F41" t="s">
        <v>24</v>
      </c>
      <c r="G41" t="s">
        <v>63</v>
      </c>
      <c r="H41" t="s">
        <v>45</v>
      </c>
      <c r="I41" t="s">
        <v>34</v>
      </c>
      <c r="J41" s="11">
        <v>45463</v>
      </c>
      <c r="K41" t="str">
        <f>TEXT(Transactions_Clean[[#This Row],[Date]],"MMM-YYYY")</f>
        <v>Jun-2024</v>
      </c>
      <c r="L41">
        <f>IF(Transactions_Clean[[#This Row],[Category]]="Revenue",Transactions_Clean[[#This Row],[Amount(₹)]],Transactions_Clean[[#This Row],[Amount(₹)]]/8)</f>
        <v>-2599.375</v>
      </c>
    </row>
    <row r="42" spans="1:12">
      <c r="A42" t="s">
        <v>150</v>
      </c>
      <c r="B42" t="s">
        <v>4752</v>
      </c>
      <c r="C42" t="s">
        <v>44</v>
      </c>
      <c r="D42">
        <v>-176188</v>
      </c>
      <c r="E42" t="s">
        <v>23</v>
      </c>
      <c r="F42" t="s">
        <v>24</v>
      </c>
      <c r="G42" t="s">
        <v>33</v>
      </c>
      <c r="H42" t="s">
        <v>45</v>
      </c>
      <c r="I42" t="s">
        <v>48</v>
      </c>
      <c r="J42" s="11">
        <v>45623</v>
      </c>
      <c r="K42" t="str">
        <f>TEXT(Transactions_Clean[[#This Row],[Date]],"MMM-YYYY")</f>
        <v>Nov-2024</v>
      </c>
      <c r="L42">
        <f>IF(Transactions_Clean[[#This Row],[Category]]="Revenue",Transactions_Clean[[#This Row],[Amount(₹)]],Transactions_Clean[[#This Row],[Amount(₹)]]/8)</f>
        <v>-22023.5</v>
      </c>
    </row>
    <row r="43" spans="1:12">
      <c r="A43" t="s">
        <v>152</v>
      </c>
      <c r="B43" t="s">
        <v>72</v>
      </c>
      <c r="C43" t="s">
        <v>4750</v>
      </c>
      <c r="D43">
        <v>-66718</v>
      </c>
      <c r="E43" t="s">
        <v>74</v>
      </c>
      <c r="F43" t="s">
        <v>24</v>
      </c>
      <c r="G43" t="s">
        <v>25</v>
      </c>
      <c r="H43" t="s">
        <v>45</v>
      </c>
      <c r="I43" t="s">
        <v>27</v>
      </c>
      <c r="J43" s="11">
        <v>45714</v>
      </c>
      <c r="K43" t="str">
        <f>TEXT(Transactions_Clean[[#This Row],[Date]],"MMM-YYYY")</f>
        <v>Feb-2025</v>
      </c>
      <c r="L43">
        <f>IF(Transactions_Clean[[#This Row],[Category]]="Revenue",Transactions_Clean[[#This Row],[Amount(₹)]],Transactions_Clean[[#This Row],[Amount(₹)]]/8)</f>
        <v>-8339.75</v>
      </c>
    </row>
    <row r="44" spans="1:12">
      <c r="A44" t="s">
        <v>154</v>
      </c>
      <c r="B44" t="s">
        <v>4762</v>
      </c>
      <c r="C44" t="s">
        <v>157</v>
      </c>
      <c r="D44">
        <v>635058</v>
      </c>
      <c r="E44" t="s">
        <v>62</v>
      </c>
      <c r="F44" t="s">
        <v>32</v>
      </c>
      <c r="G44" t="s">
        <v>25</v>
      </c>
      <c r="H44" t="s">
        <v>45</v>
      </c>
      <c r="I44" t="s">
        <v>40</v>
      </c>
      <c r="J44" s="11">
        <v>45552</v>
      </c>
      <c r="K44" t="str">
        <f>TEXT(Transactions_Clean[[#This Row],[Date]],"MMM-YYYY")</f>
        <v>Sep-2024</v>
      </c>
      <c r="L44">
        <f>IF(Transactions_Clean[[#This Row],[Category]]="Revenue",Transactions_Clean[[#This Row],[Amount(₹)]],Transactions_Clean[[#This Row],[Amount(₹)]]/8)</f>
        <v>635058</v>
      </c>
    </row>
    <row r="45" spans="1:12">
      <c r="A45" t="s">
        <v>158</v>
      </c>
      <c r="B45" t="s">
        <v>116</v>
      </c>
      <c r="C45" t="s">
        <v>73</v>
      </c>
      <c r="D45">
        <v>-62948</v>
      </c>
      <c r="E45" t="s">
        <v>74</v>
      </c>
      <c r="F45" t="s">
        <v>24</v>
      </c>
      <c r="G45" t="s">
        <v>25</v>
      </c>
      <c r="H45" t="s">
        <v>26</v>
      </c>
      <c r="I45" t="s">
        <v>34</v>
      </c>
      <c r="J45" s="11">
        <v>45038</v>
      </c>
      <c r="K45" t="str">
        <f>TEXT(Transactions_Clean[[#This Row],[Date]],"MMM-YYYY")</f>
        <v>Apr-2023</v>
      </c>
      <c r="L45">
        <f>IF(Transactions_Clean[[#This Row],[Category]]="Revenue",Transactions_Clean[[#This Row],[Amount(₹)]],Transactions_Clean[[#This Row],[Amount(₹)]]/8)</f>
        <v>-7868.5</v>
      </c>
    </row>
    <row r="46" spans="1:12">
      <c r="A46" t="s">
        <v>160</v>
      </c>
      <c r="B46" t="s">
        <v>161</v>
      </c>
      <c r="C46" t="s">
        <v>22</v>
      </c>
      <c r="D46">
        <v>-193908</v>
      </c>
      <c r="E46" t="s">
        <v>23</v>
      </c>
      <c r="F46" t="s">
        <v>24</v>
      </c>
      <c r="G46" t="s">
        <v>25</v>
      </c>
      <c r="H46" t="s">
        <v>39</v>
      </c>
      <c r="I46" t="s">
        <v>40</v>
      </c>
      <c r="J46" s="11">
        <v>45926</v>
      </c>
      <c r="K46" t="str">
        <f>TEXT(Transactions_Clean[[#This Row],[Date]],"MMM-YYYY")</f>
        <v>Sep-2025</v>
      </c>
      <c r="L46">
        <f>IF(Transactions_Clean[[#This Row],[Category]]="Revenue",Transactions_Clean[[#This Row],[Amount(₹)]],Transactions_Clean[[#This Row],[Amount(₹)]]/8)</f>
        <v>-24238.5</v>
      </c>
    </row>
    <row r="47" spans="1:12">
      <c r="A47" t="s">
        <v>162</v>
      </c>
      <c r="B47" t="s">
        <v>30</v>
      </c>
      <c r="C47" t="s">
        <v>31</v>
      </c>
      <c r="D47">
        <v>-15349</v>
      </c>
      <c r="E47" t="s">
        <v>23</v>
      </c>
      <c r="F47" t="s">
        <v>24</v>
      </c>
      <c r="G47" t="s">
        <v>33</v>
      </c>
      <c r="H47" t="s">
        <v>26</v>
      </c>
      <c r="I47" t="s">
        <v>34</v>
      </c>
      <c r="J47" s="11">
        <v>45092</v>
      </c>
      <c r="K47" t="str">
        <f>TEXT(Transactions_Clean[[#This Row],[Date]],"MMM-YYYY")</f>
        <v>Jun-2023</v>
      </c>
      <c r="L47">
        <f>IF(Transactions_Clean[[#This Row],[Category]]="Revenue",Transactions_Clean[[#This Row],[Amount(₹)]],Transactions_Clean[[#This Row],[Amount(₹)]]/8)</f>
        <v>-1918.625</v>
      </c>
    </row>
    <row r="48" spans="1:12">
      <c r="A48" t="s">
        <v>164</v>
      </c>
      <c r="B48" t="s">
        <v>4759</v>
      </c>
      <c r="C48" t="s">
        <v>31</v>
      </c>
      <c r="D48">
        <v>-44985</v>
      </c>
      <c r="E48" t="s">
        <v>23</v>
      </c>
      <c r="F48" t="s">
        <v>32</v>
      </c>
      <c r="G48" t="s">
        <v>33</v>
      </c>
      <c r="H48" t="s">
        <v>39</v>
      </c>
      <c r="I48" t="s">
        <v>34</v>
      </c>
      <c r="J48" s="11">
        <v>45804</v>
      </c>
      <c r="K48" t="str">
        <f>TEXT(Transactions_Clean[[#This Row],[Date]],"MMM-YYYY")</f>
        <v>May-2025</v>
      </c>
      <c r="L48">
        <f>IF(Transactions_Clean[[#This Row],[Category]]="Revenue",Transactions_Clean[[#This Row],[Amount(₹)]],Transactions_Clean[[#This Row],[Amount(₹)]]/8)</f>
        <v>-5623.125</v>
      </c>
    </row>
    <row r="49" spans="1:12">
      <c r="A49" t="s">
        <v>167</v>
      </c>
      <c r="B49" t="s">
        <v>169</v>
      </c>
      <c r="C49" t="s">
        <v>4750</v>
      </c>
      <c r="D49">
        <v>-11360</v>
      </c>
      <c r="E49" t="s">
        <v>74</v>
      </c>
      <c r="F49" t="s">
        <v>24</v>
      </c>
      <c r="G49" t="s">
        <v>25</v>
      </c>
      <c r="H49" t="s">
        <v>45</v>
      </c>
      <c r="I49" t="s">
        <v>48</v>
      </c>
      <c r="J49" s="11">
        <v>45485</v>
      </c>
      <c r="K49" t="str">
        <f>TEXT(Transactions_Clean[[#This Row],[Date]],"MMM-YYYY")</f>
        <v>Jul-2024</v>
      </c>
      <c r="L49">
        <f>IF(Transactions_Clean[[#This Row],[Category]]="Revenue",Transactions_Clean[[#This Row],[Amount(₹)]],Transactions_Clean[[#This Row],[Amount(₹)]]/8)</f>
        <v>-1420</v>
      </c>
    </row>
    <row r="50" spans="1:12">
      <c r="A50" t="s">
        <v>170</v>
      </c>
      <c r="B50" t="s">
        <v>161</v>
      </c>
      <c r="C50" t="s">
        <v>22</v>
      </c>
      <c r="D50">
        <v>-113570</v>
      </c>
      <c r="E50" t="s">
        <v>23</v>
      </c>
      <c r="F50" t="s">
        <v>32</v>
      </c>
      <c r="G50" t="s">
        <v>25</v>
      </c>
      <c r="H50" t="s">
        <v>45</v>
      </c>
      <c r="I50" t="s">
        <v>27</v>
      </c>
      <c r="J50" s="11">
        <v>45691</v>
      </c>
      <c r="K50" t="str">
        <f>TEXT(Transactions_Clean[[#This Row],[Date]],"MMM-YYYY")</f>
        <v>Feb-2025</v>
      </c>
      <c r="L50">
        <f>IF(Transactions_Clean[[#This Row],[Category]]="Revenue",Transactions_Clean[[#This Row],[Amount(₹)]],Transactions_Clean[[#This Row],[Amount(₹)]]/8)</f>
        <v>-14196.25</v>
      </c>
    </row>
    <row r="51" spans="1:12">
      <c r="A51" t="s">
        <v>172</v>
      </c>
      <c r="B51" t="s">
        <v>174</v>
      </c>
      <c r="C51" t="s">
        <v>22</v>
      </c>
      <c r="D51">
        <v>-104426</v>
      </c>
      <c r="E51" t="s">
        <v>23</v>
      </c>
      <c r="F51" t="s">
        <v>32</v>
      </c>
      <c r="G51" t="s">
        <v>25</v>
      </c>
      <c r="H51" t="s">
        <v>26</v>
      </c>
      <c r="I51" t="s">
        <v>34</v>
      </c>
      <c r="J51" s="11">
        <v>45081</v>
      </c>
      <c r="K51" t="str">
        <f>TEXT(Transactions_Clean[[#This Row],[Date]],"MMM-YYYY")</f>
        <v>Jun-2023</v>
      </c>
      <c r="L51">
        <f>IF(Transactions_Clean[[#This Row],[Category]]="Revenue",Transactions_Clean[[#This Row],[Amount(₹)]],Transactions_Clean[[#This Row],[Amount(₹)]]/8)</f>
        <v>-13053.25</v>
      </c>
    </row>
    <row r="52" spans="1:12">
      <c r="A52" t="s">
        <v>175</v>
      </c>
      <c r="B52" t="s">
        <v>177</v>
      </c>
      <c r="C52" t="s">
        <v>78</v>
      </c>
      <c r="D52">
        <v>-92660</v>
      </c>
      <c r="E52" t="s">
        <v>23</v>
      </c>
      <c r="F52" t="s">
        <v>32</v>
      </c>
      <c r="G52" t="s">
        <v>79</v>
      </c>
      <c r="H52" t="s">
        <v>26</v>
      </c>
      <c r="I52" t="s">
        <v>27</v>
      </c>
      <c r="J52" s="11">
        <v>45360</v>
      </c>
      <c r="K52" t="str">
        <f>TEXT(Transactions_Clean[[#This Row],[Date]],"MMM-YYYY")</f>
        <v>Mar-2024</v>
      </c>
      <c r="L52">
        <f>IF(Transactions_Clean[[#This Row],[Category]]="Revenue",Transactions_Clean[[#This Row],[Amount(₹)]],Transactions_Clean[[#This Row],[Amount(₹)]]/8)</f>
        <v>-11582.5</v>
      </c>
    </row>
    <row r="53" spans="1:12">
      <c r="A53" t="s">
        <v>178</v>
      </c>
      <c r="B53" t="s">
        <v>180</v>
      </c>
      <c r="C53" t="s">
        <v>44</v>
      </c>
      <c r="D53">
        <v>-131707</v>
      </c>
      <c r="E53" t="s">
        <v>23</v>
      </c>
      <c r="F53" t="s">
        <v>24</v>
      </c>
      <c r="G53" t="s">
        <v>33</v>
      </c>
      <c r="H53" t="s">
        <v>26</v>
      </c>
      <c r="I53" t="s">
        <v>34</v>
      </c>
      <c r="J53" s="11">
        <v>45092</v>
      </c>
      <c r="K53" t="str">
        <f>TEXT(Transactions_Clean[[#This Row],[Date]],"MMM-YYYY")</f>
        <v>Jun-2023</v>
      </c>
      <c r="L53">
        <f>IF(Transactions_Clean[[#This Row],[Category]]="Revenue",Transactions_Clean[[#This Row],[Amount(₹)]],Transactions_Clean[[#This Row],[Amount(₹)]]/8)</f>
        <v>-16463.375</v>
      </c>
    </row>
    <row r="54" spans="1:12">
      <c r="A54" t="s">
        <v>181</v>
      </c>
      <c r="B54" t="s">
        <v>4751</v>
      </c>
      <c r="C54" t="s">
        <v>38</v>
      </c>
      <c r="D54">
        <v>-15361</v>
      </c>
      <c r="E54" t="s">
        <v>23</v>
      </c>
      <c r="F54" t="s">
        <v>24</v>
      </c>
      <c r="G54" t="s">
        <v>33</v>
      </c>
      <c r="H54" t="s">
        <v>45</v>
      </c>
      <c r="I54" t="s">
        <v>48</v>
      </c>
      <c r="J54" s="11">
        <v>45614</v>
      </c>
      <c r="K54" t="str">
        <f>TEXT(Transactions_Clean[[#This Row],[Date]],"MMM-YYYY")</f>
        <v>Nov-2024</v>
      </c>
      <c r="L54">
        <f>IF(Transactions_Clean[[#This Row],[Category]]="Revenue",Transactions_Clean[[#This Row],[Amount(₹)]],Transactions_Clean[[#This Row],[Amount(₹)]]/8)</f>
        <v>-1920.125</v>
      </c>
    </row>
    <row r="55" spans="1:12">
      <c r="A55" t="s">
        <v>183</v>
      </c>
      <c r="B55" t="s">
        <v>100</v>
      </c>
      <c r="C55" t="s">
        <v>31</v>
      </c>
      <c r="D55">
        <v>-16477</v>
      </c>
      <c r="E55" t="s">
        <v>23</v>
      </c>
      <c r="F55" t="s">
        <v>24</v>
      </c>
      <c r="G55" t="s">
        <v>33</v>
      </c>
      <c r="H55" t="s">
        <v>39</v>
      </c>
      <c r="I55" t="s">
        <v>34</v>
      </c>
      <c r="J55" s="11">
        <v>45784</v>
      </c>
      <c r="K55" t="str">
        <f>TEXT(Transactions_Clean[[#This Row],[Date]],"MMM-YYYY")</f>
        <v>May-2025</v>
      </c>
      <c r="L55">
        <f>IF(Transactions_Clean[[#This Row],[Category]]="Revenue",Transactions_Clean[[#This Row],[Amount(₹)]],Transactions_Clean[[#This Row],[Amount(₹)]]/8)</f>
        <v>-2059.625</v>
      </c>
    </row>
    <row r="56" spans="1:12">
      <c r="A56" t="s">
        <v>185</v>
      </c>
      <c r="B56" t="s">
        <v>169</v>
      </c>
      <c r="C56" t="s">
        <v>73</v>
      </c>
      <c r="D56">
        <v>-25324</v>
      </c>
      <c r="E56" t="s">
        <v>74</v>
      </c>
      <c r="F56" t="s">
        <v>24</v>
      </c>
      <c r="G56" t="s">
        <v>25</v>
      </c>
      <c r="H56" t="s">
        <v>26</v>
      </c>
      <c r="I56" t="s">
        <v>40</v>
      </c>
      <c r="J56" s="11">
        <v>45154</v>
      </c>
      <c r="K56" t="str">
        <f>TEXT(Transactions_Clean[[#This Row],[Date]],"MMM-YYYY")</f>
        <v>Aug-2023</v>
      </c>
      <c r="L56">
        <f>IF(Transactions_Clean[[#This Row],[Category]]="Revenue",Transactions_Clean[[#This Row],[Amount(₹)]],Transactions_Clean[[#This Row],[Amount(₹)]]/8)</f>
        <v>-3165.5</v>
      </c>
    </row>
    <row r="57" spans="1:12">
      <c r="A57" t="s">
        <v>188</v>
      </c>
      <c r="B57" t="s">
        <v>169</v>
      </c>
      <c r="C57" t="s">
        <v>73</v>
      </c>
      <c r="D57">
        <v>-81849</v>
      </c>
      <c r="E57" t="s">
        <v>74</v>
      </c>
      <c r="F57" t="s">
        <v>32</v>
      </c>
      <c r="G57" t="s">
        <v>25</v>
      </c>
      <c r="H57" t="s">
        <v>39</v>
      </c>
      <c r="I57" t="s">
        <v>40</v>
      </c>
      <c r="J57" s="11">
        <v>45841</v>
      </c>
      <c r="K57" t="str">
        <f>TEXT(Transactions_Clean[[#This Row],[Date]],"MMM-YYYY")</f>
        <v>Jul-2025</v>
      </c>
      <c r="L57">
        <f>IF(Transactions_Clean[[#This Row],[Category]]="Revenue",Transactions_Clean[[#This Row],[Amount(₹)]],Transactions_Clean[[#This Row],[Amount(₹)]]/8)</f>
        <v>-10231.125</v>
      </c>
    </row>
    <row r="58" spans="1:12">
      <c r="A58" t="s">
        <v>190</v>
      </c>
      <c r="B58" t="s">
        <v>4763</v>
      </c>
      <c r="C58" t="s">
        <v>22</v>
      </c>
      <c r="D58">
        <v>-84164</v>
      </c>
      <c r="E58" t="s">
        <v>23</v>
      </c>
      <c r="F58" t="s">
        <v>24</v>
      </c>
      <c r="G58" t="s">
        <v>25</v>
      </c>
      <c r="H58" t="s">
        <v>26</v>
      </c>
      <c r="I58" t="s">
        <v>34</v>
      </c>
      <c r="J58" s="11">
        <v>45235</v>
      </c>
      <c r="K58" t="str">
        <f>TEXT(Transactions_Clean[[#This Row],[Date]],"MMM-YYYY")</f>
        <v>Nov-2023</v>
      </c>
      <c r="L58">
        <f>IF(Transactions_Clean[[#This Row],[Category]]="Revenue",Transactions_Clean[[#This Row],[Amount(₹)]],Transactions_Clean[[#This Row],[Amount(₹)]]/8)</f>
        <v>-10520.5</v>
      </c>
    </row>
    <row r="59" spans="1:12">
      <c r="A59" t="s">
        <v>194</v>
      </c>
      <c r="B59" t="s">
        <v>4757</v>
      </c>
      <c r="C59" t="s">
        <v>73</v>
      </c>
      <c r="D59">
        <v>-19853</v>
      </c>
      <c r="E59" t="s">
        <v>74</v>
      </c>
      <c r="F59" t="s">
        <v>24</v>
      </c>
      <c r="G59" t="s">
        <v>25</v>
      </c>
      <c r="H59" t="s">
        <v>39</v>
      </c>
      <c r="I59" t="s">
        <v>27</v>
      </c>
      <c r="J59" s="11">
        <v>46096</v>
      </c>
      <c r="K59" t="str">
        <f>TEXT(Transactions_Clean[[#This Row],[Date]],"MMM-YYYY")</f>
        <v>Mar-2026</v>
      </c>
      <c r="L59">
        <f>IF(Transactions_Clean[[#This Row],[Category]]="Revenue",Transactions_Clean[[#This Row],[Amount(₹)]],Transactions_Clean[[#This Row],[Amount(₹)]]/8)</f>
        <v>-2481.625</v>
      </c>
    </row>
    <row r="60" spans="1:12">
      <c r="A60" t="s">
        <v>196</v>
      </c>
      <c r="B60" t="s">
        <v>66</v>
      </c>
      <c r="C60" t="s">
        <v>61</v>
      </c>
      <c r="D60">
        <v>-54042</v>
      </c>
      <c r="E60" t="s">
        <v>62</v>
      </c>
      <c r="F60" t="s">
        <v>24</v>
      </c>
      <c r="G60" t="s">
        <v>63</v>
      </c>
      <c r="H60" t="s">
        <v>39</v>
      </c>
      <c r="I60" t="s">
        <v>40</v>
      </c>
      <c r="J60" s="11">
        <v>45891</v>
      </c>
      <c r="K60" t="str">
        <f>TEXT(Transactions_Clean[[#This Row],[Date]],"MMM-YYYY")</f>
        <v>Aug-2025</v>
      </c>
      <c r="L60">
        <f>IF(Transactions_Clean[[#This Row],[Category]]="Revenue",Transactions_Clean[[#This Row],[Amount(₹)]],Transactions_Clean[[#This Row],[Amount(₹)]]/8)</f>
        <v>-6755.25</v>
      </c>
    </row>
    <row r="61" spans="1:12">
      <c r="A61" t="s">
        <v>198</v>
      </c>
      <c r="B61" t="s">
        <v>4748</v>
      </c>
      <c r="C61" t="s">
        <v>22</v>
      </c>
      <c r="D61">
        <v>-18850</v>
      </c>
      <c r="E61" t="s">
        <v>23</v>
      </c>
      <c r="F61" t="s">
        <v>32</v>
      </c>
      <c r="G61" t="s">
        <v>25</v>
      </c>
      <c r="H61" t="s">
        <v>26</v>
      </c>
      <c r="I61" t="s">
        <v>34</v>
      </c>
      <c r="J61" s="11">
        <v>45040</v>
      </c>
      <c r="K61" t="str">
        <f>TEXT(Transactions_Clean[[#This Row],[Date]],"MMM-YYYY")</f>
        <v>Apr-2023</v>
      </c>
      <c r="L61">
        <f>IF(Transactions_Clean[[#This Row],[Category]]="Revenue",Transactions_Clean[[#This Row],[Amount(₹)]],Transactions_Clean[[#This Row],[Amount(₹)]]/8)</f>
        <v>-2356.25</v>
      </c>
    </row>
    <row r="62" spans="1:12">
      <c r="A62" t="s">
        <v>200</v>
      </c>
      <c r="B62" t="s">
        <v>202</v>
      </c>
      <c r="C62" t="s">
        <v>22</v>
      </c>
      <c r="D62">
        <v>-195732</v>
      </c>
      <c r="E62" t="s">
        <v>23</v>
      </c>
      <c r="F62" t="s">
        <v>24</v>
      </c>
      <c r="G62" t="s">
        <v>25</v>
      </c>
      <c r="H62" t="s">
        <v>26</v>
      </c>
      <c r="I62" t="s">
        <v>48</v>
      </c>
      <c r="J62" s="11">
        <v>45280</v>
      </c>
      <c r="K62" t="str">
        <f>TEXT(Transactions_Clean[[#This Row],[Date]],"MMM-YYYY")</f>
        <v>Dec-2023</v>
      </c>
      <c r="L62">
        <f>IF(Transactions_Clean[[#This Row],[Category]]="Revenue",Transactions_Clean[[#This Row],[Amount(₹)]],Transactions_Clean[[#This Row],[Amount(₹)]]/8)</f>
        <v>-24466.5</v>
      </c>
    </row>
    <row r="63" spans="1:12">
      <c r="A63" t="s">
        <v>203</v>
      </c>
      <c r="B63" t="s">
        <v>4753</v>
      </c>
      <c r="C63" t="s">
        <v>38</v>
      </c>
      <c r="D63">
        <v>-18864</v>
      </c>
      <c r="E63" t="s">
        <v>23</v>
      </c>
      <c r="F63" t="s">
        <v>24</v>
      </c>
      <c r="G63" t="s">
        <v>33</v>
      </c>
      <c r="H63" t="s">
        <v>39</v>
      </c>
      <c r="I63" t="s">
        <v>27</v>
      </c>
      <c r="J63" s="11">
        <v>46112</v>
      </c>
      <c r="K63" t="str">
        <f>TEXT(Transactions_Clean[[#This Row],[Date]],"MMM-YYYY")</f>
        <v>Mar-2026</v>
      </c>
      <c r="L63">
        <f>IF(Transactions_Clean[[#This Row],[Category]]="Revenue",Transactions_Clean[[#This Row],[Amount(₹)]],Transactions_Clean[[#This Row],[Amount(₹)]]/8)</f>
        <v>-2358</v>
      </c>
    </row>
    <row r="64" spans="1:12">
      <c r="A64" t="s">
        <v>205</v>
      </c>
      <c r="B64" t="s">
        <v>174</v>
      </c>
      <c r="C64" t="s">
        <v>22</v>
      </c>
      <c r="D64">
        <v>-40478</v>
      </c>
      <c r="E64" t="s">
        <v>23</v>
      </c>
      <c r="F64" t="s">
        <v>24</v>
      </c>
      <c r="G64" t="s">
        <v>25</v>
      </c>
      <c r="H64" t="s">
        <v>45</v>
      </c>
      <c r="I64" t="s">
        <v>27</v>
      </c>
      <c r="J64" s="11">
        <v>45658</v>
      </c>
      <c r="K64" t="str">
        <f>TEXT(Transactions_Clean[[#This Row],[Date]],"MMM-YYYY")</f>
        <v>Jan-2025</v>
      </c>
      <c r="L64">
        <f>IF(Transactions_Clean[[#This Row],[Category]]="Revenue",Transactions_Clean[[#This Row],[Amount(₹)]],Transactions_Clean[[#This Row],[Amount(₹)]]/8)</f>
        <v>-5059.75</v>
      </c>
    </row>
    <row r="65" spans="1:12">
      <c r="A65" t="s">
        <v>208</v>
      </c>
      <c r="B65" t="s">
        <v>169</v>
      </c>
      <c r="C65" t="s">
        <v>73</v>
      </c>
      <c r="D65">
        <v>-76350</v>
      </c>
      <c r="E65" t="s">
        <v>74</v>
      </c>
      <c r="F65" t="s">
        <v>32</v>
      </c>
      <c r="G65" t="s">
        <v>25</v>
      </c>
      <c r="H65" t="s">
        <v>45</v>
      </c>
      <c r="I65" t="s">
        <v>34</v>
      </c>
      <c r="J65" s="11">
        <v>45423</v>
      </c>
      <c r="K65" t="str">
        <f>TEXT(Transactions_Clean[[#This Row],[Date]],"MMM-YYYY")</f>
        <v>May-2024</v>
      </c>
      <c r="L65">
        <f>IF(Transactions_Clean[[#This Row],[Category]]="Revenue",Transactions_Clean[[#This Row],[Amount(₹)]],Transactions_Clean[[#This Row],[Amount(₹)]]/8)</f>
        <v>-9543.75</v>
      </c>
    </row>
    <row r="66" spans="1:12">
      <c r="A66" t="s">
        <v>210</v>
      </c>
      <c r="B66" t="s">
        <v>212</v>
      </c>
      <c r="C66" t="s">
        <v>73</v>
      </c>
      <c r="D66">
        <v>-75677</v>
      </c>
      <c r="E66" t="s">
        <v>74</v>
      </c>
      <c r="F66" t="s">
        <v>32</v>
      </c>
      <c r="G66" t="s">
        <v>25</v>
      </c>
      <c r="H66" t="s">
        <v>45</v>
      </c>
      <c r="I66" t="s">
        <v>48</v>
      </c>
      <c r="J66" s="11">
        <v>45566</v>
      </c>
      <c r="K66" t="str">
        <f>TEXT(Transactions_Clean[[#This Row],[Date]],"MMM-YYYY")</f>
        <v>Oct-2024</v>
      </c>
      <c r="L66">
        <f>IF(Transactions_Clean[[#This Row],[Category]]="Revenue",Transactions_Clean[[#This Row],[Amount(₹)]],Transactions_Clean[[#This Row],[Amount(₹)]]/8)</f>
        <v>-9459.625</v>
      </c>
    </row>
    <row r="67" spans="1:12">
      <c r="A67" t="s">
        <v>213</v>
      </c>
      <c r="B67" t="s">
        <v>215</v>
      </c>
      <c r="C67" t="s">
        <v>61</v>
      </c>
      <c r="D67">
        <v>-17405</v>
      </c>
      <c r="E67" t="s">
        <v>62</v>
      </c>
      <c r="F67" t="s">
        <v>24</v>
      </c>
      <c r="G67" t="s">
        <v>63</v>
      </c>
      <c r="H67" t="s">
        <v>39</v>
      </c>
      <c r="I67" t="s">
        <v>27</v>
      </c>
      <c r="J67" s="11">
        <v>46052</v>
      </c>
      <c r="K67" t="str">
        <f>TEXT(Transactions_Clean[[#This Row],[Date]],"MMM-YYYY")</f>
        <v>Jan-2026</v>
      </c>
      <c r="L67">
        <f>IF(Transactions_Clean[[#This Row],[Category]]="Revenue",Transactions_Clean[[#This Row],[Amount(₹)]],Transactions_Clean[[#This Row],[Amount(₹)]]/8)</f>
        <v>-2175.625</v>
      </c>
    </row>
    <row r="68" spans="1:12">
      <c r="A68" t="s">
        <v>216</v>
      </c>
      <c r="B68" t="s">
        <v>4764</v>
      </c>
      <c r="C68" t="s">
        <v>157</v>
      </c>
      <c r="D68">
        <v>607061</v>
      </c>
      <c r="E68" t="s">
        <v>62</v>
      </c>
      <c r="F68" t="s">
        <v>32</v>
      </c>
      <c r="G68" t="s">
        <v>25</v>
      </c>
      <c r="H68" t="s">
        <v>45</v>
      </c>
      <c r="I68" t="s">
        <v>27</v>
      </c>
      <c r="J68" s="11">
        <v>45697</v>
      </c>
      <c r="K68" t="str">
        <f>TEXT(Transactions_Clean[[#This Row],[Date]],"MMM-YYYY")</f>
        <v>Feb-2025</v>
      </c>
      <c r="L68">
        <f>IF(Transactions_Clean[[#This Row],[Category]]="Revenue",Transactions_Clean[[#This Row],[Amount(₹)]],Transactions_Clean[[#This Row],[Amount(₹)]]/8)</f>
        <v>607061</v>
      </c>
    </row>
    <row r="69" spans="1:12">
      <c r="A69" t="s">
        <v>219</v>
      </c>
      <c r="B69" t="s">
        <v>60</v>
      </c>
      <c r="C69" t="s">
        <v>61</v>
      </c>
      <c r="D69">
        <v>-41575</v>
      </c>
      <c r="E69" t="s">
        <v>62</v>
      </c>
      <c r="F69" t="s">
        <v>24</v>
      </c>
      <c r="G69" t="s">
        <v>63</v>
      </c>
      <c r="H69" t="s">
        <v>26</v>
      </c>
      <c r="I69" t="s">
        <v>40</v>
      </c>
      <c r="J69" s="11">
        <v>44994</v>
      </c>
      <c r="K69" t="str">
        <f>TEXT(Transactions_Clean[[#This Row],[Date]],"MMM-YYYY")</f>
        <v>Mar-2023</v>
      </c>
      <c r="L69">
        <f>IF(Transactions_Clean[[#This Row],[Category]]="Revenue",Transactions_Clean[[#This Row],[Amount(₹)]],Transactions_Clean[[#This Row],[Amount(₹)]]/8)</f>
        <v>-5196.875</v>
      </c>
    </row>
    <row r="70" spans="1:12">
      <c r="A70" t="s">
        <v>222</v>
      </c>
      <c r="B70" t="s">
        <v>224</v>
      </c>
      <c r="C70" t="s">
        <v>78</v>
      </c>
      <c r="D70">
        <v>-40729</v>
      </c>
      <c r="E70" t="s">
        <v>23</v>
      </c>
      <c r="F70" t="s">
        <v>32</v>
      </c>
      <c r="G70" t="s">
        <v>79</v>
      </c>
      <c r="H70" t="s">
        <v>26</v>
      </c>
      <c r="I70" t="s">
        <v>34</v>
      </c>
      <c r="J70" s="11">
        <v>45098</v>
      </c>
      <c r="K70" t="str">
        <f>TEXT(Transactions_Clean[[#This Row],[Date]],"MMM-YYYY")</f>
        <v>Jun-2023</v>
      </c>
      <c r="L70">
        <f>IF(Transactions_Clean[[#This Row],[Category]]="Revenue",Transactions_Clean[[#This Row],[Amount(₹)]],Transactions_Clean[[#This Row],[Amount(₹)]]/8)</f>
        <v>-5091.125</v>
      </c>
    </row>
    <row r="71" spans="1:12">
      <c r="A71" t="s">
        <v>225</v>
      </c>
      <c r="B71" t="s">
        <v>100</v>
      </c>
      <c r="C71" t="s">
        <v>31</v>
      </c>
      <c r="D71">
        <v>-25594</v>
      </c>
      <c r="E71" t="s">
        <v>23</v>
      </c>
      <c r="F71" t="s">
        <v>32</v>
      </c>
      <c r="G71" t="s">
        <v>33</v>
      </c>
      <c r="H71" t="s">
        <v>39</v>
      </c>
      <c r="I71" t="s">
        <v>27</v>
      </c>
      <c r="J71" s="11">
        <v>46101</v>
      </c>
      <c r="K71" t="str">
        <f>TEXT(Transactions_Clean[[#This Row],[Date]],"MMM-YYYY")</f>
        <v>Mar-2026</v>
      </c>
      <c r="L71">
        <f>IF(Transactions_Clean[[#This Row],[Category]]="Revenue",Transactions_Clean[[#This Row],[Amount(₹)]],Transactions_Clean[[#This Row],[Amount(₹)]]/8)</f>
        <v>-3199.25</v>
      </c>
    </row>
    <row r="72" spans="1:12">
      <c r="A72" t="s">
        <v>227</v>
      </c>
      <c r="B72" t="s">
        <v>60</v>
      </c>
      <c r="C72" t="s">
        <v>61</v>
      </c>
      <c r="D72">
        <v>-16862</v>
      </c>
      <c r="E72" t="s">
        <v>62</v>
      </c>
      <c r="F72" t="s">
        <v>32</v>
      </c>
      <c r="G72" t="s">
        <v>63</v>
      </c>
      <c r="H72" t="s">
        <v>26</v>
      </c>
      <c r="I72" t="s">
        <v>40</v>
      </c>
      <c r="J72" s="11">
        <v>45180</v>
      </c>
      <c r="K72" t="str">
        <f>TEXT(Transactions_Clean[[#This Row],[Date]],"MMM-YYYY")</f>
        <v>Sep-2023</v>
      </c>
      <c r="L72">
        <f>IF(Transactions_Clean[[#This Row],[Category]]="Revenue",Transactions_Clean[[#This Row],[Amount(₹)]],Transactions_Clean[[#This Row],[Amount(₹)]]/8)</f>
        <v>-2107.75</v>
      </c>
    </row>
    <row r="73" spans="1:12">
      <c r="A73" t="s">
        <v>229</v>
      </c>
      <c r="B73" t="s">
        <v>51</v>
      </c>
      <c r="C73" t="s">
        <v>31</v>
      </c>
      <c r="D73">
        <v>-26074</v>
      </c>
      <c r="E73" t="s">
        <v>23</v>
      </c>
      <c r="F73" t="s">
        <v>24</v>
      </c>
      <c r="G73" t="s">
        <v>33</v>
      </c>
      <c r="H73" t="s">
        <v>39</v>
      </c>
      <c r="I73" t="s">
        <v>27</v>
      </c>
      <c r="J73" s="11">
        <v>46108</v>
      </c>
      <c r="K73" t="str">
        <f>TEXT(Transactions_Clean[[#This Row],[Date]],"MMM-YYYY")</f>
        <v>Mar-2026</v>
      </c>
      <c r="L73">
        <f>IF(Transactions_Clean[[#This Row],[Category]]="Revenue",Transactions_Clean[[#This Row],[Amount(₹)]],Transactions_Clean[[#This Row],[Amount(₹)]]/8)</f>
        <v>-3259.25</v>
      </c>
    </row>
    <row r="74" spans="1:12">
      <c r="A74" t="s">
        <v>231</v>
      </c>
      <c r="B74" t="s">
        <v>60</v>
      </c>
      <c r="C74" t="s">
        <v>61</v>
      </c>
      <c r="D74">
        <v>-54254</v>
      </c>
      <c r="E74" t="s">
        <v>62</v>
      </c>
      <c r="F74" t="s">
        <v>32</v>
      </c>
      <c r="G74" t="s">
        <v>63</v>
      </c>
      <c r="H74" t="s">
        <v>45</v>
      </c>
      <c r="I74" t="s">
        <v>27</v>
      </c>
      <c r="J74" s="11">
        <v>45710</v>
      </c>
      <c r="K74" t="str">
        <f>TEXT(Transactions_Clean[[#This Row],[Date]],"MMM-YYYY")</f>
        <v>Feb-2025</v>
      </c>
      <c r="L74">
        <f>IF(Transactions_Clean[[#This Row],[Category]]="Revenue",Transactions_Clean[[#This Row],[Amount(₹)]],Transactions_Clean[[#This Row],[Amount(₹)]]/8)</f>
        <v>-6781.75</v>
      </c>
    </row>
    <row r="75" spans="1:12">
      <c r="A75" t="s">
        <v>233</v>
      </c>
      <c r="B75" t="s">
        <v>106</v>
      </c>
      <c r="C75" t="s">
        <v>31</v>
      </c>
      <c r="D75">
        <v>-36517</v>
      </c>
      <c r="E75" t="s">
        <v>23</v>
      </c>
      <c r="F75" t="s">
        <v>24</v>
      </c>
      <c r="G75" t="s">
        <v>33</v>
      </c>
      <c r="H75" t="s">
        <v>45</v>
      </c>
      <c r="I75" t="s">
        <v>40</v>
      </c>
      <c r="J75" s="11">
        <v>45511</v>
      </c>
      <c r="K75" t="str">
        <f>TEXT(Transactions_Clean[[#This Row],[Date]],"MMM-YYYY")</f>
        <v>Aug-2024</v>
      </c>
      <c r="L75">
        <f>IF(Transactions_Clean[[#This Row],[Category]]="Revenue",Transactions_Clean[[#This Row],[Amount(₹)]],Transactions_Clean[[#This Row],[Amount(₹)]]/8)</f>
        <v>-4564.625</v>
      </c>
    </row>
    <row r="76" spans="1:12">
      <c r="A76" t="s">
        <v>235</v>
      </c>
      <c r="B76" t="s">
        <v>237</v>
      </c>
      <c r="C76" t="s">
        <v>22</v>
      </c>
      <c r="D76">
        <v>-184554</v>
      </c>
      <c r="E76" t="s">
        <v>23</v>
      </c>
      <c r="F76" t="s">
        <v>24</v>
      </c>
      <c r="G76" t="s">
        <v>25</v>
      </c>
      <c r="H76" t="s">
        <v>45</v>
      </c>
      <c r="I76" t="s">
        <v>34</v>
      </c>
      <c r="J76" s="11">
        <v>45437</v>
      </c>
      <c r="K76" t="str">
        <f>TEXT(Transactions_Clean[[#This Row],[Date]],"MMM-YYYY")</f>
        <v>May-2024</v>
      </c>
      <c r="L76">
        <f>IF(Transactions_Clean[[#This Row],[Category]]="Revenue",Transactions_Clean[[#This Row],[Amount(₹)]],Transactions_Clean[[#This Row],[Amount(₹)]]/8)</f>
        <v>-23069.25</v>
      </c>
    </row>
    <row r="77" spans="1:12">
      <c r="A77" t="s">
        <v>238</v>
      </c>
      <c r="B77" t="s">
        <v>143</v>
      </c>
      <c r="C77" t="s">
        <v>78</v>
      </c>
      <c r="D77">
        <v>-68526</v>
      </c>
      <c r="E77" t="s">
        <v>23</v>
      </c>
      <c r="F77" t="s">
        <v>32</v>
      </c>
      <c r="G77" t="s">
        <v>79</v>
      </c>
      <c r="H77" t="s">
        <v>26</v>
      </c>
      <c r="I77" t="s">
        <v>27</v>
      </c>
      <c r="J77" s="11">
        <v>45331</v>
      </c>
      <c r="K77" t="str">
        <f>TEXT(Transactions_Clean[[#This Row],[Date]],"MMM-YYYY")</f>
        <v>Feb-2024</v>
      </c>
      <c r="L77">
        <f>IF(Transactions_Clean[[#This Row],[Category]]="Revenue",Transactions_Clean[[#This Row],[Amount(₹)]],Transactions_Clean[[#This Row],[Amount(₹)]]/8)</f>
        <v>-8565.75</v>
      </c>
    </row>
    <row r="78" spans="1:12">
      <c r="A78" t="s">
        <v>240</v>
      </c>
      <c r="B78" t="s">
        <v>4752</v>
      </c>
      <c r="C78" t="s">
        <v>44</v>
      </c>
      <c r="D78">
        <v>-124698</v>
      </c>
      <c r="E78" t="s">
        <v>23</v>
      </c>
      <c r="F78" t="s">
        <v>24</v>
      </c>
      <c r="G78" t="s">
        <v>33</v>
      </c>
      <c r="H78" t="s">
        <v>39</v>
      </c>
      <c r="I78" t="s">
        <v>40</v>
      </c>
      <c r="J78" s="11">
        <v>45883</v>
      </c>
      <c r="K78" t="str">
        <f>TEXT(Transactions_Clean[[#This Row],[Date]],"MMM-YYYY")</f>
        <v>Aug-2025</v>
      </c>
      <c r="L78">
        <f>IF(Transactions_Clean[[#This Row],[Category]]="Revenue",Transactions_Clean[[#This Row],[Amount(₹)]],Transactions_Clean[[#This Row],[Amount(₹)]]/8)</f>
        <v>-15587.25</v>
      </c>
    </row>
    <row r="79" spans="1:12">
      <c r="A79" t="s">
        <v>242</v>
      </c>
      <c r="B79" t="s">
        <v>66</v>
      </c>
      <c r="C79" t="s">
        <v>61</v>
      </c>
      <c r="D79">
        <v>-39286</v>
      </c>
      <c r="E79" t="s">
        <v>62</v>
      </c>
      <c r="F79" t="s">
        <v>32</v>
      </c>
      <c r="G79" t="s">
        <v>63</v>
      </c>
      <c r="H79" t="s">
        <v>45</v>
      </c>
      <c r="I79" t="s">
        <v>27</v>
      </c>
      <c r="J79" s="11">
        <v>45709</v>
      </c>
      <c r="K79" t="str">
        <f>TEXT(Transactions_Clean[[#This Row],[Date]],"MMM-YYYY")</f>
        <v>Feb-2025</v>
      </c>
      <c r="L79">
        <f>IF(Transactions_Clean[[#This Row],[Category]]="Revenue",Transactions_Clean[[#This Row],[Amount(₹)]],Transactions_Clean[[#This Row],[Amount(₹)]]/8)</f>
        <v>-4910.75</v>
      </c>
    </row>
    <row r="80" spans="1:12">
      <c r="A80" t="s">
        <v>244</v>
      </c>
      <c r="B80" t="s">
        <v>4753</v>
      </c>
      <c r="C80" t="s">
        <v>38</v>
      </c>
      <c r="D80">
        <v>-17884</v>
      </c>
      <c r="E80" t="s">
        <v>23</v>
      </c>
      <c r="F80" t="s">
        <v>24</v>
      </c>
      <c r="G80" t="s">
        <v>33</v>
      </c>
      <c r="H80" t="s">
        <v>26</v>
      </c>
      <c r="I80" t="s">
        <v>34</v>
      </c>
      <c r="J80" s="11">
        <v>45024</v>
      </c>
      <c r="K80" t="str">
        <f>TEXT(Transactions_Clean[[#This Row],[Date]],"MMM-YYYY")</f>
        <v>Apr-2023</v>
      </c>
      <c r="L80">
        <f>IF(Transactions_Clean[[#This Row],[Category]]="Revenue",Transactions_Clean[[#This Row],[Amount(₹)]],Transactions_Clean[[#This Row],[Amount(₹)]]/8)</f>
        <v>-2235.5</v>
      </c>
    </row>
    <row r="81" spans="1:12">
      <c r="A81" t="s">
        <v>246</v>
      </c>
      <c r="B81" t="s">
        <v>4749</v>
      </c>
      <c r="C81" t="s">
        <v>44</v>
      </c>
      <c r="D81">
        <v>-64999</v>
      </c>
      <c r="E81" t="s">
        <v>23</v>
      </c>
      <c r="F81" t="s">
        <v>24</v>
      </c>
      <c r="G81" t="s">
        <v>33</v>
      </c>
      <c r="H81" t="s">
        <v>39</v>
      </c>
      <c r="I81" t="s">
        <v>27</v>
      </c>
      <c r="J81" s="11">
        <v>46097</v>
      </c>
      <c r="K81" t="str">
        <f>TEXT(Transactions_Clean[[#This Row],[Date]],"MMM-YYYY")</f>
        <v>Mar-2026</v>
      </c>
      <c r="L81">
        <f>IF(Transactions_Clean[[#This Row],[Category]]="Revenue",Transactions_Clean[[#This Row],[Amount(₹)]],Transactions_Clean[[#This Row],[Amount(₹)]]/8)</f>
        <v>-8124.875</v>
      </c>
    </row>
    <row r="82" spans="1:12">
      <c r="A82" t="s">
        <v>249</v>
      </c>
      <c r="B82" t="s">
        <v>161</v>
      </c>
      <c r="C82" t="s">
        <v>22</v>
      </c>
      <c r="D82">
        <v>-29145</v>
      </c>
      <c r="E82" t="s">
        <v>23</v>
      </c>
      <c r="F82" t="s">
        <v>24</v>
      </c>
      <c r="G82" t="s">
        <v>25</v>
      </c>
      <c r="H82" t="s">
        <v>26</v>
      </c>
      <c r="I82" t="s">
        <v>27</v>
      </c>
      <c r="J82" s="11">
        <v>45475</v>
      </c>
      <c r="K82" t="str">
        <f>TEXT(Transactions_Clean[[#This Row],[Date]],"MMM-YYYY")</f>
        <v>Jul-2024</v>
      </c>
      <c r="L82">
        <f>IF(Transactions_Clean[[#This Row],[Category]]="Revenue",Transactions_Clean[[#This Row],[Amount(₹)]],Transactions_Clean[[#This Row],[Amount(₹)]]/8)</f>
        <v>-3643.125</v>
      </c>
    </row>
    <row r="83" spans="1:12">
      <c r="A83" t="s">
        <v>251</v>
      </c>
      <c r="B83" t="s">
        <v>169</v>
      </c>
      <c r="C83" t="s">
        <v>73</v>
      </c>
      <c r="D83">
        <v>-60431</v>
      </c>
      <c r="E83" t="s">
        <v>74</v>
      </c>
      <c r="F83" t="s">
        <v>24</v>
      </c>
      <c r="G83" t="s">
        <v>25</v>
      </c>
      <c r="H83" t="s">
        <v>26</v>
      </c>
      <c r="I83" t="s">
        <v>34</v>
      </c>
      <c r="J83" s="11">
        <v>45101</v>
      </c>
      <c r="K83" t="str">
        <f>TEXT(Transactions_Clean[[#This Row],[Date]],"MMM-YYYY")</f>
        <v>Jun-2023</v>
      </c>
      <c r="L83">
        <f>IF(Transactions_Clean[[#This Row],[Category]]="Revenue",Transactions_Clean[[#This Row],[Amount(₹)]],Transactions_Clean[[#This Row],[Amount(₹)]]/8)</f>
        <v>-7553.875</v>
      </c>
    </row>
    <row r="84" spans="1:12">
      <c r="A84" t="s">
        <v>253</v>
      </c>
      <c r="B84" t="s">
        <v>255</v>
      </c>
      <c r="C84" t="s">
        <v>22</v>
      </c>
      <c r="D84">
        <v>-107751</v>
      </c>
      <c r="E84" t="s">
        <v>23</v>
      </c>
      <c r="F84" t="s">
        <v>32</v>
      </c>
      <c r="G84" t="s">
        <v>25</v>
      </c>
      <c r="H84" t="s">
        <v>45</v>
      </c>
      <c r="I84" t="s">
        <v>48</v>
      </c>
      <c r="J84" s="11">
        <v>45651</v>
      </c>
      <c r="K84" t="str">
        <f>TEXT(Transactions_Clean[[#This Row],[Date]],"MMM-YYYY")</f>
        <v>Dec-2024</v>
      </c>
      <c r="L84">
        <f>IF(Transactions_Clean[[#This Row],[Category]]="Revenue",Transactions_Clean[[#This Row],[Amount(₹)]],Transactions_Clean[[#This Row],[Amount(₹)]]/8)</f>
        <v>-13468.875</v>
      </c>
    </row>
    <row r="85" spans="1:12">
      <c r="A85" t="s">
        <v>256</v>
      </c>
      <c r="B85" t="s">
        <v>51</v>
      </c>
      <c r="C85" t="s">
        <v>31</v>
      </c>
      <c r="D85">
        <v>-9950</v>
      </c>
      <c r="E85" t="s">
        <v>23</v>
      </c>
      <c r="F85" t="s">
        <v>24</v>
      </c>
      <c r="G85" t="s">
        <v>33</v>
      </c>
      <c r="H85" t="s">
        <v>45</v>
      </c>
      <c r="I85" t="s">
        <v>48</v>
      </c>
      <c r="J85" s="11">
        <v>45622</v>
      </c>
      <c r="K85" t="str">
        <f>TEXT(Transactions_Clean[[#This Row],[Date]],"MMM-YYYY")</f>
        <v>Nov-2024</v>
      </c>
      <c r="L85">
        <f>IF(Transactions_Clean[[#This Row],[Category]]="Revenue",Transactions_Clean[[#This Row],[Amount(₹)]],Transactions_Clean[[#This Row],[Amount(₹)]]/8)</f>
        <v>-1243.75</v>
      </c>
    </row>
    <row r="86" spans="1:12">
      <c r="A86" t="s">
        <v>258</v>
      </c>
      <c r="B86" t="s">
        <v>60</v>
      </c>
      <c r="C86" t="s">
        <v>61</v>
      </c>
      <c r="D86">
        <v>-21171</v>
      </c>
      <c r="E86" t="s">
        <v>62</v>
      </c>
      <c r="F86" t="s">
        <v>24</v>
      </c>
      <c r="G86" t="s">
        <v>63</v>
      </c>
      <c r="H86" t="s">
        <v>39</v>
      </c>
      <c r="I86" t="s">
        <v>40</v>
      </c>
      <c r="J86" s="11">
        <v>45900</v>
      </c>
      <c r="K86" t="str">
        <f>TEXT(Transactions_Clean[[#This Row],[Date]],"MMM-YYYY")</f>
        <v>Aug-2025</v>
      </c>
      <c r="L86">
        <f>IF(Transactions_Clean[[#This Row],[Category]]="Revenue",Transactions_Clean[[#This Row],[Amount(₹)]],Transactions_Clean[[#This Row],[Amount(₹)]]/8)</f>
        <v>-2646.375</v>
      </c>
    </row>
    <row r="87" spans="1:12">
      <c r="A87" t="s">
        <v>260</v>
      </c>
      <c r="B87" t="s">
        <v>177</v>
      </c>
      <c r="C87" t="s">
        <v>78</v>
      </c>
      <c r="D87">
        <v>-58842</v>
      </c>
      <c r="E87" t="s">
        <v>23</v>
      </c>
      <c r="F87" t="s">
        <v>24</v>
      </c>
      <c r="G87" t="s">
        <v>79</v>
      </c>
      <c r="H87" t="s">
        <v>26</v>
      </c>
      <c r="I87" t="s">
        <v>27</v>
      </c>
      <c r="J87" s="11">
        <v>45364</v>
      </c>
      <c r="K87" t="str">
        <f>TEXT(Transactions_Clean[[#This Row],[Date]],"MMM-YYYY")</f>
        <v>Mar-2024</v>
      </c>
      <c r="L87">
        <f>IF(Transactions_Clean[[#This Row],[Category]]="Revenue",Transactions_Clean[[#This Row],[Amount(₹)]],Transactions_Clean[[#This Row],[Amount(₹)]]/8)</f>
        <v>-7355.25</v>
      </c>
    </row>
    <row r="88" spans="1:12">
      <c r="A88" t="s">
        <v>262</v>
      </c>
      <c r="B88" t="s">
        <v>4752</v>
      </c>
      <c r="C88" t="s">
        <v>44</v>
      </c>
      <c r="D88">
        <v>-54865</v>
      </c>
      <c r="E88" t="s">
        <v>23</v>
      </c>
      <c r="F88" t="s">
        <v>24</v>
      </c>
      <c r="G88" t="s">
        <v>33</v>
      </c>
      <c r="H88" t="s">
        <v>45</v>
      </c>
      <c r="I88" t="s">
        <v>27</v>
      </c>
      <c r="J88" s="11">
        <v>45664</v>
      </c>
      <c r="K88" t="str">
        <f>TEXT(Transactions_Clean[[#This Row],[Date]],"MMM-YYYY")</f>
        <v>Jan-2025</v>
      </c>
      <c r="L88">
        <f>IF(Transactions_Clean[[#This Row],[Category]]="Revenue",Transactions_Clean[[#This Row],[Amount(₹)]],Transactions_Clean[[#This Row],[Amount(₹)]]/8)</f>
        <v>-6858.125</v>
      </c>
    </row>
    <row r="89" spans="1:12">
      <c r="A89" t="s">
        <v>264</v>
      </c>
      <c r="B89" t="s">
        <v>4765</v>
      </c>
      <c r="C89" t="s">
        <v>73</v>
      </c>
      <c r="D89">
        <v>-10104</v>
      </c>
      <c r="E89" t="s">
        <v>74</v>
      </c>
      <c r="F89" t="s">
        <v>32</v>
      </c>
      <c r="G89" t="s">
        <v>25</v>
      </c>
      <c r="H89" t="s">
        <v>39</v>
      </c>
      <c r="I89" t="s">
        <v>34</v>
      </c>
      <c r="J89" s="11">
        <v>45828</v>
      </c>
      <c r="K89" t="str">
        <f>TEXT(Transactions_Clean[[#This Row],[Date]],"MMM-YYYY")</f>
        <v>Jun-2025</v>
      </c>
      <c r="L89">
        <f>IF(Transactions_Clean[[#This Row],[Category]]="Revenue",Transactions_Clean[[#This Row],[Amount(₹)]],Transactions_Clean[[#This Row],[Amount(₹)]]/8)</f>
        <v>-1263</v>
      </c>
    </row>
    <row r="90" spans="1:12">
      <c r="A90" t="s">
        <v>267</v>
      </c>
      <c r="B90" t="s">
        <v>174</v>
      </c>
      <c r="C90" t="s">
        <v>22</v>
      </c>
      <c r="D90">
        <v>-178962</v>
      </c>
      <c r="E90" t="s">
        <v>23</v>
      </c>
      <c r="F90" t="s">
        <v>24</v>
      </c>
      <c r="G90" t="s">
        <v>25</v>
      </c>
      <c r="H90" t="s">
        <v>39</v>
      </c>
      <c r="I90" t="s">
        <v>34</v>
      </c>
      <c r="J90" s="11">
        <v>45811</v>
      </c>
      <c r="K90" t="str">
        <f>TEXT(Transactions_Clean[[#This Row],[Date]],"MMM-YYYY")</f>
        <v>Jun-2025</v>
      </c>
      <c r="L90">
        <f>IF(Transactions_Clean[[#This Row],[Category]]="Revenue",Transactions_Clean[[#This Row],[Amount(₹)]],Transactions_Clean[[#This Row],[Amount(₹)]]/8)</f>
        <v>-22370.25</v>
      </c>
    </row>
    <row r="91" spans="1:12">
      <c r="A91" t="s">
        <v>269</v>
      </c>
      <c r="B91" t="s">
        <v>4766</v>
      </c>
      <c r="C91" t="s">
        <v>73</v>
      </c>
      <c r="D91">
        <v>-79987</v>
      </c>
      <c r="E91" t="s">
        <v>74</v>
      </c>
      <c r="F91" t="s">
        <v>32</v>
      </c>
      <c r="G91" t="s">
        <v>25</v>
      </c>
      <c r="H91" t="s">
        <v>26</v>
      </c>
      <c r="I91" t="s">
        <v>34</v>
      </c>
      <c r="J91" s="11">
        <v>45051</v>
      </c>
      <c r="K91" t="str">
        <f>TEXT(Transactions_Clean[[#This Row],[Date]],"MMM-YYYY")</f>
        <v>May-2023</v>
      </c>
      <c r="L91">
        <f>IF(Transactions_Clean[[#This Row],[Category]]="Revenue",Transactions_Clean[[#This Row],[Amount(₹)]],Transactions_Clean[[#This Row],[Amount(₹)]]/8)</f>
        <v>-9998.375</v>
      </c>
    </row>
    <row r="92" spans="1:12">
      <c r="A92" t="s">
        <v>272</v>
      </c>
      <c r="B92" t="s">
        <v>4755</v>
      </c>
      <c r="C92" t="s">
        <v>78</v>
      </c>
      <c r="D92">
        <v>-50501</v>
      </c>
      <c r="E92" t="s">
        <v>23</v>
      </c>
      <c r="F92" t="s">
        <v>24</v>
      </c>
      <c r="G92" t="s">
        <v>79</v>
      </c>
      <c r="H92" t="s">
        <v>39</v>
      </c>
      <c r="I92" t="s">
        <v>48</v>
      </c>
      <c r="J92" s="11">
        <v>45953</v>
      </c>
      <c r="K92" t="str">
        <f>TEXT(Transactions_Clean[[#This Row],[Date]],"MMM-YYYY")</f>
        <v>Oct-2025</v>
      </c>
      <c r="L92">
        <f>IF(Transactions_Clean[[#This Row],[Category]]="Revenue",Transactions_Clean[[#This Row],[Amount(₹)]],Transactions_Clean[[#This Row],[Amount(₹)]]/8)</f>
        <v>-6312.625</v>
      </c>
    </row>
    <row r="93" spans="1:12">
      <c r="A93" t="s">
        <v>275</v>
      </c>
      <c r="B93" t="s">
        <v>255</v>
      </c>
      <c r="C93" t="s">
        <v>22</v>
      </c>
      <c r="D93">
        <v>-40023</v>
      </c>
      <c r="E93" t="s">
        <v>23</v>
      </c>
      <c r="F93" t="s">
        <v>32</v>
      </c>
      <c r="G93" t="s">
        <v>25</v>
      </c>
      <c r="H93" t="s">
        <v>39</v>
      </c>
      <c r="I93" t="s">
        <v>34</v>
      </c>
      <c r="J93" s="11">
        <v>45818</v>
      </c>
      <c r="K93" t="str">
        <f>TEXT(Transactions_Clean[[#This Row],[Date]],"MMM-YYYY")</f>
        <v>Jun-2025</v>
      </c>
      <c r="L93">
        <f>IF(Transactions_Clean[[#This Row],[Category]]="Revenue",Transactions_Clean[[#This Row],[Amount(₹)]],Transactions_Clean[[#This Row],[Amount(₹)]]/8)</f>
        <v>-5002.875</v>
      </c>
    </row>
    <row r="94" spans="1:12">
      <c r="A94" t="s">
        <v>277</v>
      </c>
      <c r="B94" t="s">
        <v>129</v>
      </c>
      <c r="C94" t="s">
        <v>38</v>
      </c>
      <c r="D94">
        <v>-27437</v>
      </c>
      <c r="E94" t="s">
        <v>23</v>
      </c>
      <c r="F94" t="s">
        <v>32</v>
      </c>
      <c r="G94" t="s">
        <v>33</v>
      </c>
      <c r="H94" t="s">
        <v>26</v>
      </c>
      <c r="I94" t="s">
        <v>27</v>
      </c>
      <c r="J94" s="11">
        <v>45305</v>
      </c>
      <c r="K94" t="str">
        <f>TEXT(Transactions_Clean[[#This Row],[Date]],"MMM-YYYY")</f>
        <v>Jan-2024</v>
      </c>
      <c r="L94">
        <f>IF(Transactions_Clean[[#This Row],[Category]]="Revenue",Transactions_Clean[[#This Row],[Amount(₹)]],Transactions_Clean[[#This Row],[Amount(₹)]]/8)</f>
        <v>-3429.625</v>
      </c>
    </row>
    <row r="95" spans="1:12">
      <c r="A95" t="s">
        <v>279</v>
      </c>
      <c r="B95" t="s">
        <v>4759</v>
      </c>
      <c r="C95" t="s">
        <v>31</v>
      </c>
      <c r="D95">
        <v>-43841</v>
      </c>
      <c r="E95" t="s">
        <v>23</v>
      </c>
      <c r="F95" t="s">
        <v>24</v>
      </c>
      <c r="G95" t="s">
        <v>33</v>
      </c>
      <c r="H95" t="s">
        <v>39</v>
      </c>
      <c r="I95" t="s">
        <v>48</v>
      </c>
      <c r="J95" s="11">
        <v>46022</v>
      </c>
      <c r="K95" t="str">
        <f>TEXT(Transactions_Clean[[#This Row],[Date]],"MMM-YYYY")</f>
        <v>Dec-2025</v>
      </c>
      <c r="L95">
        <f>IF(Transactions_Clean[[#This Row],[Category]]="Revenue",Transactions_Clean[[#This Row],[Amount(₹)]],Transactions_Clean[[#This Row],[Amount(₹)]]/8)</f>
        <v>-5480.125</v>
      </c>
    </row>
    <row r="96" spans="1:12">
      <c r="A96" t="s">
        <v>281</v>
      </c>
      <c r="B96" t="s">
        <v>283</v>
      </c>
      <c r="C96" t="s">
        <v>44</v>
      </c>
      <c r="D96">
        <v>-46221</v>
      </c>
      <c r="E96" t="s">
        <v>23</v>
      </c>
      <c r="F96" t="s">
        <v>24</v>
      </c>
      <c r="G96" t="s">
        <v>33</v>
      </c>
      <c r="H96" t="s">
        <v>26</v>
      </c>
      <c r="I96" t="s">
        <v>48</v>
      </c>
      <c r="J96" s="11">
        <v>45221</v>
      </c>
      <c r="K96" t="str">
        <f>TEXT(Transactions_Clean[[#This Row],[Date]],"MMM-YYYY")</f>
        <v>Oct-2023</v>
      </c>
      <c r="L96">
        <f>IF(Transactions_Clean[[#This Row],[Category]]="Revenue",Transactions_Clean[[#This Row],[Amount(₹)]],Transactions_Clean[[#This Row],[Amount(₹)]]/8)</f>
        <v>-5777.625</v>
      </c>
    </row>
    <row r="97" spans="1:12">
      <c r="A97" t="s">
        <v>284</v>
      </c>
      <c r="B97" t="s">
        <v>4765</v>
      </c>
      <c r="C97" t="s">
        <v>73</v>
      </c>
      <c r="D97">
        <v>-26693</v>
      </c>
      <c r="E97" t="s">
        <v>74</v>
      </c>
      <c r="F97" t="s">
        <v>32</v>
      </c>
      <c r="G97" t="s">
        <v>25</v>
      </c>
      <c r="H97" t="s">
        <v>45</v>
      </c>
      <c r="I97" t="s">
        <v>40</v>
      </c>
      <c r="J97" s="11">
        <v>45498</v>
      </c>
      <c r="K97" t="str">
        <f>TEXT(Transactions_Clean[[#This Row],[Date]],"MMM-YYYY")</f>
        <v>Jul-2024</v>
      </c>
      <c r="L97">
        <f>IF(Transactions_Clean[[#This Row],[Category]]="Revenue",Transactions_Clean[[#This Row],[Amount(₹)]],Transactions_Clean[[#This Row],[Amount(₹)]]/8)</f>
        <v>-3336.625</v>
      </c>
    </row>
    <row r="98" spans="1:12">
      <c r="A98" t="s">
        <v>286</v>
      </c>
      <c r="B98" t="s">
        <v>106</v>
      </c>
      <c r="C98" t="s">
        <v>31</v>
      </c>
      <c r="D98">
        <v>-33591</v>
      </c>
      <c r="E98" t="s">
        <v>23</v>
      </c>
      <c r="F98" t="s">
        <v>32</v>
      </c>
      <c r="G98" t="s">
        <v>33</v>
      </c>
      <c r="H98" t="s">
        <v>45</v>
      </c>
      <c r="I98" t="s">
        <v>34</v>
      </c>
      <c r="J98" s="11">
        <v>45403</v>
      </c>
      <c r="K98" t="str">
        <f>TEXT(Transactions_Clean[[#This Row],[Date]],"MMM-YYYY")</f>
        <v>Apr-2024</v>
      </c>
      <c r="L98">
        <f>IF(Transactions_Clean[[#This Row],[Category]]="Revenue",Transactions_Clean[[#This Row],[Amount(₹)]],Transactions_Clean[[#This Row],[Amount(₹)]]/8)</f>
        <v>-4198.875</v>
      </c>
    </row>
    <row r="99" spans="1:12">
      <c r="A99" t="s">
        <v>288</v>
      </c>
      <c r="B99" t="s">
        <v>290</v>
      </c>
      <c r="C99" t="s">
        <v>4750</v>
      </c>
      <c r="D99">
        <v>-127005</v>
      </c>
      <c r="E99" t="s">
        <v>23</v>
      </c>
      <c r="F99" t="s">
        <v>32</v>
      </c>
      <c r="G99" t="s">
        <v>33</v>
      </c>
      <c r="H99" t="s">
        <v>45</v>
      </c>
      <c r="I99" t="s">
        <v>40</v>
      </c>
      <c r="J99" s="11">
        <v>45514</v>
      </c>
      <c r="K99" t="str">
        <f>TEXT(Transactions_Clean[[#This Row],[Date]],"MMM-YYYY")</f>
        <v>Aug-2024</v>
      </c>
      <c r="L99">
        <f>IF(Transactions_Clean[[#This Row],[Category]]="Revenue",Transactions_Clean[[#This Row],[Amount(₹)]],Transactions_Clean[[#This Row],[Amount(₹)]]/8)</f>
        <v>-15875.625</v>
      </c>
    </row>
    <row r="100" spans="1:12">
      <c r="A100" t="s">
        <v>291</v>
      </c>
      <c r="B100" t="s">
        <v>4767</v>
      </c>
      <c r="C100" t="s">
        <v>157</v>
      </c>
      <c r="D100">
        <v>703190</v>
      </c>
      <c r="E100" t="s">
        <v>62</v>
      </c>
      <c r="F100" t="s">
        <v>32</v>
      </c>
      <c r="G100" t="s">
        <v>25</v>
      </c>
      <c r="H100" t="s">
        <v>39</v>
      </c>
      <c r="I100" t="s">
        <v>40</v>
      </c>
      <c r="J100" s="11">
        <v>45923</v>
      </c>
      <c r="K100" t="str">
        <f>TEXT(Transactions_Clean[[#This Row],[Date]],"MMM-YYYY")</f>
        <v>Sep-2025</v>
      </c>
      <c r="L100">
        <f>IF(Transactions_Clean[[#This Row],[Category]]="Revenue",Transactions_Clean[[#This Row],[Amount(₹)]],Transactions_Clean[[#This Row],[Amount(₹)]]/8)</f>
        <v>703190</v>
      </c>
    </row>
    <row r="101" spans="1:12">
      <c r="A101" t="s">
        <v>294</v>
      </c>
      <c r="B101" t="s">
        <v>106</v>
      </c>
      <c r="C101" t="s">
        <v>31</v>
      </c>
      <c r="D101">
        <v>-7276</v>
      </c>
      <c r="E101" t="s">
        <v>23</v>
      </c>
      <c r="F101" t="s">
        <v>24</v>
      </c>
      <c r="G101" t="s">
        <v>33</v>
      </c>
      <c r="H101" t="s">
        <v>39</v>
      </c>
      <c r="I101" t="s">
        <v>48</v>
      </c>
      <c r="J101" s="11">
        <v>45965</v>
      </c>
      <c r="K101" t="str">
        <f>TEXT(Transactions_Clean[[#This Row],[Date]],"MMM-YYYY")</f>
        <v>Nov-2025</v>
      </c>
      <c r="L101">
        <f>IF(Transactions_Clean[[#This Row],[Category]]="Revenue",Transactions_Clean[[#This Row],[Amount(₹)]],Transactions_Clean[[#This Row],[Amount(₹)]]/8)</f>
        <v>-909.5</v>
      </c>
    </row>
    <row r="102" spans="1:12">
      <c r="A102" t="s">
        <v>296</v>
      </c>
      <c r="B102" t="s">
        <v>66</v>
      </c>
      <c r="C102" t="s">
        <v>61</v>
      </c>
      <c r="D102">
        <v>-23457</v>
      </c>
      <c r="E102" t="s">
        <v>62</v>
      </c>
      <c r="F102" t="s">
        <v>32</v>
      </c>
      <c r="G102" t="s">
        <v>63</v>
      </c>
      <c r="H102" t="s">
        <v>39</v>
      </c>
      <c r="I102" t="s">
        <v>40</v>
      </c>
      <c r="J102" s="11">
        <v>45879</v>
      </c>
      <c r="K102" t="str">
        <f>TEXT(Transactions_Clean[[#This Row],[Date]],"MMM-YYYY")</f>
        <v>Aug-2025</v>
      </c>
      <c r="L102">
        <f>IF(Transactions_Clean[[#This Row],[Category]]="Revenue",Transactions_Clean[[#This Row],[Amount(₹)]],Transactions_Clean[[#This Row],[Amount(₹)]]/8)</f>
        <v>-2932.125</v>
      </c>
    </row>
    <row r="103" spans="1:12">
      <c r="A103" t="s">
        <v>298</v>
      </c>
      <c r="B103" t="s">
        <v>4754</v>
      </c>
      <c r="C103" t="s">
        <v>78</v>
      </c>
      <c r="D103">
        <v>-38576</v>
      </c>
      <c r="E103" t="s">
        <v>23</v>
      </c>
      <c r="F103" t="s">
        <v>24</v>
      </c>
      <c r="G103" t="s">
        <v>79</v>
      </c>
      <c r="H103" t="s">
        <v>45</v>
      </c>
      <c r="I103" t="s">
        <v>48</v>
      </c>
      <c r="J103" s="11">
        <v>45579</v>
      </c>
      <c r="K103" t="str">
        <f>TEXT(Transactions_Clean[[#This Row],[Date]],"MMM-YYYY")</f>
        <v>Oct-2024</v>
      </c>
      <c r="L103">
        <f>IF(Transactions_Clean[[#This Row],[Category]]="Revenue",Transactions_Clean[[#This Row],[Amount(₹)]],Transactions_Clean[[#This Row],[Amount(₹)]]/8)</f>
        <v>-4822</v>
      </c>
    </row>
    <row r="104" spans="1:12">
      <c r="A104" t="s">
        <v>300</v>
      </c>
      <c r="B104" t="s">
        <v>212</v>
      </c>
      <c r="C104" t="s">
        <v>73</v>
      </c>
      <c r="D104">
        <v>-57131</v>
      </c>
      <c r="E104" t="s">
        <v>74</v>
      </c>
      <c r="F104" t="s">
        <v>32</v>
      </c>
      <c r="G104" t="s">
        <v>25</v>
      </c>
      <c r="H104" t="s">
        <v>26</v>
      </c>
      <c r="I104" t="s">
        <v>34</v>
      </c>
      <c r="J104" s="11">
        <v>45060</v>
      </c>
      <c r="K104" t="str">
        <f>TEXT(Transactions_Clean[[#This Row],[Date]],"MMM-YYYY")</f>
        <v>May-2023</v>
      </c>
      <c r="L104">
        <f>IF(Transactions_Clean[[#This Row],[Category]]="Revenue",Transactions_Clean[[#This Row],[Amount(₹)]],Transactions_Clean[[#This Row],[Amount(₹)]]/8)</f>
        <v>-7141.375</v>
      </c>
    </row>
    <row r="105" spans="1:12">
      <c r="A105" t="s">
        <v>303</v>
      </c>
      <c r="B105" t="s">
        <v>305</v>
      </c>
      <c r="C105" t="s">
        <v>38</v>
      </c>
      <c r="D105">
        <v>-27100</v>
      </c>
      <c r="E105" t="s">
        <v>23</v>
      </c>
      <c r="F105" t="s">
        <v>32</v>
      </c>
      <c r="G105" t="s">
        <v>33</v>
      </c>
      <c r="H105" t="s">
        <v>26</v>
      </c>
      <c r="I105" t="s">
        <v>40</v>
      </c>
      <c r="J105" s="11">
        <v>45131</v>
      </c>
      <c r="K105" t="str">
        <f>TEXT(Transactions_Clean[[#This Row],[Date]],"MMM-YYYY")</f>
        <v>Jul-2023</v>
      </c>
      <c r="L105">
        <f>IF(Transactions_Clean[[#This Row],[Category]]="Revenue",Transactions_Clean[[#This Row],[Amount(₹)]],Transactions_Clean[[#This Row],[Amount(₹)]]/8)</f>
        <v>-3387.5</v>
      </c>
    </row>
    <row r="106" spans="1:12">
      <c r="A106" t="s">
        <v>306</v>
      </c>
      <c r="B106" t="s">
        <v>4755</v>
      </c>
      <c r="C106" t="s">
        <v>78</v>
      </c>
      <c r="D106">
        <v>-83825</v>
      </c>
      <c r="E106" t="s">
        <v>23</v>
      </c>
      <c r="F106" t="s">
        <v>32</v>
      </c>
      <c r="G106" t="s">
        <v>79</v>
      </c>
      <c r="H106" t="s">
        <v>26</v>
      </c>
      <c r="I106" t="s">
        <v>48</v>
      </c>
      <c r="J106" s="11">
        <v>45270</v>
      </c>
      <c r="K106" t="str">
        <f>TEXT(Transactions_Clean[[#This Row],[Date]],"MMM-YYYY")</f>
        <v>Dec-2023</v>
      </c>
      <c r="L106">
        <f>IF(Transactions_Clean[[#This Row],[Category]]="Revenue",Transactions_Clean[[#This Row],[Amount(₹)]],Transactions_Clean[[#This Row],[Amount(₹)]]/8)</f>
        <v>-10478.125</v>
      </c>
    </row>
    <row r="107" spans="1:12">
      <c r="A107" t="s">
        <v>308</v>
      </c>
      <c r="B107" t="s">
        <v>310</v>
      </c>
      <c r="C107" t="s">
        <v>22</v>
      </c>
      <c r="D107">
        <v>-77589</v>
      </c>
      <c r="E107" t="s">
        <v>23</v>
      </c>
      <c r="F107" t="s">
        <v>32</v>
      </c>
      <c r="G107" t="s">
        <v>25</v>
      </c>
      <c r="H107" t="s">
        <v>45</v>
      </c>
      <c r="I107" t="s">
        <v>40</v>
      </c>
      <c r="J107" s="11">
        <v>45487</v>
      </c>
      <c r="K107" t="str">
        <f>TEXT(Transactions_Clean[[#This Row],[Date]],"MMM-YYYY")</f>
        <v>Jul-2024</v>
      </c>
      <c r="L107">
        <f>IF(Transactions_Clean[[#This Row],[Category]]="Revenue",Transactions_Clean[[#This Row],[Amount(₹)]],Transactions_Clean[[#This Row],[Amount(₹)]]/8)</f>
        <v>-9698.625</v>
      </c>
    </row>
    <row r="108" spans="1:12">
      <c r="A108" t="s">
        <v>311</v>
      </c>
      <c r="B108" t="s">
        <v>87</v>
      </c>
      <c r="C108" t="s">
        <v>22</v>
      </c>
      <c r="D108">
        <v>-196926</v>
      </c>
      <c r="E108" t="s">
        <v>23</v>
      </c>
      <c r="F108" t="s">
        <v>24</v>
      </c>
      <c r="G108" t="s">
        <v>25</v>
      </c>
      <c r="H108" t="s">
        <v>26</v>
      </c>
      <c r="I108" t="s">
        <v>48</v>
      </c>
      <c r="J108" s="11">
        <v>45228</v>
      </c>
      <c r="K108" t="str">
        <f>TEXT(Transactions_Clean[[#This Row],[Date]],"MMM-YYYY")</f>
        <v>Oct-2023</v>
      </c>
      <c r="L108">
        <f>IF(Transactions_Clean[[#This Row],[Category]]="Revenue",Transactions_Clean[[#This Row],[Amount(₹)]],Transactions_Clean[[#This Row],[Amount(₹)]]/8)</f>
        <v>-24615.75</v>
      </c>
    </row>
    <row r="109" spans="1:12">
      <c r="A109" t="s">
        <v>313</v>
      </c>
      <c r="B109" t="s">
        <v>72</v>
      </c>
      <c r="C109" t="s">
        <v>73</v>
      </c>
      <c r="D109">
        <v>-19107</v>
      </c>
      <c r="E109" t="s">
        <v>74</v>
      </c>
      <c r="F109" t="s">
        <v>32</v>
      </c>
      <c r="G109" t="s">
        <v>25</v>
      </c>
      <c r="H109" t="s">
        <v>45</v>
      </c>
      <c r="I109" t="s">
        <v>34</v>
      </c>
      <c r="J109" s="11">
        <v>45460</v>
      </c>
      <c r="K109" t="str">
        <f>TEXT(Transactions_Clean[[#This Row],[Date]],"MMM-YYYY")</f>
        <v>Jun-2024</v>
      </c>
      <c r="L109">
        <f>IF(Transactions_Clean[[#This Row],[Category]]="Revenue",Transactions_Clean[[#This Row],[Amount(₹)]],Transactions_Clean[[#This Row],[Amount(₹)]]/8)</f>
        <v>-2388.375</v>
      </c>
    </row>
    <row r="110" spans="1:12">
      <c r="A110" t="s">
        <v>315</v>
      </c>
      <c r="B110" t="s">
        <v>180</v>
      </c>
      <c r="C110" t="s">
        <v>44</v>
      </c>
      <c r="D110">
        <v>-179292</v>
      </c>
      <c r="E110" t="s">
        <v>23</v>
      </c>
      <c r="F110" t="s">
        <v>32</v>
      </c>
      <c r="G110" t="s">
        <v>33</v>
      </c>
      <c r="H110" t="s">
        <v>39</v>
      </c>
      <c r="I110" t="s">
        <v>27</v>
      </c>
      <c r="J110" s="11">
        <v>46025</v>
      </c>
      <c r="K110" t="str">
        <f>TEXT(Transactions_Clean[[#This Row],[Date]],"MMM-YYYY")</f>
        <v>Jan-2026</v>
      </c>
      <c r="L110">
        <f>IF(Transactions_Clean[[#This Row],[Category]]="Revenue",Transactions_Clean[[#This Row],[Amount(₹)]],Transactions_Clean[[#This Row],[Amount(₹)]]/8)</f>
        <v>-22411.5</v>
      </c>
    </row>
    <row r="111" spans="1:12">
      <c r="A111" t="s">
        <v>318</v>
      </c>
      <c r="B111" t="s">
        <v>310</v>
      </c>
      <c r="C111" t="s">
        <v>22</v>
      </c>
      <c r="D111">
        <v>-189660</v>
      </c>
      <c r="E111" t="s">
        <v>23</v>
      </c>
      <c r="F111" t="s">
        <v>24</v>
      </c>
      <c r="G111" t="s">
        <v>25</v>
      </c>
      <c r="H111" t="s">
        <v>39</v>
      </c>
      <c r="I111" t="s">
        <v>34</v>
      </c>
      <c r="J111" s="11">
        <v>45823</v>
      </c>
      <c r="K111" t="str">
        <f>TEXT(Transactions_Clean[[#This Row],[Date]],"MMM-YYYY")</f>
        <v>Jun-2025</v>
      </c>
      <c r="L111">
        <f>IF(Transactions_Clean[[#This Row],[Category]]="Revenue",Transactions_Clean[[#This Row],[Amount(₹)]],Transactions_Clean[[#This Row],[Amount(₹)]]/8)</f>
        <v>-23707.5</v>
      </c>
    </row>
    <row r="112" spans="1:12">
      <c r="A112" t="s">
        <v>321</v>
      </c>
      <c r="B112" t="s">
        <v>4755</v>
      </c>
      <c r="C112" t="s">
        <v>4750</v>
      </c>
      <c r="D112">
        <v>-29031</v>
      </c>
      <c r="E112" t="s">
        <v>23</v>
      </c>
      <c r="F112" t="s">
        <v>24</v>
      </c>
      <c r="G112" t="s">
        <v>79</v>
      </c>
      <c r="H112" t="s">
        <v>26</v>
      </c>
      <c r="I112" t="s">
        <v>48</v>
      </c>
      <c r="J112" s="11">
        <v>45246</v>
      </c>
      <c r="K112" t="str">
        <f>TEXT(Transactions_Clean[[#This Row],[Date]],"MMM-YYYY")</f>
        <v>Nov-2023</v>
      </c>
      <c r="L112">
        <f>IF(Transactions_Clean[[#This Row],[Category]]="Revenue",Transactions_Clean[[#This Row],[Amount(₹)]],Transactions_Clean[[#This Row],[Amount(₹)]]/8)</f>
        <v>-3628.875</v>
      </c>
    </row>
    <row r="113" spans="1:12">
      <c r="A113" t="s">
        <v>323</v>
      </c>
      <c r="B113" t="s">
        <v>4767</v>
      </c>
      <c r="C113" t="s">
        <v>157</v>
      </c>
      <c r="D113">
        <v>513003</v>
      </c>
      <c r="E113" t="s">
        <v>62</v>
      </c>
      <c r="F113" t="s">
        <v>32</v>
      </c>
      <c r="G113" t="s">
        <v>25</v>
      </c>
      <c r="H113" t="s">
        <v>26</v>
      </c>
      <c r="I113" t="s">
        <v>34</v>
      </c>
      <c r="J113" s="11">
        <v>45084</v>
      </c>
      <c r="K113" t="str">
        <f>TEXT(Transactions_Clean[[#This Row],[Date]],"MMM-YYYY")</f>
        <v>Jun-2023</v>
      </c>
      <c r="L113">
        <f>IF(Transactions_Clean[[#This Row],[Category]]="Revenue",Transactions_Clean[[#This Row],[Amount(₹)]],Transactions_Clean[[#This Row],[Amount(₹)]]/8)</f>
        <v>513003</v>
      </c>
    </row>
    <row r="114" spans="1:12">
      <c r="A114" t="s">
        <v>325</v>
      </c>
      <c r="B114" t="s">
        <v>180</v>
      </c>
      <c r="C114" t="s">
        <v>44</v>
      </c>
      <c r="D114">
        <v>-91384</v>
      </c>
      <c r="E114" t="s">
        <v>23</v>
      </c>
      <c r="F114" t="s">
        <v>32</v>
      </c>
      <c r="G114" t="s">
        <v>33</v>
      </c>
      <c r="H114" t="s">
        <v>39</v>
      </c>
      <c r="I114" t="s">
        <v>48</v>
      </c>
      <c r="J114" s="11">
        <v>45997</v>
      </c>
      <c r="K114" t="str">
        <f>TEXT(Transactions_Clean[[#This Row],[Date]],"MMM-YYYY")</f>
        <v>Dec-2025</v>
      </c>
      <c r="L114">
        <f>IF(Transactions_Clean[[#This Row],[Category]]="Revenue",Transactions_Clean[[#This Row],[Amount(₹)]],Transactions_Clean[[#This Row],[Amount(₹)]]/8)</f>
        <v>-11423</v>
      </c>
    </row>
    <row r="115" spans="1:12">
      <c r="A115" t="s">
        <v>327</v>
      </c>
      <c r="B115" t="s">
        <v>180</v>
      </c>
      <c r="C115" t="s">
        <v>44</v>
      </c>
      <c r="D115">
        <v>-148918</v>
      </c>
      <c r="E115" t="s">
        <v>23</v>
      </c>
      <c r="F115" t="s">
        <v>24</v>
      </c>
      <c r="G115" t="s">
        <v>33</v>
      </c>
      <c r="H115" t="s">
        <v>26</v>
      </c>
      <c r="I115" t="s">
        <v>34</v>
      </c>
      <c r="J115" s="11">
        <v>45028</v>
      </c>
      <c r="K115" t="str">
        <f>TEXT(Transactions_Clean[[#This Row],[Date]],"MMM-YYYY")</f>
        <v>Apr-2023</v>
      </c>
      <c r="L115">
        <f>IF(Transactions_Clean[[#This Row],[Category]]="Revenue",Transactions_Clean[[#This Row],[Amount(₹)]],Transactions_Clean[[#This Row],[Amount(₹)]]/8)</f>
        <v>-18614.75</v>
      </c>
    </row>
    <row r="116" spans="1:12">
      <c r="A116" t="s">
        <v>329</v>
      </c>
      <c r="B116" t="s">
        <v>237</v>
      </c>
      <c r="C116" t="s">
        <v>22</v>
      </c>
      <c r="D116">
        <v>-141146</v>
      </c>
      <c r="E116" t="s">
        <v>23</v>
      </c>
      <c r="F116" t="s">
        <v>32</v>
      </c>
      <c r="G116" t="s">
        <v>25</v>
      </c>
      <c r="H116" t="s">
        <v>45</v>
      </c>
      <c r="I116" t="s">
        <v>40</v>
      </c>
      <c r="J116" s="11">
        <v>45497</v>
      </c>
      <c r="K116" t="str">
        <f>TEXT(Transactions_Clean[[#This Row],[Date]],"MMM-YYYY")</f>
        <v>Jul-2024</v>
      </c>
      <c r="L116">
        <f>IF(Transactions_Clean[[#This Row],[Category]]="Revenue",Transactions_Clean[[#This Row],[Amount(₹)]],Transactions_Clean[[#This Row],[Amount(₹)]]/8)</f>
        <v>-17643.25</v>
      </c>
    </row>
    <row r="117" spans="1:12">
      <c r="A117" t="s">
        <v>332</v>
      </c>
      <c r="B117" t="s">
        <v>4765</v>
      </c>
      <c r="C117" t="s">
        <v>73</v>
      </c>
      <c r="D117">
        <v>-12076</v>
      </c>
      <c r="E117" t="s">
        <v>74</v>
      </c>
      <c r="F117" t="s">
        <v>24</v>
      </c>
      <c r="G117" t="s">
        <v>25</v>
      </c>
      <c r="H117" t="s">
        <v>45</v>
      </c>
      <c r="I117" t="s">
        <v>27</v>
      </c>
      <c r="J117" s="11">
        <v>45932</v>
      </c>
      <c r="K117" t="str">
        <f>TEXT(Transactions_Clean[[#This Row],[Date]],"MMM-YYYY")</f>
        <v>Oct-2025</v>
      </c>
      <c r="L117">
        <f>IF(Transactions_Clean[[#This Row],[Category]]="Revenue",Transactions_Clean[[#This Row],[Amount(₹)]],Transactions_Clean[[#This Row],[Amount(₹)]]/8)</f>
        <v>-1509.5</v>
      </c>
    </row>
    <row r="118" spans="1:12">
      <c r="A118" t="s">
        <v>334</v>
      </c>
      <c r="B118" t="s">
        <v>4763</v>
      </c>
      <c r="C118" t="s">
        <v>22</v>
      </c>
      <c r="D118">
        <v>-154488</v>
      </c>
      <c r="E118" t="s">
        <v>23</v>
      </c>
      <c r="F118" t="s">
        <v>32</v>
      </c>
      <c r="G118" t="s">
        <v>25</v>
      </c>
      <c r="H118" t="s">
        <v>39</v>
      </c>
      <c r="I118" t="s">
        <v>40</v>
      </c>
      <c r="J118" s="11">
        <v>45906</v>
      </c>
      <c r="K118" t="str">
        <f>TEXT(Transactions_Clean[[#This Row],[Date]],"MMM-YYYY")</f>
        <v>Sep-2025</v>
      </c>
      <c r="L118">
        <f>IF(Transactions_Clean[[#This Row],[Category]]="Revenue",Transactions_Clean[[#This Row],[Amount(₹)]],Transactions_Clean[[#This Row],[Amount(₹)]]/8)</f>
        <v>-19311</v>
      </c>
    </row>
    <row r="119" spans="1:12">
      <c r="A119" t="s">
        <v>336</v>
      </c>
      <c r="B119" t="s">
        <v>215</v>
      </c>
      <c r="C119" t="s">
        <v>61</v>
      </c>
      <c r="D119">
        <v>-51439</v>
      </c>
      <c r="E119" t="s">
        <v>62</v>
      </c>
      <c r="F119" t="s">
        <v>32</v>
      </c>
      <c r="G119" t="s">
        <v>63</v>
      </c>
      <c r="H119" t="s">
        <v>45</v>
      </c>
      <c r="I119" t="s">
        <v>40</v>
      </c>
      <c r="J119" s="11">
        <v>45511</v>
      </c>
      <c r="K119" t="str">
        <f>TEXT(Transactions_Clean[[#This Row],[Date]],"MMM-YYYY")</f>
        <v>Aug-2024</v>
      </c>
      <c r="L119">
        <f>IF(Transactions_Clean[[#This Row],[Category]]="Revenue",Transactions_Clean[[#This Row],[Amount(₹)]],Transactions_Clean[[#This Row],[Amount(₹)]]/8)</f>
        <v>-6429.875</v>
      </c>
    </row>
    <row r="120" spans="1:12">
      <c r="A120" t="s">
        <v>337</v>
      </c>
      <c r="B120" t="s">
        <v>4768</v>
      </c>
      <c r="C120" t="s">
        <v>157</v>
      </c>
      <c r="D120">
        <v>572764</v>
      </c>
      <c r="E120" t="s">
        <v>62</v>
      </c>
      <c r="F120" t="s">
        <v>32</v>
      </c>
      <c r="G120" t="s">
        <v>25</v>
      </c>
      <c r="H120" t="s">
        <v>26</v>
      </c>
      <c r="I120" t="s">
        <v>40</v>
      </c>
      <c r="J120" s="11">
        <v>45170</v>
      </c>
      <c r="K120" t="str">
        <f>TEXT(Transactions_Clean[[#This Row],[Date]],"MMM-YYYY")</f>
        <v>Sep-2023</v>
      </c>
      <c r="L120">
        <f>IF(Transactions_Clean[[#This Row],[Category]]="Revenue",Transactions_Clean[[#This Row],[Amount(₹)]],Transactions_Clean[[#This Row],[Amount(₹)]]/8)</f>
        <v>572764</v>
      </c>
    </row>
    <row r="121" spans="1:12">
      <c r="A121" t="s">
        <v>340</v>
      </c>
      <c r="B121" t="s">
        <v>106</v>
      </c>
      <c r="C121" t="s">
        <v>31</v>
      </c>
      <c r="D121">
        <v>-32973</v>
      </c>
      <c r="E121" t="s">
        <v>23</v>
      </c>
      <c r="F121" t="s">
        <v>32</v>
      </c>
      <c r="G121" t="s">
        <v>33</v>
      </c>
      <c r="H121" t="s">
        <v>26</v>
      </c>
      <c r="I121" t="s">
        <v>27</v>
      </c>
      <c r="J121" s="11">
        <v>45302</v>
      </c>
      <c r="K121" t="str">
        <f>TEXT(Transactions_Clean[[#This Row],[Date]],"MMM-YYYY")</f>
        <v>Jan-2024</v>
      </c>
      <c r="L121">
        <f>IF(Transactions_Clean[[#This Row],[Category]]="Revenue",Transactions_Clean[[#This Row],[Amount(₹)]],Transactions_Clean[[#This Row],[Amount(₹)]]/8)</f>
        <v>-4121.625</v>
      </c>
    </row>
    <row r="122" spans="1:12">
      <c r="A122" t="s">
        <v>341</v>
      </c>
      <c r="B122" t="s">
        <v>60</v>
      </c>
      <c r="C122" t="s">
        <v>61</v>
      </c>
      <c r="D122">
        <v>-52377</v>
      </c>
      <c r="E122" t="s">
        <v>62</v>
      </c>
      <c r="F122" t="s">
        <v>24</v>
      </c>
      <c r="G122" t="s">
        <v>63</v>
      </c>
      <c r="H122" t="s">
        <v>26</v>
      </c>
      <c r="I122" t="s">
        <v>48</v>
      </c>
      <c r="J122" s="11">
        <v>45227</v>
      </c>
      <c r="K122" t="str">
        <f>TEXT(Transactions_Clean[[#This Row],[Date]],"MMM-YYYY")</f>
        <v>Oct-2023</v>
      </c>
      <c r="L122">
        <f>IF(Transactions_Clean[[#This Row],[Category]]="Revenue",Transactions_Clean[[#This Row],[Amount(₹)]],Transactions_Clean[[#This Row],[Amount(₹)]]/8)</f>
        <v>-6547.125</v>
      </c>
    </row>
    <row r="123" spans="1:12">
      <c r="A123" t="s">
        <v>343</v>
      </c>
      <c r="B123" t="s">
        <v>345</v>
      </c>
      <c r="C123" t="s">
        <v>22</v>
      </c>
      <c r="D123">
        <v>-163820</v>
      </c>
      <c r="E123" t="s">
        <v>23</v>
      </c>
      <c r="F123" t="s">
        <v>24</v>
      </c>
      <c r="G123" t="s">
        <v>25</v>
      </c>
      <c r="H123" t="s">
        <v>45</v>
      </c>
      <c r="I123" t="s">
        <v>27</v>
      </c>
      <c r="J123" s="11">
        <v>45700</v>
      </c>
      <c r="K123" t="str">
        <f>TEXT(Transactions_Clean[[#This Row],[Date]],"MMM-YYYY")</f>
        <v>Feb-2025</v>
      </c>
      <c r="L123">
        <f>IF(Transactions_Clean[[#This Row],[Category]]="Revenue",Transactions_Clean[[#This Row],[Amount(₹)]],Transactions_Clean[[#This Row],[Amount(₹)]]/8)</f>
        <v>-20477.5</v>
      </c>
    </row>
    <row r="124" spans="1:12">
      <c r="A124" t="s">
        <v>346</v>
      </c>
      <c r="B124" t="s">
        <v>215</v>
      </c>
      <c r="C124" t="s">
        <v>61</v>
      </c>
      <c r="D124">
        <v>-47607</v>
      </c>
      <c r="E124" t="s">
        <v>62</v>
      </c>
      <c r="F124" t="s">
        <v>24</v>
      </c>
      <c r="G124" t="s">
        <v>63</v>
      </c>
      <c r="H124" t="s">
        <v>39</v>
      </c>
      <c r="I124" t="s">
        <v>27</v>
      </c>
      <c r="J124" s="11">
        <v>46049</v>
      </c>
      <c r="K124" t="str">
        <f>TEXT(Transactions_Clean[[#This Row],[Date]],"MMM-YYYY")</f>
        <v>Jan-2026</v>
      </c>
      <c r="L124">
        <f>IF(Transactions_Clean[[#This Row],[Category]]="Revenue",Transactions_Clean[[#This Row],[Amount(₹)]],Transactions_Clean[[#This Row],[Amount(₹)]]/8)</f>
        <v>-5950.875</v>
      </c>
    </row>
    <row r="125" spans="1:12">
      <c r="A125" t="s">
        <v>348</v>
      </c>
      <c r="B125" t="s">
        <v>4751</v>
      </c>
      <c r="C125" t="s">
        <v>38</v>
      </c>
      <c r="D125">
        <v>-15985</v>
      </c>
      <c r="E125" t="s">
        <v>23</v>
      </c>
      <c r="F125" t="s">
        <v>32</v>
      </c>
      <c r="G125" t="s">
        <v>33</v>
      </c>
      <c r="H125" t="s">
        <v>45</v>
      </c>
      <c r="I125" t="s">
        <v>27</v>
      </c>
      <c r="J125" s="11">
        <v>45677</v>
      </c>
      <c r="K125" t="str">
        <f>TEXT(Transactions_Clean[[#This Row],[Date]],"MMM-YYYY")</f>
        <v>Jan-2025</v>
      </c>
      <c r="L125">
        <f>IF(Transactions_Clean[[#This Row],[Category]]="Revenue",Transactions_Clean[[#This Row],[Amount(₹)]],Transactions_Clean[[#This Row],[Amount(₹)]]/8)</f>
        <v>-1998.125</v>
      </c>
    </row>
    <row r="126" spans="1:12">
      <c r="A126" t="s">
        <v>350</v>
      </c>
      <c r="B126" t="s">
        <v>4766</v>
      </c>
      <c r="C126" t="s">
        <v>73</v>
      </c>
      <c r="D126">
        <v>-31301</v>
      </c>
      <c r="E126" t="s">
        <v>74</v>
      </c>
      <c r="F126" t="s">
        <v>24</v>
      </c>
      <c r="G126" t="s">
        <v>25</v>
      </c>
      <c r="H126" t="s">
        <v>39</v>
      </c>
      <c r="I126" t="s">
        <v>34</v>
      </c>
      <c r="J126" s="11">
        <v>45825</v>
      </c>
      <c r="K126" t="str">
        <f>TEXT(Transactions_Clean[[#This Row],[Date]],"MMM-YYYY")</f>
        <v>Jun-2025</v>
      </c>
      <c r="L126">
        <f>IF(Transactions_Clean[[#This Row],[Category]]="Revenue",Transactions_Clean[[#This Row],[Amount(₹)]],Transactions_Clean[[#This Row],[Amount(₹)]]/8)</f>
        <v>-3912.625</v>
      </c>
    </row>
    <row r="127" spans="1:12">
      <c r="A127" t="s">
        <v>352</v>
      </c>
      <c r="B127" t="s">
        <v>72</v>
      </c>
      <c r="C127" t="s">
        <v>73</v>
      </c>
      <c r="D127">
        <v>-57516</v>
      </c>
      <c r="E127" t="s">
        <v>74</v>
      </c>
      <c r="F127" t="s">
        <v>24</v>
      </c>
      <c r="G127" t="s">
        <v>25</v>
      </c>
      <c r="H127" t="s">
        <v>45</v>
      </c>
      <c r="I127" t="s">
        <v>40</v>
      </c>
      <c r="J127" s="11">
        <v>45525</v>
      </c>
      <c r="K127" t="str">
        <f>TEXT(Transactions_Clean[[#This Row],[Date]],"MMM-YYYY")</f>
        <v>Aug-2024</v>
      </c>
      <c r="L127">
        <f>IF(Transactions_Clean[[#This Row],[Category]]="Revenue",Transactions_Clean[[#This Row],[Amount(₹)]],Transactions_Clean[[#This Row],[Amount(₹)]]/8)</f>
        <v>-7189.5</v>
      </c>
    </row>
    <row r="128" spans="1:12">
      <c r="A128" t="s">
        <v>354</v>
      </c>
      <c r="B128" t="s">
        <v>60</v>
      </c>
      <c r="C128" t="s">
        <v>61</v>
      </c>
      <c r="D128">
        <v>-42285</v>
      </c>
      <c r="E128" t="s">
        <v>62</v>
      </c>
      <c r="F128" t="s">
        <v>24</v>
      </c>
      <c r="G128" t="s">
        <v>63</v>
      </c>
      <c r="H128" t="s">
        <v>39</v>
      </c>
      <c r="I128" t="s">
        <v>48</v>
      </c>
      <c r="J128" s="11">
        <v>45992</v>
      </c>
      <c r="K128" t="str">
        <f>TEXT(Transactions_Clean[[#This Row],[Date]],"MMM-YYYY")</f>
        <v>Dec-2025</v>
      </c>
      <c r="L128">
        <f>IF(Transactions_Clean[[#This Row],[Category]]="Revenue",Transactions_Clean[[#This Row],[Amount(₹)]],Transactions_Clean[[#This Row],[Amount(₹)]]/8)</f>
        <v>-5285.625</v>
      </c>
    </row>
    <row r="129" spans="1:12">
      <c r="A129" t="s">
        <v>356</v>
      </c>
      <c r="B129" t="s">
        <v>4766</v>
      </c>
      <c r="C129" t="s">
        <v>73</v>
      </c>
      <c r="D129">
        <v>-35456</v>
      </c>
      <c r="E129" t="s">
        <v>74</v>
      </c>
      <c r="F129" t="s">
        <v>32</v>
      </c>
      <c r="G129" t="s">
        <v>25</v>
      </c>
      <c r="H129" t="s">
        <v>39</v>
      </c>
      <c r="I129" t="s">
        <v>27</v>
      </c>
      <c r="J129" s="11">
        <v>46032</v>
      </c>
      <c r="K129" t="str">
        <f>TEXT(Transactions_Clean[[#This Row],[Date]],"MMM-YYYY")</f>
        <v>Jan-2026</v>
      </c>
      <c r="L129">
        <f>IF(Transactions_Clean[[#This Row],[Category]]="Revenue",Transactions_Clean[[#This Row],[Amount(₹)]],Transactions_Clean[[#This Row],[Amount(₹)]]/8)</f>
        <v>-4432</v>
      </c>
    </row>
    <row r="130" spans="1:12">
      <c r="A130" t="s">
        <v>358</v>
      </c>
      <c r="B130" t="s">
        <v>4757</v>
      </c>
      <c r="C130" t="s">
        <v>73</v>
      </c>
      <c r="D130">
        <v>-30776</v>
      </c>
      <c r="E130" t="s">
        <v>74</v>
      </c>
      <c r="F130" t="s">
        <v>24</v>
      </c>
      <c r="G130" t="s">
        <v>25</v>
      </c>
      <c r="H130" t="s">
        <v>45</v>
      </c>
      <c r="I130" t="s">
        <v>48</v>
      </c>
      <c r="J130" s="11">
        <v>45581</v>
      </c>
      <c r="K130" t="str">
        <f>TEXT(Transactions_Clean[[#This Row],[Date]],"MMM-YYYY")</f>
        <v>Oct-2024</v>
      </c>
      <c r="L130">
        <f>IF(Transactions_Clean[[#This Row],[Category]]="Revenue",Transactions_Clean[[#This Row],[Amount(₹)]],Transactions_Clean[[#This Row],[Amount(₹)]]/8)</f>
        <v>-3847</v>
      </c>
    </row>
    <row r="131" spans="1:12">
      <c r="A131" t="s">
        <v>360</v>
      </c>
      <c r="B131" t="s">
        <v>4757</v>
      </c>
      <c r="C131" t="s">
        <v>73</v>
      </c>
      <c r="D131">
        <v>-85388</v>
      </c>
      <c r="E131" t="s">
        <v>74</v>
      </c>
      <c r="F131" t="s">
        <v>32</v>
      </c>
      <c r="G131" t="s">
        <v>25</v>
      </c>
      <c r="H131" t="s">
        <v>45</v>
      </c>
      <c r="I131" t="s">
        <v>27</v>
      </c>
      <c r="J131" s="11">
        <v>45742</v>
      </c>
      <c r="K131" t="str">
        <f>TEXT(Transactions_Clean[[#This Row],[Date]],"MMM-YYYY")</f>
        <v>Mar-2025</v>
      </c>
      <c r="L131">
        <f>IF(Transactions_Clean[[#This Row],[Category]]="Revenue",Transactions_Clean[[#This Row],[Amount(₹)]],Transactions_Clean[[#This Row],[Amount(₹)]]/8)</f>
        <v>-10673.5</v>
      </c>
    </row>
    <row r="132" spans="1:12">
      <c r="A132" t="s">
        <v>362</v>
      </c>
      <c r="B132" t="s">
        <v>4755</v>
      </c>
      <c r="C132" t="s">
        <v>78</v>
      </c>
      <c r="D132">
        <v>-19073</v>
      </c>
      <c r="E132" t="s">
        <v>23</v>
      </c>
      <c r="F132" t="s">
        <v>24</v>
      </c>
      <c r="G132" t="s">
        <v>79</v>
      </c>
      <c r="H132" t="s">
        <v>26</v>
      </c>
      <c r="I132" t="s">
        <v>40</v>
      </c>
      <c r="J132" s="11">
        <v>45169</v>
      </c>
      <c r="K132" t="str">
        <f>TEXT(Transactions_Clean[[#This Row],[Date]],"MMM-YYYY")</f>
        <v>Aug-2023</v>
      </c>
      <c r="L132">
        <f>IF(Transactions_Clean[[#This Row],[Category]]="Revenue",Transactions_Clean[[#This Row],[Amount(₹)]],Transactions_Clean[[#This Row],[Amount(₹)]]/8)</f>
        <v>-2384.125</v>
      </c>
    </row>
    <row r="133" spans="1:12">
      <c r="A133" t="s">
        <v>364</v>
      </c>
      <c r="B133" t="s">
        <v>283</v>
      </c>
      <c r="C133" t="s">
        <v>44</v>
      </c>
      <c r="D133">
        <v>-129689</v>
      </c>
      <c r="E133" t="s">
        <v>23</v>
      </c>
      <c r="F133" t="s">
        <v>32</v>
      </c>
      <c r="G133" t="s">
        <v>33</v>
      </c>
      <c r="H133" t="s">
        <v>45</v>
      </c>
      <c r="I133" t="s">
        <v>34</v>
      </c>
      <c r="J133" s="11">
        <v>45434</v>
      </c>
      <c r="K133" t="str">
        <f>TEXT(Transactions_Clean[[#This Row],[Date]],"MMM-YYYY")</f>
        <v>May-2024</v>
      </c>
      <c r="L133">
        <f>IF(Transactions_Clean[[#This Row],[Category]]="Revenue",Transactions_Clean[[#This Row],[Amount(₹)]],Transactions_Clean[[#This Row],[Amount(₹)]]/8)</f>
        <v>-16211.125</v>
      </c>
    </row>
    <row r="134" spans="1:12">
      <c r="A134" t="s">
        <v>366</v>
      </c>
      <c r="B134" t="s">
        <v>177</v>
      </c>
      <c r="C134" t="s">
        <v>78</v>
      </c>
      <c r="D134">
        <v>-91556</v>
      </c>
      <c r="E134" t="s">
        <v>23</v>
      </c>
      <c r="F134" t="s">
        <v>32</v>
      </c>
      <c r="G134" t="s">
        <v>79</v>
      </c>
      <c r="H134" t="s">
        <v>45</v>
      </c>
      <c r="I134" t="s">
        <v>34</v>
      </c>
      <c r="J134" s="11">
        <v>45411</v>
      </c>
      <c r="K134" t="str">
        <f>TEXT(Transactions_Clean[[#This Row],[Date]],"MMM-YYYY")</f>
        <v>Apr-2024</v>
      </c>
      <c r="L134">
        <f>IF(Transactions_Clean[[#This Row],[Category]]="Revenue",Transactions_Clean[[#This Row],[Amount(₹)]],Transactions_Clean[[#This Row],[Amount(₹)]]/8)</f>
        <v>-11444.5</v>
      </c>
    </row>
    <row r="135" spans="1:12">
      <c r="A135" t="s">
        <v>368</v>
      </c>
      <c r="B135" t="s">
        <v>66</v>
      </c>
      <c r="C135" t="s">
        <v>61</v>
      </c>
      <c r="D135">
        <v>-27313</v>
      </c>
      <c r="E135" t="s">
        <v>62</v>
      </c>
      <c r="F135" t="s">
        <v>32</v>
      </c>
      <c r="G135" t="s">
        <v>63</v>
      </c>
      <c r="H135" t="s">
        <v>45</v>
      </c>
      <c r="I135" t="s">
        <v>27</v>
      </c>
      <c r="J135" s="11">
        <v>45658</v>
      </c>
      <c r="K135" t="str">
        <f>TEXT(Transactions_Clean[[#This Row],[Date]],"MMM-YYYY")</f>
        <v>Jan-2025</v>
      </c>
      <c r="L135">
        <f>IF(Transactions_Clean[[#This Row],[Category]]="Revenue",Transactions_Clean[[#This Row],[Amount(₹)]],Transactions_Clean[[#This Row],[Amount(₹)]]/8)</f>
        <v>-3414.125</v>
      </c>
    </row>
    <row r="136" spans="1:12">
      <c r="A136" t="s">
        <v>369</v>
      </c>
      <c r="B136" t="s">
        <v>177</v>
      </c>
      <c r="C136" t="s">
        <v>78</v>
      </c>
      <c r="D136">
        <v>-47089</v>
      </c>
      <c r="E136" t="s">
        <v>23</v>
      </c>
      <c r="F136" t="s">
        <v>32</v>
      </c>
      <c r="G136" t="s">
        <v>79</v>
      </c>
      <c r="H136" t="s">
        <v>26</v>
      </c>
      <c r="I136" t="s">
        <v>48</v>
      </c>
      <c r="J136" s="11">
        <v>45089</v>
      </c>
      <c r="K136" t="str">
        <f>TEXT(Transactions_Clean[[#This Row],[Date]],"MMM-YYYY")</f>
        <v>Jun-2023</v>
      </c>
      <c r="L136">
        <f>IF(Transactions_Clean[[#This Row],[Category]]="Revenue",Transactions_Clean[[#This Row],[Amount(₹)]],Transactions_Clean[[#This Row],[Amount(₹)]]/8)</f>
        <v>-5886.125</v>
      </c>
    </row>
    <row r="137" spans="1:12">
      <c r="A137" t="s">
        <v>372</v>
      </c>
      <c r="B137" t="s">
        <v>4752</v>
      </c>
      <c r="C137" t="s">
        <v>44</v>
      </c>
      <c r="D137">
        <v>-143792</v>
      </c>
      <c r="E137" t="s">
        <v>23</v>
      </c>
      <c r="F137" t="s">
        <v>32</v>
      </c>
      <c r="G137" t="s">
        <v>33</v>
      </c>
      <c r="H137" t="s">
        <v>26</v>
      </c>
      <c r="I137" t="s">
        <v>27</v>
      </c>
      <c r="J137" s="11">
        <v>45363</v>
      </c>
      <c r="K137" t="str">
        <f>TEXT(Transactions_Clean[[#This Row],[Date]],"MMM-YYYY")</f>
        <v>Mar-2024</v>
      </c>
      <c r="L137">
        <f>IF(Transactions_Clean[[#This Row],[Category]]="Revenue",Transactions_Clean[[#This Row],[Amount(₹)]],Transactions_Clean[[#This Row],[Amount(₹)]]/8)</f>
        <v>-17974</v>
      </c>
    </row>
    <row r="138" spans="1:12">
      <c r="A138" t="s">
        <v>374</v>
      </c>
      <c r="B138" t="s">
        <v>4766</v>
      </c>
      <c r="C138" t="s">
        <v>4750</v>
      </c>
      <c r="D138">
        <v>-52606</v>
      </c>
      <c r="E138" t="s">
        <v>74</v>
      </c>
      <c r="F138" t="s">
        <v>32</v>
      </c>
      <c r="G138" t="s">
        <v>25</v>
      </c>
      <c r="H138" t="s">
        <v>26</v>
      </c>
      <c r="I138" t="s">
        <v>27</v>
      </c>
      <c r="J138" s="11">
        <v>45377</v>
      </c>
      <c r="K138" t="str">
        <f>TEXT(Transactions_Clean[[#This Row],[Date]],"MMM-YYYY")</f>
        <v>Mar-2024</v>
      </c>
      <c r="L138">
        <f>IF(Transactions_Clean[[#This Row],[Category]]="Revenue",Transactions_Clean[[#This Row],[Amount(₹)]],Transactions_Clean[[#This Row],[Amount(₹)]]/8)</f>
        <v>-6575.75</v>
      </c>
    </row>
    <row r="139" spans="1:12">
      <c r="A139" t="s">
        <v>376</v>
      </c>
      <c r="B139" t="s">
        <v>174</v>
      </c>
      <c r="C139" t="s">
        <v>22</v>
      </c>
      <c r="D139">
        <v>-172183</v>
      </c>
      <c r="E139" t="s">
        <v>23</v>
      </c>
      <c r="F139" t="s">
        <v>24</v>
      </c>
      <c r="G139" t="s">
        <v>25</v>
      </c>
      <c r="H139" t="s">
        <v>45</v>
      </c>
      <c r="I139" t="s">
        <v>34</v>
      </c>
      <c r="J139" s="11">
        <v>45387</v>
      </c>
      <c r="K139" t="str">
        <f>TEXT(Transactions_Clean[[#This Row],[Date]],"MMM-YYYY")</f>
        <v>Apr-2024</v>
      </c>
      <c r="L139">
        <f>IF(Transactions_Clean[[#This Row],[Category]]="Revenue",Transactions_Clean[[#This Row],[Amount(₹)]],Transactions_Clean[[#This Row],[Amount(₹)]]/8)</f>
        <v>-21522.875</v>
      </c>
    </row>
    <row r="140" spans="1:12">
      <c r="A140" t="s">
        <v>378</v>
      </c>
      <c r="B140" t="s">
        <v>4748</v>
      </c>
      <c r="C140" t="s">
        <v>22</v>
      </c>
      <c r="D140">
        <v>-106481</v>
      </c>
      <c r="E140" t="s">
        <v>23</v>
      </c>
      <c r="F140" t="s">
        <v>24</v>
      </c>
      <c r="G140" t="s">
        <v>25</v>
      </c>
      <c r="H140" t="s">
        <v>39</v>
      </c>
      <c r="I140" t="s">
        <v>34</v>
      </c>
      <c r="J140" s="11">
        <v>45751</v>
      </c>
      <c r="K140" t="str">
        <f>TEXT(Transactions_Clean[[#This Row],[Date]],"MMM-YYYY")</f>
        <v>Apr-2025</v>
      </c>
      <c r="L140">
        <f>IF(Transactions_Clean[[#This Row],[Category]]="Revenue",Transactions_Clean[[#This Row],[Amount(₹)]],Transactions_Clean[[#This Row],[Amount(₹)]]/8)</f>
        <v>-13310.125</v>
      </c>
    </row>
    <row r="141" spans="1:12">
      <c r="A141" t="s">
        <v>380</v>
      </c>
      <c r="B141" t="s">
        <v>4752</v>
      </c>
      <c r="C141" t="s">
        <v>44</v>
      </c>
      <c r="D141">
        <v>-59354</v>
      </c>
      <c r="E141" t="s">
        <v>23</v>
      </c>
      <c r="F141" t="s">
        <v>32</v>
      </c>
      <c r="G141" t="s">
        <v>33</v>
      </c>
      <c r="H141" t="s">
        <v>39</v>
      </c>
      <c r="I141" t="s">
        <v>27</v>
      </c>
      <c r="J141" s="11">
        <v>46072</v>
      </c>
      <c r="K141" t="str">
        <f>TEXT(Transactions_Clean[[#This Row],[Date]],"MMM-YYYY")</f>
        <v>Feb-2026</v>
      </c>
      <c r="L141">
        <f>IF(Transactions_Clean[[#This Row],[Category]]="Revenue",Transactions_Clean[[#This Row],[Amount(₹)]],Transactions_Clean[[#This Row],[Amount(₹)]]/8)</f>
        <v>-7419.25</v>
      </c>
    </row>
    <row r="142" spans="1:12">
      <c r="A142" t="s">
        <v>382</v>
      </c>
      <c r="B142" t="s">
        <v>215</v>
      </c>
      <c r="C142" t="s">
        <v>61</v>
      </c>
      <c r="D142">
        <v>-18851</v>
      </c>
      <c r="E142" t="s">
        <v>62</v>
      </c>
      <c r="F142" t="s">
        <v>24</v>
      </c>
      <c r="G142" t="s">
        <v>63</v>
      </c>
      <c r="H142" t="s">
        <v>39</v>
      </c>
      <c r="I142" t="s">
        <v>48</v>
      </c>
      <c r="J142" s="11">
        <v>45957</v>
      </c>
      <c r="K142" t="str">
        <f>TEXT(Transactions_Clean[[#This Row],[Date]],"MMM-YYYY")</f>
        <v>Oct-2025</v>
      </c>
      <c r="L142">
        <f>IF(Transactions_Clean[[#This Row],[Category]]="Revenue",Transactions_Clean[[#This Row],[Amount(₹)]],Transactions_Clean[[#This Row],[Amount(₹)]]/8)</f>
        <v>-2356.375</v>
      </c>
    </row>
    <row r="143" spans="1:12">
      <c r="A143" t="s">
        <v>384</v>
      </c>
      <c r="B143" t="s">
        <v>87</v>
      </c>
      <c r="C143" t="s">
        <v>22</v>
      </c>
      <c r="D143">
        <v>-203117</v>
      </c>
      <c r="E143" t="s">
        <v>23</v>
      </c>
      <c r="F143" t="s">
        <v>32</v>
      </c>
      <c r="G143" t="s">
        <v>25</v>
      </c>
      <c r="H143" t="s">
        <v>39</v>
      </c>
      <c r="I143" t="s">
        <v>27</v>
      </c>
      <c r="J143" s="11">
        <v>46059</v>
      </c>
      <c r="K143" t="str">
        <f>TEXT(Transactions_Clean[[#This Row],[Date]],"MMM-YYYY")</f>
        <v>Feb-2026</v>
      </c>
      <c r="L143">
        <f>IF(Transactions_Clean[[#This Row],[Category]]="Revenue",Transactions_Clean[[#This Row],[Amount(₹)]],Transactions_Clean[[#This Row],[Amount(₹)]]/8)</f>
        <v>-25389.625</v>
      </c>
    </row>
    <row r="144" spans="1:12">
      <c r="A144" t="s">
        <v>386</v>
      </c>
      <c r="B144" t="s">
        <v>180</v>
      </c>
      <c r="C144" t="s">
        <v>44</v>
      </c>
      <c r="D144">
        <v>-179370</v>
      </c>
      <c r="E144" t="s">
        <v>23</v>
      </c>
      <c r="F144" t="s">
        <v>32</v>
      </c>
      <c r="G144" t="s">
        <v>33</v>
      </c>
      <c r="H144" t="s">
        <v>39</v>
      </c>
      <c r="I144" t="s">
        <v>48</v>
      </c>
      <c r="J144" s="11">
        <v>45942</v>
      </c>
      <c r="K144" t="str">
        <f>TEXT(Transactions_Clean[[#This Row],[Date]],"MMM-YYYY")</f>
        <v>Oct-2025</v>
      </c>
      <c r="L144">
        <f>IF(Transactions_Clean[[#This Row],[Category]]="Revenue",Transactions_Clean[[#This Row],[Amount(₹)]],Transactions_Clean[[#This Row],[Amount(₹)]]/8)</f>
        <v>-22421.25</v>
      </c>
    </row>
    <row r="145" spans="1:12">
      <c r="A145" t="s">
        <v>389</v>
      </c>
      <c r="B145" t="s">
        <v>60</v>
      </c>
      <c r="C145" t="s">
        <v>61</v>
      </c>
      <c r="D145">
        <v>-18285</v>
      </c>
      <c r="E145" t="s">
        <v>62</v>
      </c>
      <c r="F145" t="s">
        <v>32</v>
      </c>
      <c r="G145" t="s">
        <v>63</v>
      </c>
      <c r="H145" t="s">
        <v>26</v>
      </c>
      <c r="I145" t="s">
        <v>40</v>
      </c>
      <c r="J145" s="11">
        <v>45171</v>
      </c>
      <c r="K145" t="str">
        <f>TEXT(Transactions_Clean[[#This Row],[Date]],"MMM-YYYY")</f>
        <v>Sep-2023</v>
      </c>
      <c r="L145">
        <f>IF(Transactions_Clean[[#This Row],[Category]]="Revenue",Transactions_Clean[[#This Row],[Amount(₹)]],Transactions_Clean[[#This Row],[Amount(₹)]]/8)</f>
        <v>-2285.625</v>
      </c>
    </row>
    <row r="146" spans="1:12">
      <c r="A146" t="s">
        <v>391</v>
      </c>
      <c r="B146" t="s">
        <v>72</v>
      </c>
      <c r="C146" t="s">
        <v>73</v>
      </c>
      <c r="D146">
        <v>-66328</v>
      </c>
      <c r="E146" t="s">
        <v>74</v>
      </c>
      <c r="F146" t="s">
        <v>32</v>
      </c>
      <c r="G146" t="s">
        <v>25</v>
      </c>
      <c r="H146" t="s">
        <v>45</v>
      </c>
      <c r="I146" t="s">
        <v>40</v>
      </c>
      <c r="J146" s="11">
        <v>45559</v>
      </c>
      <c r="K146" t="str">
        <f>TEXT(Transactions_Clean[[#This Row],[Date]],"MMM-YYYY")</f>
        <v>Sep-2024</v>
      </c>
      <c r="L146">
        <f>IF(Transactions_Clean[[#This Row],[Category]]="Revenue",Transactions_Clean[[#This Row],[Amount(₹)]],Transactions_Clean[[#This Row],[Amount(₹)]]/8)</f>
        <v>-8291</v>
      </c>
    </row>
    <row r="147" spans="1:12">
      <c r="A147" t="s">
        <v>393</v>
      </c>
      <c r="B147" t="s">
        <v>4755</v>
      </c>
      <c r="C147" t="s">
        <v>78</v>
      </c>
      <c r="D147">
        <v>-109161</v>
      </c>
      <c r="E147" t="s">
        <v>23</v>
      </c>
      <c r="F147" t="s">
        <v>32</v>
      </c>
      <c r="G147" t="s">
        <v>79</v>
      </c>
      <c r="H147" t="s">
        <v>39</v>
      </c>
      <c r="I147" t="s">
        <v>40</v>
      </c>
      <c r="J147" s="11">
        <v>45926</v>
      </c>
      <c r="K147" t="str">
        <f>TEXT(Transactions_Clean[[#This Row],[Date]],"MMM-YYYY")</f>
        <v>Sep-2025</v>
      </c>
      <c r="L147">
        <f>IF(Transactions_Clean[[#This Row],[Category]]="Revenue",Transactions_Clean[[#This Row],[Amount(₹)]],Transactions_Clean[[#This Row],[Amount(₹)]]/8)</f>
        <v>-13645.125</v>
      </c>
    </row>
    <row r="148" spans="1:12">
      <c r="A148" t="s">
        <v>394</v>
      </c>
      <c r="B148" t="s">
        <v>66</v>
      </c>
      <c r="C148" t="s">
        <v>61</v>
      </c>
      <c r="D148">
        <v>-14744</v>
      </c>
      <c r="E148" t="s">
        <v>62</v>
      </c>
      <c r="F148" t="s">
        <v>32</v>
      </c>
      <c r="G148" t="s">
        <v>63</v>
      </c>
      <c r="H148" t="s">
        <v>39</v>
      </c>
      <c r="I148" t="s">
        <v>34</v>
      </c>
      <c r="J148" s="11">
        <v>45795</v>
      </c>
      <c r="K148" t="str">
        <f>TEXT(Transactions_Clean[[#This Row],[Date]],"MMM-YYYY")</f>
        <v>May-2025</v>
      </c>
      <c r="L148">
        <f>IF(Transactions_Clean[[#This Row],[Category]]="Revenue",Transactions_Clean[[#This Row],[Amount(₹)]],Transactions_Clean[[#This Row],[Amount(₹)]]/8)</f>
        <v>-1843</v>
      </c>
    </row>
    <row r="149" spans="1:12">
      <c r="A149" t="s">
        <v>396</v>
      </c>
      <c r="B149" t="s">
        <v>60</v>
      </c>
      <c r="C149" t="s">
        <v>61</v>
      </c>
      <c r="D149">
        <v>-29214</v>
      </c>
      <c r="E149" t="s">
        <v>62</v>
      </c>
      <c r="F149" t="s">
        <v>24</v>
      </c>
      <c r="G149" t="s">
        <v>63</v>
      </c>
      <c r="H149" t="s">
        <v>26</v>
      </c>
      <c r="I149" t="s">
        <v>27</v>
      </c>
      <c r="J149" s="11">
        <v>45332</v>
      </c>
      <c r="K149" t="str">
        <f>TEXT(Transactions_Clean[[#This Row],[Date]],"MMM-YYYY")</f>
        <v>Feb-2024</v>
      </c>
      <c r="L149">
        <f>IF(Transactions_Clean[[#This Row],[Category]]="Revenue",Transactions_Clean[[#This Row],[Amount(₹)]],Transactions_Clean[[#This Row],[Amount(₹)]]/8)</f>
        <v>-3651.75</v>
      </c>
    </row>
    <row r="150" spans="1:12">
      <c r="A150" t="s">
        <v>398</v>
      </c>
      <c r="B150" t="s">
        <v>87</v>
      </c>
      <c r="C150" t="s">
        <v>22</v>
      </c>
      <c r="D150">
        <v>-58292</v>
      </c>
      <c r="E150" t="s">
        <v>23</v>
      </c>
      <c r="F150" t="s">
        <v>24</v>
      </c>
      <c r="G150" t="s">
        <v>25</v>
      </c>
      <c r="H150" t="s">
        <v>26</v>
      </c>
      <c r="I150" t="s">
        <v>48</v>
      </c>
      <c r="J150" s="11">
        <v>45229</v>
      </c>
      <c r="K150" t="str">
        <f>TEXT(Transactions_Clean[[#This Row],[Date]],"MMM-YYYY")</f>
        <v>Oct-2023</v>
      </c>
      <c r="L150">
        <f>IF(Transactions_Clean[[#This Row],[Category]]="Revenue",Transactions_Clean[[#This Row],[Amount(₹)]],Transactions_Clean[[#This Row],[Amount(₹)]]/8)</f>
        <v>-7286.5</v>
      </c>
    </row>
    <row r="151" spans="1:12">
      <c r="A151" t="s">
        <v>400</v>
      </c>
      <c r="B151" t="s">
        <v>4764</v>
      </c>
      <c r="C151" t="s">
        <v>157</v>
      </c>
      <c r="D151">
        <v>667806</v>
      </c>
      <c r="E151" t="s">
        <v>62</v>
      </c>
      <c r="F151" t="s">
        <v>32</v>
      </c>
      <c r="G151" t="s">
        <v>25</v>
      </c>
      <c r="H151" t="s">
        <v>45</v>
      </c>
      <c r="I151" t="s">
        <v>48</v>
      </c>
      <c r="J151" s="11">
        <v>45616</v>
      </c>
      <c r="K151" t="str">
        <f>TEXT(Transactions_Clean[[#This Row],[Date]],"MMM-YYYY")</f>
        <v>Nov-2024</v>
      </c>
      <c r="L151">
        <f>IF(Transactions_Clean[[#This Row],[Category]]="Revenue",Transactions_Clean[[#This Row],[Amount(₹)]],Transactions_Clean[[#This Row],[Amount(₹)]]/8)</f>
        <v>667806</v>
      </c>
    </row>
    <row r="152" spans="1:12">
      <c r="A152" t="s">
        <v>402</v>
      </c>
      <c r="B152" t="s">
        <v>66</v>
      </c>
      <c r="C152" t="s">
        <v>61</v>
      </c>
      <c r="D152">
        <v>-43599</v>
      </c>
      <c r="E152" t="s">
        <v>62</v>
      </c>
      <c r="F152" t="s">
        <v>24</v>
      </c>
      <c r="G152" t="s">
        <v>63</v>
      </c>
      <c r="H152" t="s">
        <v>45</v>
      </c>
      <c r="I152" t="s">
        <v>40</v>
      </c>
      <c r="J152" s="11">
        <v>45537</v>
      </c>
      <c r="K152" t="str">
        <f>TEXT(Transactions_Clean[[#This Row],[Date]],"MMM-YYYY")</f>
        <v>Sep-2024</v>
      </c>
      <c r="L152">
        <f>IF(Transactions_Clean[[#This Row],[Category]]="Revenue",Transactions_Clean[[#This Row],[Amount(₹)]],Transactions_Clean[[#This Row],[Amount(₹)]]/8)</f>
        <v>-5449.875</v>
      </c>
    </row>
    <row r="153" spans="1:12">
      <c r="A153" t="s">
        <v>404</v>
      </c>
      <c r="B153" t="s">
        <v>4766</v>
      </c>
      <c r="C153" t="s">
        <v>73</v>
      </c>
      <c r="D153">
        <v>-44905</v>
      </c>
      <c r="E153" t="s">
        <v>74</v>
      </c>
      <c r="F153" t="s">
        <v>32</v>
      </c>
      <c r="G153" t="s">
        <v>25</v>
      </c>
      <c r="H153" t="s">
        <v>45</v>
      </c>
      <c r="I153" t="s">
        <v>27</v>
      </c>
      <c r="J153" s="11">
        <v>45712</v>
      </c>
      <c r="K153" t="str">
        <f>TEXT(Transactions_Clean[[#This Row],[Date]],"MMM-YYYY")</f>
        <v>Feb-2025</v>
      </c>
      <c r="L153">
        <f>IF(Transactions_Clean[[#This Row],[Category]]="Revenue",Transactions_Clean[[#This Row],[Amount(₹)]],Transactions_Clean[[#This Row],[Amount(₹)]]/8)</f>
        <v>-5613.125</v>
      </c>
    </row>
    <row r="154" spans="1:12">
      <c r="A154" t="s">
        <v>407</v>
      </c>
      <c r="B154" t="s">
        <v>215</v>
      </c>
      <c r="C154" t="s">
        <v>4750</v>
      </c>
      <c r="D154">
        <v>-28428</v>
      </c>
      <c r="E154" t="s">
        <v>62</v>
      </c>
      <c r="F154" t="s">
        <v>32</v>
      </c>
      <c r="G154" t="s">
        <v>63</v>
      </c>
      <c r="H154" t="s">
        <v>39</v>
      </c>
      <c r="I154" t="s">
        <v>27</v>
      </c>
      <c r="J154" s="11">
        <v>46058</v>
      </c>
      <c r="K154" t="str">
        <f>TEXT(Transactions_Clean[[#This Row],[Date]],"MMM-YYYY")</f>
        <v>Feb-2026</v>
      </c>
      <c r="L154">
        <f>IF(Transactions_Clean[[#This Row],[Category]]="Revenue",Transactions_Clean[[#This Row],[Amount(₹)]],Transactions_Clean[[#This Row],[Amount(₹)]]/8)</f>
        <v>-3553.5</v>
      </c>
    </row>
    <row r="155" spans="1:12">
      <c r="A155" t="s">
        <v>409</v>
      </c>
      <c r="B155" t="s">
        <v>100</v>
      </c>
      <c r="C155" t="s">
        <v>31</v>
      </c>
      <c r="D155">
        <v>-11386</v>
      </c>
      <c r="E155" t="s">
        <v>23</v>
      </c>
      <c r="F155" t="s">
        <v>32</v>
      </c>
      <c r="G155" t="s">
        <v>33</v>
      </c>
      <c r="H155" t="s">
        <v>39</v>
      </c>
      <c r="I155" t="s">
        <v>34</v>
      </c>
      <c r="J155" s="11">
        <v>45821</v>
      </c>
      <c r="K155" t="str">
        <f>TEXT(Transactions_Clean[[#This Row],[Date]],"MMM-YYYY")</f>
        <v>Jun-2025</v>
      </c>
      <c r="L155">
        <f>IF(Transactions_Clean[[#This Row],[Category]]="Revenue",Transactions_Clean[[#This Row],[Amount(₹)]],Transactions_Clean[[#This Row],[Amount(₹)]]/8)</f>
        <v>-1423.25</v>
      </c>
    </row>
    <row r="156" spans="1:12">
      <c r="A156" t="s">
        <v>411</v>
      </c>
      <c r="B156" t="s">
        <v>66</v>
      </c>
      <c r="C156" t="s">
        <v>61</v>
      </c>
      <c r="D156">
        <v>-30143</v>
      </c>
      <c r="E156" t="s">
        <v>62</v>
      </c>
      <c r="F156" t="s">
        <v>32</v>
      </c>
      <c r="G156" t="s">
        <v>63</v>
      </c>
      <c r="H156" t="s">
        <v>39</v>
      </c>
      <c r="I156" t="s">
        <v>48</v>
      </c>
      <c r="J156" s="11">
        <v>45956</v>
      </c>
      <c r="K156" t="str">
        <f>TEXT(Transactions_Clean[[#This Row],[Date]],"MMM-YYYY")</f>
        <v>Oct-2025</v>
      </c>
      <c r="L156">
        <f>IF(Transactions_Clean[[#This Row],[Category]]="Revenue",Transactions_Clean[[#This Row],[Amount(₹)]],Transactions_Clean[[#This Row],[Amount(₹)]]/8)</f>
        <v>-3767.875</v>
      </c>
    </row>
    <row r="157" spans="1:12">
      <c r="A157" t="s">
        <v>413</v>
      </c>
      <c r="B157" t="s">
        <v>60</v>
      </c>
      <c r="C157" t="s">
        <v>61</v>
      </c>
      <c r="D157">
        <v>-36594</v>
      </c>
      <c r="E157" t="s">
        <v>62</v>
      </c>
      <c r="F157" t="s">
        <v>32</v>
      </c>
      <c r="G157" t="s">
        <v>63</v>
      </c>
      <c r="H157" t="s">
        <v>45</v>
      </c>
      <c r="I157" t="s">
        <v>48</v>
      </c>
      <c r="J157" s="11">
        <v>45626</v>
      </c>
      <c r="K157" t="str">
        <f>TEXT(Transactions_Clean[[#This Row],[Date]],"MMM-YYYY")</f>
        <v>Nov-2024</v>
      </c>
      <c r="L157">
        <f>IF(Transactions_Clean[[#This Row],[Category]]="Revenue",Transactions_Clean[[#This Row],[Amount(₹)]],Transactions_Clean[[#This Row],[Amount(₹)]]/8)</f>
        <v>-4574.25</v>
      </c>
    </row>
    <row r="158" spans="1:12">
      <c r="A158" t="s">
        <v>415</v>
      </c>
      <c r="B158" t="s">
        <v>4769</v>
      </c>
      <c r="C158" t="s">
        <v>44</v>
      </c>
      <c r="D158">
        <v>-130310</v>
      </c>
      <c r="E158" t="s">
        <v>23</v>
      </c>
      <c r="F158" t="s">
        <v>32</v>
      </c>
      <c r="G158" t="s">
        <v>33</v>
      </c>
      <c r="H158" t="s">
        <v>45</v>
      </c>
      <c r="I158" t="s">
        <v>34</v>
      </c>
      <c r="J158" s="11">
        <v>45454</v>
      </c>
      <c r="K158" t="str">
        <f>TEXT(Transactions_Clean[[#This Row],[Date]],"MMM-YYYY")</f>
        <v>Jun-2024</v>
      </c>
      <c r="L158">
        <f>IF(Transactions_Clean[[#This Row],[Category]]="Revenue",Transactions_Clean[[#This Row],[Amount(₹)]],Transactions_Clean[[#This Row],[Amount(₹)]]/8)</f>
        <v>-16288.75</v>
      </c>
    </row>
    <row r="159" spans="1:12">
      <c r="A159" t="s">
        <v>418</v>
      </c>
      <c r="B159" t="s">
        <v>129</v>
      </c>
      <c r="C159" t="s">
        <v>38</v>
      </c>
      <c r="D159">
        <v>-52772</v>
      </c>
      <c r="E159" t="s">
        <v>23</v>
      </c>
      <c r="F159" t="s">
        <v>24</v>
      </c>
      <c r="G159" t="s">
        <v>33</v>
      </c>
      <c r="H159" t="s">
        <v>45</v>
      </c>
      <c r="I159" t="s">
        <v>48</v>
      </c>
      <c r="J159" s="11">
        <v>45656</v>
      </c>
      <c r="K159" t="str">
        <f>TEXT(Transactions_Clean[[#This Row],[Date]],"MMM-YYYY")</f>
        <v>Dec-2024</v>
      </c>
      <c r="L159">
        <f>IF(Transactions_Clean[[#This Row],[Category]]="Revenue",Transactions_Clean[[#This Row],[Amount(₹)]],Transactions_Clean[[#This Row],[Amount(₹)]]/8)</f>
        <v>-6596.5</v>
      </c>
    </row>
    <row r="160" spans="1:12">
      <c r="A160" t="s">
        <v>420</v>
      </c>
      <c r="B160" t="s">
        <v>4748</v>
      </c>
      <c r="C160" t="s">
        <v>22</v>
      </c>
      <c r="D160">
        <v>-106897</v>
      </c>
      <c r="E160" t="s">
        <v>23</v>
      </c>
      <c r="F160" t="s">
        <v>24</v>
      </c>
      <c r="G160" t="s">
        <v>25</v>
      </c>
      <c r="H160" t="s">
        <v>39</v>
      </c>
      <c r="I160" t="s">
        <v>48</v>
      </c>
      <c r="J160" s="11">
        <v>45953</v>
      </c>
      <c r="K160" t="str">
        <f>TEXT(Transactions_Clean[[#This Row],[Date]],"MMM-YYYY")</f>
        <v>Oct-2025</v>
      </c>
      <c r="L160">
        <f>IF(Transactions_Clean[[#This Row],[Category]]="Revenue",Transactions_Clean[[#This Row],[Amount(₹)]],Transactions_Clean[[#This Row],[Amount(₹)]]/8)</f>
        <v>-13362.125</v>
      </c>
    </row>
    <row r="161" spans="1:12">
      <c r="A161" t="s">
        <v>421</v>
      </c>
      <c r="B161" t="s">
        <v>4764</v>
      </c>
      <c r="C161" t="s">
        <v>157</v>
      </c>
      <c r="D161">
        <v>703257</v>
      </c>
      <c r="E161" t="s">
        <v>62</v>
      </c>
      <c r="F161" t="s">
        <v>32</v>
      </c>
      <c r="G161" t="s">
        <v>25</v>
      </c>
      <c r="H161" t="s">
        <v>45</v>
      </c>
      <c r="I161" t="s">
        <v>48</v>
      </c>
      <c r="J161" s="11">
        <v>45608</v>
      </c>
      <c r="K161" t="str">
        <f>TEXT(Transactions_Clean[[#This Row],[Date]],"MMM-YYYY")</f>
        <v>Nov-2024</v>
      </c>
      <c r="L161">
        <f>IF(Transactions_Clean[[#This Row],[Category]]="Revenue",Transactions_Clean[[#This Row],[Amount(₹)]],Transactions_Clean[[#This Row],[Amount(₹)]]/8)</f>
        <v>703257</v>
      </c>
    </row>
    <row r="162" spans="1:12">
      <c r="A162" t="s">
        <v>423</v>
      </c>
      <c r="B162" t="s">
        <v>106</v>
      </c>
      <c r="C162" t="s">
        <v>31</v>
      </c>
      <c r="D162">
        <v>-12378</v>
      </c>
      <c r="E162" t="s">
        <v>23</v>
      </c>
      <c r="F162" t="s">
        <v>24</v>
      </c>
      <c r="G162" t="s">
        <v>33</v>
      </c>
      <c r="H162" t="s">
        <v>39</v>
      </c>
      <c r="I162" t="s">
        <v>40</v>
      </c>
      <c r="J162" s="11">
        <v>45845</v>
      </c>
      <c r="K162" t="str">
        <f>TEXT(Transactions_Clean[[#This Row],[Date]],"MMM-YYYY")</f>
        <v>Jul-2025</v>
      </c>
      <c r="L162">
        <f>IF(Transactions_Clean[[#This Row],[Category]]="Revenue",Transactions_Clean[[#This Row],[Amount(₹)]],Transactions_Clean[[#This Row],[Amount(₹)]]/8)</f>
        <v>-1547.25</v>
      </c>
    </row>
    <row r="163" spans="1:12">
      <c r="A163" t="s">
        <v>425</v>
      </c>
      <c r="B163" t="s">
        <v>4756</v>
      </c>
      <c r="C163" t="s">
        <v>73</v>
      </c>
      <c r="D163">
        <v>-88632</v>
      </c>
      <c r="E163" t="s">
        <v>74</v>
      </c>
      <c r="F163" t="s">
        <v>32</v>
      </c>
      <c r="G163" t="s">
        <v>25</v>
      </c>
      <c r="H163" t="s">
        <v>39</v>
      </c>
      <c r="I163" t="s">
        <v>40</v>
      </c>
      <c r="J163" s="11">
        <v>45870</v>
      </c>
      <c r="K163" t="str">
        <f>TEXT(Transactions_Clean[[#This Row],[Date]],"MMM-YYYY")</f>
        <v>Aug-2025</v>
      </c>
      <c r="L163">
        <f>IF(Transactions_Clean[[#This Row],[Category]]="Revenue",Transactions_Clean[[#This Row],[Amount(₹)]],Transactions_Clean[[#This Row],[Amount(₹)]]/8)</f>
        <v>-11079</v>
      </c>
    </row>
    <row r="164" spans="1:12">
      <c r="A164" t="s">
        <v>427</v>
      </c>
      <c r="B164" t="s">
        <v>87</v>
      </c>
      <c r="C164" t="s">
        <v>22</v>
      </c>
      <c r="D164">
        <v>-134632</v>
      </c>
      <c r="E164" t="s">
        <v>23</v>
      </c>
      <c r="F164" t="s">
        <v>32</v>
      </c>
      <c r="G164" t="s">
        <v>25</v>
      </c>
      <c r="H164" t="s">
        <v>39</v>
      </c>
      <c r="I164" t="s">
        <v>40</v>
      </c>
      <c r="J164" s="11">
        <v>45904</v>
      </c>
      <c r="K164" t="str">
        <f>TEXT(Transactions_Clean[[#This Row],[Date]],"MMM-YYYY")</f>
        <v>Sep-2025</v>
      </c>
      <c r="L164">
        <f>IF(Transactions_Clean[[#This Row],[Category]]="Revenue",Transactions_Clean[[#This Row],[Amount(₹)]],Transactions_Clean[[#This Row],[Amount(₹)]]/8)</f>
        <v>-16829</v>
      </c>
    </row>
    <row r="165" spans="1:12">
      <c r="A165" t="s">
        <v>429</v>
      </c>
      <c r="B165" t="s">
        <v>180</v>
      </c>
      <c r="C165" t="s">
        <v>44</v>
      </c>
      <c r="D165">
        <v>-98742</v>
      </c>
      <c r="E165" t="s">
        <v>23</v>
      </c>
      <c r="F165" t="s">
        <v>32</v>
      </c>
      <c r="G165" t="s">
        <v>33</v>
      </c>
      <c r="H165" t="s">
        <v>39</v>
      </c>
      <c r="I165" t="s">
        <v>40</v>
      </c>
      <c r="J165" s="11">
        <v>45865</v>
      </c>
      <c r="K165" t="str">
        <f>TEXT(Transactions_Clean[[#This Row],[Date]],"MMM-YYYY")</f>
        <v>Jul-2025</v>
      </c>
      <c r="L165">
        <f>IF(Transactions_Clean[[#This Row],[Category]]="Revenue",Transactions_Clean[[#This Row],[Amount(₹)]],Transactions_Clean[[#This Row],[Amount(₹)]]/8)</f>
        <v>-12342.75</v>
      </c>
    </row>
    <row r="166" spans="1:12">
      <c r="A166" t="s">
        <v>431</v>
      </c>
      <c r="B166" t="s">
        <v>106</v>
      </c>
      <c r="C166" t="s">
        <v>31</v>
      </c>
      <c r="D166">
        <v>-24296</v>
      </c>
      <c r="E166" t="s">
        <v>23</v>
      </c>
      <c r="F166" t="s">
        <v>32</v>
      </c>
      <c r="G166" t="s">
        <v>33</v>
      </c>
      <c r="H166" t="s">
        <v>26</v>
      </c>
      <c r="I166" t="s">
        <v>27</v>
      </c>
      <c r="J166" s="11">
        <v>45370</v>
      </c>
      <c r="K166" t="str">
        <f>TEXT(Transactions_Clean[[#This Row],[Date]],"MMM-YYYY")</f>
        <v>Mar-2024</v>
      </c>
      <c r="L166">
        <f>IF(Transactions_Clean[[#This Row],[Category]]="Revenue",Transactions_Clean[[#This Row],[Amount(₹)]],Transactions_Clean[[#This Row],[Amount(₹)]]/8)</f>
        <v>-3037</v>
      </c>
    </row>
    <row r="167" spans="1:12">
      <c r="A167" t="s">
        <v>433</v>
      </c>
      <c r="B167" t="s">
        <v>283</v>
      </c>
      <c r="C167" t="s">
        <v>44</v>
      </c>
      <c r="D167">
        <v>-66578</v>
      </c>
      <c r="E167" t="s">
        <v>23</v>
      </c>
      <c r="F167" t="s">
        <v>32</v>
      </c>
      <c r="G167" t="s">
        <v>33</v>
      </c>
      <c r="H167" t="s">
        <v>45</v>
      </c>
      <c r="I167" t="s">
        <v>34</v>
      </c>
      <c r="J167" s="11">
        <v>45448</v>
      </c>
      <c r="K167" t="str">
        <f>TEXT(Transactions_Clean[[#This Row],[Date]],"MMM-YYYY")</f>
        <v>Jun-2024</v>
      </c>
      <c r="L167">
        <f>IF(Transactions_Clean[[#This Row],[Category]]="Revenue",Transactions_Clean[[#This Row],[Amount(₹)]],Transactions_Clean[[#This Row],[Amount(₹)]]/8)</f>
        <v>-8322.25</v>
      </c>
    </row>
    <row r="168" spans="1:12">
      <c r="A168" t="s">
        <v>435</v>
      </c>
      <c r="B168" t="s">
        <v>255</v>
      </c>
      <c r="C168" t="s">
        <v>22</v>
      </c>
      <c r="D168">
        <v>-70524</v>
      </c>
      <c r="E168" t="s">
        <v>23</v>
      </c>
      <c r="F168" t="s">
        <v>24</v>
      </c>
      <c r="G168" t="s">
        <v>25</v>
      </c>
      <c r="H168" t="s">
        <v>39</v>
      </c>
      <c r="I168" t="s">
        <v>40</v>
      </c>
      <c r="J168" s="11">
        <v>45858</v>
      </c>
      <c r="K168" t="str">
        <f>TEXT(Transactions_Clean[[#This Row],[Date]],"MMM-YYYY")</f>
        <v>Jul-2025</v>
      </c>
      <c r="L168">
        <f>IF(Transactions_Clean[[#This Row],[Category]]="Revenue",Transactions_Clean[[#This Row],[Amount(₹)]],Transactions_Clean[[#This Row],[Amount(₹)]]/8)</f>
        <v>-8815.5</v>
      </c>
    </row>
    <row r="169" spans="1:12">
      <c r="A169" t="s">
        <v>437</v>
      </c>
      <c r="B169" t="s">
        <v>4770</v>
      </c>
      <c r="C169" t="s">
        <v>440</v>
      </c>
      <c r="D169">
        <v>-129287</v>
      </c>
      <c r="E169" t="s">
        <v>23</v>
      </c>
      <c r="F169" t="s">
        <v>24</v>
      </c>
      <c r="G169" t="s">
        <v>33</v>
      </c>
      <c r="H169" t="s">
        <v>45</v>
      </c>
      <c r="I169" t="s">
        <v>40</v>
      </c>
      <c r="J169" s="11">
        <v>45535</v>
      </c>
      <c r="K169" t="str">
        <f>TEXT(Transactions_Clean[[#This Row],[Date]],"MMM-YYYY")</f>
        <v>Aug-2024</v>
      </c>
      <c r="L169">
        <f>IF(Transactions_Clean[[#This Row],[Category]]="Revenue",Transactions_Clean[[#This Row],[Amount(₹)]],Transactions_Clean[[#This Row],[Amount(₹)]]/8)</f>
        <v>-16160.875</v>
      </c>
    </row>
    <row r="170" spans="1:12">
      <c r="A170" t="s">
        <v>441</v>
      </c>
      <c r="B170" t="s">
        <v>66</v>
      </c>
      <c r="C170" t="s">
        <v>61</v>
      </c>
      <c r="D170">
        <v>-40925</v>
      </c>
      <c r="E170" t="s">
        <v>62</v>
      </c>
      <c r="F170" t="s">
        <v>32</v>
      </c>
      <c r="G170" t="s">
        <v>63</v>
      </c>
      <c r="H170" t="s">
        <v>26</v>
      </c>
      <c r="I170" t="s">
        <v>40</v>
      </c>
      <c r="J170" s="11">
        <v>45156</v>
      </c>
      <c r="K170" t="str">
        <f>TEXT(Transactions_Clean[[#This Row],[Date]],"MMM-YYYY")</f>
        <v>Aug-2023</v>
      </c>
      <c r="L170">
        <f>IF(Transactions_Clean[[#This Row],[Category]]="Revenue",Transactions_Clean[[#This Row],[Amount(₹)]],Transactions_Clean[[#This Row],[Amount(₹)]]/8)</f>
        <v>-5115.625</v>
      </c>
    </row>
    <row r="171" spans="1:12">
      <c r="A171" t="s">
        <v>443</v>
      </c>
      <c r="B171" t="s">
        <v>72</v>
      </c>
      <c r="C171" t="s">
        <v>73</v>
      </c>
      <c r="D171">
        <v>-13798</v>
      </c>
      <c r="E171" t="s">
        <v>74</v>
      </c>
      <c r="F171" t="s">
        <v>32</v>
      </c>
      <c r="G171" t="s">
        <v>25</v>
      </c>
      <c r="H171" t="s">
        <v>26</v>
      </c>
      <c r="I171" t="s">
        <v>40</v>
      </c>
      <c r="J171" s="11">
        <v>45120</v>
      </c>
      <c r="K171" t="str">
        <f>TEXT(Transactions_Clean[[#This Row],[Date]],"MMM-YYYY")</f>
        <v>Jul-2023</v>
      </c>
      <c r="L171">
        <f>IF(Transactions_Clean[[#This Row],[Category]]="Revenue",Transactions_Clean[[#This Row],[Amount(₹)]],Transactions_Clean[[#This Row],[Amount(₹)]]/8)</f>
        <v>-1724.75</v>
      </c>
    </row>
    <row r="172" spans="1:12">
      <c r="A172" t="s">
        <v>445</v>
      </c>
      <c r="B172" t="s">
        <v>4752</v>
      </c>
      <c r="C172" t="s">
        <v>44</v>
      </c>
      <c r="D172">
        <v>-120598</v>
      </c>
      <c r="E172" t="s">
        <v>23</v>
      </c>
      <c r="F172" t="s">
        <v>24</v>
      </c>
      <c r="G172" t="s">
        <v>33</v>
      </c>
      <c r="H172" t="s">
        <v>45</v>
      </c>
      <c r="I172" t="s">
        <v>27</v>
      </c>
      <c r="J172" s="11">
        <v>45733</v>
      </c>
      <c r="K172" t="str">
        <f>TEXT(Transactions_Clean[[#This Row],[Date]],"MMM-YYYY")</f>
        <v>Mar-2025</v>
      </c>
      <c r="L172">
        <f>IF(Transactions_Clean[[#This Row],[Category]]="Revenue",Transactions_Clean[[#This Row],[Amount(₹)]],Transactions_Clean[[#This Row],[Amount(₹)]]/8)</f>
        <v>-15074.75</v>
      </c>
    </row>
    <row r="173" spans="1:12">
      <c r="A173" t="s">
        <v>447</v>
      </c>
      <c r="B173" t="s">
        <v>255</v>
      </c>
      <c r="C173" t="s">
        <v>22</v>
      </c>
      <c r="D173">
        <v>-168784</v>
      </c>
      <c r="E173" t="s">
        <v>23</v>
      </c>
      <c r="F173" t="s">
        <v>32</v>
      </c>
      <c r="G173" t="s">
        <v>25</v>
      </c>
      <c r="H173" t="s">
        <v>26</v>
      </c>
      <c r="I173" t="s">
        <v>34</v>
      </c>
      <c r="J173" s="11">
        <v>45065</v>
      </c>
      <c r="K173" t="str">
        <f>TEXT(Transactions_Clean[[#This Row],[Date]],"MMM-YYYY")</f>
        <v>May-2023</v>
      </c>
      <c r="L173">
        <f>IF(Transactions_Clean[[#This Row],[Category]]="Revenue",Transactions_Clean[[#This Row],[Amount(₹)]],Transactions_Clean[[#This Row],[Amount(₹)]]/8)</f>
        <v>-21098</v>
      </c>
    </row>
    <row r="174" spans="1:12">
      <c r="A174" t="s">
        <v>449</v>
      </c>
      <c r="B174" t="s">
        <v>66</v>
      </c>
      <c r="C174" t="s">
        <v>61</v>
      </c>
      <c r="D174">
        <v>-49264</v>
      </c>
      <c r="E174" t="s">
        <v>62</v>
      </c>
      <c r="F174" t="s">
        <v>32</v>
      </c>
      <c r="G174" t="s">
        <v>63</v>
      </c>
      <c r="H174" t="s">
        <v>45</v>
      </c>
      <c r="I174" t="s">
        <v>34</v>
      </c>
      <c r="J174" s="11">
        <v>45416</v>
      </c>
      <c r="K174" t="str">
        <f>TEXT(Transactions_Clean[[#This Row],[Date]],"MMM-YYYY")</f>
        <v>May-2024</v>
      </c>
      <c r="L174">
        <f>IF(Transactions_Clean[[#This Row],[Category]]="Revenue",Transactions_Clean[[#This Row],[Amount(₹)]],Transactions_Clean[[#This Row],[Amount(₹)]]/8)</f>
        <v>-6158</v>
      </c>
    </row>
    <row r="175" spans="1:12">
      <c r="A175" t="s">
        <v>451</v>
      </c>
      <c r="B175" t="s">
        <v>310</v>
      </c>
      <c r="C175" t="s">
        <v>22</v>
      </c>
      <c r="D175">
        <v>-169538</v>
      </c>
      <c r="E175" t="s">
        <v>23</v>
      </c>
      <c r="F175" t="s">
        <v>32</v>
      </c>
      <c r="G175" t="s">
        <v>25</v>
      </c>
      <c r="H175" t="s">
        <v>39</v>
      </c>
      <c r="I175" t="s">
        <v>40</v>
      </c>
      <c r="J175" s="11">
        <v>45887</v>
      </c>
      <c r="K175" t="str">
        <f>TEXT(Transactions_Clean[[#This Row],[Date]],"MMM-YYYY")</f>
        <v>Aug-2025</v>
      </c>
      <c r="L175">
        <f>IF(Transactions_Clean[[#This Row],[Category]]="Revenue",Transactions_Clean[[#This Row],[Amount(₹)]],Transactions_Clean[[#This Row],[Amount(₹)]]/8)</f>
        <v>-21192.25</v>
      </c>
    </row>
    <row r="176" spans="1:12">
      <c r="A176" t="s">
        <v>453</v>
      </c>
      <c r="B176" t="s">
        <v>51</v>
      </c>
      <c r="C176" t="s">
        <v>31</v>
      </c>
      <c r="D176">
        <v>-23846</v>
      </c>
      <c r="E176" t="s">
        <v>23</v>
      </c>
      <c r="F176" t="s">
        <v>24</v>
      </c>
      <c r="G176" t="s">
        <v>33</v>
      </c>
      <c r="H176" t="s">
        <v>26</v>
      </c>
      <c r="I176" t="s">
        <v>40</v>
      </c>
      <c r="J176" s="11">
        <v>45115</v>
      </c>
      <c r="K176" t="str">
        <f>TEXT(Transactions_Clean[[#This Row],[Date]],"MMM-YYYY")</f>
        <v>Jul-2023</v>
      </c>
      <c r="L176">
        <f>IF(Transactions_Clean[[#This Row],[Category]]="Revenue",Transactions_Clean[[#This Row],[Amount(₹)]],Transactions_Clean[[#This Row],[Amount(₹)]]/8)</f>
        <v>-2980.75</v>
      </c>
    </row>
    <row r="177" spans="1:12">
      <c r="A177" t="s">
        <v>455</v>
      </c>
      <c r="B177" t="s">
        <v>212</v>
      </c>
      <c r="C177" t="s">
        <v>73</v>
      </c>
      <c r="D177">
        <v>-85970</v>
      </c>
      <c r="E177" t="s">
        <v>74</v>
      </c>
      <c r="F177" t="s">
        <v>32</v>
      </c>
      <c r="G177" t="s">
        <v>25</v>
      </c>
      <c r="H177" t="s">
        <v>39</v>
      </c>
      <c r="I177" t="s">
        <v>40</v>
      </c>
      <c r="J177" s="11">
        <v>45908</v>
      </c>
      <c r="K177" t="str">
        <f>TEXT(Transactions_Clean[[#This Row],[Date]],"MMM-YYYY")</f>
        <v>Sep-2025</v>
      </c>
      <c r="L177">
        <f>IF(Transactions_Clean[[#This Row],[Category]]="Revenue",Transactions_Clean[[#This Row],[Amount(₹)]],Transactions_Clean[[#This Row],[Amount(₹)]]/8)</f>
        <v>-10746.25</v>
      </c>
    </row>
    <row r="178" spans="1:12">
      <c r="A178" t="s">
        <v>457</v>
      </c>
      <c r="B178" t="s">
        <v>37</v>
      </c>
      <c r="C178" t="s">
        <v>38</v>
      </c>
      <c r="D178">
        <v>-20658</v>
      </c>
      <c r="E178" t="s">
        <v>23</v>
      </c>
      <c r="F178" t="s">
        <v>24</v>
      </c>
      <c r="G178" t="s">
        <v>33</v>
      </c>
      <c r="H178" t="s">
        <v>45</v>
      </c>
      <c r="I178" t="s">
        <v>48</v>
      </c>
      <c r="J178" s="11">
        <v>45646</v>
      </c>
      <c r="K178" t="str">
        <f>TEXT(Transactions_Clean[[#This Row],[Date]],"MMM-YYYY")</f>
        <v>Dec-2024</v>
      </c>
      <c r="L178">
        <f>IF(Transactions_Clean[[#This Row],[Category]]="Revenue",Transactions_Clean[[#This Row],[Amount(₹)]],Transactions_Clean[[#This Row],[Amount(₹)]]/8)</f>
        <v>-2582.25</v>
      </c>
    </row>
    <row r="179" spans="1:12">
      <c r="A179" t="s">
        <v>459</v>
      </c>
      <c r="B179" t="s">
        <v>60</v>
      </c>
      <c r="C179" t="s">
        <v>61</v>
      </c>
      <c r="D179">
        <v>-38269</v>
      </c>
      <c r="E179" t="s">
        <v>62</v>
      </c>
      <c r="F179" t="s">
        <v>32</v>
      </c>
      <c r="G179" t="s">
        <v>63</v>
      </c>
      <c r="H179" t="s">
        <v>26</v>
      </c>
      <c r="I179" t="s">
        <v>40</v>
      </c>
      <c r="J179" s="11">
        <v>45129</v>
      </c>
      <c r="K179" t="str">
        <f>TEXT(Transactions_Clean[[#This Row],[Date]],"MMM-YYYY")</f>
        <v>Jul-2023</v>
      </c>
      <c r="L179">
        <f>IF(Transactions_Clean[[#This Row],[Category]]="Revenue",Transactions_Clean[[#This Row],[Amount(₹)]],Transactions_Clean[[#This Row],[Amount(₹)]]/8)</f>
        <v>-4783.625</v>
      </c>
    </row>
    <row r="180" spans="1:12">
      <c r="A180" t="s">
        <v>461</v>
      </c>
      <c r="B180" t="s">
        <v>4757</v>
      </c>
      <c r="C180" t="s">
        <v>73</v>
      </c>
      <c r="D180">
        <v>-25196</v>
      </c>
      <c r="E180" t="s">
        <v>74</v>
      </c>
      <c r="F180" t="s">
        <v>24</v>
      </c>
      <c r="G180" t="s">
        <v>25</v>
      </c>
      <c r="H180" t="s">
        <v>45</v>
      </c>
      <c r="I180" t="s">
        <v>40</v>
      </c>
      <c r="J180" s="11">
        <v>45603</v>
      </c>
      <c r="K180" t="str">
        <f>TEXT(Transactions_Clean[[#This Row],[Date]],"MMM-YYYY")</f>
        <v>Nov-2024</v>
      </c>
      <c r="L180">
        <f>IF(Transactions_Clean[[#This Row],[Category]]="Revenue",Transactions_Clean[[#This Row],[Amount(₹)]],Transactions_Clean[[#This Row],[Amount(₹)]]/8)</f>
        <v>-3149.5</v>
      </c>
    </row>
    <row r="181" spans="1:12">
      <c r="A181" t="s">
        <v>463</v>
      </c>
      <c r="B181" t="s">
        <v>4752</v>
      </c>
      <c r="C181" t="s">
        <v>44</v>
      </c>
      <c r="D181">
        <v>-175601</v>
      </c>
      <c r="E181" t="s">
        <v>23</v>
      </c>
      <c r="F181" t="s">
        <v>24</v>
      </c>
      <c r="G181" t="s">
        <v>33</v>
      </c>
      <c r="H181" t="s">
        <v>26</v>
      </c>
      <c r="I181" t="s">
        <v>48</v>
      </c>
      <c r="J181" s="11">
        <v>45256</v>
      </c>
      <c r="K181" t="str">
        <f>TEXT(Transactions_Clean[[#This Row],[Date]],"MMM-YYYY")</f>
        <v>Nov-2023</v>
      </c>
      <c r="L181">
        <f>IF(Transactions_Clean[[#This Row],[Category]]="Revenue",Transactions_Clean[[#This Row],[Amount(₹)]],Transactions_Clean[[#This Row],[Amount(₹)]]/8)</f>
        <v>-21950.125</v>
      </c>
    </row>
    <row r="182" spans="1:12">
      <c r="A182" t="s">
        <v>466</v>
      </c>
      <c r="B182" t="s">
        <v>4771</v>
      </c>
      <c r="C182" t="s">
        <v>440</v>
      </c>
      <c r="D182">
        <v>-136888</v>
      </c>
      <c r="E182" t="s">
        <v>23</v>
      </c>
      <c r="F182" t="s">
        <v>32</v>
      </c>
      <c r="G182" t="s">
        <v>33</v>
      </c>
      <c r="H182" t="s">
        <v>39</v>
      </c>
      <c r="I182" t="s">
        <v>34</v>
      </c>
      <c r="J182" s="11">
        <v>45875</v>
      </c>
      <c r="K182" t="str">
        <f>TEXT(Transactions_Clean[[#This Row],[Date]],"MMM-YYYY")</f>
        <v>Aug-2025</v>
      </c>
      <c r="L182">
        <f>IF(Transactions_Clean[[#This Row],[Category]]="Revenue",Transactions_Clean[[#This Row],[Amount(₹)]],Transactions_Clean[[#This Row],[Amount(₹)]]/8)</f>
        <v>-17111</v>
      </c>
    </row>
    <row r="183" spans="1:12">
      <c r="A183" t="s">
        <v>469</v>
      </c>
      <c r="B183" t="s">
        <v>4772</v>
      </c>
      <c r="C183" t="s">
        <v>136</v>
      </c>
      <c r="D183">
        <v>-10472360</v>
      </c>
      <c r="E183" t="s">
        <v>62</v>
      </c>
      <c r="F183" t="s">
        <v>32</v>
      </c>
      <c r="G183" t="s">
        <v>63</v>
      </c>
      <c r="H183" t="s">
        <v>45</v>
      </c>
      <c r="I183" t="s">
        <v>48</v>
      </c>
      <c r="J183" s="11">
        <v>45624</v>
      </c>
      <c r="K183" t="str">
        <f>TEXT(Transactions_Clean[[#This Row],[Date]],"MMM-YYYY")</f>
        <v>Nov-2024</v>
      </c>
      <c r="L183">
        <f>IF(Transactions_Clean[[#This Row],[Category]]="Revenue",Transactions_Clean[[#This Row],[Amount(₹)]],Transactions_Clean[[#This Row],[Amount(₹)]]/8)</f>
        <v>-1309045</v>
      </c>
    </row>
    <row r="184" spans="1:12">
      <c r="A184" t="s">
        <v>472</v>
      </c>
      <c r="B184" t="s">
        <v>4765</v>
      </c>
      <c r="C184" t="s">
        <v>73</v>
      </c>
      <c r="D184">
        <v>-54219</v>
      </c>
      <c r="E184" t="s">
        <v>74</v>
      </c>
      <c r="F184" t="s">
        <v>24</v>
      </c>
      <c r="G184" t="s">
        <v>25</v>
      </c>
      <c r="H184" t="s">
        <v>45</v>
      </c>
      <c r="I184" t="s">
        <v>40</v>
      </c>
      <c r="J184" s="11">
        <v>45514</v>
      </c>
      <c r="K184" t="str">
        <f>TEXT(Transactions_Clean[[#This Row],[Date]],"MMM-YYYY")</f>
        <v>Aug-2024</v>
      </c>
      <c r="L184">
        <f>IF(Transactions_Clean[[#This Row],[Category]]="Revenue",Transactions_Clean[[#This Row],[Amount(₹)]],Transactions_Clean[[#This Row],[Amount(₹)]]/8)</f>
        <v>-6777.375</v>
      </c>
    </row>
    <row r="185" spans="1:12">
      <c r="A185" t="s">
        <v>473</v>
      </c>
      <c r="B185" t="s">
        <v>66</v>
      </c>
      <c r="C185" t="s">
        <v>61</v>
      </c>
      <c r="D185">
        <v>-30809</v>
      </c>
      <c r="E185" t="s">
        <v>62</v>
      </c>
      <c r="F185" t="s">
        <v>24</v>
      </c>
      <c r="G185" t="s">
        <v>63</v>
      </c>
      <c r="H185" t="s">
        <v>45</v>
      </c>
      <c r="I185" t="s">
        <v>40</v>
      </c>
      <c r="J185" s="11">
        <v>45485</v>
      </c>
      <c r="K185" t="str">
        <f>TEXT(Transactions_Clean[[#This Row],[Date]],"MMM-YYYY")</f>
        <v>Jul-2024</v>
      </c>
      <c r="L185">
        <f>IF(Transactions_Clean[[#This Row],[Category]]="Revenue",Transactions_Clean[[#This Row],[Amount(₹)]],Transactions_Clean[[#This Row],[Amount(₹)]]/8)</f>
        <v>-3851.125</v>
      </c>
    </row>
    <row r="186" spans="1:12">
      <c r="A186" t="s">
        <v>475</v>
      </c>
      <c r="B186" t="s">
        <v>51</v>
      </c>
      <c r="C186" t="s">
        <v>31</v>
      </c>
      <c r="D186">
        <v>-38197</v>
      </c>
      <c r="E186" t="s">
        <v>23</v>
      </c>
      <c r="F186" t="s">
        <v>32</v>
      </c>
      <c r="G186" t="s">
        <v>33</v>
      </c>
      <c r="H186" t="s">
        <v>39</v>
      </c>
      <c r="I186" t="s">
        <v>34</v>
      </c>
      <c r="J186" s="11">
        <v>45784</v>
      </c>
      <c r="K186" t="str">
        <f>TEXT(Transactions_Clean[[#This Row],[Date]],"MMM-YYYY")</f>
        <v>May-2025</v>
      </c>
      <c r="L186">
        <f>IF(Transactions_Clean[[#This Row],[Category]]="Revenue",Transactions_Clean[[#This Row],[Amount(₹)]],Transactions_Clean[[#This Row],[Amount(₹)]]/8)</f>
        <v>-4774.625</v>
      </c>
    </row>
    <row r="187" spans="1:12">
      <c r="A187" t="s">
        <v>476</v>
      </c>
      <c r="B187" t="s">
        <v>202</v>
      </c>
      <c r="C187" t="s">
        <v>22</v>
      </c>
      <c r="D187">
        <v>-112407</v>
      </c>
      <c r="E187" t="s">
        <v>23</v>
      </c>
      <c r="F187" t="s">
        <v>32</v>
      </c>
      <c r="G187" t="s">
        <v>25</v>
      </c>
      <c r="H187" t="s">
        <v>45</v>
      </c>
      <c r="I187" t="s">
        <v>27</v>
      </c>
      <c r="J187" s="11">
        <v>45665</v>
      </c>
      <c r="K187" t="str">
        <f>TEXT(Transactions_Clean[[#This Row],[Date]],"MMM-YYYY")</f>
        <v>Jan-2025</v>
      </c>
      <c r="L187">
        <f>IF(Transactions_Clean[[#This Row],[Category]]="Revenue",Transactions_Clean[[#This Row],[Amount(₹)]],Transactions_Clean[[#This Row],[Amount(₹)]]/8)</f>
        <v>-14050.875</v>
      </c>
    </row>
    <row r="188" spans="1:12">
      <c r="A188" t="s">
        <v>478</v>
      </c>
      <c r="B188" t="s">
        <v>4753</v>
      </c>
      <c r="C188" t="s">
        <v>38</v>
      </c>
      <c r="D188">
        <v>-40757</v>
      </c>
      <c r="E188" t="s">
        <v>23</v>
      </c>
      <c r="F188" t="s">
        <v>32</v>
      </c>
      <c r="G188" t="s">
        <v>33</v>
      </c>
      <c r="H188" t="s">
        <v>45</v>
      </c>
      <c r="I188" t="s">
        <v>34</v>
      </c>
      <c r="J188" s="11">
        <v>45434</v>
      </c>
      <c r="K188" t="str">
        <f>TEXT(Transactions_Clean[[#This Row],[Date]],"MMM-YYYY")</f>
        <v>May-2024</v>
      </c>
      <c r="L188">
        <f>IF(Transactions_Clean[[#This Row],[Category]]="Revenue",Transactions_Clean[[#This Row],[Amount(₹)]],Transactions_Clean[[#This Row],[Amount(₹)]]/8)</f>
        <v>-5094.625</v>
      </c>
    </row>
    <row r="189" spans="1:12">
      <c r="A189" t="s">
        <v>479</v>
      </c>
      <c r="B189" t="s">
        <v>60</v>
      </c>
      <c r="C189" t="s">
        <v>61</v>
      </c>
      <c r="D189">
        <v>-38016</v>
      </c>
      <c r="E189" t="s">
        <v>62</v>
      </c>
      <c r="F189" t="s">
        <v>24</v>
      </c>
      <c r="G189" t="s">
        <v>63</v>
      </c>
      <c r="H189" t="s">
        <v>39</v>
      </c>
      <c r="I189" t="s">
        <v>34</v>
      </c>
      <c r="J189" s="11">
        <v>45748</v>
      </c>
      <c r="K189" t="str">
        <f>TEXT(Transactions_Clean[[#This Row],[Date]],"MMM-YYYY")</f>
        <v>Apr-2025</v>
      </c>
      <c r="L189">
        <f>IF(Transactions_Clean[[#This Row],[Category]]="Revenue",Transactions_Clean[[#This Row],[Amount(₹)]],Transactions_Clean[[#This Row],[Amount(₹)]]/8)</f>
        <v>-4752</v>
      </c>
    </row>
    <row r="190" spans="1:12">
      <c r="A190" t="s">
        <v>481</v>
      </c>
      <c r="B190" t="s">
        <v>116</v>
      </c>
      <c r="C190" t="s">
        <v>73</v>
      </c>
      <c r="D190">
        <v>-37436</v>
      </c>
      <c r="E190" t="s">
        <v>74</v>
      </c>
      <c r="F190" t="s">
        <v>32</v>
      </c>
      <c r="G190" t="s">
        <v>25</v>
      </c>
      <c r="H190" t="s">
        <v>45</v>
      </c>
      <c r="I190" t="s">
        <v>40</v>
      </c>
      <c r="J190" s="11">
        <v>45554</v>
      </c>
      <c r="K190" t="str">
        <f>TEXT(Transactions_Clean[[#This Row],[Date]],"MMM-YYYY")</f>
        <v>Sep-2024</v>
      </c>
      <c r="L190">
        <f>IF(Transactions_Clean[[#This Row],[Category]]="Revenue",Transactions_Clean[[#This Row],[Amount(₹)]],Transactions_Clean[[#This Row],[Amount(₹)]]/8)</f>
        <v>-4679.5</v>
      </c>
    </row>
    <row r="191" spans="1:12">
      <c r="A191" t="s">
        <v>483</v>
      </c>
      <c r="B191" t="s">
        <v>215</v>
      </c>
      <c r="C191" t="s">
        <v>61</v>
      </c>
      <c r="D191">
        <v>-15746</v>
      </c>
      <c r="E191" t="s">
        <v>62</v>
      </c>
      <c r="F191" t="s">
        <v>24</v>
      </c>
      <c r="G191" t="s">
        <v>63</v>
      </c>
      <c r="H191" t="s">
        <v>39</v>
      </c>
      <c r="I191" t="s">
        <v>48</v>
      </c>
      <c r="J191" s="11">
        <v>45943</v>
      </c>
      <c r="K191" t="str">
        <f>TEXT(Transactions_Clean[[#This Row],[Date]],"MMM-YYYY")</f>
        <v>Oct-2025</v>
      </c>
      <c r="L191">
        <f>IF(Transactions_Clean[[#This Row],[Category]]="Revenue",Transactions_Clean[[#This Row],[Amount(₹)]],Transactions_Clean[[#This Row],[Amount(₹)]]/8)</f>
        <v>-1968.25</v>
      </c>
    </row>
    <row r="192" spans="1:12">
      <c r="A192" t="s">
        <v>485</v>
      </c>
      <c r="B192" t="s">
        <v>116</v>
      </c>
      <c r="C192" t="s">
        <v>4750</v>
      </c>
      <c r="D192">
        <v>-51636</v>
      </c>
      <c r="E192" t="s">
        <v>74</v>
      </c>
      <c r="F192" t="s">
        <v>32</v>
      </c>
      <c r="G192" t="s">
        <v>25</v>
      </c>
      <c r="H192" t="s">
        <v>45</v>
      </c>
      <c r="I192" t="s">
        <v>27</v>
      </c>
      <c r="J192" s="11">
        <v>45675</v>
      </c>
      <c r="K192" t="str">
        <f>TEXT(Transactions_Clean[[#This Row],[Date]],"MMM-YYYY")</f>
        <v>Jan-2025</v>
      </c>
      <c r="L192">
        <f>IF(Transactions_Clean[[#This Row],[Category]]="Revenue",Transactions_Clean[[#This Row],[Amount(₹)]],Transactions_Clean[[#This Row],[Amount(₹)]]/8)</f>
        <v>-6454.5</v>
      </c>
    </row>
    <row r="193" spans="1:12">
      <c r="A193" t="s">
        <v>487</v>
      </c>
      <c r="B193" t="s">
        <v>37</v>
      </c>
      <c r="C193" t="s">
        <v>38</v>
      </c>
      <c r="D193">
        <v>-47483</v>
      </c>
      <c r="E193" t="s">
        <v>23</v>
      </c>
      <c r="F193" t="s">
        <v>24</v>
      </c>
      <c r="G193" t="s">
        <v>33</v>
      </c>
      <c r="H193" t="s">
        <v>39</v>
      </c>
      <c r="I193" t="s">
        <v>27</v>
      </c>
      <c r="J193" s="11">
        <v>46044</v>
      </c>
      <c r="K193" t="str">
        <f>TEXT(Transactions_Clean[[#This Row],[Date]],"MMM-YYYY")</f>
        <v>Jan-2026</v>
      </c>
      <c r="L193">
        <f>IF(Transactions_Clean[[#This Row],[Category]]="Revenue",Transactions_Clean[[#This Row],[Amount(₹)]],Transactions_Clean[[#This Row],[Amount(₹)]]/8)</f>
        <v>-5935.375</v>
      </c>
    </row>
    <row r="194" spans="1:12">
      <c r="A194" t="s">
        <v>489</v>
      </c>
      <c r="B194" t="s">
        <v>305</v>
      </c>
      <c r="C194" t="s">
        <v>38</v>
      </c>
      <c r="D194">
        <v>-8597</v>
      </c>
      <c r="E194" t="s">
        <v>23</v>
      </c>
      <c r="F194" t="s">
        <v>24</v>
      </c>
      <c r="G194" t="s">
        <v>33</v>
      </c>
      <c r="H194" t="s">
        <v>45</v>
      </c>
      <c r="I194" t="s">
        <v>40</v>
      </c>
      <c r="J194" s="11">
        <v>45510</v>
      </c>
      <c r="K194" t="str">
        <f>TEXT(Transactions_Clean[[#This Row],[Date]],"MMM-YYYY")</f>
        <v>Aug-2024</v>
      </c>
      <c r="L194">
        <f>IF(Transactions_Clean[[#This Row],[Category]]="Revenue",Transactions_Clean[[#This Row],[Amount(₹)]],Transactions_Clean[[#This Row],[Amount(₹)]]/8)</f>
        <v>-1074.625</v>
      </c>
    </row>
    <row r="195" spans="1:12">
      <c r="A195" t="s">
        <v>491</v>
      </c>
      <c r="B195" t="s">
        <v>143</v>
      </c>
      <c r="C195" t="s">
        <v>78</v>
      </c>
      <c r="D195">
        <v>-116352</v>
      </c>
      <c r="E195" t="s">
        <v>23</v>
      </c>
      <c r="F195" t="s">
        <v>24</v>
      </c>
      <c r="G195" t="s">
        <v>79</v>
      </c>
      <c r="H195" t="s">
        <v>45</v>
      </c>
      <c r="I195" t="s">
        <v>48</v>
      </c>
      <c r="J195" s="11">
        <v>45576</v>
      </c>
      <c r="K195" t="str">
        <f>TEXT(Transactions_Clean[[#This Row],[Date]],"MMM-YYYY")</f>
        <v>Oct-2024</v>
      </c>
      <c r="L195">
        <f>IF(Transactions_Clean[[#This Row],[Category]]="Revenue",Transactions_Clean[[#This Row],[Amount(₹)]],Transactions_Clean[[#This Row],[Amount(₹)]]/8)</f>
        <v>-14544</v>
      </c>
    </row>
    <row r="196" spans="1:12">
      <c r="A196" t="s">
        <v>493</v>
      </c>
      <c r="B196" t="s">
        <v>116</v>
      </c>
      <c r="C196" t="s">
        <v>73</v>
      </c>
      <c r="D196">
        <v>-39117</v>
      </c>
      <c r="E196" t="s">
        <v>74</v>
      </c>
      <c r="F196" t="s">
        <v>32</v>
      </c>
      <c r="G196" t="s">
        <v>25</v>
      </c>
      <c r="H196" t="s">
        <v>39</v>
      </c>
      <c r="I196" t="s">
        <v>27</v>
      </c>
      <c r="J196" s="11">
        <v>46112</v>
      </c>
      <c r="K196" t="str">
        <f>TEXT(Transactions_Clean[[#This Row],[Date]],"MMM-YYYY")</f>
        <v>Mar-2026</v>
      </c>
      <c r="L196">
        <f>IF(Transactions_Clean[[#This Row],[Category]]="Revenue",Transactions_Clean[[#This Row],[Amount(₹)]],Transactions_Clean[[#This Row],[Amount(₹)]]/8)</f>
        <v>-4889.625</v>
      </c>
    </row>
    <row r="197" spans="1:12">
      <c r="A197" t="s">
        <v>495</v>
      </c>
      <c r="B197" t="s">
        <v>100</v>
      </c>
      <c r="C197" t="s">
        <v>31</v>
      </c>
      <c r="D197">
        <v>-25007</v>
      </c>
      <c r="E197" t="s">
        <v>23</v>
      </c>
      <c r="F197" t="s">
        <v>24</v>
      </c>
      <c r="G197" t="s">
        <v>33</v>
      </c>
      <c r="H197" t="s">
        <v>45</v>
      </c>
      <c r="I197" t="s">
        <v>48</v>
      </c>
      <c r="J197" s="11">
        <v>45656</v>
      </c>
      <c r="K197" t="str">
        <f>TEXT(Transactions_Clean[[#This Row],[Date]],"MMM-YYYY")</f>
        <v>Dec-2024</v>
      </c>
      <c r="L197">
        <f>IF(Transactions_Clean[[#This Row],[Category]]="Revenue",Transactions_Clean[[#This Row],[Amount(₹)]],Transactions_Clean[[#This Row],[Amount(₹)]]/8)</f>
        <v>-3125.875</v>
      </c>
    </row>
    <row r="198" spans="1:12">
      <c r="A198" t="s">
        <v>496</v>
      </c>
      <c r="B198" t="s">
        <v>66</v>
      </c>
      <c r="C198" t="s">
        <v>61</v>
      </c>
      <c r="D198">
        <v>-63110</v>
      </c>
      <c r="E198" t="s">
        <v>62</v>
      </c>
      <c r="F198" t="s">
        <v>32</v>
      </c>
      <c r="G198" t="s">
        <v>63</v>
      </c>
      <c r="H198" t="s">
        <v>39</v>
      </c>
      <c r="I198" t="s">
        <v>34</v>
      </c>
      <c r="J198" s="11">
        <v>45834</v>
      </c>
      <c r="K198" t="str">
        <f>TEXT(Transactions_Clean[[#This Row],[Date]],"MMM-YYYY")</f>
        <v>Jun-2025</v>
      </c>
      <c r="L198">
        <f>IF(Transactions_Clean[[#This Row],[Category]]="Revenue",Transactions_Clean[[#This Row],[Amount(₹)]],Transactions_Clean[[#This Row],[Amount(₹)]]/8)</f>
        <v>-7888.75</v>
      </c>
    </row>
    <row r="199" spans="1:12">
      <c r="A199" t="s">
        <v>498</v>
      </c>
      <c r="B199" t="s">
        <v>215</v>
      </c>
      <c r="C199" t="s">
        <v>61</v>
      </c>
      <c r="D199">
        <v>-49757</v>
      </c>
      <c r="E199" t="s">
        <v>62</v>
      </c>
      <c r="F199" t="s">
        <v>24</v>
      </c>
      <c r="G199" t="s">
        <v>63</v>
      </c>
      <c r="H199" t="s">
        <v>45</v>
      </c>
      <c r="I199" t="s">
        <v>34</v>
      </c>
      <c r="J199" s="11">
        <v>45414</v>
      </c>
      <c r="K199" t="str">
        <f>TEXT(Transactions_Clean[[#This Row],[Date]],"MMM-YYYY")</f>
        <v>May-2024</v>
      </c>
      <c r="L199">
        <f>IF(Transactions_Clean[[#This Row],[Category]]="Revenue",Transactions_Clean[[#This Row],[Amount(₹)]],Transactions_Clean[[#This Row],[Amount(₹)]]/8)</f>
        <v>-6219.625</v>
      </c>
    </row>
    <row r="200" spans="1:12">
      <c r="A200" t="s">
        <v>500</v>
      </c>
      <c r="B200" t="s">
        <v>60</v>
      </c>
      <c r="C200" t="s">
        <v>61</v>
      </c>
      <c r="D200">
        <v>-12814</v>
      </c>
      <c r="E200" t="s">
        <v>62</v>
      </c>
      <c r="F200" t="s">
        <v>32</v>
      </c>
      <c r="G200" t="s">
        <v>63</v>
      </c>
      <c r="H200" t="s">
        <v>39</v>
      </c>
      <c r="I200" t="s">
        <v>27</v>
      </c>
      <c r="J200" s="11">
        <v>46102</v>
      </c>
      <c r="K200" t="str">
        <f>TEXT(Transactions_Clean[[#This Row],[Date]],"MMM-YYYY")</f>
        <v>Mar-2026</v>
      </c>
      <c r="L200">
        <f>IF(Transactions_Clean[[#This Row],[Category]]="Revenue",Transactions_Clean[[#This Row],[Amount(₹)]],Transactions_Clean[[#This Row],[Amount(₹)]]/8)</f>
        <v>-1601.75</v>
      </c>
    </row>
    <row r="201" spans="1:12">
      <c r="A201" t="s">
        <v>502</v>
      </c>
      <c r="B201" t="s">
        <v>4757</v>
      </c>
      <c r="C201" t="s">
        <v>73</v>
      </c>
      <c r="D201">
        <v>-71721</v>
      </c>
      <c r="E201" t="s">
        <v>74</v>
      </c>
      <c r="F201" t="s">
        <v>24</v>
      </c>
      <c r="G201" t="s">
        <v>25</v>
      </c>
      <c r="H201" t="s">
        <v>39</v>
      </c>
      <c r="I201" t="s">
        <v>48</v>
      </c>
      <c r="J201" s="11">
        <v>45997</v>
      </c>
      <c r="K201" t="str">
        <f>TEXT(Transactions_Clean[[#This Row],[Date]],"MMM-YYYY")</f>
        <v>Dec-2025</v>
      </c>
      <c r="L201">
        <f>IF(Transactions_Clean[[#This Row],[Category]]="Revenue",Transactions_Clean[[#This Row],[Amount(₹)]],Transactions_Clean[[#This Row],[Amount(₹)]]/8)</f>
        <v>-8965.125</v>
      </c>
    </row>
    <row r="202" spans="1:12">
      <c r="A202" t="s">
        <v>503</v>
      </c>
      <c r="B202" t="s">
        <v>4752</v>
      </c>
      <c r="C202" t="s">
        <v>44</v>
      </c>
      <c r="D202">
        <v>-112648</v>
      </c>
      <c r="E202" t="s">
        <v>23</v>
      </c>
      <c r="F202" t="s">
        <v>32</v>
      </c>
      <c r="G202" t="s">
        <v>33</v>
      </c>
      <c r="H202" t="s">
        <v>45</v>
      </c>
      <c r="I202" t="s">
        <v>48</v>
      </c>
      <c r="J202" s="11">
        <v>45651</v>
      </c>
      <c r="K202" t="str">
        <f>TEXT(Transactions_Clean[[#This Row],[Date]],"MMM-YYYY")</f>
        <v>Dec-2024</v>
      </c>
      <c r="L202">
        <f>IF(Transactions_Clean[[#This Row],[Category]]="Revenue",Transactions_Clean[[#This Row],[Amount(₹)]],Transactions_Clean[[#This Row],[Amount(₹)]]/8)</f>
        <v>-14081</v>
      </c>
    </row>
    <row r="203" spans="1:12">
      <c r="A203" t="s">
        <v>505</v>
      </c>
      <c r="B203" t="s">
        <v>215</v>
      </c>
      <c r="C203" t="s">
        <v>4750</v>
      </c>
      <c r="D203">
        <v>-22960</v>
      </c>
      <c r="E203" t="s">
        <v>62</v>
      </c>
      <c r="F203" t="s">
        <v>24</v>
      </c>
      <c r="G203" t="s">
        <v>63</v>
      </c>
      <c r="H203" t="s">
        <v>45</v>
      </c>
      <c r="I203" t="s">
        <v>40</v>
      </c>
      <c r="J203" s="11">
        <v>45533</v>
      </c>
      <c r="K203" t="str">
        <f>TEXT(Transactions_Clean[[#This Row],[Date]],"MMM-YYYY")</f>
        <v>Aug-2024</v>
      </c>
      <c r="L203">
        <f>IF(Transactions_Clean[[#This Row],[Category]]="Revenue",Transactions_Clean[[#This Row],[Amount(₹)]],Transactions_Clean[[#This Row],[Amount(₹)]]/8)</f>
        <v>-2870</v>
      </c>
    </row>
    <row r="204" spans="1:12">
      <c r="A204" t="s">
        <v>507</v>
      </c>
      <c r="B204" t="s">
        <v>180</v>
      </c>
      <c r="C204" t="s">
        <v>44</v>
      </c>
      <c r="D204">
        <v>-63273</v>
      </c>
      <c r="E204" t="s">
        <v>23</v>
      </c>
      <c r="F204" t="s">
        <v>32</v>
      </c>
      <c r="G204" t="s">
        <v>33</v>
      </c>
      <c r="H204" t="s">
        <v>45</v>
      </c>
      <c r="I204" t="s">
        <v>48</v>
      </c>
      <c r="J204" s="11">
        <v>45579</v>
      </c>
      <c r="K204" t="str">
        <f>TEXT(Transactions_Clean[[#This Row],[Date]],"MMM-YYYY")</f>
        <v>Oct-2024</v>
      </c>
      <c r="L204">
        <f>IF(Transactions_Clean[[#This Row],[Category]]="Revenue",Transactions_Clean[[#This Row],[Amount(₹)]],Transactions_Clean[[#This Row],[Amount(₹)]]/8)</f>
        <v>-7909.125</v>
      </c>
    </row>
    <row r="205" spans="1:12">
      <c r="A205" t="s">
        <v>508</v>
      </c>
      <c r="B205" t="s">
        <v>60</v>
      </c>
      <c r="C205" t="s">
        <v>61</v>
      </c>
      <c r="D205">
        <v>-18356</v>
      </c>
      <c r="E205" t="s">
        <v>62</v>
      </c>
      <c r="F205" t="s">
        <v>24</v>
      </c>
      <c r="G205" t="s">
        <v>63</v>
      </c>
      <c r="H205" t="s">
        <v>26</v>
      </c>
      <c r="I205" t="s">
        <v>40</v>
      </c>
      <c r="J205" s="11">
        <v>45170</v>
      </c>
      <c r="K205" t="str">
        <f>TEXT(Transactions_Clean[[#This Row],[Date]],"MMM-YYYY")</f>
        <v>Sep-2023</v>
      </c>
      <c r="L205">
        <f>IF(Transactions_Clean[[#This Row],[Category]]="Revenue",Transactions_Clean[[#This Row],[Amount(₹)]],Transactions_Clean[[#This Row],[Amount(₹)]]/8)</f>
        <v>-2294.5</v>
      </c>
    </row>
    <row r="206" spans="1:12">
      <c r="A206" t="s">
        <v>509</v>
      </c>
      <c r="B206" t="s">
        <v>4759</v>
      </c>
      <c r="C206" t="s">
        <v>31</v>
      </c>
      <c r="D206">
        <v>-10397</v>
      </c>
      <c r="E206" t="s">
        <v>23</v>
      </c>
      <c r="F206" t="s">
        <v>32</v>
      </c>
      <c r="G206" t="s">
        <v>33</v>
      </c>
      <c r="H206" t="s">
        <v>26</v>
      </c>
      <c r="I206" t="s">
        <v>40</v>
      </c>
      <c r="J206" s="11">
        <v>45122</v>
      </c>
      <c r="K206" t="str">
        <f>TEXT(Transactions_Clean[[#This Row],[Date]],"MMM-YYYY")</f>
        <v>Jul-2023</v>
      </c>
      <c r="L206">
        <f>IF(Transactions_Clean[[#This Row],[Category]]="Revenue",Transactions_Clean[[#This Row],[Amount(₹)]],Transactions_Clean[[#This Row],[Amount(₹)]]/8)</f>
        <v>-1299.625</v>
      </c>
    </row>
    <row r="207" spans="1:12">
      <c r="A207" t="s">
        <v>511</v>
      </c>
      <c r="B207" t="s">
        <v>215</v>
      </c>
      <c r="C207" t="s">
        <v>61</v>
      </c>
      <c r="D207">
        <v>-26373</v>
      </c>
      <c r="E207" t="s">
        <v>62</v>
      </c>
      <c r="F207" t="s">
        <v>32</v>
      </c>
      <c r="G207" t="s">
        <v>63</v>
      </c>
      <c r="H207" t="s">
        <v>26</v>
      </c>
      <c r="I207" t="s">
        <v>34</v>
      </c>
      <c r="J207" s="11">
        <v>45050</v>
      </c>
      <c r="K207" t="str">
        <f>TEXT(Transactions_Clean[[#This Row],[Date]],"MMM-YYYY")</f>
        <v>May-2023</v>
      </c>
      <c r="L207">
        <f>IF(Transactions_Clean[[#This Row],[Category]]="Revenue",Transactions_Clean[[#This Row],[Amount(₹)]],Transactions_Clean[[#This Row],[Amount(₹)]]/8)</f>
        <v>-3296.625</v>
      </c>
    </row>
    <row r="208" spans="1:12">
      <c r="A208" t="s">
        <v>513</v>
      </c>
      <c r="B208" t="s">
        <v>4765</v>
      </c>
      <c r="C208" t="s">
        <v>73</v>
      </c>
      <c r="D208">
        <v>-73627</v>
      </c>
      <c r="E208" t="s">
        <v>74</v>
      </c>
      <c r="F208" t="s">
        <v>24</v>
      </c>
      <c r="G208" t="s">
        <v>25</v>
      </c>
      <c r="H208" t="s">
        <v>45</v>
      </c>
      <c r="I208" t="s">
        <v>34</v>
      </c>
      <c r="J208" s="11">
        <v>45436</v>
      </c>
      <c r="K208" t="str">
        <f>TEXT(Transactions_Clean[[#This Row],[Date]],"MMM-YYYY")</f>
        <v>May-2024</v>
      </c>
      <c r="L208">
        <f>IF(Transactions_Clean[[#This Row],[Category]]="Revenue",Transactions_Clean[[#This Row],[Amount(₹)]],Transactions_Clean[[#This Row],[Amount(₹)]]/8)</f>
        <v>-9203.375</v>
      </c>
    </row>
    <row r="209" spans="1:12">
      <c r="A209" t="s">
        <v>515</v>
      </c>
      <c r="B209" t="s">
        <v>215</v>
      </c>
      <c r="C209" t="s">
        <v>61</v>
      </c>
      <c r="D209">
        <v>-39734</v>
      </c>
      <c r="E209" t="s">
        <v>62</v>
      </c>
      <c r="F209" t="s">
        <v>24</v>
      </c>
      <c r="G209" t="s">
        <v>63</v>
      </c>
      <c r="H209" t="s">
        <v>39</v>
      </c>
      <c r="I209" t="s">
        <v>40</v>
      </c>
      <c r="J209" s="11">
        <v>45867</v>
      </c>
      <c r="K209" t="str">
        <f>TEXT(Transactions_Clean[[#This Row],[Date]],"MMM-YYYY")</f>
        <v>Jul-2025</v>
      </c>
      <c r="L209">
        <f>IF(Transactions_Clean[[#This Row],[Category]]="Revenue",Transactions_Clean[[#This Row],[Amount(₹)]],Transactions_Clean[[#This Row],[Amount(₹)]]/8)</f>
        <v>-4966.75</v>
      </c>
    </row>
    <row r="210" spans="1:12">
      <c r="A210" t="s">
        <v>517</v>
      </c>
      <c r="B210" t="s">
        <v>4769</v>
      </c>
      <c r="C210" t="s">
        <v>44</v>
      </c>
      <c r="D210">
        <v>-83931</v>
      </c>
      <c r="E210" t="s">
        <v>23</v>
      </c>
      <c r="F210" t="s">
        <v>24</v>
      </c>
      <c r="G210" t="s">
        <v>33</v>
      </c>
      <c r="H210" t="s">
        <v>39</v>
      </c>
      <c r="I210" t="s">
        <v>40</v>
      </c>
      <c r="J210" s="11">
        <v>45929</v>
      </c>
      <c r="K210" t="str">
        <f>TEXT(Transactions_Clean[[#This Row],[Date]],"MMM-YYYY")</f>
        <v>Sep-2025</v>
      </c>
      <c r="L210">
        <f>IF(Transactions_Clean[[#This Row],[Category]]="Revenue",Transactions_Clean[[#This Row],[Amount(₹)]],Transactions_Clean[[#This Row],[Amount(₹)]]/8)</f>
        <v>-10491.375</v>
      </c>
    </row>
    <row r="211" spans="1:12">
      <c r="A211" t="s">
        <v>520</v>
      </c>
      <c r="B211" t="s">
        <v>4759</v>
      </c>
      <c r="C211" t="s">
        <v>31</v>
      </c>
      <c r="D211">
        <v>-11630</v>
      </c>
      <c r="E211" t="s">
        <v>23</v>
      </c>
      <c r="F211" t="s">
        <v>32</v>
      </c>
      <c r="G211" t="s">
        <v>33</v>
      </c>
      <c r="H211" t="s">
        <v>45</v>
      </c>
      <c r="I211" t="s">
        <v>48</v>
      </c>
      <c r="J211" s="11">
        <v>45591</v>
      </c>
      <c r="K211" t="str">
        <f>TEXT(Transactions_Clean[[#This Row],[Date]],"MMM-YYYY")</f>
        <v>Oct-2024</v>
      </c>
      <c r="L211">
        <f>IF(Transactions_Clean[[#This Row],[Category]]="Revenue",Transactions_Clean[[#This Row],[Amount(₹)]],Transactions_Clean[[#This Row],[Amount(₹)]]/8)</f>
        <v>-1453.75</v>
      </c>
    </row>
    <row r="212" spans="1:12">
      <c r="A212" t="s">
        <v>522</v>
      </c>
      <c r="B212" t="s">
        <v>51</v>
      </c>
      <c r="C212" t="s">
        <v>31</v>
      </c>
      <c r="D212">
        <v>-22421</v>
      </c>
      <c r="E212" t="s">
        <v>23</v>
      </c>
      <c r="F212" t="s">
        <v>24</v>
      </c>
      <c r="G212" t="s">
        <v>33</v>
      </c>
      <c r="H212" t="s">
        <v>45</v>
      </c>
      <c r="I212" t="s">
        <v>40</v>
      </c>
      <c r="J212" s="11">
        <v>45504</v>
      </c>
      <c r="K212" t="str">
        <f>TEXT(Transactions_Clean[[#This Row],[Date]],"MMM-YYYY")</f>
        <v>Jul-2024</v>
      </c>
      <c r="L212">
        <f>IF(Transactions_Clean[[#This Row],[Category]]="Revenue",Transactions_Clean[[#This Row],[Amount(₹)]],Transactions_Clean[[#This Row],[Amount(₹)]]/8)</f>
        <v>-2802.625</v>
      </c>
    </row>
    <row r="213" spans="1:12">
      <c r="A213" t="s">
        <v>524</v>
      </c>
      <c r="B213" t="s">
        <v>4767</v>
      </c>
      <c r="C213" t="s">
        <v>157</v>
      </c>
      <c r="D213">
        <v>591896</v>
      </c>
      <c r="E213" t="s">
        <v>62</v>
      </c>
      <c r="F213" t="s">
        <v>32</v>
      </c>
      <c r="G213" t="s">
        <v>25</v>
      </c>
      <c r="H213" t="s">
        <v>26</v>
      </c>
      <c r="I213" t="s">
        <v>48</v>
      </c>
      <c r="J213" s="11">
        <v>45233</v>
      </c>
      <c r="K213" t="str">
        <f>TEXT(Transactions_Clean[[#This Row],[Date]],"MMM-YYYY")</f>
        <v>Nov-2023</v>
      </c>
      <c r="L213">
        <f>IF(Transactions_Clean[[#This Row],[Category]]="Revenue",Transactions_Clean[[#This Row],[Amount(₹)]],Transactions_Clean[[#This Row],[Amount(₹)]]/8)</f>
        <v>591896</v>
      </c>
    </row>
    <row r="214" spans="1:12">
      <c r="A214" t="s">
        <v>526</v>
      </c>
      <c r="B214" t="s">
        <v>100</v>
      </c>
      <c r="C214" t="s">
        <v>31</v>
      </c>
      <c r="D214">
        <v>-16862</v>
      </c>
      <c r="E214" t="s">
        <v>23</v>
      </c>
      <c r="F214" t="s">
        <v>32</v>
      </c>
      <c r="G214" t="s">
        <v>33</v>
      </c>
      <c r="H214" t="s">
        <v>39</v>
      </c>
      <c r="I214" t="s">
        <v>34</v>
      </c>
      <c r="J214" s="11">
        <v>45760</v>
      </c>
      <c r="K214" t="str">
        <f>TEXT(Transactions_Clean[[#This Row],[Date]],"MMM-YYYY")</f>
        <v>Apr-2025</v>
      </c>
      <c r="L214">
        <f>IF(Transactions_Clean[[#This Row],[Category]]="Revenue",Transactions_Clean[[#This Row],[Amount(₹)]],Transactions_Clean[[#This Row],[Amount(₹)]]/8)</f>
        <v>-2107.75</v>
      </c>
    </row>
    <row r="215" spans="1:12">
      <c r="A215" t="s">
        <v>528</v>
      </c>
      <c r="B215" t="s">
        <v>180</v>
      </c>
      <c r="C215" t="s">
        <v>44</v>
      </c>
      <c r="D215">
        <v>-74032</v>
      </c>
      <c r="E215" t="s">
        <v>23</v>
      </c>
      <c r="F215" t="s">
        <v>24</v>
      </c>
      <c r="G215" t="s">
        <v>33</v>
      </c>
      <c r="H215" t="s">
        <v>26</v>
      </c>
      <c r="I215" t="s">
        <v>40</v>
      </c>
      <c r="J215" s="11">
        <v>45115</v>
      </c>
      <c r="K215" t="str">
        <f>TEXT(Transactions_Clean[[#This Row],[Date]],"MMM-YYYY")</f>
        <v>Jul-2023</v>
      </c>
      <c r="L215">
        <f>IF(Transactions_Clean[[#This Row],[Category]]="Revenue",Transactions_Clean[[#This Row],[Amount(₹)]],Transactions_Clean[[#This Row],[Amount(₹)]]/8)</f>
        <v>-9254</v>
      </c>
    </row>
    <row r="216" spans="1:12">
      <c r="A216" t="s">
        <v>529</v>
      </c>
      <c r="B216" t="s">
        <v>4749</v>
      </c>
      <c r="C216" t="s">
        <v>44</v>
      </c>
      <c r="D216">
        <v>-89616</v>
      </c>
      <c r="E216" t="s">
        <v>23</v>
      </c>
      <c r="F216" t="s">
        <v>24</v>
      </c>
      <c r="G216" t="s">
        <v>33</v>
      </c>
      <c r="H216" t="s">
        <v>39</v>
      </c>
      <c r="I216" t="s">
        <v>34</v>
      </c>
      <c r="J216" s="11">
        <v>45809</v>
      </c>
      <c r="K216" t="str">
        <f>TEXT(Transactions_Clean[[#This Row],[Date]],"MMM-YYYY")</f>
        <v>Jun-2025</v>
      </c>
      <c r="L216">
        <f>IF(Transactions_Clean[[#This Row],[Category]]="Revenue",Transactions_Clean[[#This Row],[Amount(₹)]],Transactions_Clean[[#This Row],[Amount(₹)]]/8)</f>
        <v>-11202</v>
      </c>
    </row>
    <row r="217" spans="1:12">
      <c r="A217" t="s">
        <v>531</v>
      </c>
      <c r="B217" t="s">
        <v>215</v>
      </c>
      <c r="C217" t="s">
        <v>61</v>
      </c>
      <c r="D217">
        <v>-27041</v>
      </c>
      <c r="E217" t="s">
        <v>62</v>
      </c>
      <c r="F217" t="s">
        <v>32</v>
      </c>
      <c r="G217" t="s">
        <v>63</v>
      </c>
      <c r="H217" t="s">
        <v>39</v>
      </c>
      <c r="I217" t="s">
        <v>40</v>
      </c>
      <c r="J217" s="11">
        <v>45898</v>
      </c>
      <c r="K217" t="str">
        <f>TEXT(Transactions_Clean[[#This Row],[Date]],"MMM-YYYY")</f>
        <v>Aug-2025</v>
      </c>
      <c r="L217">
        <f>IF(Transactions_Clean[[#This Row],[Category]]="Revenue",Transactions_Clean[[#This Row],[Amount(₹)]],Transactions_Clean[[#This Row],[Amount(₹)]]/8)</f>
        <v>-3380.125</v>
      </c>
    </row>
    <row r="218" spans="1:12">
      <c r="A218" t="s">
        <v>534</v>
      </c>
      <c r="B218" t="s">
        <v>51</v>
      </c>
      <c r="C218" t="s">
        <v>31</v>
      </c>
      <c r="D218">
        <v>-24306</v>
      </c>
      <c r="E218" t="s">
        <v>23</v>
      </c>
      <c r="F218" t="s">
        <v>32</v>
      </c>
      <c r="G218" t="s">
        <v>33</v>
      </c>
      <c r="H218" t="s">
        <v>39</v>
      </c>
      <c r="I218" t="s">
        <v>27</v>
      </c>
      <c r="J218" s="11">
        <v>46040</v>
      </c>
      <c r="K218" t="str">
        <f>TEXT(Transactions_Clean[[#This Row],[Date]],"MMM-YYYY")</f>
        <v>Jan-2026</v>
      </c>
      <c r="L218">
        <f>IF(Transactions_Clean[[#This Row],[Category]]="Revenue",Transactions_Clean[[#This Row],[Amount(₹)]],Transactions_Clean[[#This Row],[Amount(₹)]]/8)</f>
        <v>-3038.25</v>
      </c>
    </row>
    <row r="219" spans="1:12">
      <c r="A219" t="s">
        <v>537</v>
      </c>
      <c r="B219" t="s">
        <v>4748</v>
      </c>
      <c r="C219" t="s">
        <v>22</v>
      </c>
      <c r="D219">
        <v>-82237</v>
      </c>
      <c r="E219" t="s">
        <v>23</v>
      </c>
      <c r="F219" t="s">
        <v>32</v>
      </c>
      <c r="G219" t="s">
        <v>25</v>
      </c>
      <c r="H219" t="s">
        <v>45</v>
      </c>
      <c r="I219" t="s">
        <v>48</v>
      </c>
      <c r="J219" s="11">
        <v>45618</v>
      </c>
      <c r="K219" t="str">
        <f>TEXT(Transactions_Clean[[#This Row],[Date]],"MMM-YYYY")</f>
        <v>Nov-2024</v>
      </c>
      <c r="L219">
        <f>IF(Transactions_Clean[[#This Row],[Category]]="Revenue",Transactions_Clean[[#This Row],[Amount(₹)]],Transactions_Clean[[#This Row],[Amount(₹)]]/8)</f>
        <v>-10279.625</v>
      </c>
    </row>
    <row r="220" spans="1:12">
      <c r="A220" t="s">
        <v>539</v>
      </c>
      <c r="B220" t="s">
        <v>177</v>
      </c>
      <c r="C220" t="s">
        <v>78</v>
      </c>
      <c r="D220">
        <v>-48126</v>
      </c>
      <c r="E220" t="s">
        <v>23</v>
      </c>
      <c r="F220" t="s">
        <v>24</v>
      </c>
      <c r="G220" t="s">
        <v>79</v>
      </c>
      <c r="H220" t="s">
        <v>26</v>
      </c>
      <c r="I220" t="s">
        <v>40</v>
      </c>
      <c r="J220" s="11">
        <v>45185</v>
      </c>
      <c r="K220" t="str">
        <f>TEXT(Transactions_Clean[[#This Row],[Date]],"MMM-YYYY")</f>
        <v>Sep-2023</v>
      </c>
      <c r="L220">
        <f>IF(Transactions_Clean[[#This Row],[Category]]="Revenue",Transactions_Clean[[#This Row],[Amount(₹)]],Transactions_Clean[[#This Row],[Amount(₹)]]/8)</f>
        <v>-6015.75</v>
      </c>
    </row>
    <row r="221" spans="1:12">
      <c r="A221" t="s">
        <v>541</v>
      </c>
      <c r="B221" t="s">
        <v>180</v>
      </c>
      <c r="C221" t="s">
        <v>44</v>
      </c>
      <c r="D221">
        <v>-120451</v>
      </c>
      <c r="E221" t="s">
        <v>23</v>
      </c>
      <c r="F221" t="s">
        <v>24</v>
      </c>
      <c r="G221" t="s">
        <v>33</v>
      </c>
      <c r="H221" t="s">
        <v>26</v>
      </c>
      <c r="I221" t="s">
        <v>27</v>
      </c>
      <c r="J221" s="11">
        <v>45305</v>
      </c>
      <c r="K221" t="str">
        <f>TEXT(Transactions_Clean[[#This Row],[Date]],"MMM-YYYY")</f>
        <v>Jan-2024</v>
      </c>
      <c r="L221">
        <f>IF(Transactions_Clean[[#This Row],[Category]]="Revenue",Transactions_Clean[[#This Row],[Amount(₹)]],Transactions_Clean[[#This Row],[Amount(₹)]]/8)</f>
        <v>-15056.375</v>
      </c>
    </row>
    <row r="222" spans="1:12">
      <c r="A222" t="s">
        <v>542</v>
      </c>
      <c r="B222" t="s">
        <v>224</v>
      </c>
      <c r="C222" t="s">
        <v>78</v>
      </c>
      <c r="D222">
        <v>-54216</v>
      </c>
      <c r="E222" t="s">
        <v>23</v>
      </c>
      <c r="F222" t="s">
        <v>24</v>
      </c>
      <c r="G222" t="s">
        <v>79</v>
      </c>
      <c r="H222" t="s">
        <v>26</v>
      </c>
      <c r="I222" t="s">
        <v>27</v>
      </c>
      <c r="J222" s="11">
        <v>45361</v>
      </c>
      <c r="K222" t="str">
        <f>TEXT(Transactions_Clean[[#This Row],[Date]],"MMM-YYYY")</f>
        <v>Mar-2024</v>
      </c>
      <c r="L222">
        <f>IF(Transactions_Clean[[#This Row],[Category]]="Revenue",Transactions_Clean[[#This Row],[Amount(₹)]],Transactions_Clean[[#This Row],[Amount(₹)]]/8)</f>
        <v>-6777</v>
      </c>
    </row>
    <row r="223" spans="1:12">
      <c r="A223" t="s">
        <v>544</v>
      </c>
      <c r="B223" t="s">
        <v>4766</v>
      </c>
      <c r="C223" t="s">
        <v>73</v>
      </c>
      <c r="D223">
        <v>-23129</v>
      </c>
      <c r="E223" t="s">
        <v>74</v>
      </c>
      <c r="F223" t="s">
        <v>24</v>
      </c>
      <c r="G223" t="s">
        <v>25</v>
      </c>
      <c r="H223" t="s">
        <v>26</v>
      </c>
      <c r="I223" t="s">
        <v>34</v>
      </c>
      <c r="J223" s="11">
        <v>45045</v>
      </c>
      <c r="K223" t="str">
        <f>TEXT(Transactions_Clean[[#This Row],[Date]],"MMM-YYYY")</f>
        <v>Apr-2023</v>
      </c>
      <c r="L223">
        <f>IF(Transactions_Clean[[#This Row],[Category]]="Revenue",Transactions_Clean[[#This Row],[Amount(₹)]],Transactions_Clean[[#This Row],[Amount(₹)]]/8)</f>
        <v>-2891.125</v>
      </c>
    </row>
    <row r="224" spans="1:12">
      <c r="A224" t="s">
        <v>546</v>
      </c>
      <c r="B224" t="s">
        <v>4757</v>
      </c>
      <c r="C224" t="s">
        <v>73</v>
      </c>
      <c r="D224">
        <v>-69894</v>
      </c>
      <c r="E224" t="s">
        <v>74</v>
      </c>
      <c r="F224" t="s">
        <v>32</v>
      </c>
      <c r="G224" t="s">
        <v>25</v>
      </c>
      <c r="H224" t="s">
        <v>26</v>
      </c>
      <c r="I224" t="s">
        <v>34</v>
      </c>
      <c r="J224" s="11">
        <v>45054</v>
      </c>
      <c r="K224" t="str">
        <f>TEXT(Transactions_Clean[[#This Row],[Date]],"MMM-YYYY")</f>
        <v>May-2023</v>
      </c>
      <c r="L224">
        <f>IF(Transactions_Clean[[#This Row],[Category]]="Revenue",Transactions_Clean[[#This Row],[Amount(₹)]],Transactions_Clean[[#This Row],[Amount(₹)]]/8)</f>
        <v>-8736.75</v>
      </c>
    </row>
    <row r="225" spans="1:12">
      <c r="A225" t="s">
        <v>548</v>
      </c>
      <c r="B225" t="s">
        <v>212</v>
      </c>
      <c r="C225" t="s">
        <v>73</v>
      </c>
      <c r="D225">
        <v>-88753</v>
      </c>
      <c r="E225" t="s">
        <v>74</v>
      </c>
      <c r="F225" t="s">
        <v>32</v>
      </c>
      <c r="G225" t="s">
        <v>25</v>
      </c>
      <c r="H225" t="s">
        <v>45</v>
      </c>
      <c r="I225" t="s">
        <v>34</v>
      </c>
      <c r="J225" s="11">
        <v>45392</v>
      </c>
      <c r="K225" t="str">
        <f>TEXT(Transactions_Clean[[#This Row],[Date]],"MMM-YYYY")</f>
        <v>Apr-2024</v>
      </c>
      <c r="L225">
        <f>IF(Transactions_Clean[[#This Row],[Category]]="Revenue",Transactions_Clean[[#This Row],[Amount(₹)]],Transactions_Clean[[#This Row],[Amount(₹)]]/8)</f>
        <v>-11094.125</v>
      </c>
    </row>
    <row r="226" spans="1:12">
      <c r="A226" t="s">
        <v>550</v>
      </c>
      <c r="B226" t="s">
        <v>4755</v>
      </c>
      <c r="C226" t="s">
        <v>78</v>
      </c>
      <c r="D226">
        <v>-20739</v>
      </c>
      <c r="E226" t="s">
        <v>23</v>
      </c>
      <c r="F226" t="s">
        <v>32</v>
      </c>
      <c r="G226" t="s">
        <v>79</v>
      </c>
      <c r="H226" t="s">
        <v>39</v>
      </c>
      <c r="I226" t="s">
        <v>40</v>
      </c>
      <c r="J226" s="11">
        <v>45868</v>
      </c>
      <c r="K226" t="str">
        <f>TEXT(Transactions_Clean[[#This Row],[Date]],"MMM-YYYY")</f>
        <v>Jul-2025</v>
      </c>
      <c r="L226">
        <f>IF(Transactions_Clean[[#This Row],[Category]]="Revenue",Transactions_Clean[[#This Row],[Amount(₹)]],Transactions_Clean[[#This Row],[Amount(₹)]]/8)</f>
        <v>-2592.375</v>
      </c>
    </row>
    <row r="227" spans="1:12">
      <c r="A227" t="s">
        <v>552</v>
      </c>
      <c r="B227" t="s">
        <v>30</v>
      </c>
      <c r="C227" t="s">
        <v>31</v>
      </c>
      <c r="D227">
        <v>-4634</v>
      </c>
      <c r="E227" t="s">
        <v>23</v>
      </c>
      <c r="F227" t="s">
        <v>24</v>
      </c>
      <c r="G227" t="s">
        <v>33</v>
      </c>
      <c r="H227" t="s">
        <v>45</v>
      </c>
      <c r="I227" t="s">
        <v>34</v>
      </c>
      <c r="J227" s="11">
        <v>45398</v>
      </c>
      <c r="K227" t="str">
        <f>TEXT(Transactions_Clean[[#This Row],[Date]],"MMM-YYYY")</f>
        <v>Apr-2024</v>
      </c>
      <c r="L227">
        <f>IF(Transactions_Clean[[#This Row],[Category]]="Revenue",Transactions_Clean[[#This Row],[Amount(₹)]],Transactions_Clean[[#This Row],[Amount(₹)]]/8)</f>
        <v>-579.25</v>
      </c>
    </row>
    <row r="228" spans="1:12">
      <c r="A228" t="s">
        <v>554</v>
      </c>
      <c r="B228" t="s">
        <v>87</v>
      </c>
      <c r="C228" t="s">
        <v>22</v>
      </c>
      <c r="D228">
        <v>-211433</v>
      </c>
      <c r="E228" t="s">
        <v>23</v>
      </c>
      <c r="F228" t="s">
        <v>32</v>
      </c>
      <c r="G228" t="s">
        <v>25</v>
      </c>
      <c r="H228" t="s">
        <v>39</v>
      </c>
      <c r="I228" t="s">
        <v>48</v>
      </c>
      <c r="J228" s="11">
        <v>46017</v>
      </c>
      <c r="K228" t="str">
        <f>TEXT(Transactions_Clean[[#This Row],[Date]],"MMM-YYYY")</f>
        <v>Dec-2025</v>
      </c>
      <c r="L228">
        <f>IF(Transactions_Clean[[#This Row],[Category]]="Revenue",Transactions_Clean[[#This Row],[Amount(₹)]],Transactions_Clean[[#This Row],[Amount(₹)]]/8)</f>
        <v>-26429.125</v>
      </c>
    </row>
    <row r="229" spans="1:12">
      <c r="A229" t="s">
        <v>556</v>
      </c>
      <c r="B229" t="s">
        <v>224</v>
      </c>
      <c r="C229" t="s">
        <v>78</v>
      </c>
      <c r="D229">
        <v>-115565</v>
      </c>
      <c r="E229" t="s">
        <v>23</v>
      </c>
      <c r="F229" t="s">
        <v>24</v>
      </c>
      <c r="G229" t="s">
        <v>79</v>
      </c>
      <c r="H229" t="s">
        <v>39</v>
      </c>
      <c r="I229" t="s">
        <v>48</v>
      </c>
      <c r="J229" s="11">
        <v>45980</v>
      </c>
      <c r="K229" t="str">
        <f>TEXT(Transactions_Clean[[#This Row],[Date]],"MMM-YYYY")</f>
        <v>Nov-2025</v>
      </c>
      <c r="L229">
        <f>IF(Transactions_Clean[[#This Row],[Category]]="Revenue",Transactions_Clean[[#This Row],[Amount(₹)]],Transactions_Clean[[#This Row],[Amount(₹)]]/8)</f>
        <v>-14445.625</v>
      </c>
    </row>
    <row r="230" spans="1:12">
      <c r="A230" t="s">
        <v>558</v>
      </c>
      <c r="B230" t="s">
        <v>116</v>
      </c>
      <c r="C230" t="s">
        <v>73</v>
      </c>
      <c r="D230">
        <v>-85377</v>
      </c>
      <c r="E230" t="s">
        <v>74</v>
      </c>
      <c r="F230" t="s">
        <v>32</v>
      </c>
      <c r="G230" t="s">
        <v>25</v>
      </c>
      <c r="H230" t="s">
        <v>45</v>
      </c>
      <c r="I230" t="s">
        <v>48</v>
      </c>
      <c r="J230" s="11">
        <v>45653</v>
      </c>
      <c r="K230" t="str">
        <f>TEXT(Transactions_Clean[[#This Row],[Date]],"MMM-YYYY")</f>
        <v>Dec-2024</v>
      </c>
      <c r="L230">
        <f>IF(Transactions_Clean[[#This Row],[Category]]="Revenue",Transactions_Clean[[#This Row],[Amount(₹)]],Transactions_Clean[[#This Row],[Amount(₹)]]/8)</f>
        <v>-10672.125</v>
      </c>
    </row>
    <row r="231" spans="1:12">
      <c r="A231" t="s">
        <v>560</v>
      </c>
      <c r="B231" t="s">
        <v>4757</v>
      </c>
      <c r="C231" t="s">
        <v>73</v>
      </c>
      <c r="D231">
        <v>-46005</v>
      </c>
      <c r="E231" t="s">
        <v>74</v>
      </c>
      <c r="F231" t="s">
        <v>24</v>
      </c>
      <c r="G231" t="s">
        <v>25</v>
      </c>
      <c r="H231" t="s">
        <v>26</v>
      </c>
      <c r="I231" t="s">
        <v>27</v>
      </c>
      <c r="J231" s="11">
        <v>45312</v>
      </c>
      <c r="K231" t="str">
        <f>TEXT(Transactions_Clean[[#This Row],[Date]],"MMM-YYYY")</f>
        <v>Jan-2024</v>
      </c>
      <c r="L231">
        <f>IF(Transactions_Clean[[#This Row],[Category]]="Revenue",Transactions_Clean[[#This Row],[Amount(₹)]],Transactions_Clean[[#This Row],[Amount(₹)]]/8)</f>
        <v>-5750.625</v>
      </c>
    </row>
    <row r="232" spans="1:12">
      <c r="A232" t="s">
        <v>562</v>
      </c>
      <c r="B232" t="s">
        <v>224</v>
      </c>
      <c r="C232" t="s">
        <v>78</v>
      </c>
      <c r="D232">
        <v>-88617</v>
      </c>
      <c r="E232" t="s">
        <v>23</v>
      </c>
      <c r="F232" t="s">
        <v>24</v>
      </c>
      <c r="G232" t="s">
        <v>79</v>
      </c>
      <c r="H232" t="s">
        <v>39</v>
      </c>
      <c r="I232" t="s">
        <v>34</v>
      </c>
      <c r="J232" s="11">
        <v>45808</v>
      </c>
      <c r="K232" t="str">
        <f>TEXT(Transactions_Clean[[#This Row],[Date]],"MMM-YYYY")</f>
        <v>May-2025</v>
      </c>
      <c r="L232">
        <f>IF(Transactions_Clean[[#This Row],[Category]]="Revenue",Transactions_Clean[[#This Row],[Amount(₹)]],Transactions_Clean[[#This Row],[Amount(₹)]]/8)</f>
        <v>-11077.125</v>
      </c>
    </row>
    <row r="233" spans="1:12">
      <c r="A233" t="s">
        <v>564</v>
      </c>
      <c r="B233" t="s">
        <v>143</v>
      </c>
      <c r="C233" t="s">
        <v>78</v>
      </c>
      <c r="D233">
        <v>-52492</v>
      </c>
      <c r="E233" t="s">
        <v>23</v>
      </c>
      <c r="F233" t="s">
        <v>24</v>
      </c>
      <c r="G233" t="s">
        <v>79</v>
      </c>
      <c r="H233" t="s">
        <v>39</v>
      </c>
      <c r="I233" t="s">
        <v>48</v>
      </c>
      <c r="J233" s="11">
        <v>45933</v>
      </c>
      <c r="K233" t="str">
        <f>TEXT(Transactions_Clean[[#This Row],[Date]],"MMM-YYYY")</f>
        <v>Oct-2025</v>
      </c>
      <c r="L233">
        <f>IF(Transactions_Clean[[#This Row],[Category]]="Revenue",Transactions_Clean[[#This Row],[Amount(₹)]],Transactions_Clean[[#This Row],[Amount(₹)]]/8)</f>
        <v>-6561.5</v>
      </c>
    </row>
    <row r="234" spans="1:12">
      <c r="A234" t="s">
        <v>567</v>
      </c>
      <c r="B234" t="s">
        <v>116</v>
      </c>
      <c r="C234" t="s">
        <v>73</v>
      </c>
      <c r="D234">
        <v>-67058</v>
      </c>
      <c r="E234" t="s">
        <v>74</v>
      </c>
      <c r="F234" t="s">
        <v>32</v>
      </c>
      <c r="G234" t="s">
        <v>25</v>
      </c>
      <c r="H234" t="s">
        <v>39</v>
      </c>
      <c r="I234" t="s">
        <v>27</v>
      </c>
      <c r="J234" s="11">
        <v>46068</v>
      </c>
      <c r="K234" t="str">
        <f>TEXT(Transactions_Clean[[#This Row],[Date]],"MMM-YYYY")</f>
        <v>Feb-2026</v>
      </c>
      <c r="L234">
        <f>IF(Transactions_Clean[[#This Row],[Category]]="Revenue",Transactions_Clean[[#This Row],[Amount(₹)]],Transactions_Clean[[#This Row],[Amount(₹)]]/8)</f>
        <v>-8382.25</v>
      </c>
    </row>
    <row r="235" spans="1:12">
      <c r="A235" t="s">
        <v>569</v>
      </c>
      <c r="B235" t="s">
        <v>174</v>
      </c>
      <c r="C235" t="s">
        <v>22</v>
      </c>
      <c r="D235">
        <v>-132651</v>
      </c>
      <c r="E235" t="s">
        <v>23</v>
      </c>
      <c r="F235" t="s">
        <v>32</v>
      </c>
      <c r="G235" t="s">
        <v>25</v>
      </c>
      <c r="H235" t="s">
        <v>45</v>
      </c>
      <c r="I235" t="s">
        <v>27</v>
      </c>
      <c r="J235" s="11">
        <v>45725</v>
      </c>
      <c r="K235" t="str">
        <f>TEXT(Transactions_Clean[[#This Row],[Date]],"MMM-YYYY")</f>
        <v>Mar-2025</v>
      </c>
      <c r="L235">
        <f>IF(Transactions_Clean[[#This Row],[Category]]="Revenue",Transactions_Clean[[#This Row],[Amount(₹)]],Transactions_Clean[[#This Row],[Amount(₹)]]/8)</f>
        <v>-16581.375</v>
      </c>
    </row>
    <row r="236" spans="1:12">
      <c r="A236" t="s">
        <v>571</v>
      </c>
      <c r="B236" t="s">
        <v>100</v>
      </c>
      <c r="C236" t="s">
        <v>31</v>
      </c>
      <c r="D236">
        <v>-33457</v>
      </c>
      <c r="E236" t="s">
        <v>23</v>
      </c>
      <c r="F236" t="s">
        <v>32</v>
      </c>
      <c r="G236" t="s">
        <v>33</v>
      </c>
      <c r="H236" t="s">
        <v>45</v>
      </c>
      <c r="I236" t="s">
        <v>27</v>
      </c>
      <c r="J236" s="11">
        <v>45670</v>
      </c>
      <c r="K236" t="str">
        <f>TEXT(Transactions_Clean[[#This Row],[Date]],"MMM-YYYY")</f>
        <v>Jan-2025</v>
      </c>
      <c r="L236">
        <f>IF(Transactions_Clean[[#This Row],[Category]]="Revenue",Transactions_Clean[[#This Row],[Amount(₹)]],Transactions_Clean[[#This Row],[Amount(₹)]]/8)</f>
        <v>-4182.125</v>
      </c>
    </row>
    <row r="237" spans="1:12">
      <c r="A237" t="s">
        <v>573</v>
      </c>
      <c r="B237" t="s">
        <v>66</v>
      </c>
      <c r="C237" t="s">
        <v>61</v>
      </c>
      <c r="D237">
        <v>-56951</v>
      </c>
      <c r="E237" t="s">
        <v>62</v>
      </c>
      <c r="F237" t="s">
        <v>32</v>
      </c>
      <c r="G237" t="s">
        <v>63</v>
      </c>
      <c r="H237" t="s">
        <v>26</v>
      </c>
      <c r="I237" t="s">
        <v>27</v>
      </c>
      <c r="J237" s="11">
        <v>45338</v>
      </c>
      <c r="K237" t="str">
        <f>TEXT(Transactions_Clean[[#This Row],[Date]],"MMM-YYYY")</f>
        <v>Feb-2024</v>
      </c>
      <c r="L237">
        <f>IF(Transactions_Clean[[#This Row],[Category]]="Revenue",Transactions_Clean[[#This Row],[Amount(₹)]],Transactions_Clean[[#This Row],[Amount(₹)]]/8)</f>
        <v>-7118.875</v>
      </c>
    </row>
    <row r="238" spans="1:12">
      <c r="A238" t="s">
        <v>575</v>
      </c>
      <c r="B238" t="s">
        <v>4755</v>
      </c>
      <c r="C238" t="s">
        <v>78</v>
      </c>
      <c r="D238">
        <v>-75986</v>
      </c>
      <c r="E238" t="s">
        <v>23</v>
      </c>
      <c r="F238" t="s">
        <v>24</v>
      </c>
      <c r="G238" t="s">
        <v>79</v>
      </c>
      <c r="H238" t="s">
        <v>45</v>
      </c>
      <c r="I238" t="s">
        <v>48</v>
      </c>
      <c r="J238" s="11">
        <v>45635</v>
      </c>
      <c r="K238" t="str">
        <f>TEXT(Transactions_Clean[[#This Row],[Date]],"MMM-YYYY")</f>
        <v>Dec-2024</v>
      </c>
      <c r="L238">
        <f>IF(Transactions_Clean[[#This Row],[Category]]="Revenue",Transactions_Clean[[#This Row],[Amount(₹)]],Transactions_Clean[[#This Row],[Amount(₹)]]/8)</f>
        <v>-9498.25</v>
      </c>
    </row>
    <row r="239" spans="1:12">
      <c r="A239" t="s">
        <v>577</v>
      </c>
      <c r="B239" t="s">
        <v>4756</v>
      </c>
      <c r="C239" t="s">
        <v>73</v>
      </c>
      <c r="D239">
        <v>-61641</v>
      </c>
      <c r="E239" t="s">
        <v>74</v>
      </c>
      <c r="F239" t="s">
        <v>24</v>
      </c>
      <c r="G239" t="s">
        <v>25</v>
      </c>
      <c r="H239" t="s">
        <v>45</v>
      </c>
      <c r="I239" t="s">
        <v>48</v>
      </c>
      <c r="J239" s="11">
        <v>45571</v>
      </c>
      <c r="K239" t="str">
        <f>TEXT(Transactions_Clean[[#This Row],[Date]],"MMM-YYYY")</f>
        <v>Oct-2024</v>
      </c>
      <c r="L239">
        <f>IF(Transactions_Clean[[#This Row],[Category]]="Revenue",Transactions_Clean[[#This Row],[Amount(₹)]],Transactions_Clean[[#This Row],[Amount(₹)]]/8)</f>
        <v>-7705.125</v>
      </c>
    </row>
    <row r="240" spans="1:12">
      <c r="A240" t="s">
        <v>579</v>
      </c>
      <c r="B240" t="s">
        <v>4759</v>
      </c>
      <c r="C240" t="s">
        <v>31</v>
      </c>
      <c r="D240">
        <v>-16997</v>
      </c>
      <c r="E240" t="s">
        <v>23</v>
      </c>
      <c r="F240" t="s">
        <v>24</v>
      </c>
      <c r="G240" t="s">
        <v>33</v>
      </c>
      <c r="H240" t="s">
        <v>26</v>
      </c>
      <c r="I240" t="s">
        <v>34</v>
      </c>
      <c r="J240" s="11">
        <v>45019</v>
      </c>
      <c r="K240" t="str">
        <f>TEXT(Transactions_Clean[[#This Row],[Date]],"MMM-YYYY")</f>
        <v>Apr-2023</v>
      </c>
      <c r="L240">
        <f>IF(Transactions_Clean[[#This Row],[Category]]="Revenue",Transactions_Clean[[#This Row],[Amount(₹)]],Transactions_Clean[[#This Row],[Amount(₹)]]/8)</f>
        <v>-2124.625</v>
      </c>
    </row>
    <row r="241" spans="1:12">
      <c r="A241" t="s">
        <v>581</v>
      </c>
      <c r="B241" t="s">
        <v>4770</v>
      </c>
      <c r="C241" t="s">
        <v>440</v>
      </c>
      <c r="D241">
        <v>-142733</v>
      </c>
      <c r="E241" t="s">
        <v>23</v>
      </c>
      <c r="F241" t="s">
        <v>32</v>
      </c>
      <c r="G241" t="s">
        <v>33</v>
      </c>
      <c r="H241" t="s">
        <v>26</v>
      </c>
      <c r="I241" t="s">
        <v>27</v>
      </c>
      <c r="J241" s="11">
        <v>45361</v>
      </c>
      <c r="K241" t="str">
        <f>TEXT(Transactions_Clean[[#This Row],[Date]],"MMM-YYYY")</f>
        <v>Mar-2024</v>
      </c>
      <c r="L241">
        <f>IF(Transactions_Clean[[#This Row],[Category]]="Revenue",Transactions_Clean[[#This Row],[Amount(₹)]],Transactions_Clean[[#This Row],[Amount(₹)]]/8)</f>
        <v>-17841.625</v>
      </c>
    </row>
    <row r="242" spans="1:12">
      <c r="A242" t="s">
        <v>582</v>
      </c>
      <c r="B242" t="s">
        <v>161</v>
      </c>
      <c r="C242" t="s">
        <v>22</v>
      </c>
      <c r="D242">
        <v>-99677</v>
      </c>
      <c r="E242" t="s">
        <v>23</v>
      </c>
      <c r="F242" t="s">
        <v>24</v>
      </c>
      <c r="G242" t="s">
        <v>25</v>
      </c>
      <c r="H242" t="s">
        <v>39</v>
      </c>
      <c r="I242" t="s">
        <v>27</v>
      </c>
      <c r="J242" s="11">
        <v>46174</v>
      </c>
      <c r="K242" t="str">
        <f>TEXT(Transactions_Clean[[#This Row],[Date]],"MMM-YYYY")</f>
        <v>Jun-2026</v>
      </c>
      <c r="L242">
        <f>IF(Transactions_Clean[[#This Row],[Category]]="Revenue",Transactions_Clean[[#This Row],[Amount(₹)]],Transactions_Clean[[#This Row],[Amount(₹)]]/8)</f>
        <v>-12459.625</v>
      </c>
    </row>
    <row r="243" spans="1:12">
      <c r="A243" t="s">
        <v>584</v>
      </c>
      <c r="B243" t="s">
        <v>224</v>
      </c>
      <c r="C243" t="s">
        <v>78</v>
      </c>
      <c r="D243">
        <v>-18883</v>
      </c>
      <c r="E243" t="s">
        <v>23</v>
      </c>
      <c r="F243" t="s">
        <v>24</v>
      </c>
      <c r="G243" t="s">
        <v>79</v>
      </c>
      <c r="H243" t="s">
        <v>26</v>
      </c>
      <c r="I243" t="s">
        <v>40</v>
      </c>
      <c r="J243" s="11">
        <v>45128</v>
      </c>
      <c r="K243" t="str">
        <f>TEXT(Transactions_Clean[[#This Row],[Date]],"MMM-YYYY")</f>
        <v>Jul-2023</v>
      </c>
      <c r="L243">
        <f>IF(Transactions_Clean[[#This Row],[Category]]="Revenue",Transactions_Clean[[#This Row],[Amount(₹)]],Transactions_Clean[[#This Row],[Amount(₹)]]/8)</f>
        <v>-2360.375</v>
      </c>
    </row>
    <row r="244" spans="1:12">
      <c r="A244" t="s">
        <v>586</v>
      </c>
      <c r="B244" t="s">
        <v>180</v>
      </c>
      <c r="C244" t="s">
        <v>44</v>
      </c>
      <c r="D244">
        <v>-81107</v>
      </c>
      <c r="E244" t="s">
        <v>23</v>
      </c>
      <c r="F244" t="s">
        <v>24</v>
      </c>
      <c r="G244" t="s">
        <v>33</v>
      </c>
      <c r="H244" t="s">
        <v>26</v>
      </c>
      <c r="I244" t="s">
        <v>27</v>
      </c>
      <c r="J244" s="11">
        <v>45297</v>
      </c>
      <c r="K244" t="str">
        <f>TEXT(Transactions_Clean[[#This Row],[Date]],"MMM-YYYY")</f>
        <v>Jan-2024</v>
      </c>
      <c r="L244">
        <f>IF(Transactions_Clean[[#This Row],[Category]]="Revenue",Transactions_Clean[[#This Row],[Amount(₹)]],Transactions_Clean[[#This Row],[Amount(₹)]]/8)</f>
        <v>-10138.375</v>
      </c>
    </row>
    <row r="245" spans="1:12">
      <c r="A245" t="s">
        <v>588</v>
      </c>
      <c r="B245" t="s">
        <v>72</v>
      </c>
      <c r="C245" t="s">
        <v>73</v>
      </c>
      <c r="D245">
        <v>-19140</v>
      </c>
      <c r="E245" t="s">
        <v>74</v>
      </c>
      <c r="F245" t="s">
        <v>24</v>
      </c>
      <c r="G245" t="s">
        <v>25</v>
      </c>
      <c r="H245" t="s">
        <v>39</v>
      </c>
      <c r="I245" t="s">
        <v>48</v>
      </c>
      <c r="J245" s="11">
        <v>46011</v>
      </c>
      <c r="K245" t="str">
        <f>TEXT(Transactions_Clean[[#This Row],[Date]],"MMM-YYYY")</f>
        <v>Dec-2025</v>
      </c>
      <c r="L245">
        <f>IF(Transactions_Clean[[#This Row],[Category]]="Revenue",Transactions_Clean[[#This Row],[Amount(₹)]],Transactions_Clean[[#This Row],[Amount(₹)]]/8)</f>
        <v>-2392.5</v>
      </c>
    </row>
    <row r="246" spans="1:12">
      <c r="A246" t="s">
        <v>590</v>
      </c>
      <c r="B246" t="s">
        <v>60</v>
      </c>
      <c r="C246" t="s">
        <v>61</v>
      </c>
      <c r="D246">
        <v>-26714</v>
      </c>
      <c r="E246" t="s">
        <v>62</v>
      </c>
      <c r="F246" t="s">
        <v>24</v>
      </c>
      <c r="G246" t="s">
        <v>63</v>
      </c>
      <c r="H246" t="s">
        <v>45</v>
      </c>
      <c r="I246" t="s">
        <v>40</v>
      </c>
      <c r="J246" s="11">
        <v>45389</v>
      </c>
      <c r="K246" t="str">
        <f>TEXT(Transactions_Clean[[#This Row],[Date]],"MMM-YYYY")</f>
        <v>Apr-2024</v>
      </c>
      <c r="L246">
        <f>IF(Transactions_Clean[[#This Row],[Category]]="Revenue",Transactions_Clean[[#This Row],[Amount(₹)]],Transactions_Clean[[#This Row],[Amount(₹)]]/8)</f>
        <v>-3339.25</v>
      </c>
    </row>
    <row r="247" spans="1:12">
      <c r="A247" t="s">
        <v>592</v>
      </c>
      <c r="B247" t="s">
        <v>60</v>
      </c>
      <c r="C247" t="s">
        <v>61</v>
      </c>
      <c r="D247">
        <v>-48587</v>
      </c>
      <c r="E247" t="s">
        <v>62</v>
      </c>
      <c r="F247" t="s">
        <v>24</v>
      </c>
      <c r="G247" t="s">
        <v>63</v>
      </c>
      <c r="H247" t="s">
        <v>39</v>
      </c>
      <c r="I247" t="s">
        <v>48</v>
      </c>
      <c r="J247" s="11">
        <v>45952</v>
      </c>
      <c r="K247" t="str">
        <f>TEXT(Transactions_Clean[[#This Row],[Date]],"MMM-YYYY")</f>
        <v>Oct-2025</v>
      </c>
      <c r="L247">
        <f>IF(Transactions_Clean[[#This Row],[Category]]="Revenue",Transactions_Clean[[#This Row],[Amount(₹)]],Transactions_Clean[[#This Row],[Amount(₹)]]/8)</f>
        <v>-6073.375</v>
      </c>
    </row>
    <row r="248" spans="1:12">
      <c r="A248" t="s">
        <v>594</v>
      </c>
      <c r="B248" t="s">
        <v>60</v>
      </c>
      <c r="C248" t="s">
        <v>61</v>
      </c>
      <c r="D248">
        <v>-54808</v>
      </c>
      <c r="E248" t="s">
        <v>62</v>
      </c>
      <c r="F248" t="s">
        <v>32</v>
      </c>
      <c r="G248" t="s">
        <v>63</v>
      </c>
      <c r="H248" t="s">
        <v>39</v>
      </c>
      <c r="I248" t="s">
        <v>48</v>
      </c>
      <c r="J248" s="11">
        <v>45948</v>
      </c>
      <c r="K248" t="str">
        <f>TEXT(Transactions_Clean[[#This Row],[Date]],"MMM-YYYY")</f>
        <v>Oct-2025</v>
      </c>
      <c r="L248">
        <f>IF(Transactions_Clean[[#This Row],[Category]]="Revenue",Transactions_Clean[[#This Row],[Amount(₹)]],Transactions_Clean[[#This Row],[Amount(₹)]]/8)</f>
        <v>-6851</v>
      </c>
    </row>
    <row r="249" spans="1:12">
      <c r="A249" t="s">
        <v>596</v>
      </c>
      <c r="B249" t="s">
        <v>215</v>
      </c>
      <c r="C249" t="s">
        <v>61</v>
      </c>
      <c r="D249">
        <v>-29092</v>
      </c>
      <c r="E249" t="s">
        <v>62</v>
      </c>
      <c r="F249" t="s">
        <v>24</v>
      </c>
      <c r="G249" t="s">
        <v>63</v>
      </c>
      <c r="H249" t="s">
        <v>39</v>
      </c>
      <c r="I249" t="s">
        <v>34</v>
      </c>
      <c r="J249" s="11">
        <v>45783</v>
      </c>
      <c r="K249" t="str">
        <f>TEXT(Transactions_Clean[[#This Row],[Date]],"MMM-YYYY")</f>
        <v>May-2025</v>
      </c>
      <c r="L249">
        <f>IF(Transactions_Clean[[#This Row],[Category]]="Revenue",Transactions_Clean[[#This Row],[Amount(₹)]],Transactions_Clean[[#This Row],[Amount(₹)]]/8)</f>
        <v>-3636.5</v>
      </c>
    </row>
    <row r="250" spans="1:12">
      <c r="A250" t="s">
        <v>598</v>
      </c>
      <c r="B250" t="s">
        <v>4753</v>
      </c>
      <c r="C250" t="s">
        <v>38</v>
      </c>
      <c r="D250">
        <v>-41248</v>
      </c>
      <c r="E250" t="s">
        <v>23</v>
      </c>
      <c r="F250" t="s">
        <v>32</v>
      </c>
      <c r="G250" t="s">
        <v>33</v>
      </c>
      <c r="H250" t="s">
        <v>45</v>
      </c>
      <c r="I250" t="s">
        <v>48</v>
      </c>
      <c r="J250" s="11">
        <v>45631</v>
      </c>
      <c r="K250" t="str">
        <f>TEXT(Transactions_Clean[[#This Row],[Date]],"MMM-YYYY")</f>
        <v>Dec-2024</v>
      </c>
      <c r="L250">
        <f>IF(Transactions_Clean[[#This Row],[Category]]="Revenue",Transactions_Clean[[#This Row],[Amount(₹)]],Transactions_Clean[[#This Row],[Amount(₹)]]/8)</f>
        <v>-5156</v>
      </c>
    </row>
    <row r="251" spans="1:12">
      <c r="A251" t="s">
        <v>600</v>
      </c>
      <c r="B251" t="s">
        <v>4769</v>
      </c>
      <c r="C251" t="s">
        <v>44</v>
      </c>
      <c r="D251">
        <v>-40781</v>
      </c>
      <c r="E251" t="s">
        <v>23</v>
      </c>
      <c r="F251" t="s">
        <v>32</v>
      </c>
      <c r="G251" t="s">
        <v>33</v>
      </c>
      <c r="H251" t="s">
        <v>39</v>
      </c>
      <c r="I251" t="s">
        <v>40</v>
      </c>
      <c r="J251" s="11">
        <v>45858</v>
      </c>
      <c r="K251" t="str">
        <f>TEXT(Transactions_Clean[[#This Row],[Date]],"MMM-YYYY")</f>
        <v>Jul-2025</v>
      </c>
      <c r="L251">
        <f>IF(Transactions_Clean[[#This Row],[Category]]="Revenue",Transactions_Clean[[#This Row],[Amount(₹)]],Transactions_Clean[[#This Row],[Amount(₹)]]/8)</f>
        <v>-5097.625</v>
      </c>
    </row>
    <row r="252" spans="1:12">
      <c r="A252" t="s">
        <v>601</v>
      </c>
      <c r="B252" t="s">
        <v>30</v>
      </c>
      <c r="C252" t="s">
        <v>31</v>
      </c>
      <c r="D252">
        <v>-31627</v>
      </c>
      <c r="E252" t="s">
        <v>23</v>
      </c>
      <c r="F252" t="s">
        <v>32</v>
      </c>
      <c r="G252" t="s">
        <v>33</v>
      </c>
      <c r="H252" t="s">
        <v>26</v>
      </c>
      <c r="I252" t="s">
        <v>34</v>
      </c>
      <c r="J252" s="11">
        <v>45025</v>
      </c>
      <c r="K252" t="str">
        <f>TEXT(Transactions_Clean[[#This Row],[Date]],"MMM-YYYY")</f>
        <v>Apr-2023</v>
      </c>
      <c r="L252">
        <f>IF(Transactions_Clean[[#This Row],[Category]]="Revenue",Transactions_Clean[[#This Row],[Amount(₹)]],Transactions_Clean[[#This Row],[Amount(₹)]]/8)</f>
        <v>-3953.375</v>
      </c>
    </row>
    <row r="253" spans="1:12">
      <c r="A253" t="s">
        <v>603</v>
      </c>
      <c r="B253" t="s">
        <v>116</v>
      </c>
      <c r="C253" t="s">
        <v>73</v>
      </c>
      <c r="D253">
        <v>-20472</v>
      </c>
      <c r="E253" t="s">
        <v>74</v>
      </c>
      <c r="F253" t="s">
        <v>32</v>
      </c>
      <c r="G253" t="s">
        <v>25</v>
      </c>
      <c r="H253" t="s">
        <v>39</v>
      </c>
      <c r="I253" t="s">
        <v>34</v>
      </c>
      <c r="J253" s="11">
        <v>45756</v>
      </c>
      <c r="K253" t="str">
        <f>TEXT(Transactions_Clean[[#This Row],[Date]],"MMM-YYYY")</f>
        <v>Apr-2025</v>
      </c>
      <c r="L253">
        <f>IF(Transactions_Clean[[#This Row],[Category]]="Revenue",Transactions_Clean[[#This Row],[Amount(₹)]],Transactions_Clean[[#This Row],[Amount(₹)]]/8)</f>
        <v>-2559</v>
      </c>
    </row>
    <row r="254" spans="1:12">
      <c r="A254" t="s">
        <v>605</v>
      </c>
      <c r="B254" t="s">
        <v>30</v>
      </c>
      <c r="C254" t="s">
        <v>31</v>
      </c>
      <c r="D254">
        <v>-31445</v>
      </c>
      <c r="E254" t="s">
        <v>23</v>
      </c>
      <c r="F254" t="s">
        <v>24</v>
      </c>
      <c r="G254" t="s">
        <v>33</v>
      </c>
      <c r="H254" t="s">
        <v>26</v>
      </c>
      <c r="I254" t="s">
        <v>34</v>
      </c>
      <c r="J254" s="11">
        <v>45082</v>
      </c>
      <c r="K254" t="str">
        <f>TEXT(Transactions_Clean[[#This Row],[Date]],"MMM-YYYY")</f>
        <v>Jun-2023</v>
      </c>
      <c r="L254">
        <f>IF(Transactions_Clean[[#This Row],[Category]]="Revenue",Transactions_Clean[[#This Row],[Amount(₹)]],Transactions_Clean[[#This Row],[Amount(₹)]]/8)</f>
        <v>-3930.625</v>
      </c>
    </row>
    <row r="255" spans="1:12">
      <c r="A255" t="s">
        <v>607</v>
      </c>
      <c r="B255" t="s">
        <v>4765</v>
      </c>
      <c r="C255" t="s">
        <v>73</v>
      </c>
      <c r="D255">
        <v>-66541</v>
      </c>
      <c r="E255" t="s">
        <v>74</v>
      </c>
      <c r="F255" t="s">
        <v>32</v>
      </c>
      <c r="G255" t="s">
        <v>25</v>
      </c>
      <c r="H255" t="s">
        <v>45</v>
      </c>
      <c r="I255" t="s">
        <v>48</v>
      </c>
      <c r="J255" s="11">
        <v>45615</v>
      </c>
      <c r="K255" t="str">
        <f>TEXT(Transactions_Clean[[#This Row],[Date]],"MMM-YYYY")</f>
        <v>Nov-2024</v>
      </c>
      <c r="L255">
        <f>IF(Transactions_Clean[[#This Row],[Category]]="Revenue",Transactions_Clean[[#This Row],[Amount(₹)]],Transactions_Clean[[#This Row],[Amount(₹)]]/8)</f>
        <v>-8317.625</v>
      </c>
    </row>
    <row r="256" spans="1:12">
      <c r="A256" t="s">
        <v>609</v>
      </c>
      <c r="B256" t="s">
        <v>4751</v>
      </c>
      <c r="C256" t="s">
        <v>4750</v>
      </c>
      <c r="D256">
        <v>-44987</v>
      </c>
      <c r="E256" t="s">
        <v>23</v>
      </c>
      <c r="F256" t="s">
        <v>24</v>
      </c>
      <c r="G256" t="s">
        <v>33</v>
      </c>
      <c r="H256" t="s">
        <v>26</v>
      </c>
      <c r="I256" t="s">
        <v>34</v>
      </c>
      <c r="J256" s="11">
        <v>45038</v>
      </c>
      <c r="K256" t="str">
        <f>TEXT(Transactions_Clean[[#This Row],[Date]],"MMM-YYYY")</f>
        <v>Apr-2023</v>
      </c>
      <c r="L256">
        <f>IF(Transactions_Clean[[#This Row],[Category]]="Revenue",Transactions_Clean[[#This Row],[Amount(₹)]],Transactions_Clean[[#This Row],[Amount(₹)]]/8)</f>
        <v>-5623.375</v>
      </c>
    </row>
    <row r="257" spans="1:12">
      <c r="A257" t="s">
        <v>610</v>
      </c>
      <c r="B257" t="s">
        <v>4751</v>
      </c>
      <c r="C257" t="s">
        <v>38</v>
      </c>
      <c r="D257">
        <v>-30708</v>
      </c>
      <c r="E257" t="s">
        <v>23</v>
      </c>
      <c r="F257" t="s">
        <v>32</v>
      </c>
      <c r="G257" t="s">
        <v>33</v>
      </c>
      <c r="H257" t="s">
        <v>39</v>
      </c>
      <c r="I257" t="s">
        <v>48</v>
      </c>
      <c r="J257" s="11">
        <v>45979</v>
      </c>
      <c r="K257" t="str">
        <f>TEXT(Transactions_Clean[[#This Row],[Date]],"MMM-YYYY")</f>
        <v>Nov-2025</v>
      </c>
      <c r="L257">
        <f>IF(Transactions_Clean[[#This Row],[Category]]="Revenue",Transactions_Clean[[#This Row],[Amount(₹)]],Transactions_Clean[[#This Row],[Amount(₹)]]/8)</f>
        <v>-3838.5</v>
      </c>
    </row>
    <row r="258" spans="1:12">
      <c r="A258" t="s">
        <v>612</v>
      </c>
      <c r="B258" t="s">
        <v>143</v>
      </c>
      <c r="C258" t="s">
        <v>78</v>
      </c>
      <c r="D258">
        <v>-102153</v>
      </c>
      <c r="E258" t="s">
        <v>23</v>
      </c>
      <c r="F258" t="s">
        <v>32</v>
      </c>
      <c r="G258" t="s">
        <v>79</v>
      </c>
      <c r="H258" t="s">
        <v>26</v>
      </c>
      <c r="I258" t="s">
        <v>34</v>
      </c>
      <c r="J258" s="11">
        <v>45029</v>
      </c>
      <c r="K258" t="str">
        <f>TEXT(Transactions_Clean[[#This Row],[Date]],"MMM-YYYY")</f>
        <v>Apr-2023</v>
      </c>
      <c r="L258">
        <f>IF(Transactions_Clean[[#This Row],[Category]]="Revenue",Transactions_Clean[[#This Row],[Amount(₹)]],Transactions_Clean[[#This Row],[Amount(₹)]]/8)</f>
        <v>-12769.125</v>
      </c>
    </row>
    <row r="259" spans="1:12">
      <c r="A259" t="s">
        <v>614</v>
      </c>
      <c r="B259" t="s">
        <v>616</v>
      </c>
      <c r="C259" t="s">
        <v>22</v>
      </c>
      <c r="D259">
        <v>-180183</v>
      </c>
      <c r="E259" t="s">
        <v>23</v>
      </c>
      <c r="F259" t="s">
        <v>24</v>
      </c>
      <c r="G259" t="s">
        <v>25</v>
      </c>
      <c r="H259" t="s">
        <v>39</v>
      </c>
      <c r="I259" t="s">
        <v>48</v>
      </c>
      <c r="J259" s="11">
        <v>45993</v>
      </c>
      <c r="K259" t="str">
        <f>TEXT(Transactions_Clean[[#This Row],[Date]],"MMM-YYYY")</f>
        <v>Dec-2025</v>
      </c>
      <c r="L259">
        <f>IF(Transactions_Clean[[#This Row],[Category]]="Revenue",Transactions_Clean[[#This Row],[Amount(₹)]],Transactions_Clean[[#This Row],[Amount(₹)]]/8)</f>
        <v>-22522.875</v>
      </c>
    </row>
    <row r="260" spans="1:12">
      <c r="A260" t="s">
        <v>617</v>
      </c>
      <c r="B260" t="s">
        <v>305</v>
      </c>
      <c r="C260" t="s">
        <v>38</v>
      </c>
      <c r="D260">
        <v>-26340</v>
      </c>
      <c r="E260" t="s">
        <v>23</v>
      </c>
      <c r="F260" t="s">
        <v>32</v>
      </c>
      <c r="G260" t="s">
        <v>33</v>
      </c>
      <c r="H260" t="s">
        <v>26</v>
      </c>
      <c r="I260" t="s">
        <v>40</v>
      </c>
      <c r="J260" s="11">
        <v>45153</v>
      </c>
      <c r="K260" t="str">
        <f>TEXT(Transactions_Clean[[#This Row],[Date]],"MMM-YYYY")</f>
        <v>Aug-2023</v>
      </c>
      <c r="L260">
        <f>IF(Transactions_Clean[[#This Row],[Category]]="Revenue",Transactions_Clean[[#This Row],[Amount(₹)]],Transactions_Clean[[#This Row],[Amount(₹)]]/8)</f>
        <v>-3292.5</v>
      </c>
    </row>
    <row r="261" spans="1:12">
      <c r="A261" t="s">
        <v>620</v>
      </c>
      <c r="B261" t="s">
        <v>4752</v>
      </c>
      <c r="C261" t="s">
        <v>44</v>
      </c>
      <c r="D261">
        <v>-149688</v>
      </c>
      <c r="E261" t="s">
        <v>23</v>
      </c>
      <c r="F261" t="s">
        <v>24</v>
      </c>
      <c r="G261" t="s">
        <v>33</v>
      </c>
      <c r="H261" t="s">
        <v>26</v>
      </c>
      <c r="I261" t="s">
        <v>48</v>
      </c>
      <c r="J261" s="11">
        <v>45248</v>
      </c>
      <c r="K261" t="str">
        <f>TEXT(Transactions_Clean[[#This Row],[Date]],"MMM-YYYY")</f>
        <v>Nov-2023</v>
      </c>
      <c r="L261">
        <f>IF(Transactions_Clean[[#This Row],[Category]]="Revenue",Transactions_Clean[[#This Row],[Amount(₹)]],Transactions_Clean[[#This Row],[Amount(₹)]]/8)</f>
        <v>-18711</v>
      </c>
    </row>
    <row r="262" spans="1:12">
      <c r="A262" t="s">
        <v>622</v>
      </c>
      <c r="B262" t="s">
        <v>4764</v>
      </c>
      <c r="C262" t="s">
        <v>157</v>
      </c>
      <c r="D262">
        <v>686543</v>
      </c>
      <c r="E262" t="s">
        <v>62</v>
      </c>
      <c r="F262" t="s">
        <v>32</v>
      </c>
      <c r="G262" t="s">
        <v>25</v>
      </c>
      <c r="H262" t="s">
        <v>39</v>
      </c>
      <c r="I262" t="s">
        <v>40</v>
      </c>
      <c r="J262" s="11">
        <v>45754</v>
      </c>
      <c r="K262" t="str">
        <f>TEXT(Transactions_Clean[[#This Row],[Date]],"MMM-YYYY")</f>
        <v>Apr-2025</v>
      </c>
      <c r="L262">
        <f>IF(Transactions_Clean[[#This Row],[Category]]="Revenue",Transactions_Clean[[#This Row],[Amount(₹)]],Transactions_Clean[[#This Row],[Amount(₹)]]/8)</f>
        <v>686543</v>
      </c>
    </row>
    <row r="263" spans="1:12">
      <c r="A263" t="s">
        <v>624</v>
      </c>
      <c r="B263" t="s">
        <v>4752</v>
      </c>
      <c r="C263" t="s">
        <v>44</v>
      </c>
      <c r="D263">
        <v>-83886</v>
      </c>
      <c r="E263" t="s">
        <v>23</v>
      </c>
      <c r="F263" t="s">
        <v>24</v>
      </c>
      <c r="G263" t="s">
        <v>33</v>
      </c>
      <c r="H263" t="s">
        <v>39</v>
      </c>
      <c r="I263" t="s">
        <v>27</v>
      </c>
      <c r="J263" s="11">
        <v>46030</v>
      </c>
      <c r="K263" t="str">
        <f>TEXT(Transactions_Clean[[#This Row],[Date]],"MMM-YYYY")</f>
        <v>Jan-2026</v>
      </c>
      <c r="L263">
        <f>IF(Transactions_Clean[[#This Row],[Category]]="Revenue",Transactions_Clean[[#This Row],[Amount(₹)]],Transactions_Clean[[#This Row],[Amount(₹)]]/8)</f>
        <v>-10485.75</v>
      </c>
    </row>
    <row r="264" spans="1:12">
      <c r="A264" t="s">
        <v>626</v>
      </c>
      <c r="B264" t="s">
        <v>4762</v>
      </c>
      <c r="C264" t="s">
        <v>157</v>
      </c>
      <c r="D264">
        <v>579384</v>
      </c>
      <c r="E264" t="s">
        <v>62</v>
      </c>
      <c r="F264" t="s">
        <v>32</v>
      </c>
      <c r="G264" t="s">
        <v>25</v>
      </c>
      <c r="H264" t="s">
        <v>26</v>
      </c>
      <c r="I264" t="s">
        <v>40</v>
      </c>
      <c r="J264" s="11">
        <v>45149</v>
      </c>
      <c r="K264" t="str">
        <f>TEXT(Transactions_Clean[[#This Row],[Date]],"MMM-YYYY")</f>
        <v>Aug-2023</v>
      </c>
      <c r="L264">
        <f>IF(Transactions_Clean[[#This Row],[Category]]="Revenue",Transactions_Clean[[#This Row],[Amount(₹)]],Transactions_Clean[[#This Row],[Amount(₹)]]/8)</f>
        <v>579384</v>
      </c>
    </row>
    <row r="265" spans="1:12">
      <c r="A265" t="s">
        <v>628</v>
      </c>
      <c r="B265" t="s">
        <v>106</v>
      </c>
      <c r="C265" t="s">
        <v>31</v>
      </c>
      <c r="D265">
        <v>-43668</v>
      </c>
      <c r="E265" t="s">
        <v>23</v>
      </c>
      <c r="F265" t="s">
        <v>24</v>
      </c>
      <c r="G265" t="s">
        <v>33</v>
      </c>
      <c r="H265" t="s">
        <v>45</v>
      </c>
      <c r="I265" t="s">
        <v>27</v>
      </c>
      <c r="J265" s="11">
        <v>45699</v>
      </c>
      <c r="K265" t="str">
        <f>TEXT(Transactions_Clean[[#This Row],[Date]],"MMM-YYYY")</f>
        <v>Feb-2025</v>
      </c>
      <c r="L265">
        <f>IF(Transactions_Clean[[#This Row],[Category]]="Revenue",Transactions_Clean[[#This Row],[Amount(₹)]],Transactions_Clean[[#This Row],[Amount(₹)]]/8)</f>
        <v>-5458.5</v>
      </c>
    </row>
    <row r="266" spans="1:12">
      <c r="A266" t="s">
        <v>630</v>
      </c>
      <c r="B266" t="s">
        <v>4751</v>
      </c>
      <c r="C266" t="s">
        <v>38</v>
      </c>
      <c r="D266">
        <v>-26331</v>
      </c>
      <c r="E266" t="s">
        <v>23</v>
      </c>
      <c r="F266" t="s">
        <v>32</v>
      </c>
      <c r="G266" t="s">
        <v>33</v>
      </c>
      <c r="H266" t="s">
        <v>26</v>
      </c>
      <c r="I266" t="s">
        <v>34</v>
      </c>
      <c r="J266" s="11">
        <v>45104</v>
      </c>
      <c r="K266" t="str">
        <f>TEXT(Transactions_Clean[[#This Row],[Date]],"MMM-YYYY")</f>
        <v>Jun-2023</v>
      </c>
      <c r="L266">
        <f>IF(Transactions_Clean[[#This Row],[Category]]="Revenue",Transactions_Clean[[#This Row],[Amount(₹)]],Transactions_Clean[[#This Row],[Amount(₹)]]/8)</f>
        <v>-3291.375</v>
      </c>
    </row>
    <row r="267" spans="1:12">
      <c r="A267" t="s">
        <v>632</v>
      </c>
      <c r="B267" t="s">
        <v>100</v>
      </c>
      <c r="C267" t="s">
        <v>31</v>
      </c>
      <c r="D267">
        <v>-28525</v>
      </c>
      <c r="E267" t="s">
        <v>23</v>
      </c>
      <c r="F267" t="s">
        <v>32</v>
      </c>
      <c r="G267" t="s">
        <v>33</v>
      </c>
      <c r="H267" t="s">
        <v>45</v>
      </c>
      <c r="I267" t="s">
        <v>48</v>
      </c>
      <c r="J267" s="11">
        <v>45584</v>
      </c>
      <c r="K267" t="str">
        <f>TEXT(Transactions_Clean[[#This Row],[Date]],"MMM-YYYY")</f>
        <v>Oct-2024</v>
      </c>
      <c r="L267">
        <f>IF(Transactions_Clean[[#This Row],[Category]]="Revenue",Transactions_Clean[[#This Row],[Amount(₹)]],Transactions_Clean[[#This Row],[Amount(₹)]]/8)</f>
        <v>-3565.625</v>
      </c>
    </row>
    <row r="268" spans="1:12">
      <c r="A268" t="s">
        <v>634</v>
      </c>
      <c r="B268" t="s">
        <v>116</v>
      </c>
      <c r="C268" t="s">
        <v>73</v>
      </c>
      <c r="D268">
        <v>-69537</v>
      </c>
      <c r="E268" t="s">
        <v>74</v>
      </c>
      <c r="F268" t="s">
        <v>24</v>
      </c>
      <c r="G268" t="s">
        <v>25</v>
      </c>
      <c r="H268" t="s">
        <v>26</v>
      </c>
      <c r="I268" t="s">
        <v>34</v>
      </c>
      <c r="J268" s="11">
        <v>45072</v>
      </c>
      <c r="K268" t="str">
        <f>TEXT(Transactions_Clean[[#This Row],[Date]],"MMM-YYYY")</f>
        <v>May-2023</v>
      </c>
      <c r="L268">
        <f>IF(Transactions_Clean[[#This Row],[Category]]="Revenue",Transactions_Clean[[#This Row],[Amount(₹)]],Transactions_Clean[[#This Row],[Amount(₹)]]/8)</f>
        <v>-8692.125</v>
      </c>
    </row>
    <row r="269" spans="1:12">
      <c r="A269" t="s">
        <v>636</v>
      </c>
      <c r="B269" t="s">
        <v>310</v>
      </c>
      <c r="C269" t="s">
        <v>22</v>
      </c>
      <c r="D269">
        <v>-132733</v>
      </c>
      <c r="E269" t="s">
        <v>23</v>
      </c>
      <c r="F269" t="s">
        <v>24</v>
      </c>
      <c r="G269" t="s">
        <v>25</v>
      </c>
      <c r="H269" t="s">
        <v>26</v>
      </c>
      <c r="I269" t="s">
        <v>34</v>
      </c>
      <c r="J269" s="11">
        <v>45079</v>
      </c>
      <c r="K269" t="str">
        <f>TEXT(Transactions_Clean[[#This Row],[Date]],"MMM-YYYY")</f>
        <v>Jun-2023</v>
      </c>
      <c r="L269">
        <f>IF(Transactions_Clean[[#This Row],[Category]]="Revenue",Transactions_Clean[[#This Row],[Amount(₹)]],Transactions_Clean[[#This Row],[Amount(₹)]]/8)</f>
        <v>-16591.625</v>
      </c>
    </row>
    <row r="270" spans="1:12">
      <c r="A270" t="s">
        <v>638</v>
      </c>
      <c r="B270" t="s">
        <v>66</v>
      </c>
      <c r="C270" t="s">
        <v>61</v>
      </c>
      <c r="D270">
        <v>-45724</v>
      </c>
      <c r="E270" t="s">
        <v>62</v>
      </c>
      <c r="F270" t="s">
        <v>24</v>
      </c>
      <c r="G270" t="s">
        <v>63</v>
      </c>
      <c r="H270" t="s">
        <v>39</v>
      </c>
      <c r="I270" t="s">
        <v>48</v>
      </c>
      <c r="J270" s="11">
        <v>46016</v>
      </c>
      <c r="K270" t="str">
        <f>TEXT(Transactions_Clean[[#This Row],[Date]],"MMM-YYYY")</f>
        <v>Dec-2025</v>
      </c>
      <c r="L270">
        <f>IF(Transactions_Clean[[#This Row],[Category]]="Revenue",Transactions_Clean[[#This Row],[Amount(₹)]],Transactions_Clean[[#This Row],[Amount(₹)]]/8)</f>
        <v>-5715.5</v>
      </c>
    </row>
    <row r="271" spans="1:12">
      <c r="A271" t="s">
        <v>640</v>
      </c>
      <c r="B271" t="s">
        <v>4766</v>
      </c>
      <c r="C271" t="s">
        <v>73</v>
      </c>
      <c r="D271">
        <v>-14929</v>
      </c>
      <c r="E271" t="s">
        <v>74</v>
      </c>
      <c r="F271" t="s">
        <v>24</v>
      </c>
      <c r="G271" t="s">
        <v>25</v>
      </c>
      <c r="H271" t="s">
        <v>45</v>
      </c>
      <c r="I271" t="s">
        <v>34</v>
      </c>
      <c r="J271" s="11">
        <v>45473</v>
      </c>
      <c r="K271" t="str">
        <f>TEXT(Transactions_Clean[[#This Row],[Date]],"MMM-YYYY")</f>
        <v>Jun-2024</v>
      </c>
      <c r="L271">
        <f>IF(Transactions_Clean[[#This Row],[Category]]="Revenue",Transactions_Clean[[#This Row],[Amount(₹)]],Transactions_Clean[[#This Row],[Amount(₹)]]/8)</f>
        <v>-1866.125</v>
      </c>
    </row>
    <row r="272" spans="1:12">
      <c r="A272" t="s">
        <v>642</v>
      </c>
      <c r="B272" t="s">
        <v>66</v>
      </c>
      <c r="C272" t="s">
        <v>61</v>
      </c>
      <c r="D272">
        <v>-54353</v>
      </c>
      <c r="E272" t="s">
        <v>62</v>
      </c>
      <c r="F272" t="s">
        <v>32</v>
      </c>
      <c r="G272" t="s">
        <v>63</v>
      </c>
      <c r="H272" t="s">
        <v>45</v>
      </c>
      <c r="I272" t="s">
        <v>40</v>
      </c>
      <c r="J272" s="11">
        <v>45518</v>
      </c>
      <c r="K272" t="str">
        <f>TEXT(Transactions_Clean[[#This Row],[Date]],"MMM-YYYY")</f>
        <v>Aug-2024</v>
      </c>
      <c r="L272">
        <f>IF(Transactions_Clean[[#This Row],[Category]]="Revenue",Transactions_Clean[[#This Row],[Amount(₹)]],Transactions_Clean[[#This Row],[Amount(₹)]]/8)</f>
        <v>-6794.125</v>
      </c>
    </row>
    <row r="273" spans="1:12">
      <c r="A273" t="s">
        <v>644</v>
      </c>
      <c r="B273" t="s">
        <v>174</v>
      </c>
      <c r="C273" t="s">
        <v>22</v>
      </c>
      <c r="D273">
        <v>-23377</v>
      </c>
      <c r="E273" t="s">
        <v>23</v>
      </c>
      <c r="F273" t="s">
        <v>32</v>
      </c>
      <c r="G273" t="s">
        <v>25</v>
      </c>
      <c r="H273" t="s">
        <v>26</v>
      </c>
      <c r="I273" t="s">
        <v>27</v>
      </c>
      <c r="J273" s="11">
        <v>45379</v>
      </c>
      <c r="K273" t="str">
        <f>TEXT(Transactions_Clean[[#This Row],[Date]],"MMM-YYYY")</f>
        <v>Mar-2024</v>
      </c>
      <c r="L273">
        <f>IF(Transactions_Clean[[#This Row],[Category]]="Revenue",Transactions_Clean[[#This Row],[Amount(₹)]],Transactions_Clean[[#This Row],[Amount(₹)]]/8)</f>
        <v>-2922.125</v>
      </c>
    </row>
    <row r="274" spans="1:12">
      <c r="A274" t="s">
        <v>645</v>
      </c>
      <c r="B274" t="s">
        <v>215</v>
      </c>
      <c r="C274" t="s">
        <v>61</v>
      </c>
      <c r="D274">
        <v>-60630</v>
      </c>
      <c r="E274" t="s">
        <v>62</v>
      </c>
      <c r="F274" t="s">
        <v>24</v>
      </c>
      <c r="G274" t="s">
        <v>63</v>
      </c>
      <c r="H274" t="s">
        <v>26</v>
      </c>
      <c r="I274" t="s">
        <v>34</v>
      </c>
      <c r="J274" s="11">
        <v>44963</v>
      </c>
      <c r="K274" t="str">
        <f>TEXT(Transactions_Clean[[#This Row],[Date]],"MMM-YYYY")</f>
        <v>Feb-2023</v>
      </c>
      <c r="L274">
        <f>IF(Transactions_Clean[[#This Row],[Category]]="Revenue",Transactions_Clean[[#This Row],[Amount(₹)]],Transactions_Clean[[#This Row],[Amount(₹)]]/8)</f>
        <v>-7578.75</v>
      </c>
    </row>
    <row r="275" spans="1:12">
      <c r="A275" t="s">
        <v>647</v>
      </c>
      <c r="B275" t="s">
        <v>60</v>
      </c>
      <c r="C275" t="s">
        <v>61</v>
      </c>
      <c r="D275">
        <v>-40935</v>
      </c>
      <c r="E275" t="s">
        <v>62</v>
      </c>
      <c r="F275" t="s">
        <v>32</v>
      </c>
      <c r="G275" t="s">
        <v>63</v>
      </c>
      <c r="H275" t="s">
        <v>26</v>
      </c>
      <c r="I275" t="s">
        <v>27</v>
      </c>
      <c r="J275" s="11">
        <v>45363</v>
      </c>
      <c r="K275" t="str">
        <f>TEXT(Transactions_Clean[[#This Row],[Date]],"MMM-YYYY")</f>
        <v>Mar-2024</v>
      </c>
      <c r="L275">
        <f>IF(Transactions_Clean[[#This Row],[Category]]="Revenue",Transactions_Clean[[#This Row],[Amount(₹)]],Transactions_Clean[[#This Row],[Amount(₹)]]/8)</f>
        <v>-5116.875</v>
      </c>
    </row>
    <row r="276" spans="1:12">
      <c r="A276" t="s">
        <v>648</v>
      </c>
      <c r="B276" t="s">
        <v>116</v>
      </c>
      <c r="C276" t="s">
        <v>73</v>
      </c>
      <c r="D276">
        <v>-40660</v>
      </c>
      <c r="E276" t="s">
        <v>74</v>
      </c>
      <c r="F276" t="s">
        <v>32</v>
      </c>
      <c r="G276" t="s">
        <v>25</v>
      </c>
      <c r="H276" t="s">
        <v>39</v>
      </c>
      <c r="I276" t="s">
        <v>48</v>
      </c>
      <c r="J276" s="11">
        <v>45936</v>
      </c>
      <c r="K276" t="str">
        <f>TEXT(Transactions_Clean[[#This Row],[Date]],"MMM-YYYY")</f>
        <v>Oct-2025</v>
      </c>
      <c r="L276">
        <f>IF(Transactions_Clean[[#This Row],[Category]]="Revenue",Transactions_Clean[[#This Row],[Amount(₹)]],Transactions_Clean[[#This Row],[Amount(₹)]]/8)</f>
        <v>-5082.5</v>
      </c>
    </row>
    <row r="277" spans="1:12">
      <c r="A277" t="s">
        <v>650</v>
      </c>
      <c r="B277" t="s">
        <v>72</v>
      </c>
      <c r="C277" t="s">
        <v>73</v>
      </c>
      <c r="D277">
        <v>-15956</v>
      </c>
      <c r="E277" t="s">
        <v>74</v>
      </c>
      <c r="F277" t="s">
        <v>24</v>
      </c>
      <c r="G277" t="s">
        <v>25</v>
      </c>
      <c r="H277" t="s">
        <v>26</v>
      </c>
      <c r="I277" t="s">
        <v>27</v>
      </c>
      <c r="J277" s="11">
        <v>45368</v>
      </c>
      <c r="K277" t="str">
        <f>TEXT(Transactions_Clean[[#This Row],[Date]],"MMM-YYYY")</f>
        <v>Mar-2024</v>
      </c>
      <c r="L277">
        <f>IF(Transactions_Clean[[#This Row],[Category]]="Revenue",Transactions_Clean[[#This Row],[Amount(₹)]],Transactions_Clean[[#This Row],[Amount(₹)]]/8)</f>
        <v>-1994.5</v>
      </c>
    </row>
    <row r="278" spans="1:12">
      <c r="A278" t="s">
        <v>652</v>
      </c>
      <c r="B278" t="s">
        <v>215</v>
      </c>
      <c r="C278" t="s">
        <v>61</v>
      </c>
      <c r="D278">
        <v>-31639</v>
      </c>
      <c r="E278" t="s">
        <v>62</v>
      </c>
      <c r="F278" t="s">
        <v>24</v>
      </c>
      <c r="G278" t="s">
        <v>63</v>
      </c>
      <c r="H278" t="s">
        <v>39</v>
      </c>
      <c r="I278" t="s">
        <v>27</v>
      </c>
      <c r="J278" s="11">
        <v>46086</v>
      </c>
      <c r="K278" t="str">
        <f>TEXT(Transactions_Clean[[#This Row],[Date]],"MMM-YYYY")</f>
        <v>Mar-2026</v>
      </c>
      <c r="L278">
        <f>IF(Transactions_Clean[[#This Row],[Category]]="Revenue",Transactions_Clean[[#This Row],[Amount(₹)]],Transactions_Clean[[#This Row],[Amount(₹)]]/8)</f>
        <v>-3954.875</v>
      </c>
    </row>
    <row r="279" spans="1:12">
      <c r="A279" t="s">
        <v>654</v>
      </c>
      <c r="B279" t="s">
        <v>215</v>
      </c>
      <c r="C279" t="s">
        <v>61</v>
      </c>
      <c r="D279">
        <v>-34469</v>
      </c>
      <c r="E279" t="s">
        <v>62</v>
      </c>
      <c r="F279" t="s">
        <v>24</v>
      </c>
      <c r="G279" t="s">
        <v>63</v>
      </c>
      <c r="H279" t="s">
        <v>26</v>
      </c>
      <c r="I279" t="s">
        <v>48</v>
      </c>
      <c r="J279" s="11">
        <v>45209</v>
      </c>
      <c r="K279" t="str">
        <f>TEXT(Transactions_Clean[[#This Row],[Date]],"MMM-YYYY")</f>
        <v>Oct-2023</v>
      </c>
      <c r="L279">
        <f>IF(Transactions_Clean[[#This Row],[Category]]="Revenue",Transactions_Clean[[#This Row],[Amount(₹)]],Transactions_Clean[[#This Row],[Amount(₹)]]/8)</f>
        <v>-4308.625</v>
      </c>
    </row>
    <row r="280" spans="1:12">
      <c r="A280" t="s">
        <v>656</v>
      </c>
      <c r="B280" t="s">
        <v>215</v>
      </c>
      <c r="C280" t="s">
        <v>61</v>
      </c>
      <c r="D280">
        <v>-40075</v>
      </c>
      <c r="E280" t="s">
        <v>62</v>
      </c>
      <c r="F280" t="s">
        <v>24</v>
      </c>
      <c r="G280" t="s">
        <v>63</v>
      </c>
      <c r="H280" t="s">
        <v>39</v>
      </c>
      <c r="I280" t="s">
        <v>27</v>
      </c>
      <c r="J280" s="11">
        <v>46106</v>
      </c>
      <c r="K280" t="str">
        <f>TEXT(Transactions_Clean[[#This Row],[Date]],"MMM-YYYY")</f>
        <v>Mar-2026</v>
      </c>
      <c r="L280">
        <f>IF(Transactions_Clean[[#This Row],[Category]]="Revenue",Transactions_Clean[[#This Row],[Amount(₹)]],Transactions_Clean[[#This Row],[Amount(₹)]]/8)</f>
        <v>-5009.375</v>
      </c>
    </row>
    <row r="281" spans="1:12">
      <c r="A281" t="s">
        <v>658</v>
      </c>
      <c r="B281" t="s">
        <v>616</v>
      </c>
      <c r="C281" t="s">
        <v>22</v>
      </c>
      <c r="D281">
        <v>-195728</v>
      </c>
      <c r="E281" t="s">
        <v>23</v>
      </c>
      <c r="F281" t="s">
        <v>24</v>
      </c>
      <c r="G281" t="s">
        <v>25</v>
      </c>
      <c r="H281" t="s">
        <v>45</v>
      </c>
      <c r="I281" t="s">
        <v>34</v>
      </c>
      <c r="J281" s="11">
        <v>45383</v>
      </c>
      <c r="K281" t="str">
        <f>TEXT(Transactions_Clean[[#This Row],[Date]],"MMM-YYYY")</f>
        <v>Apr-2024</v>
      </c>
      <c r="L281">
        <f>IF(Transactions_Clean[[#This Row],[Category]]="Revenue",Transactions_Clean[[#This Row],[Amount(₹)]],Transactions_Clean[[#This Row],[Amount(₹)]]/8)</f>
        <v>-24466</v>
      </c>
    </row>
    <row r="282" spans="1:12">
      <c r="A282" t="s">
        <v>660</v>
      </c>
      <c r="B282" t="s">
        <v>66</v>
      </c>
      <c r="C282" t="s">
        <v>61</v>
      </c>
      <c r="D282">
        <v>-55581</v>
      </c>
      <c r="E282" t="s">
        <v>62</v>
      </c>
      <c r="F282" t="s">
        <v>24</v>
      </c>
      <c r="G282" t="s">
        <v>63</v>
      </c>
      <c r="H282" t="s">
        <v>39</v>
      </c>
      <c r="I282" t="s">
        <v>48</v>
      </c>
      <c r="J282" s="11">
        <v>45952</v>
      </c>
      <c r="K282" t="str">
        <f>TEXT(Transactions_Clean[[#This Row],[Date]],"MMM-YYYY")</f>
        <v>Oct-2025</v>
      </c>
      <c r="L282">
        <f>IF(Transactions_Clean[[#This Row],[Category]]="Revenue",Transactions_Clean[[#This Row],[Amount(₹)]],Transactions_Clean[[#This Row],[Amount(₹)]]/8)</f>
        <v>-6947.625</v>
      </c>
    </row>
    <row r="283" spans="1:12">
      <c r="A283" t="s">
        <v>661</v>
      </c>
      <c r="B283" t="s">
        <v>4754</v>
      </c>
      <c r="C283" t="s">
        <v>78</v>
      </c>
      <c r="D283">
        <v>-45279</v>
      </c>
      <c r="E283" t="s">
        <v>23</v>
      </c>
      <c r="F283" t="s">
        <v>32</v>
      </c>
      <c r="G283" t="s">
        <v>79</v>
      </c>
      <c r="H283" t="s">
        <v>26</v>
      </c>
      <c r="I283" t="s">
        <v>48</v>
      </c>
      <c r="J283" s="11">
        <v>45248</v>
      </c>
      <c r="K283" t="str">
        <f>TEXT(Transactions_Clean[[#This Row],[Date]],"MMM-YYYY")</f>
        <v>Nov-2023</v>
      </c>
      <c r="L283">
        <f>IF(Transactions_Clean[[#This Row],[Category]]="Revenue",Transactions_Clean[[#This Row],[Amount(₹)]],Transactions_Clean[[#This Row],[Amount(₹)]]/8)</f>
        <v>-5659.875</v>
      </c>
    </row>
    <row r="284" spans="1:12">
      <c r="A284" t="s">
        <v>662</v>
      </c>
      <c r="B284" t="s">
        <v>4754</v>
      </c>
      <c r="C284" t="s">
        <v>78</v>
      </c>
      <c r="D284">
        <v>-78680</v>
      </c>
      <c r="E284" t="s">
        <v>23</v>
      </c>
      <c r="F284" t="s">
        <v>24</v>
      </c>
      <c r="G284" t="s">
        <v>79</v>
      </c>
      <c r="H284" t="s">
        <v>26</v>
      </c>
      <c r="I284" t="s">
        <v>27</v>
      </c>
      <c r="J284" s="11">
        <v>45348</v>
      </c>
      <c r="K284" t="str">
        <f>TEXT(Transactions_Clean[[#This Row],[Date]],"MMM-YYYY")</f>
        <v>Feb-2024</v>
      </c>
      <c r="L284">
        <f>IF(Transactions_Clean[[#This Row],[Category]]="Revenue",Transactions_Clean[[#This Row],[Amount(₹)]],Transactions_Clean[[#This Row],[Amount(₹)]]/8)</f>
        <v>-9835</v>
      </c>
    </row>
    <row r="285" spans="1:12">
      <c r="A285" t="s">
        <v>665</v>
      </c>
      <c r="B285" t="s">
        <v>305</v>
      </c>
      <c r="C285" t="s">
        <v>38</v>
      </c>
      <c r="D285">
        <v>-36850</v>
      </c>
      <c r="E285" t="s">
        <v>23</v>
      </c>
      <c r="F285" t="s">
        <v>32</v>
      </c>
      <c r="G285" t="s">
        <v>33</v>
      </c>
      <c r="H285" t="s">
        <v>26</v>
      </c>
      <c r="I285" t="s">
        <v>40</v>
      </c>
      <c r="J285" s="11">
        <v>45118</v>
      </c>
      <c r="K285" t="str">
        <f>TEXT(Transactions_Clean[[#This Row],[Date]],"MMM-YYYY")</f>
        <v>Jul-2023</v>
      </c>
      <c r="L285">
        <f>IF(Transactions_Clean[[#This Row],[Category]]="Revenue",Transactions_Clean[[#This Row],[Amount(₹)]],Transactions_Clean[[#This Row],[Amount(₹)]]/8)</f>
        <v>-4606.25</v>
      </c>
    </row>
    <row r="286" spans="1:12">
      <c r="A286" t="s">
        <v>667</v>
      </c>
      <c r="B286" t="s">
        <v>4758</v>
      </c>
      <c r="C286" t="s">
        <v>78</v>
      </c>
      <c r="D286">
        <v>-30917</v>
      </c>
      <c r="E286" t="s">
        <v>23</v>
      </c>
      <c r="F286" t="s">
        <v>32</v>
      </c>
      <c r="G286" t="s">
        <v>79</v>
      </c>
      <c r="H286" t="s">
        <v>45</v>
      </c>
      <c r="I286" t="s">
        <v>40</v>
      </c>
      <c r="J286" s="11">
        <v>45528</v>
      </c>
      <c r="K286" t="str">
        <f>TEXT(Transactions_Clean[[#This Row],[Date]],"MMM-YYYY")</f>
        <v>Aug-2024</v>
      </c>
      <c r="L286">
        <f>IF(Transactions_Clean[[#This Row],[Category]]="Revenue",Transactions_Clean[[#This Row],[Amount(₹)]],Transactions_Clean[[#This Row],[Amount(₹)]]/8)</f>
        <v>-3864.625</v>
      </c>
    </row>
    <row r="287" spans="1:12">
      <c r="A287" t="s">
        <v>669</v>
      </c>
      <c r="B287" t="s">
        <v>60</v>
      </c>
      <c r="C287" t="s">
        <v>61</v>
      </c>
      <c r="D287">
        <v>-62879</v>
      </c>
      <c r="E287" t="s">
        <v>62</v>
      </c>
      <c r="F287" t="s">
        <v>32</v>
      </c>
      <c r="G287" t="s">
        <v>63</v>
      </c>
      <c r="H287" t="s">
        <v>39</v>
      </c>
      <c r="I287" t="s">
        <v>40</v>
      </c>
      <c r="J287" s="11">
        <v>45842</v>
      </c>
      <c r="K287" t="str">
        <f>TEXT(Transactions_Clean[[#This Row],[Date]],"MMM-YYYY")</f>
        <v>Jul-2025</v>
      </c>
      <c r="L287">
        <f>IF(Transactions_Clean[[#This Row],[Category]]="Revenue",Transactions_Clean[[#This Row],[Amount(₹)]],Transactions_Clean[[#This Row],[Amount(₹)]]/8)</f>
        <v>-7859.875</v>
      </c>
    </row>
    <row r="288" spans="1:12">
      <c r="A288" t="s">
        <v>671</v>
      </c>
      <c r="B288" t="s">
        <v>4753</v>
      </c>
      <c r="C288" t="s">
        <v>38</v>
      </c>
      <c r="D288">
        <v>-50456</v>
      </c>
      <c r="E288" t="s">
        <v>23</v>
      </c>
      <c r="F288" t="s">
        <v>24</v>
      </c>
      <c r="G288" t="s">
        <v>33</v>
      </c>
      <c r="H288" t="s">
        <v>45</v>
      </c>
      <c r="I288" t="s">
        <v>48</v>
      </c>
      <c r="J288" s="11">
        <v>45615</v>
      </c>
      <c r="K288" t="str">
        <f>TEXT(Transactions_Clean[[#This Row],[Date]],"MMM-YYYY")</f>
        <v>Nov-2024</v>
      </c>
      <c r="L288">
        <f>IF(Transactions_Clean[[#This Row],[Category]]="Revenue",Transactions_Clean[[#This Row],[Amount(₹)]],Transactions_Clean[[#This Row],[Amount(₹)]]/8)</f>
        <v>-6307</v>
      </c>
    </row>
    <row r="289" spans="1:12">
      <c r="A289" t="s">
        <v>672</v>
      </c>
      <c r="B289" t="s">
        <v>66</v>
      </c>
      <c r="C289" t="s">
        <v>61</v>
      </c>
      <c r="D289">
        <v>-26360</v>
      </c>
      <c r="E289" t="s">
        <v>62</v>
      </c>
      <c r="F289" t="s">
        <v>32</v>
      </c>
      <c r="G289" t="s">
        <v>63</v>
      </c>
      <c r="H289" t="s">
        <v>39</v>
      </c>
      <c r="I289" t="s">
        <v>27</v>
      </c>
      <c r="J289" s="11">
        <v>46030</v>
      </c>
      <c r="K289" t="str">
        <f>TEXT(Transactions_Clean[[#This Row],[Date]],"MMM-YYYY")</f>
        <v>Jan-2026</v>
      </c>
      <c r="L289">
        <f>IF(Transactions_Clean[[#This Row],[Category]]="Revenue",Transactions_Clean[[#This Row],[Amount(₹)]],Transactions_Clean[[#This Row],[Amount(₹)]]/8)</f>
        <v>-3295</v>
      </c>
    </row>
    <row r="290" spans="1:12">
      <c r="A290" t="s">
        <v>673</v>
      </c>
      <c r="B290" t="s">
        <v>106</v>
      </c>
      <c r="C290" t="s">
        <v>31</v>
      </c>
      <c r="D290">
        <v>-23686</v>
      </c>
      <c r="E290" t="s">
        <v>23</v>
      </c>
      <c r="F290" t="s">
        <v>32</v>
      </c>
      <c r="G290" t="s">
        <v>33</v>
      </c>
      <c r="H290" t="s">
        <v>26</v>
      </c>
      <c r="I290" t="s">
        <v>48</v>
      </c>
      <c r="J290" s="11">
        <v>44968</v>
      </c>
      <c r="K290" t="str">
        <f>TEXT(Transactions_Clean[[#This Row],[Date]],"MMM-YYYY")</f>
        <v>Feb-2023</v>
      </c>
      <c r="L290">
        <f>IF(Transactions_Clean[[#This Row],[Category]]="Revenue",Transactions_Clean[[#This Row],[Amount(₹)]],Transactions_Clean[[#This Row],[Amount(₹)]]/8)</f>
        <v>-2960.75</v>
      </c>
    </row>
    <row r="291" spans="1:12">
      <c r="A291" t="s">
        <v>675</v>
      </c>
      <c r="B291" t="s">
        <v>51</v>
      </c>
      <c r="C291" t="s">
        <v>31</v>
      </c>
      <c r="D291">
        <v>-13722</v>
      </c>
      <c r="E291" t="s">
        <v>23</v>
      </c>
      <c r="F291" t="s">
        <v>32</v>
      </c>
      <c r="G291" t="s">
        <v>33</v>
      </c>
      <c r="H291" t="s">
        <v>39</v>
      </c>
      <c r="I291" t="s">
        <v>40</v>
      </c>
      <c r="J291" s="11">
        <v>45906</v>
      </c>
      <c r="K291" t="str">
        <f>TEXT(Transactions_Clean[[#This Row],[Date]],"MMM-YYYY")</f>
        <v>Sep-2025</v>
      </c>
      <c r="L291">
        <f>IF(Transactions_Clean[[#This Row],[Category]]="Revenue",Transactions_Clean[[#This Row],[Amount(₹)]],Transactions_Clean[[#This Row],[Amount(₹)]]/8)</f>
        <v>-1715.25</v>
      </c>
    </row>
    <row r="292" spans="1:12">
      <c r="A292" t="s">
        <v>676</v>
      </c>
      <c r="B292" t="s">
        <v>4770</v>
      </c>
      <c r="C292" t="s">
        <v>440</v>
      </c>
      <c r="D292">
        <v>-137407</v>
      </c>
      <c r="E292" t="s">
        <v>23</v>
      </c>
      <c r="F292" t="s">
        <v>24</v>
      </c>
      <c r="G292" t="s">
        <v>33</v>
      </c>
      <c r="H292" t="s">
        <v>26</v>
      </c>
      <c r="I292" t="s">
        <v>27</v>
      </c>
      <c r="J292" s="11">
        <v>45363</v>
      </c>
      <c r="K292" t="str">
        <f>TEXT(Transactions_Clean[[#This Row],[Date]],"MMM-YYYY")</f>
        <v>Mar-2024</v>
      </c>
      <c r="L292">
        <f>IF(Transactions_Clean[[#This Row],[Category]]="Revenue",Transactions_Clean[[#This Row],[Amount(₹)]],Transactions_Clean[[#This Row],[Amount(₹)]]/8)</f>
        <v>-17175.875</v>
      </c>
    </row>
    <row r="293" spans="1:12">
      <c r="A293" t="s">
        <v>677</v>
      </c>
      <c r="B293" t="s">
        <v>106</v>
      </c>
      <c r="C293" t="s">
        <v>31</v>
      </c>
      <c r="D293">
        <v>-18284</v>
      </c>
      <c r="E293" t="s">
        <v>23</v>
      </c>
      <c r="F293" t="s">
        <v>32</v>
      </c>
      <c r="G293" t="s">
        <v>33</v>
      </c>
      <c r="H293" t="s">
        <v>26</v>
      </c>
      <c r="I293" t="s">
        <v>34</v>
      </c>
      <c r="J293" s="11">
        <v>45031</v>
      </c>
      <c r="K293" t="str">
        <f>TEXT(Transactions_Clean[[#This Row],[Date]],"MMM-YYYY")</f>
        <v>Apr-2023</v>
      </c>
      <c r="L293">
        <f>IF(Transactions_Clean[[#This Row],[Category]]="Revenue",Transactions_Clean[[#This Row],[Amount(₹)]],Transactions_Clean[[#This Row],[Amount(₹)]]/8)</f>
        <v>-2285.5</v>
      </c>
    </row>
    <row r="294" spans="1:12">
      <c r="A294" t="s">
        <v>679</v>
      </c>
      <c r="B294" t="s">
        <v>143</v>
      </c>
      <c r="C294" t="s">
        <v>78</v>
      </c>
      <c r="D294">
        <v>-106845</v>
      </c>
      <c r="E294" t="s">
        <v>23</v>
      </c>
      <c r="F294" t="s">
        <v>32</v>
      </c>
      <c r="G294" t="s">
        <v>79</v>
      </c>
      <c r="H294" t="s">
        <v>26</v>
      </c>
      <c r="I294" t="s">
        <v>40</v>
      </c>
      <c r="J294" s="11">
        <v>45165</v>
      </c>
      <c r="K294" t="str">
        <f>TEXT(Transactions_Clean[[#This Row],[Date]],"MMM-YYYY")</f>
        <v>Aug-2023</v>
      </c>
      <c r="L294">
        <f>IF(Transactions_Clean[[#This Row],[Category]]="Revenue",Transactions_Clean[[#This Row],[Amount(₹)]],Transactions_Clean[[#This Row],[Amount(₹)]]/8)</f>
        <v>-13355.625</v>
      </c>
    </row>
    <row r="295" spans="1:12">
      <c r="A295" t="s">
        <v>681</v>
      </c>
      <c r="B295" t="s">
        <v>4764</v>
      </c>
      <c r="C295" t="s">
        <v>157</v>
      </c>
      <c r="D295">
        <v>643866</v>
      </c>
      <c r="E295" t="s">
        <v>62</v>
      </c>
      <c r="F295" t="s">
        <v>32</v>
      </c>
      <c r="G295" t="s">
        <v>25</v>
      </c>
      <c r="H295" t="s">
        <v>45</v>
      </c>
      <c r="I295" t="s">
        <v>48</v>
      </c>
      <c r="J295" s="11">
        <v>45604</v>
      </c>
      <c r="K295" t="str">
        <f>TEXT(Transactions_Clean[[#This Row],[Date]],"MMM-YYYY")</f>
        <v>Nov-2024</v>
      </c>
      <c r="L295">
        <f>IF(Transactions_Clean[[#This Row],[Category]]="Revenue",Transactions_Clean[[#This Row],[Amount(₹)]],Transactions_Clean[[#This Row],[Amount(₹)]]/8)</f>
        <v>643866</v>
      </c>
    </row>
    <row r="296" spans="1:12">
      <c r="A296" t="s">
        <v>683</v>
      </c>
      <c r="B296" t="s">
        <v>4758</v>
      </c>
      <c r="C296" t="s">
        <v>78</v>
      </c>
      <c r="D296">
        <v>-117324</v>
      </c>
      <c r="E296" t="s">
        <v>23</v>
      </c>
      <c r="F296" t="s">
        <v>24</v>
      </c>
      <c r="G296" t="s">
        <v>79</v>
      </c>
      <c r="H296" t="s">
        <v>39</v>
      </c>
      <c r="I296" t="s">
        <v>27</v>
      </c>
      <c r="J296" s="11">
        <v>46046</v>
      </c>
      <c r="K296" t="str">
        <f>TEXT(Transactions_Clean[[#This Row],[Date]],"MMM-YYYY")</f>
        <v>Jan-2026</v>
      </c>
      <c r="L296">
        <f>IF(Transactions_Clean[[#This Row],[Category]]="Revenue",Transactions_Clean[[#This Row],[Amount(₹)]],Transactions_Clean[[#This Row],[Amount(₹)]]/8)</f>
        <v>-14665.5</v>
      </c>
    </row>
    <row r="297" spans="1:12">
      <c r="A297" t="s">
        <v>685</v>
      </c>
      <c r="B297" t="s">
        <v>687</v>
      </c>
      <c r="C297" t="s">
        <v>44</v>
      </c>
      <c r="D297">
        <v>-175147</v>
      </c>
      <c r="E297" t="s">
        <v>23</v>
      </c>
      <c r="F297" t="s">
        <v>32</v>
      </c>
      <c r="G297" t="s">
        <v>33</v>
      </c>
      <c r="H297" t="s">
        <v>39</v>
      </c>
      <c r="I297" t="s">
        <v>40</v>
      </c>
      <c r="J297" s="11">
        <v>45851</v>
      </c>
      <c r="K297" t="str">
        <f>TEXT(Transactions_Clean[[#This Row],[Date]],"MMM-YYYY")</f>
        <v>Jul-2025</v>
      </c>
      <c r="L297">
        <f>IF(Transactions_Clean[[#This Row],[Category]]="Revenue",Transactions_Clean[[#This Row],[Amount(₹)]],Transactions_Clean[[#This Row],[Amount(₹)]]/8)</f>
        <v>-21893.375</v>
      </c>
    </row>
    <row r="298" spans="1:12">
      <c r="A298" t="s">
        <v>688</v>
      </c>
      <c r="B298" t="s">
        <v>4766</v>
      </c>
      <c r="C298" t="s">
        <v>73</v>
      </c>
      <c r="D298">
        <v>-23509</v>
      </c>
      <c r="E298" t="s">
        <v>74</v>
      </c>
      <c r="F298" t="s">
        <v>24</v>
      </c>
      <c r="G298" t="s">
        <v>25</v>
      </c>
      <c r="H298" t="s">
        <v>45</v>
      </c>
      <c r="I298" t="s">
        <v>40</v>
      </c>
      <c r="J298" s="11">
        <v>45534</v>
      </c>
      <c r="K298" t="str">
        <f>TEXT(Transactions_Clean[[#This Row],[Date]],"MMM-YYYY")</f>
        <v>Aug-2024</v>
      </c>
      <c r="L298">
        <f>IF(Transactions_Clean[[#This Row],[Category]]="Revenue",Transactions_Clean[[#This Row],[Amount(₹)]],Transactions_Clean[[#This Row],[Amount(₹)]]/8)</f>
        <v>-2938.625</v>
      </c>
    </row>
    <row r="299" spans="1:12">
      <c r="A299" t="s">
        <v>690</v>
      </c>
      <c r="B299" t="s">
        <v>4756</v>
      </c>
      <c r="C299" t="s">
        <v>73</v>
      </c>
      <c r="D299">
        <v>-9267</v>
      </c>
      <c r="E299" t="s">
        <v>74</v>
      </c>
      <c r="F299" t="s">
        <v>32</v>
      </c>
      <c r="G299" t="s">
        <v>25</v>
      </c>
      <c r="H299" t="s">
        <v>26</v>
      </c>
      <c r="I299" t="s">
        <v>34</v>
      </c>
      <c r="J299" s="11">
        <v>45020</v>
      </c>
      <c r="K299" t="str">
        <f>TEXT(Transactions_Clean[[#This Row],[Date]],"MMM-YYYY")</f>
        <v>Apr-2023</v>
      </c>
      <c r="L299">
        <f>IF(Transactions_Clean[[#This Row],[Category]]="Revenue",Transactions_Clean[[#This Row],[Amount(₹)]],Transactions_Clean[[#This Row],[Amount(₹)]]/8)</f>
        <v>-1158.375</v>
      </c>
    </row>
    <row r="300" spans="1:12">
      <c r="A300" t="s">
        <v>692</v>
      </c>
      <c r="B300" t="s">
        <v>143</v>
      </c>
      <c r="C300" t="s">
        <v>78</v>
      </c>
      <c r="D300">
        <v>-71374</v>
      </c>
      <c r="E300" t="s">
        <v>23</v>
      </c>
      <c r="F300" t="s">
        <v>24</v>
      </c>
      <c r="G300" t="s">
        <v>79</v>
      </c>
      <c r="H300" t="s">
        <v>45</v>
      </c>
      <c r="I300" t="s">
        <v>27</v>
      </c>
      <c r="J300" s="11">
        <v>45744</v>
      </c>
      <c r="K300" t="str">
        <f>TEXT(Transactions_Clean[[#This Row],[Date]],"MMM-YYYY")</f>
        <v>Mar-2025</v>
      </c>
      <c r="L300">
        <f>IF(Transactions_Clean[[#This Row],[Category]]="Revenue",Transactions_Clean[[#This Row],[Amount(₹)]],Transactions_Clean[[#This Row],[Amount(₹)]]/8)</f>
        <v>-8921.75</v>
      </c>
    </row>
    <row r="301" spans="1:12">
      <c r="A301" t="s">
        <v>694</v>
      </c>
      <c r="B301" t="s">
        <v>30</v>
      </c>
      <c r="C301" t="s">
        <v>4750</v>
      </c>
      <c r="D301">
        <v>-18865</v>
      </c>
      <c r="E301" t="s">
        <v>23</v>
      </c>
      <c r="F301" t="s">
        <v>32</v>
      </c>
      <c r="G301" t="s">
        <v>33</v>
      </c>
      <c r="H301" t="s">
        <v>39</v>
      </c>
      <c r="I301" t="s">
        <v>27</v>
      </c>
      <c r="J301" s="11">
        <v>46109</v>
      </c>
      <c r="K301" t="str">
        <f>TEXT(Transactions_Clean[[#This Row],[Date]],"MMM-YYYY")</f>
        <v>Mar-2026</v>
      </c>
      <c r="L301">
        <f>IF(Transactions_Clean[[#This Row],[Category]]="Revenue",Transactions_Clean[[#This Row],[Amount(₹)]],Transactions_Clean[[#This Row],[Amount(₹)]]/8)</f>
        <v>-2358.125</v>
      </c>
    </row>
    <row r="302" spans="1:12">
      <c r="A302" t="s">
        <v>696</v>
      </c>
      <c r="B302" t="s">
        <v>4756</v>
      </c>
      <c r="C302" t="s">
        <v>73</v>
      </c>
      <c r="D302">
        <v>-37984</v>
      </c>
      <c r="E302" t="s">
        <v>74</v>
      </c>
      <c r="F302" t="s">
        <v>32</v>
      </c>
      <c r="G302" t="s">
        <v>25</v>
      </c>
      <c r="H302" t="s">
        <v>45</v>
      </c>
      <c r="I302" t="s">
        <v>34</v>
      </c>
      <c r="J302" s="11">
        <v>45453</v>
      </c>
      <c r="K302" t="str">
        <f>TEXT(Transactions_Clean[[#This Row],[Date]],"MMM-YYYY")</f>
        <v>Jun-2024</v>
      </c>
      <c r="L302">
        <f>IF(Transactions_Clean[[#This Row],[Category]]="Revenue",Transactions_Clean[[#This Row],[Amount(₹)]],Transactions_Clean[[#This Row],[Amount(₹)]]/8)</f>
        <v>-4748</v>
      </c>
    </row>
    <row r="303" spans="1:12">
      <c r="A303" t="s">
        <v>698</v>
      </c>
      <c r="B303" t="s">
        <v>4763</v>
      </c>
      <c r="C303" t="s">
        <v>22</v>
      </c>
      <c r="D303">
        <v>-168904</v>
      </c>
      <c r="E303" t="s">
        <v>23</v>
      </c>
      <c r="F303" t="s">
        <v>24</v>
      </c>
      <c r="G303" t="s">
        <v>25</v>
      </c>
      <c r="H303" t="s">
        <v>45</v>
      </c>
      <c r="I303" t="s">
        <v>48</v>
      </c>
      <c r="J303" s="11">
        <v>45590</v>
      </c>
      <c r="K303" t="str">
        <f>TEXT(Transactions_Clean[[#This Row],[Date]],"MMM-YYYY")</f>
        <v>Oct-2024</v>
      </c>
      <c r="L303">
        <f>IF(Transactions_Clean[[#This Row],[Category]]="Revenue",Transactions_Clean[[#This Row],[Amount(₹)]],Transactions_Clean[[#This Row],[Amount(₹)]]/8)</f>
        <v>-21113</v>
      </c>
    </row>
    <row r="304" spans="1:12">
      <c r="A304" t="s">
        <v>700</v>
      </c>
      <c r="B304" t="s">
        <v>4763</v>
      </c>
      <c r="C304" t="s">
        <v>22</v>
      </c>
      <c r="D304">
        <v>-56147</v>
      </c>
      <c r="E304" t="s">
        <v>23</v>
      </c>
      <c r="F304" t="s">
        <v>24</v>
      </c>
      <c r="G304" t="s">
        <v>25</v>
      </c>
      <c r="H304" t="s">
        <v>26</v>
      </c>
      <c r="I304" t="s">
        <v>48</v>
      </c>
      <c r="J304" s="11">
        <v>45284</v>
      </c>
      <c r="K304" t="str">
        <f>TEXT(Transactions_Clean[[#This Row],[Date]],"MMM-YYYY")</f>
        <v>Dec-2023</v>
      </c>
      <c r="L304">
        <f>IF(Transactions_Clean[[#This Row],[Category]]="Revenue",Transactions_Clean[[#This Row],[Amount(₹)]],Transactions_Clean[[#This Row],[Amount(₹)]]/8)</f>
        <v>-7018.375</v>
      </c>
    </row>
    <row r="305" spans="1:12">
      <c r="A305" t="s">
        <v>702</v>
      </c>
      <c r="B305" t="s">
        <v>4766</v>
      </c>
      <c r="C305" t="s">
        <v>73</v>
      </c>
      <c r="D305">
        <v>-28815</v>
      </c>
      <c r="E305" t="s">
        <v>74</v>
      </c>
      <c r="F305" t="s">
        <v>32</v>
      </c>
      <c r="G305" t="s">
        <v>25</v>
      </c>
      <c r="H305" t="s">
        <v>39</v>
      </c>
      <c r="I305" t="s">
        <v>34</v>
      </c>
      <c r="J305" s="11">
        <v>45766</v>
      </c>
      <c r="K305" t="str">
        <f>TEXT(Transactions_Clean[[#This Row],[Date]],"MMM-YYYY")</f>
        <v>Apr-2025</v>
      </c>
      <c r="L305">
        <f>IF(Transactions_Clean[[#This Row],[Category]]="Revenue",Transactions_Clean[[#This Row],[Amount(₹)]],Transactions_Clean[[#This Row],[Amount(₹)]]/8)</f>
        <v>-3601.875</v>
      </c>
    </row>
    <row r="306" spans="1:12">
      <c r="A306" t="s">
        <v>704</v>
      </c>
      <c r="B306" t="s">
        <v>30</v>
      </c>
      <c r="C306" t="s">
        <v>31</v>
      </c>
      <c r="D306">
        <v>-29925</v>
      </c>
      <c r="E306" t="s">
        <v>23</v>
      </c>
      <c r="F306" t="s">
        <v>32</v>
      </c>
      <c r="G306" t="s">
        <v>33</v>
      </c>
      <c r="H306" t="s">
        <v>26</v>
      </c>
      <c r="I306" t="s">
        <v>40</v>
      </c>
      <c r="J306" s="11">
        <v>45157</v>
      </c>
      <c r="K306" t="str">
        <f>TEXT(Transactions_Clean[[#This Row],[Date]],"MMM-YYYY")</f>
        <v>Aug-2023</v>
      </c>
      <c r="L306">
        <f>IF(Transactions_Clean[[#This Row],[Category]]="Revenue",Transactions_Clean[[#This Row],[Amount(₹)]],Transactions_Clean[[#This Row],[Amount(₹)]]/8)</f>
        <v>-3740.625</v>
      </c>
    </row>
    <row r="307" spans="1:12">
      <c r="A307" t="s">
        <v>706</v>
      </c>
      <c r="B307" t="s">
        <v>37</v>
      </c>
      <c r="C307" t="s">
        <v>38</v>
      </c>
      <c r="D307">
        <v>-12470</v>
      </c>
      <c r="E307" t="s">
        <v>23</v>
      </c>
      <c r="F307" t="s">
        <v>32</v>
      </c>
      <c r="G307" t="s">
        <v>33</v>
      </c>
      <c r="H307" t="s">
        <v>45</v>
      </c>
      <c r="I307" t="s">
        <v>40</v>
      </c>
      <c r="J307" s="11">
        <v>45534</v>
      </c>
      <c r="K307" t="str">
        <f>TEXT(Transactions_Clean[[#This Row],[Date]],"MMM-YYYY")</f>
        <v>Aug-2024</v>
      </c>
      <c r="L307">
        <f>IF(Transactions_Clean[[#This Row],[Category]]="Revenue",Transactions_Clean[[#This Row],[Amount(₹)]],Transactions_Clean[[#This Row],[Amount(₹)]]/8)</f>
        <v>-1558.75</v>
      </c>
    </row>
    <row r="308" spans="1:12">
      <c r="A308" t="s">
        <v>707</v>
      </c>
      <c r="B308" t="s">
        <v>4757</v>
      </c>
      <c r="C308" t="s">
        <v>73</v>
      </c>
      <c r="D308">
        <v>-52383</v>
      </c>
      <c r="E308" t="s">
        <v>74</v>
      </c>
      <c r="F308" t="s">
        <v>32</v>
      </c>
      <c r="G308" t="s">
        <v>25</v>
      </c>
      <c r="H308" t="s">
        <v>45</v>
      </c>
      <c r="I308" t="s">
        <v>27</v>
      </c>
      <c r="J308" s="11">
        <v>45680</v>
      </c>
      <c r="K308" t="str">
        <f>TEXT(Transactions_Clean[[#This Row],[Date]],"MMM-YYYY")</f>
        <v>Jan-2025</v>
      </c>
      <c r="L308">
        <f>IF(Transactions_Clean[[#This Row],[Category]]="Revenue",Transactions_Clean[[#This Row],[Amount(₹)]],Transactions_Clean[[#This Row],[Amount(₹)]]/8)</f>
        <v>-6547.875</v>
      </c>
    </row>
    <row r="309" spans="1:12">
      <c r="A309" t="s">
        <v>709</v>
      </c>
      <c r="B309" t="s">
        <v>616</v>
      </c>
      <c r="C309" t="s">
        <v>22</v>
      </c>
      <c r="D309">
        <v>-52135</v>
      </c>
      <c r="E309" t="s">
        <v>23</v>
      </c>
      <c r="F309" t="s">
        <v>24</v>
      </c>
      <c r="G309" t="s">
        <v>25</v>
      </c>
      <c r="H309" t="s">
        <v>26</v>
      </c>
      <c r="I309" t="s">
        <v>27</v>
      </c>
      <c r="J309" s="11">
        <v>45353</v>
      </c>
      <c r="K309" t="str">
        <f>TEXT(Transactions_Clean[[#This Row],[Date]],"MMM-YYYY")</f>
        <v>Mar-2024</v>
      </c>
      <c r="L309">
        <f>IF(Transactions_Clean[[#This Row],[Category]]="Revenue",Transactions_Clean[[#This Row],[Amount(₹)]],Transactions_Clean[[#This Row],[Amount(₹)]]/8)</f>
        <v>-6516.875</v>
      </c>
    </row>
    <row r="310" spans="1:12">
      <c r="A310" t="s">
        <v>711</v>
      </c>
      <c r="B310" t="s">
        <v>60</v>
      </c>
      <c r="C310" t="s">
        <v>61</v>
      </c>
      <c r="D310">
        <v>-31414</v>
      </c>
      <c r="E310" t="s">
        <v>62</v>
      </c>
      <c r="F310" t="s">
        <v>32</v>
      </c>
      <c r="G310" t="s">
        <v>63</v>
      </c>
      <c r="H310" t="s">
        <v>26</v>
      </c>
      <c r="I310" t="s">
        <v>34</v>
      </c>
      <c r="J310" s="11">
        <v>45054</v>
      </c>
      <c r="K310" t="str">
        <f>TEXT(Transactions_Clean[[#This Row],[Date]],"MMM-YYYY")</f>
        <v>May-2023</v>
      </c>
      <c r="L310">
        <f>IF(Transactions_Clean[[#This Row],[Category]]="Revenue",Transactions_Clean[[#This Row],[Amount(₹)]],Transactions_Clean[[#This Row],[Amount(₹)]]/8)</f>
        <v>-3926.75</v>
      </c>
    </row>
    <row r="311" spans="1:12">
      <c r="A311" t="s">
        <v>712</v>
      </c>
      <c r="B311" t="s">
        <v>310</v>
      </c>
      <c r="C311" t="s">
        <v>22</v>
      </c>
      <c r="D311">
        <v>-139812</v>
      </c>
      <c r="E311" t="s">
        <v>23</v>
      </c>
      <c r="F311" t="s">
        <v>24</v>
      </c>
      <c r="G311" t="s">
        <v>25</v>
      </c>
      <c r="H311" t="s">
        <v>39</v>
      </c>
      <c r="I311" t="s">
        <v>48</v>
      </c>
      <c r="J311" s="11">
        <v>46022</v>
      </c>
      <c r="K311" t="str">
        <f>TEXT(Transactions_Clean[[#This Row],[Date]],"MMM-YYYY")</f>
        <v>Dec-2025</v>
      </c>
      <c r="L311">
        <f>IF(Transactions_Clean[[#This Row],[Category]]="Revenue",Transactions_Clean[[#This Row],[Amount(₹)]],Transactions_Clean[[#This Row],[Amount(₹)]]/8)</f>
        <v>-17476.5</v>
      </c>
    </row>
    <row r="312" spans="1:12">
      <c r="A312" t="s">
        <v>713</v>
      </c>
      <c r="B312" t="s">
        <v>4754</v>
      </c>
      <c r="C312" t="s">
        <v>78</v>
      </c>
      <c r="D312">
        <v>-54596</v>
      </c>
      <c r="E312" t="s">
        <v>23</v>
      </c>
      <c r="F312" t="s">
        <v>32</v>
      </c>
      <c r="G312" t="s">
        <v>79</v>
      </c>
      <c r="H312" t="s">
        <v>26</v>
      </c>
      <c r="I312" t="s">
        <v>34</v>
      </c>
      <c r="J312" s="11">
        <v>45093</v>
      </c>
      <c r="K312" t="str">
        <f>TEXT(Transactions_Clean[[#This Row],[Date]],"MMM-YYYY")</f>
        <v>Jun-2023</v>
      </c>
      <c r="L312">
        <f>IF(Transactions_Clean[[#This Row],[Category]]="Revenue",Transactions_Clean[[#This Row],[Amount(₹)]],Transactions_Clean[[#This Row],[Amount(₹)]]/8)</f>
        <v>-6824.5</v>
      </c>
    </row>
    <row r="313" spans="1:12">
      <c r="A313" t="s">
        <v>715</v>
      </c>
      <c r="B313" t="s">
        <v>30</v>
      </c>
      <c r="C313" t="s">
        <v>31</v>
      </c>
      <c r="D313">
        <v>-36385</v>
      </c>
      <c r="E313" t="s">
        <v>23</v>
      </c>
      <c r="F313" t="s">
        <v>24</v>
      </c>
      <c r="G313" t="s">
        <v>33</v>
      </c>
      <c r="H313" t="s">
        <v>26</v>
      </c>
      <c r="I313" t="s">
        <v>27</v>
      </c>
      <c r="J313" s="11">
        <v>45335</v>
      </c>
      <c r="K313" t="str">
        <f>TEXT(Transactions_Clean[[#This Row],[Date]],"MMM-YYYY")</f>
        <v>Feb-2024</v>
      </c>
      <c r="L313">
        <f>IF(Transactions_Clean[[#This Row],[Category]]="Revenue",Transactions_Clean[[#This Row],[Amount(₹)]],Transactions_Clean[[#This Row],[Amount(₹)]]/8)</f>
        <v>-4548.125</v>
      </c>
    </row>
    <row r="314" spans="1:12">
      <c r="A314" t="s">
        <v>716</v>
      </c>
      <c r="B314" t="s">
        <v>305</v>
      </c>
      <c r="C314" t="s">
        <v>38</v>
      </c>
      <c r="D314">
        <v>-28218</v>
      </c>
      <c r="E314" t="s">
        <v>23</v>
      </c>
      <c r="F314" t="s">
        <v>24</v>
      </c>
      <c r="G314" t="s">
        <v>33</v>
      </c>
      <c r="H314" t="s">
        <v>39</v>
      </c>
      <c r="I314" t="s">
        <v>48</v>
      </c>
      <c r="J314" s="11">
        <v>45981</v>
      </c>
      <c r="K314" t="str">
        <f>TEXT(Transactions_Clean[[#This Row],[Date]],"MMM-YYYY")</f>
        <v>Nov-2025</v>
      </c>
      <c r="L314">
        <f>IF(Transactions_Clean[[#This Row],[Category]]="Revenue",Transactions_Clean[[#This Row],[Amount(₹)]],Transactions_Clean[[#This Row],[Amount(₹)]]/8)</f>
        <v>-3527.25</v>
      </c>
    </row>
    <row r="315" spans="1:12">
      <c r="A315" t="s">
        <v>718</v>
      </c>
      <c r="B315" t="s">
        <v>4754</v>
      </c>
      <c r="C315" t="s">
        <v>78</v>
      </c>
      <c r="D315">
        <v>-26294</v>
      </c>
      <c r="E315" t="s">
        <v>23</v>
      </c>
      <c r="F315" t="s">
        <v>32</v>
      </c>
      <c r="G315" t="s">
        <v>79</v>
      </c>
      <c r="H315" t="s">
        <v>39</v>
      </c>
      <c r="I315" t="s">
        <v>40</v>
      </c>
      <c r="J315" s="11">
        <v>45880</v>
      </c>
      <c r="K315" t="str">
        <f>TEXT(Transactions_Clean[[#This Row],[Date]],"MMM-YYYY")</f>
        <v>Aug-2025</v>
      </c>
      <c r="L315">
        <f>IF(Transactions_Clean[[#This Row],[Category]]="Revenue",Transactions_Clean[[#This Row],[Amount(₹)]],Transactions_Clean[[#This Row],[Amount(₹)]]/8)</f>
        <v>-3286.75</v>
      </c>
    </row>
    <row r="316" spans="1:12">
      <c r="A316" t="s">
        <v>720</v>
      </c>
      <c r="B316" t="s">
        <v>100</v>
      </c>
      <c r="C316" t="s">
        <v>4750</v>
      </c>
      <c r="D316">
        <v>-43388</v>
      </c>
      <c r="E316" t="s">
        <v>23</v>
      </c>
      <c r="F316" t="s">
        <v>24</v>
      </c>
      <c r="G316" t="s">
        <v>33</v>
      </c>
      <c r="H316" t="s">
        <v>39</v>
      </c>
      <c r="I316" t="s">
        <v>40</v>
      </c>
      <c r="J316" s="11">
        <v>45891</v>
      </c>
      <c r="K316" t="str">
        <f>TEXT(Transactions_Clean[[#This Row],[Date]],"MMM-YYYY")</f>
        <v>Aug-2025</v>
      </c>
      <c r="L316">
        <f>IF(Transactions_Clean[[#This Row],[Category]]="Revenue",Transactions_Clean[[#This Row],[Amount(₹)]],Transactions_Clean[[#This Row],[Amount(₹)]]/8)</f>
        <v>-5423.5</v>
      </c>
    </row>
    <row r="317" spans="1:12">
      <c r="A317" t="s">
        <v>722</v>
      </c>
      <c r="B317" t="s">
        <v>202</v>
      </c>
      <c r="C317" t="s">
        <v>22</v>
      </c>
      <c r="D317">
        <v>-94511</v>
      </c>
      <c r="E317" t="s">
        <v>23</v>
      </c>
      <c r="F317" t="s">
        <v>32</v>
      </c>
      <c r="G317" t="s">
        <v>25</v>
      </c>
      <c r="H317" t="s">
        <v>39</v>
      </c>
      <c r="I317" t="s">
        <v>34</v>
      </c>
      <c r="J317" s="11">
        <v>45829</v>
      </c>
      <c r="K317" t="str">
        <f>TEXT(Transactions_Clean[[#This Row],[Date]],"MMM-YYYY")</f>
        <v>Jun-2025</v>
      </c>
      <c r="L317">
        <f>IF(Transactions_Clean[[#This Row],[Category]]="Revenue",Transactions_Clean[[#This Row],[Amount(₹)]],Transactions_Clean[[#This Row],[Amount(₹)]]/8)</f>
        <v>-11813.875</v>
      </c>
    </row>
    <row r="318" spans="1:12">
      <c r="A318" t="s">
        <v>724</v>
      </c>
      <c r="B318" t="s">
        <v>616</v>
      </c>
      <c r="C318" t="s">
        <v>22</v>
      </c>
      <c r="D318">
        <v>-38946</v>
      </c>
      <c r="E318" t="s">
        <v>23</v>
      </c>
      <c r="F318" t="s">
        <v>32</v>
      </c>
      <c r="G318" t="s">
        <v>25</v>
      </c>
      <c r="H318" t="s">
        <v>39</v>
      </c>
      <c r="I318" t="s">
        <v>48</v>
      </c>
      <c r="J318" s="11">
        <v>45956</v>
      </c>
      <c r="K318" t="str">
        <f>TEXT(Transactions_Clean[[#This Row],[Date]],"MMM-YYYY")</f>
        <v>Oct-2025</v>
      </c>
      <c r="L318">
        <f>IF(Transactions_Clean[[#This Row],[Category]]="Revenue",Transactions_Clean[[#This Row],[Amount(₹)]],Transactions_Clean[[#This Row],[Amount(₹)]]/8)</f>
        <v>-4868.25</v>
      </c>
    </row>
    <row r="319" spans="1:12">
      <c r="A319" t="s">
        <v>725</v>
      </c>
      <c r="B319" t="s">
        <v>224</v>
      </c>
      <c r="C319" t="s">
        <v>4750</v>
      </c>
      <c r="D319">
        <v>-49517</v>
      </c>
      <c r="E319" t="s">
        <v>23</v>
      </c>
      <c r="F319" t="s">
        <v>32</v>
      </c>
      <c r="G319" t="s">
        <v>79</v>
      </c>
      <c r="H319" t="s">
        <v>26</v>
      </c>
      <c r="I319" t="s">
        <v>48</v>
      </c>
      <c r="J319" s="11">
        <v>45248</v>
      </c>
      <c r="K319" t="str">
        <f>TEXT(Transactions_Clean[[#This Row],[Date]],"MMM-YYYY")</f>
        <v>Nov-2023</v>
      </c>
      <c r="L319">
        <f>IF(Transactions_Clean[[#This Row],[Category]]="Revenue",Transactions_Clean[[#This Row],[Amount(₹)]],Transactions_Clean[[#This Row],[Amount(₹)]]/8)</f>
        <v>-6189.625</v>
      </c>
    </row>
    <row r="320" spans="1:12">
      <c r="A320" t="s">
        <v>726</v>
      </c>
      <c r="B320" t="s">
        <v>616</v>
      </c>
      <c r="C320" t="s">
        <v>22</v>
      </c>
      <c r="D320">
        <v>-56336</v>
      </c>
      <c r="E320" t="s">
        <v>23</v>
      </c>
      <c r="F320" t="s">
        <v>32</v>
      </c>
      <c r="G320" t="s">
        <v>25</v>
      </c>
      <c r="H320" t="s">
        <v>26</v>
      </c>
      <c r="I320" t="s">
        <v>40</v>
      </c>
      <c r="J320" s="11">
        <v>45161</v>
      </c>
      <c r="K320" t="str">
        <f>TEXT(Transactions_Clean[[#This Row],[Date]],"MMM-YYYY")</f>
        <v>Aug-2023</v>
      </c>
      <c r="L320">
        <f>IF(Transactions_Clean[[#This Row],[Category]]="Revenue",Transactions_Clean[[#This Row],[Amount(₹)]],Transactions_Clean[[#This Row],[Amount(₹)]]/8)</f>
        <v>-7042</v>
      </c>
    </row>
    <row r="321" spans="1:12">
      <c r="A321" t="s">
        <v>728</v>
      </c>
      <c r="B321" t="s">
        <v>4767</v>
      </c>
      <c r="C321" t="s">
        <v>157</v>
      </c>
      <c r="D321">
        <v>630023</v>
      </c>
      <c r="E321" t="s">
        <v>62</v>
      </c>
      <c r="F321" t="s">
        <v>32</v>
      </c>
      <c r="G321" t="s">
        <v>25</v>
      </c>
      <c r="H321" t="s">
        <v>45</v>
      </c>
      <c r="I321" t="s">
        <v>40</v>
      </c>
      <c r="J321" s="11">
        <v>45554</v>
      </c>
      <c r="K321" t="str">
        <f>TEXT(Transactions_Clean[[#This Row],[Date]],"MMM-YYYY")</f>
        <v>Sep-2024</v>
      </c>
      <c r="L321">
        <f>IF(Transactions_Clean[[#This Row],[Category]]="Revenue",Transactions_Clean[[#This Row],[Amount(₹)]],Transactions_Clean[[#This Row],[Amount(₹)]]/8)</f>
        <v>630023</v>
      </c>
    </row>
    <row r="322" spans="1:12">
      <c r="A322" t="s">
        <v>729</v>
      </c>
      <c r="B322" t="s">
        <v>100</v>
      </c>
      <c r="C322" t="s">
        <v>4750</v>
      </c>
      <c r="D322">
        <v>-33780</v>
      </c>
      <c r="E322" t="s">
        <v>23</v>
      </c>
      <c r="F322" t="s">
        <v>32</v>
      </c>
      <c r="G322" t="s">
        <v>33</v>
      </c>
      <c r="H322" t="s">
        <v>39</v>
      </c>
      <c r="I322" t="s">
        <v>48</v>
      </c>
      <c r="J322" s="11">
        <v>45958</v>
      </c>
      <c r="K322" t="str">
        <f>TEXT(Transactions_Clean[[#This Row],[Date]],"MMM-YYYY")</f>
        <v>Oct-2025</v>
      </c>
      <c r="L322">
        <f>IF(Transactions_Clean[[#This Row],[Category]]="Revenue",Transactions_Clean[[#This Row],[Amount(₹)]],Transactions_Clean[[#This Row],[Amount(₹)]]/8)</f>
        <v>-4222.5</v>
      </c>
    </row>
    <row r="323" spans="1:12">
      <c r="A323" t="s">
        <v>731</v>
      </c>
      <c r="B323" t="s">
        <v>4765</v>
      </c>
      <c r="C323" t="s">
        <v>73</v>
      </c>
      <c r="D323">
        <v>-23300</v>
      </c>
      <c r="E323" t="s">
        <v>74</v>
      </c>
      <c r="F323" t="s">
        <v>32</v>
      </c>
      <c r="G323" t="s">
        <v>25</v>
      </c>
      <c r="H323" t="s">
        <v>45</v>
      </c>
      <c r="I323" t="s">
        <v>34</v>
      </c>
      <c r="J323" s="11">
        <v>45437</v>
      </c>
      <c r="K323" t="str">
        <f>TEXT(Transactions_Clean[[#This Row],[Date]],"MMM-YYYY")</f>
        <v>May-2024</v>
      </c>
      <c r="L323">
        <f>IF(Transactions_Clean[[#This Row],[Category]]="Revenue",Transactions_Clean[[#This Row],[Amount(₹)]],Transactions_Clean[[#This Row],[Amount(₹)]]/8)</f>
        <v>-2912.5</v>
      </c>
    </row>
    <row r="324" spans="1:12">
      <c r="A324" t="s">
        <v>732</v>
      </c>
      <c r="B324" t="s">
        <v>66</v>
      </c>
      <c r="C324" t="s">
        <v>61</v>
      </c>
      <c r="D324">
        <v>-58510</v>
      </c>
      <c r="E324" t="s">
        <v>62</v>
      </c>
      <c r="F324" t="s">
        <v>32</v>
      </c>
      <c r="G324" t="s">
        <v>63</v>
      </c>
      <c r="H324" t="s">
        <v>26</v>
      </c>
      <c r="I324" t="s">
        <v>48</v>
      </c>
      <c r="J324" s="11">
        <v>45264</v>
      </c>
      <c r="K324" t="str">
        <f>TEXT(Transactions_Clean[[#This Row],[Date]],"MMM-YYYY")</f>
        <v>Dec-2023</v>
      </c>
      <c r="L324">
        <f>IF(Transactions_Clean[[#This Row],[Category]]="Revenue",Transactions_Clean[[#This Row],[Amount(₹)]],Transactions_Clean[[#This Row],[Amount(₹)]]/8)</f>
        <v>-7313.75</v>
      </c>
    </row>
    <row r="325" spans="1:12">
      <c r="A325" t="s">
        <v>734</v>
      </c>
      <c r="B325" t="s">
        <v>4748</v>
      </c>
      <c r="C325" t="s">
        <v>22</v>
      </c>
      <c r="D325">
        <v>-177932</v>
      </c>
      <c r="E325" t="s">
        <v>23</v>
      </c>
      <c r="F325" t="s">
        <v>32</v>
      </c>
      <c r="G325" t="s">
        <v>25</v>
      </c>
      <c r="H325" t="s">
        <v>39</v>
      </c>
      <c r="I325" t="s">
        <v>34</v>
      </c>
      <c r="J325" s="11">
        <v>45804</v>
      </c>
      <c r="K325" t="str">
        <f>TEXT(Transactions_Clean[[#This Row],[Date]],"MMM-YYYY")</f>
        <v>May-2025</v>
      </c>
      <c r="L325">
        <f>IF(Transactions_Clean[[#This Row],[Category]]="Revenue",Transactions_Clean[[#This Row],[Amount(₹)]],Transactions_Clean[[#This Row],[Amount(₹)]]/8)</f>
        <v>-22241.5</v>
      </c>
    </row>
    <row r="326" spans="1:12">
      <c r="A326" t="s">
        <v>736</v>
      </c>
      <c r="B326" t="s">
        <v>51</v>
      </c>
      <c r="C326" t="s">
        <v>31</v>
      </c>
      <c r="D326">
        <v>-44480</v>
      </c>
      <c r="E326" t="s">
        <v>23</v>
      </c>
      <c r="F326" t="s">
        <v>24</v>
      </c>
      <c r="G326" t="s">
        <v>33</v>
      </c>
      <c r="H326" t="s">
        <v>26</v>
      </c>
      <c r="I326" t="s">
        <v>27</v>
      </c>
      <c r="J326" s="11">
        <v>45337</v>
      </c>
      <c r="K326" t="str">
        <f>TEXT(Transactions_Clean[[#This Row],[Date]],"MMM-YYYY")</f>
        <v>Feb-2024</v>
      </c>
      <c r="L326">
        <f>IF(Transactions_Clean[[#This Row],[Category]]="Revenue",Transactions_Clean[[#This Row],[Amount(₹)]],Transactions_Clean[[#This Row],[Amount(₹)]]/8)</f>
        <v>-5560</v>
      </c>
    </row>
    <row r="327" spans="1:12">
      <c r="A327" t="s">
        <v>738</v>
      </c>
      <c r="B327" t="s">
        <v>290</v>
      </c>
      <c r="C327" t="s">
        <v>440</v>
      </c>
      <c r="D327">
        <v>-98709</v>
      </c>
      <c r="E327" t="s">
        <v>23</v>
      </c>
      <c r="F327" t="s">
        <v>24</v>
      </c>
      <c r="G327" t="s">
        <v>33</v>
      </c>
      <c r="H327" t="s">
        <v>39</v>
      </c>
      <c r="I327" t="s">
        <v>48</v>
      </c>
      <c r="J327" s="11">
        <v>46014</v>
      </c>
      <c r="K327" t="str">
        <f>TEXT(Transactions_Clean[[#This Row],[Date]],"MMM-YYYY")</f>
        <v>Dec-2025</v>
      </c>
      <c r="L327">
        <f>IF(Transactions_Clean[[#This Row],[Category]]="Revenue",Transactions_Clean[[#This Row],[Amount(₹)]],Transactions_Clean[[#This Row],[Amount(₹)]]/8)</f>
        <v>-12338.625</v>
      </c>
    </row>
    <row r="328" spans="1:12">
      <c r="A328" t="s">
        <v>740</v>
      </c>
      <c r="B328" t="s">
        <v>215</v>
      </c>
      <c r="C328" t="s">
        <v>61</v>
      </c>
      <c r="D328">
        <v>-50930</v>
      </c>
      <c r="E328" t="s">
        <v>62</v>
      </c>
      <c r="F328" t="s">
        <v>32</v>
      </c>
      <c r="G328" t="s">
        <v>63</v>
      </c>
      <c r="H328" t="s">
        <v>26</v>
      </c>
      <c r="I328" t="s">
        <v>40</v>
      </c>
      <c r="J328" s="11">
        <v>45189</v>
      </c>
      <c r="K328" t="str">
        <f>TEXT(Transactions_Clean[[#This Row],[Date]],"MMM-YYYY")</f>
        <v>Sep-2023</v>
      </c>
      <c r="L328">
        <f>IF(Transactions_Clean[[#This Row],[Category]]="Revenue",Transactions_Clean[[#This Row],[Amount(₹)]],Transactions_Clean[[#This Row],[Amount(₹)]]/8)</f>
        <v>-6366.25</v>
      </c>
    </row>
    <row r="329" spans="1:12">
      <c r="A329" t="s">
        <v>742</v>
      </c>
      <c r="B329" t="s">
        <v>4759</v>
      </c>
      <c r="C329" t="s">
        <v>31</v>
      </c>
      <c r="D329">
        <v>-8644</v>
      </c>
      <c r="E329" t="s">
        <v>23</v>
      </c>
      <c r="F329" t="s">
        <v>32</v>
      </c>
      <c r="G329" t="s">
        <v>33</v>
      </c>
      <c r="H329" t="s">
        <v>45</v>
      </c>
      <c r="I329" t="s">
        <v>40</v>
      </c>
      <c r="J329" s="11">
        <v>45523</v>
      </c>
      <c r="K329" t="str">
        <f>TEXT(Transactions_Clean[[#This Row],[Date]],"MMM-YYYY")</f>
        <v>Aug-2024</v>
      </c>
      <c r="L329">
        <f>IF(Transactions_Clean[[#This Row],[Category]]="Revenue",Transactions_Clean[[#This Row],[Amount(₹)]],Transactions_Clean[[#This Row],[Amount(₹)]]/8)</f>
        <v>-1080.5</v>
      </c>
    </row>
    <row r="330" spans="1:12">
      <c r="A330" t="s">
        <v>744</v>
      </c>
      <c r="B330" t="s">
        <v>100</v>
      </c>
      <c r="C330" t="s">
        <v>31</v>
      </c>
      <c r="D330">
        <v>-17789</v>
      </c>
      <c r="E330" t="s">
        <v>23</v>
      </c>
      <c r="F330" t="s">
        <v>32</v>
      </c>
      <c r="G330" t="s">
        <v>33</v>
      </c>
      <c r="H330" t="s">
        <v>39</v>
      </c>
      <c r="I330" t="s">
        <v>34</v>
      </c>
      <c r="J330" s="11">
        <v>45830</v>
      </c>
      <c r="K330" t="str">
        <f>TEXT(Transactions_Clean[[#This Row],[Date]],"MMM-YYYY")</f>
        <v>Jun-2025</v>
      </c>
      <c r="L330">
        <f>IF(Transactions_Clean[[#This Row],[Category]]="Revenue",Transactions_Clean[[#This Row],[Amount(₹)]],Transactions_Clean[[#This Row],[Amount(₹)]]/8)</f>
        <v>-2223.625</v>
      </c>
    </row>
    <row r="331" spans="1:12">
      <c r="A331" t="s">
        <v>746</v>
      </c>
      <c r="B331" t="s">
        <v>161</v>
      </c>
      <c r="C331" t="s">
        <v>22</v>
      </c>
      <c r="D331">
        <v>-85215</v>
      </c>
      <c r="E331" t="s">
        <v>23</v>
      </c>
      <c r="F331" t="s">
        <v>32</v>
      </c>
      <c r="G331" t="s">
        <v>25</v>
      </c>
      <c r="H331" t="s">
        <v>39</v>
      </c>
      <c r="I331" t="s">
        <v>27</v>
      </c>
      <c r="J331" s="11">
        <v>46110</v>
      </c>
      <c r="K331" t="str">
        <f>TEXT(Transactions_Clean[[#This Row],[Date]],"MMM-YYYY")</f>
        <v>Mar-2026</v>
      </c>
      <c r="L331">
        <f>IF(Transactions_Clean[[#This Row],[Category]]="Revenue",Transactions_Clean[[#This Row],[Amount(₹)]],Transactions_Clean[[#This Row],[Amount(₹)]]/8)</f>
        <v>-10651.875</v>
      </c>
    </row>
    <row r="332" spans="1:12">
      <c r="A332" t="s">
        <v>748</v>
      </c>
      <c r="B332" t="s">
        <v>143</v>
      </c>
      <c r="C332" t="s">
        <v>78</v>
      </c>
      <c r="D332">
        <v>-51199</v>
      </c>
      <c r="E332" t="s">
        <v>23</v>
      </c>
      <c r="F332" t="s">
        <v>32</v>
      </c>
      <c r="G332" t="s">
        <v>79</v>
      </c>
      <c r="H332" t="s">
        <v>39</v>
      </c>
      <c r="I332" t="s">
        <v>40</v>
      </c>
      <c r="J332" s="11">
        <v>45905</v>
      </c>
      <c r="K332" t="str">
        <f>TEXT(Transactions_Clean[[#This Row],[Date]],"MMM-YYYY")</f>
        <v>Sep-2025</v>
      </c>
      <c r="L332">
        <f>IF(Transactions_Clean[[#This Row],[Category]]="Revenue",Transactions_Clean[[#This Row],[Amount(₹)]],Transactions_Clean[[#This Row],[Amount(₹)]]/8)</f>
        <v>-6399.875</v>
      </c>
    </row>
    <row r="333" spans="1:12">
      <c r="A333" t="s">
        <v>750</v>
      </c>
      <c r="B333" t="s">
        <v>4757</v>
      </c>
      <c r="C333" t="s">
        <v>73</v>
      </c>
      <c r="D333">
        <v>-23728</v>
      </c>
      <c r="E333" t="s">
        <v>74</v>
      </c>
      <c r="F333" t="s">
        <v>32</v>
      </c>
      <c r="G333" t="s">
        <v>25</v>
      </c>
      <c r="H333" t="s">
        <v>39</v>
      </c>
      <c r="I333" t="s">
        <v>27</v>
      </c>
      <c r="J333" s="11">
        <v>46099</v>
      </c>
      <c r="K333" t="str">
        <f>TEXT(Transactions_Clean[[#This Row],[Date]],"MMM-YYYY")</f>
        <v>Mar-2026</v>
      </c>
      <c r="L333">
        <f>IF(Transactions_Clean[[#This Row],[Category]]="Revenue",Transactions_Clean[[#This Row],[Amount(₹)]],Transactions_Clean[[#This Row],[Amount(₹)]]/8)</f>
        <v>-2966</v>
      </c>
    </row>
    <row r="334" spans="1:12">
      <c r="A334" t="s">
        <v>752</v>
      </c>
      <c r="B334" t="s">
        <v>37</v>
      </c>
      <c r="C334" t="s">
        <v>38</v>
      </c>
      <c r="D334">
        <v>-34942</v>
      </c>
      <c r="E334" t="s">
        <v>23</v>
      </c>
      <c r="F334" t="s">
        <v>32</v>
      </c>
      <c r="G334" t="s">
        <v>33</v>
      </c>
      <c r="H334" t="s">
        <v>39</v>
      </c>
      <c r="I334" t="s">
        <v>27</v>
      </c>
      <c r="J334" s="11">
        <v>46086</v>
      </c>
      <c r="K334" t="str">
        <f>TEXT(Transactions_Clean[[#This Row],[Date]],"MMM-YYYY")</f>
        <v>Mar-2026</v>
      </c>
      <c r="L334">
        <f>IF(Transactions_Clean[[#This Row],[Category]]="Revenue",Transactions_Clean[[#This Row],[Amount(₹)]],Transactions_Clean[[#This Row],[Amount(₹)]]/8)</f>
        <v>-4367.75</v>
      </c>
    </row>
    <row r="335" spans="1:12">
      <c r="A335" t="s">
        <v>753</v>
      </c>
      <c r="B335" t="s">
        <v>116</v>
      </c>
      <c r="C335" t="s">
        <v>73</v>
      </c>
      <c r="D335">
        <v>-33838</v>
      </c>
      <c r="E335" t="s">
        <v>74</v>
      </c>
      <c r="F335" t="s">
        <v>24</v>
      </c>
      <c r="G335" t="s">
        <v>25</v>
      </c>
      <c r="H335" t="s">
        <v>45</v>
      </c>
      <c r="I335" t="s">
        <v>27</v>
      </c>
      <c r="J335" s="11">
        <v>45688</v>
      </c>
      <c r="K335" t="str">
        <f>TEXT(Transactions_Clean[[#This Row],[Date]],"MMM-YYYY")</f>
        <v>Jan-2025</v>
      </c>
      <c r="L335">
        <f>IF(Transactions_Clean[[#This Row],[Category]]="Revenue",Transactions_Clean[[#This Row],[Amount(₹)]],Transactions_Clean[[#This Row],[Amount(₹)]]/8)</f>
        <v>-4229.75</v>
      </c>
    </row>
    <row r="336" spans="1:12">
      <c r="A336" t="s">
        <v>755</v>
      </c>
      <c r="B336" t="s">
        <v>4773</v>
      </c>
      <c r="C336" t="s">
        <v>157</v>
      </c>
      <c r="D336">
        <v>569972</v>
      </c>
      <c r="E336" t="s">
        <v>62</v>
      </c>
      <c r="F336" t="s">
        <v>32</v>
      </c>
      <c r="G336" t="s">
        <v>25</v>
      </c>
      <c r="H336" t="s">
        <v>26</v>
      </c>
      <c r="I336" t="s">
        <v>48</v>
      </c>
      <c r="J336" s="11">
        <v>45203</v>
      </c>
      <c r="K336" t="str">
        <f>TEXT(Transactions_Clean[[#This Row],[Date]],"MMM-YYYY")</f>
        <v>Oct-2023</v>
      </c>
      <c r="L336">
        <f>IF(Transactions_Clean[[#This Row],[Category]]="Revenue",Transactions_Clean[[#This Row],[Amount(₹)]],Transactions_Clean[[#This Row],[Amount(₹)]]/8)</f>
        <v>569972</v>
      </c>
    </row>
    <row r="337" spans="1:12">
      <c r="A337" t="s">
        <v>758</v>
      </c>
      <c r="B337" t="s">
        <v>169</v>
      </c>
      <c r="C337" t="s">
        <v>73</v>
      </c>
      <c r="D337">
        <v>-21994</v>
      </c>
      <c r="E337" t="s">
        <v>74</v>
      </c>
      <c r="F337" t="s">
        <v>32</v>
      </c>
      <c r="G337" t="s">
        <v>25</v>
      </c>
      <c r="H337" t="s">
        <v>26</v>
      </c>
      <c r="I337" t="s">
        <v>27</v>
      </c>
      <c r="J337" s="11">
        <v>45312</v>
      </c>
      <c r="K337" t="str">
        <f>TEXT(Transactions_Clean[[#This Row],[Date]],"MMM-YYYY")</f>
        <v>Jan-2024</v>
      </c>
      <c r="L337">
        <f>IF(Transactions_Clean[[#This Row],[Category]]="Revenue",Transactions_Clean[[#This Row],[Amount(₹)]],Transactions_Clean[[#This Row],[Amount(₹)]]/8)</f>
        <v>-2749.25</v>
      </c>
    </row>
    <row r="338" spans="1:12">
      <c r="A338" t="s">
        <v>759</v>
      </c>
      <c r="B338" t="s">
        <v>169</v>
      </c>
      <c r="C338" t="s">
        <v>73</v>
      </c>
      <c r="D338">
        <v>-80134</v>
      </c>
      <c r="E338" t="s">
        <v>74</v>
      </c>
      <c r="F338" t="s">
        <v>32</v>
      </c>
      <c r="G338" t="s">
        <v>25</v>
      </c>
      <c r="H338" t="s">
        <v>26</v>
      </c>
      <c r="I338" t="s">
        <v>48</v>
      </c>
      <c r="J338" s="11">
        <v>45273</v>
      </c>
      <c r="K338" t="str">
        <f>TEXT(Transactions_Clean[[#This Row],[Date]],"MMM-YYYY")</f>
        <v>Dec-2023</v>
      </c>
      <c r="L338">
        <f>IF(Transactions_Clean[[#This Row],[Category]]="Revenue",Transactions_Clean[[#This Row],[Amount(₹)]],Transactions_Clean[[#This Row],[Amount(₹)]]/8)</f>
        <v>-10016.75</v>
      </c>
    </row>
    <row r="339" spans="1:12">
      <c r="A339" t="s">
        <v>761</v>
      </c>
      <c r="B339" t="s">
        <v>116</v>
      </c>
      <c r="C339" t="s">
        <v>73</v>
      </c>
      <c r="D339">
        <v>-66965</v>
      </c>
      <c r="E339" t="s">
        <v>74</v>
      </c>
      <c r="F339" t="s">
        <v>32</v>
      </c>
      <c r="G339" t="s">
        <v>25</v>
      </c>
      <c r="H339" t="s">
        <v>45</v>
      </c>
      <c r="I339" t="s">
        <v>27</v>
      </c>
      <c r="J339" s="11">
        <v>45687</v>
      </c>
      <c r="K339" t="str">
        <f>TEXT(Transactions_Clean[[#This Row],[Date]],"MMM-YYYY")</f>
        <v>Jan-2025</v>
      </c>
      <c r="L339">
        <f>IF(Transactions_Clean[[#This Row],[Category]]="Revenue",Transactions_Clean[[#This Row],[Amount(₹)]],Transactions_Clean[[#This Row],[Amount(₹)]]/8)</f>
        <v>-8370.625</v>
      </c>
    </row>
    <row r="340" spans="1:12">
      <c r="A340" t="s">
        <v>763</v>
      </c>
      <c r="B340" t="s">
        <v>60</v>
      </c>
      <c r="C340" t="s">
        <v>61</v>
      </c>
      <c r="D340">
        <v>-49415</v>
      </c>
      <c r="E340" t="s">
        <v>62</v>
      </c>
      <c r="F340" t="s">
        <v>24</v>
      </c>
      <c r="G340" t="s">
        <v>63</v>
      </c>
      <c r="H340" t="s">
        <v>39</v>
      </c>
      <c r="I340" t="s">
        <v>48</v>
      </c>
      <c r="J340" s="11">
        <v>45957</v>
      </c>
      <c r="K340" t="str">
        <f>TEXT(Transactions_Clean[[#This Row],[Date]],"MMM-YYYY")</f>
        <v>Oct-2025</v>
      </c>
      <c r="L340">
        <f>IF(Transactions_Clean[[#This Row],[Category]]="Revenue",Transactions_Clean[[#This Row],[Amount(₹)]],Transactions_Clean[[#This Row],[Amount(₹)]]/8)</f>
        <v>-6176.875</v>
      </c>
    </row>
    <row r="341" spans="1:12">
      <c r="A341" t="s">
        <v>764</v>
      </c>
      <c r="B341" t="s">
        <v>169</v>
      </c>
      <c r="C341" t="s">
        <v>73</v>
      </c>
      <c r="D341">
        <v>-25464</v>
      </c>
      <c r="E341" t="s">
        <v>74</v>
      </c>
      <c r="F341" t="s">
        <v>32</v>
      </c>
      <c r="G341" t="s">
        <v>25</v>
      </c>
      <c r="H341" t="s">
        <v>39</v>
      </c>
      <c r="I341" t="s">
        <v>48</v>
      </c>
      <c r="J341" s="11">
        <v>46003</v>
      </c>
      <c r="K341" t="str">
        <f>TEXT(Transactions_Clean[[#This Row],[Date]],"MMM-YYYY")</f>
        <v>Dec-2025</v>
      </c>
      <c r="L341">
        <f>IF(Transactions_Clean[[#This Row],[Category]]="Revenue",Transactions_Clean[[#This Row],[Amount(₹)]],Transactions_Clean[[#This Row],[Amount(₹)]]/8)</f>
        <v>-3183</v>
      </c>
    </row>
    <row r="342" spans="1:12">
      <c r="A342" t="s">
        <v>767</v>
      </c>
      <c r="B342" t="s">
        <v>72</v>
      </c>
      <c r="C342" t="s">
        <v>73</v>
      </c>
      <c r="D342">
        <v>-27651</v>
      </c>
      <c r="E342" t="s">
        <v>74</v>
      </c>
      <c r="F342" t="s">
        <v>24</v>
      </c>
      <c r="G342" t="s">
        <v>25</v>
      </c>
      <c r="H342" t="s">
        <v>26</v>
      </c>
      <c r="I342" t="s">
        <v>40</v>
      </c>
      <c r="J342" s="11">
        <v>45186</v>
      </c>
      <c r="K342" t="str">
        <f>TEXT(Transactions_Clean[[#This Row],[Date]],"MMM-YYYY")</f>
        <v>Sep-2023</v>
      </c>
      <c r="L342">
        <f>IF(Transactions_Clean[[#This Row],[Category]]="Revenue",Transactions_Clean[[#This Row],[Amount(₹)]],Transactions_Clean[[#This Row],[Amount(₹)]]/8)</f>
        <v>-3456.375</v>
      </c>
    </row>
    <row r="343" spans="1:12">
      <c r="A343" t="s">
        <v>769</v>
      </c>
      <c r="B343" t="s">
        <v>4753</v>
      </c>
      <c r="C343" t="s">
        <v>38</v>
      </c>
      <c r="D343">
        <v>-33761</v>
      </c>
      <c r="E343" t="s">
        <v>23</v>
      </c>
      <c r="F343" t="s">
        <v>24</v>
      </c>
      <c r="G343" t="s">
        <v>33</v>
      </c>
      <c r="H343" t="s">
        <v>39</v>
      </c>
      <c r="I343" t="s">
        <v>34</v>
      </c>
      <c r="J343" s="11">
        <v>45818</v>
      </c>
      <c r="K343" t="str">
        <f>TEXT(Transactions_Clean[[#This Row],[Date]],"MMM-YYYY")</f>
        <v>Jun-2025</v>
      </c>
      <c r="L343">
        <f>IF(Transactions_Clean[[#This Row],[Category]]="Revenue",Transactions_Clean[[#This Row],[Amount(₹)]],Transactions_Clean[[#This Row],[Amount(₹)]]/8)</f>
        <v>-4220.125</v>
      </c>
    </row>
    <row r="344" spans="1:12">
      <c r="A344" t="s">
        <v>771</v>
      </c>
      <c r="B344" t="s">
        <v>4760</v>
      </c>
      <c r="C344" t="s">
        <v>73</v>
      </c>
      <c r="D344">
        <v>-30692</v>
      </c>
      <c r="E344" t="s">
        <v>74</v>
      </c>
      <c r="F344" t="s">
        <v>24</v>
      </c>
      <c r="G344" t="s">
        <v>25</v>
      </c>
      <c r="H344" t="s">
        <v>39</v>
      </c>
      <c r="I344" t="s">
        <v>48</v>
      </c>
      <c r="J344" s="11">
        <v>46008</v>
      </c>
      <c r="K344" t="str">
        <f>TEXT(Transactions_Clean[[#This Row],[Date]],"MMM-YYYY")</f>
        <v>Dec-2025</v>
      </c>
      <c r="L344">
        <f>IF(Transactions_Clean[[#This Row],[Category]]="Revenue",Transactions_Clean[[#This Row],[Amount(₹)]],Transactions_Clean[[#This Row],[Amount(₹)]]/8)</f>
        <v>-3836.5</v>
      </c>
    </row>
    <row r="345" spans="1:12">
      <c r="A345" t="s">
        <v>773</v>
      </c>
      <c r="B345" t="s">
        <v>215</v>
      </c>
      <c r="C345" t="s">
        <v>61</v>
      </c>
      <c r="D345">
        <v>-54256</v>
      </c>
      <c r="E345" t="s">
        <v>62</v>
      </c>
      <c r="F345" t="s">
        <v>24</v>
      </c>
      <c r="G345" t="s">
        <v>63</v>
      </c>
      <c r="H345" t="s">
        <v>45</v>
      </c>
      <c r="I345" t="s">
        <v>40</v>
      </c>
      <c r="J345" s="11">
        <v>45505</v>
      </c>
      <c r="K345" t="str">
        <f>TEXT(Transactions_Clean[[#This Row],[Date]],"MMM-YYYY")</f>
        <v>Aug-2024</v>
      </c>
      <c r="L345">
        <f>IF(Transactions_Clean[[#This Row],[Category]]="Revenue",Transactions_Clean[[#This Row],[Amount(₹)]],Transactions_Clean[[#This Row],[Amount(₹)]]/8)</f>
        <v>-6782</v>
      </c>
    </row>
    <row r="346" spans="1:12">
      <c r="A346" t="s">
        <v>775</v>
      </c>
      <c r="B346" t="s">
        <v>215</v>
      </c>
      <c r="C346" t="s">
        <v>61</v>
      </c>
      <c r="D346">
        <v>-30864</v>
      </c>
      <c r="E346" t="s">
        <v>62</v>
      </c>
      <c r="F346" t="s">
        <v>32</v>
      </c>
      <c r="G346" t="s">
        <v>63</v>
      </c>
      <c r="H346" t="s">
        <v>39</v>
      </c>
      <c r="I346" t="s">
        <v>40</v>
      </c>
      <c r="J346" s="11">
        <v>45922</v>
      </c>
      <c r="K346" t="str">
        <f>TEXT(Transactions_Clean[[#This Row],[Date]],"MMM-YYYY")</f>
        <v>Sep-2025</v>
      </c>
      <c r="L346">
        <f>IF(Transactions_Clean[[#This Row],[Category]]="Revenue",Transactions_Clean[[#This Row],[Amount(₹)]],Transactions_Clean[[#This Row],[Amount(₹)]]/8)</f>
        <v>-3858</v>
      </c>
    </row>
    <row r="347" spans="1:12">
      <c r="A347" t="s">
        <v>777</v>
      </c>
      <c r="B347" t="s">
        <v>129</v>
      </c>
      <c r="C347" t="s">
        <v>38</v>
      </c>
      <c r="D347">
        <v>-53201</v>
      </c>
      <c r="E347" t="s">
        <v>23</v>
      </c>
      <c r="F347" t="s">
        <v>32</v>
      </c>
      <c r="G347" t="s">
        <v>33</v>
      </c>
      <c r="H347" t="s">
        <v>26</v>
      </c>
      <c r="I347" t="s">
        <v>48</v>
      </c>
      <c r="J347" s="11">
        <v>45257</v>
      </c>
      <c r="K347" t="str">
        <f>TEXT(Transactions_Clean[[#This Row],[Date]],"MMM-YYYY")</f>
        <v>Nov-2023</v>
      </c>
      <c r="L347">
        <f>IF(Transactions_Clean[[#This Row],[Category]]="Revenue",Transactions_Clean[[#This Row],[Amount(₹)]],Transactions_Clean[[#This Row],[Amount(₹)]]/8)</f>
        <v>-6650.125</v>
      </c>
    </row>
    <row r="348" spans="1:12">
      <c r="A348" t="s">
        <v>779</v>
      </c>
      <c r="B348" t="s">
        <v>4762</v>
      </c>
      <c r="C348" t="s">
        <v>157</v>
      </c>
      <c r="D348">
        <v>754279</v>
      </c>
      <c r="E348" t="s">
        <v>62</v>
      </c>
      <c r="F348" t="s">
        <v>32</v>
      </c>
      <c r="G348" t="s">
        <v>25</v>
      </c>
      <c r="H348" t="s">
        <v>39</v>
      </c>
      <c r="I348" t="s">
        <v>48</v>
      </c>
      <c r="J348" s="11">
        <v>46001</v>
      </c>
      <c r="K348" t="str">
        <f>TEXT(Transactions_Clean[[#This Row],[Date]],"MMM-YYYY")</f>
        <v>Dec-2025</v>
      </c>
      <c r="L348">
        <f>IF(Transactions_Clean[[#This Row],[Category]]="Revenue",Transactions_Clean[[#This Row],[Amount(₹)]],Transactions_Clean[[#This Row],[Amount(₹)]]/8)</f>
        <v>754279</v>
      </c>
    </row>
    <row r="349" spans="1:12">
      <c r="A349" t="s">
        <v>781</v>
      </c>
      <c r="B349" t="s">
        <v>129</v>
      </c>
      <c r="C349" t="s">
        <v>38</v>
      </c>
      <c r="D349">
        <v>-14390</v>
      </c>
      <c r="E349" t="s">
        <v>23</v>
      </c>
      <c r="F349" t="s">
        <v>32</v>
      </c>
      <c r="G349" t="s">
        <v>33</v>
      </c>
      <c r="H349" t="s">
        <v>39</v>
      </c>
      <c r="I349" t="s">
        <v>34</v>
      </c>
      <c r="J349" s="11">
        <v>45768</v>
      </c>
      <c r="K349" t="str">
        <f>TEXT(Transactions_Clean[[#This Row],[Date]],"MMM-YYYY")</f>
        <v>Apr-2025</v>
      </c>
      <c r="L349">
        <f>IF(Transactions_Clean[[#This Row],[Category]]="Revenue",Transactions_Clean[[#This Row],[Amount(₹)]],Transactions_Clean[[#This Row],[Amount(₹)]]/8)</f>
        <v>-1798.75</v>
      </c>
    </row>
    <row r="350" spans="1:12">
      <c r="A350" t="s">
        <v>783</v>
      </c>
      <c r="B350" t="s">
        <v>60</v>
      </c>
      <c r="C350" t="s">
        <v>61</v>
      </c>
      <c r="D350">
        <v>-61158</v>
      </c>
      <c r="E350" t="s">
        <v>62</v>
      </c>
      <c r="F350" t="s">
        <v>32</v>
      </c>
      <c r="G350" t="s">
        <v>63</v>
      </c>
      <c r="H350" t="s">
        <v>26</v>
      </c>
      <c r="I350" t="s">
        <v>40</v>
      </c>
      <c r="J350" s="11">
        <v>45164</v>
      </c>
      <c r="K350" t="str">
        <f>TEXT(Transactions_Clean[[#This Row],[Date]],"MMM-YYYY")</f>
        <v>Aug-2023</v>
      </c>
      <c r="L350">
        <f>IF(Transactions_Clean[[#This Row],[Category]]="Revenue",Transactions_Clean[[#This Row],[Amount(₹)]],Transactions_Clean[[#This Row],[Amount(₹)]]/8)</f>
        <v>-7644.75</v>
      </c>
    </row>
    <row r="351" spans="1:12">
      <c r="A351" t="s">
        <v>785</v>
      </c>
      <c r="B351" t="s">
        <v>616</v>
      </c>
      <c r="C351" t="s">
        <v>22</v>
      </c>
      <c r="D351">
        <v>-93524</v>
      </c>
      <c r="E351" t="s">
        <v>23</v>
      </c>
      <c r="F351" t="s">
        <v>24</v>
      </c>
      <c r="G351" t="s">
        <v>25</v>
      </c>
      <c r="H351" t="s">
        <v>26</v>
      </c>
      <c r="I351" t="s">
        <v>34</v>
      </c>
      <c r="J351" s="11">
        <v>45069</v>
      </c>
      <c r="K351" t="str">
        <f>TEXT(Transactions_Clean[[#This Row],[Date]],"MMM-YYYY")</f>
        <v>May-2023</v>
      </c>
      <c r="L351">
        <f>IF(Transactions_Clean[[#This Row],[Category]]="Revenue",Transactions_Clean[[#This Row],[Amount(₹)]],Transactions_Clean[[#This Row],[Amount(₹)]]/8)</f>
        <v>-11690.5</v>
      </c>
    </row>
    <row r="352" spans="1:12">
      <c r="A352" t="s">
        <v>787</v>
      </c>
      <c r="B352" t="s">
        <v>106</v>
      </c>
      <c r="C352" t="s">
        <v>31</v>
      </c>
      <c r="D352">
        <v>-6750</v>
      </c>
      <c r="E352" t="s">
        <v>23</v>
      </c>
      <c r="F352" t="s">
        <v>32</v>
      </c>
      <c r="G352" t="s">
        <v>33</v>
      </c>
      <c r="H352" t="s">
        <v>39</v>
      </c>
      <c r="I352" t="s">
        <v>48</v>
      </c>
      <c r="J352" s="11">
        <v>45938</v>
      </c>
      <c r="K352" t="str">
        <f>TEXT(Transactions_Clean[[#This Row],[Date]],"MMM-YYYY")</f>
        <v>Oct-2025</v>
      </c>
      <c r="L352">
        <f>IF(Transactions_Clean[[#This Row],[Category]]="Revenue",Transactions_Clean[[#This Row],[Amount(₹)]],Transactions_Clean[[#This Row],[Amount(₹)]]/8)</f>
        <v>-843.75</v>
      </c>
    </row>
    <row r="353" spans="1:12">
      <c r="A353" t="s">
        <v>789</v>
      </c>
      <c r="B353" t="s">
        <v>4765</v>
      </c>
      <c r="C353" t="s">
        <v>73</v>
      </c>
      <c r="D353">
        <v>-55965</v>
      </c>
      <c r="E353" t="s">
        <v>74</v>
      </c>
      <c r="F353" t="s">
        <v>24</v>
      </c>
      <c r="G353" t="s">
        <v>25</v>
      </c>
      <c r="H353" t="s">
        <v>39</v>
      </c>
      <c r="I353" t="s">
        <v>27</v>
      </c>
      <c r="J353" s="11">
        <v>46038</v>
      </c>
      <c r="K353" t="str">
        <f>TEXT(Transactions_Clean[[#This Row],[Date]],"MMM-YYYY")</f>
        <v>Jan-2026</v>
      </c>
      <c r="L353">
        <f>IF(Transactions_Clean[[#This Row],[Category]]="Revenue",Transactions_Clean[[#This Row],[Amount(₹)]],Transactions_Clean[[#This Row],[Amount(₹)]]/8)</f>
        <v>-6995.625</v>
      </c>
    </row>
    <row r="354" spans="1:12">
      <c r="A354" t="s">
        <v>791</v>
      </c>
      <c r="B354" t="s">
        <v>180</v>
      </c>
      <c r="C354" t="s">
        <v>44</v>
      </c>
      <c r="D354">
        <v>-72202</v>
      </c>
      <c r="E354" t="s">
        <v>23</v>
      </c>
      <c r="F354" t="s">
        <v>24</v>
      </c>
      <c r="G354" t="s">
        <v>33</v>
      </c>
      <c r="H354" t="s">
        <v>39</v>
      </c>
      <c r="I354" t="s">
        <v>27</v>
      </c>
      <c r="J354" s="11">
        <v>46110</v>
      </c>
      <c r="K354" t="str">
        <f>TEXT(Transactions_Clean[[#This Row],[Date]],"MMM-YYYY")</f>
        <v>Mar-2026</v>
      </c>
      <c r="L354">
        <f>IF(Transactions_Clean[[#This Row],[Category]]="Revenue",Transactions_Clean[[#This Row],[Amount(₹)]],Transactions_Clean[[#This Row],[Amount(₹)]]/8)</f>
        <v>-9025.25</v>
      </c>
    </row>
    <row r="355" spans="1:12">
      <c r="A355" t="s">
        <v>792</v>
      </c>
      <c r="B355" t="s">
        <v>305</v>
      </c>
      <c r="C355" t="s">
        <v>38</v>
      </c>
      <c r="D355">
        <v>-34127</v>
      </c>
      <c r="E355" t="s">
        <v>23</v>
      </c>
      <c r="F355" t="s">
        <v>24</v>
      </c>
      <c r="G355" t="s">
        <v>33</v>
      </c>
      <c r="H355" t="s">
        <v>39</v>
      </c>
      <c r="I355" t="s">
        <v>34</v>
      </c>
      <c r="J355" s="11">
        <v>45795</v>
      </c>
      <c r="K355" t="str">
        <f>TEXT(Transactions_Clean[[#This Row],[Date]],"MMM-YYYY")</f>
        <v>May-2025</v>
      </c>
      <c r="L355">
        <f>IF(Transactions_Clean[[#This Row],[Category]]="Revenue",Transactions_Clean[[#This Row],[Amount(₹)]],Transactions_Clean[[#This Row],[Amount(₹)]]/8)</f>
        <v>-4265.875</v>
      </c>
    </row>
    <row r="356" spans="1:12">
      <c r="A356" t="s">
        <v>794</v>
      </c>
      <c r="B356" t="s">
        <v>106</v>
      </c>
      <c r="C356" t="s">
        <v>31</v>
      </c>
      <c r="D356">
        <v>-28202</v>
      </c>
      <c r="E356" t="s">
        <v>23</v>
      </c>
      <c r="F356" t="s">
        <v>32</v>
      </c>
      <c r="G356" t="s">
        <v>33</v>
      </c>
      <c r="H356" t="s">
        <v>45</v>
      </c>
      <c r="I356" t="s">
        <v>48</v>
      </c>
      <c r="J356" s="11">
        <v>45574</v>
      </c>
      <c r="K356" t="str">
        <f>TEXT(Transactions_Clean[[#This Row],[Date]],"MMM-YYYY")</f>
        <v>Oct-2024</v>
      </c>
      <c r="L356">
        <f>IF(Transactions_Clean[[#This Row],[Category]]="Revenue",Transactions_Clean[[#This Row],[Amount(₹)]],Transactions_Clean[[#This Row],[Amount(₹)]]/8)</f>
        <v>-3525.25</v>
      </c>
    </row>
    <row r="357" spans="1:12">
      <c r="A357" t="s">
        <v>796</v>
      </c>
      <c r="B357" t="s">
        <v>51</v>
      </c>
      <c r="C357" t="s">
        <v>31</v>
      </c>
      <c r="D357">
        <v>-43731</v>
      </c>
      <c r="E357" t="s">
        <v>23</v>
      </c>
      <c r="F357" t="s">
        <v>32</v>
      </c>
      <c r="G357" t="s">
        <v>33</v>
      </c>
      <c r="H357" t="s">
        <v>26</v>
      </c>
      <c r="I357" t="s">
        <v>34</v>
      </c>
      <c r="J357" s="11">
        <v>45106</v>
      </c>
      <c r="K357" t="str">
        <f>TEXT(Transactions_Clean[[#This Row],[Date]],"MMM-YYYY")</f>
        <v>Jun-2023</v>
      </c>
      <c r="L357">
        <f>IF(Transactions_Clean[[#This Row],[Category]]="Revenue",Transactions_Clean[[#This Row],[Amount(₹)]],Transactions_Clean[[#This Row],[Amount(₹)]]/8)</f>
        <v>-5466.375</v>
      </c>
    </row>
    <row r="358" spans="1:12">
      <c r="A358" t="s">
        <v>798</v>
      </c>
      <c r="B358" t="s">
        <v>255</v>
      </c>
      <c r="C358" t="s">
        <v>22</v>
      </c>
      <c r="D358">
        <v>-153530</v>
      </c>
      <c r="E358" t="s">
        <v>23</v>
      </c>
      <c r="F358" t="s">
        <v>32</v>
      </c>
      <c r="G358" t="s">
        <v>25</v>
      </c>
      <c r="H358" t="s">
        <v>26</v>
      </c>
      <c r="I358" t="s">
        <v>48</v>
      </c>
      <c r="J358" s="11">
        <v>45248</v>
      </c>
      <c r="K358" t="str">
        <f>TEXT(Transactions_Clean[[#This Row],[Date]],"MMM-YYYY")</f>
        <v>Nov-2023</v>
      </c>
      <c r="L358">
        <f>IF(Transactions_Clean[[#This Row],[Category]]="Revenue",Transactions_Clean[[#This Row],[Amount(₹)]],Transactions_Clean[[#This Row],[Amount(₹)]]/8)</f>
        <v>-19191.25</v>
      </c>
    </row>
    <row r="359" spans="1:12">
      <c r="A359" t="s">
        <v>799</v>
      </c>
      <c r="B359" t="s">
        <v>60</v>
      </c>
      <c r="C359" t="s">
        <v>61</v>
      </c>
      <c r="D359">
        <v>-18737</v>
      </c>
      <c r="E359" t="s">
        <v>62</v>
      </c>
      <c r="F359" t="s">
        <v>32</v>
      </c>
      <c r="G359" t="s">
        <v>63</v>
      </c>
      <c r="H359" t="s">
        <v>26</v>
      </c>
      <c r="I359" t="s">
        <v>34</v>
      </c>
      <c r="J359" s="11">
        <v>45082</v>
      </c>
      <c r="K359" t="str">
        <f>TEXT(Transactions_Clean[[#This Row],[Date]],"MMM-YYYY")</f>
        <v>Jun-2023</v>
      </c>
      <c r="L359">
        <f>IF(Transactions_Clean[[#This Row],[Category]]="Revenue",Transactions_Clean[[#This Row],[Amount(₹)]],Transactions_Clean[[#This Row],[Amount(₹)]]/8)</f>
        <v>-2342.125</v>
      </c>
    </row>
    <row r="360" spans="1:12">
      <c r="A360" t="s">
        <v>800</v>
      </c>
      <c r="B360" t="s">
        <v>4774</v>
      </c>
      <c r="C360" t="s">
        <v>440</v>
      </c>
      <c r="D360">
        <v>-154232</v>
      </c>
      <c r="E360" t="s">
        <v>23</v>
      </c>
      <c r="F360" t="s">
        <v>24</v>
      </c>
      <c r="G360" t="s">
        <v>33</v>
      </c>
      <c r="H360" t="s">
        <v>39</v>
      </c>
      <c r="I360" t="s">
        <v>40</v>
      </c>
      <c r="J360" s="11">
        <v>45855</v>
      </c>
      <c r="K360" t="str">
        <f>TEXT(Transactions_Clean[[#This Row],[Date]],"MMM-YYYY")</f>
        <v>Jul-2025</v>
      </c>
      <c r="L360">
        <f>IF(Transactions_Clean[[#This Row],[Category]]="Revenue",Transactions_Clean[[#This Row],[Amount(₹)]],Transactions_Clean[[#This Row],[Amount(₹)]]/8)</f>
        <v>-19279</v>
      </c>
    </row>
    <row r="361" spans="1:12">
      <c r="A361" t="s">
        <v>803</v>
      </c>
      <c r="B361" t="s">
        <v>169</v>
      </c>
      <c r="C361" t="s">
        <v>73</v>
      </c>
      <c r="D361">
        <v>-42760</v>
      </c>
      <c r="E361" t="s">
        <v>74</v>
      </c>
      <c r="F361" t="s">
        <v>24</v>
      </c>
      <c r="G361" t="s">
        <v>25</v>
      </c>
      <c r="H361" t="s">
        <v>26</v>
      </c>
      <c r="I361" t="s">
        <v>34</v>
      </c>
      <c r="J361" s="11">
        <v>45046</v>
      </c>
      <c r="K361" t="str">
        <f>TEXT(Transactions_Clean[[#This Row],[Date]],"MMM-YYYY")</f>
        <v>Apr-2023</v>
      </c>
      <c r="L361">
        <f>IF(Transactions_Clean[[#This Row],[Category]]="Revenue",Transactions_Clean[[#This Row],[Amount(₹)]],Transactions_Clean[[#This Row],[Amount(₹)]]/8)</f>
        <v>-5345</v>
      </c>
    </row>
    <row r="362" spans="1:12">
      <c r="A362" t="s">
        <v>805</v>
      </c>
      <c r="B362" t="s">
        <v>161</v>
      </c>
      <c r="C362" t="s">
        <v>22</v>
      </c>
      <c r="D362">
        <v>-217508</v>
      </c>
      <c r="E362" t="s">
        <v>23</v>
      </c>
      <c r="F362" t="s">
        <v>32</v>
      </c>
      <c r="G362" t="s">
        <v>25</v>
      </c>
      <c r="H362" t="s">
        <v>39</v>
      </c>
      <c r="I362" t="s">
        <v>27</v>
      </c>
      <c r="J362" s="11">
        <v>46086</v>
      </c>
      <c r="K362" t="str">
        <f>TEXT(Transactions_Clean[[#This Row],[Date]],"MMM-YYYY")</f>
        <v>Mar-2026</v>
      </c>
      <c r="L362">
        <f>IF(Transactions_Clean[[#This Row],[Category]]="Revenue",Transactions_Clean[[#This Row],[Amount(₹)]],Transactions_Clean[[#This Row],[Amount(₹)]]/8)</f>
        <v>-27188.5</v>
      </c>
    </row>
    <row r="363" spans="1:12">
      <c r="A363" t="s">
        <v>806</v>
      </c>
      <c r="B363" t="s">
        <v>4763</v>
      </c>
      <c r="C363" t="s">
        <v>22</v>
      </c>
      <c r="D363">
        <v>-202629</v>
      </c>
      <c r="E363" t="s">
        <v>23</v>
      </c>
      <c r="F363" t="s">
        <v>32</v>
      </c>
      <c r="G363" t="s">
        <v>25</v>
      </c>
      <c r="H363" t="s">
        <v>39</v>
      </c>
      <c r="I363" t="s">
        <v>40</v>
      </c>
      <c r="J363" s="11">
        <v>45840</v>
      </c>
      <c r="K363" t="str">
        <f>TEXT(Transactions_Clean[[#This Row],[Date]],"MMM-YYYY")</f>
        <v>Jul-2025</v>
      </c>
      <c r="L363">
        <f>IF(Transactions_Clean[[#This Row],[Category]]="Revenue",Transactions_Clean[[#This Row],[Amount(₹)]],Transactions_Clean[[#This Row],[Amount(₹)]]/8)</f>
        <v>-25328.625</v>
      </c>
    </row>
    <row r="364" spans="1:12">
      <c r="A364" t="s">
        <v>809</v>
      </c>
      <c r="B364" t="s">
        <v>4767</v>
      </c>
      <c r="C364" t="s">
        <v>157</v>
      </c>
      <c r="D364">
        <v>526951</v>
      </c>
      <c r="E364" t="s">
        <v>62</v>
      </c>
      <c r="F364" t="s">
        <v>32</v>
      </c>
      <c r="G364" t="s">
        <v>25</v>
      </c>
      <c r="H364" t="s">
        <v>26</v>
      </c>
      <c r="I364" t="s">
        <v>34</v>
      </c>
      <c r="J364" s="11">
        <v>45090</v>
      </c>
      <c r="K364" t="str">
        <f>TEXT(Transactions_Clean[[#This Row],[Date]],"MMM-YYYY")</f>
        <v>Jun-2023</v>
      </c>
      <c r="L364">
        <f>IF(Transactions_Clean[[#This Row],[Category]]="Revenue",Transactions_Clean[[#This Row],[Amount(₹)]],Transactions_Clean[[#This Row],[Amount(₹)]]/8)</f>
        <v>526951</v>
      </c>
    </row>
    <row r="365" spans="1:12">
      <c r="A365" t="s">
        <v>811</v>
      </c>
      <c r="B365" t="s">
        <v>290</v>
      </c>
      <c r="C365" t="s">
        <v>440</v>
      </c>
      <c r="D365">
        <v>-158875</v>
      </c>
      <c r="E365" t="s">
        <v>23</v>
      </c>
      <c r="F365" t="s">
        <v>32</v>
      </c>
      <c r="G365" t="s">
        <v>33</v>
      </c>
      <c r="H365" t="s">
        <v>26</v>
      </c>
      <c r="I365" t="s">
        <v>27</v>
      </c>
      <c r="J365" s="11">
        <v>45355</v>
      </c>
      <c r="K365" t="str">
        <f>TEXT(Transactions_Clean[[#This Row],[Date]],"MMM-YYYY")</f>
        <v>Mar-2024</v>
      </c>
      <c r="L365">
        <f>IF(Transactions_Clean[[#This Row],[Category]]="Revenue",Transactions_Clean[[#This Row],[Amount(₹)]],Transactions_Clean[[#This Row],[Amount(₹)]]/8)</f>
        <v>-19859.375</v>
      </c>
    </row>
    <row r="366" spans="1:12">
      <c r="A366" t="s">
        <v>813</v>
      </c>
      <c r="B366" t="s">
        <v>66</v>
      </c>
      <c r="C366" t="s">
        <v>61</v>
      </c>
      <c r="D366">
        <v>-64413</v>
      </c>
      <c r="E366" t="s">
        <v>62</v>
      </c>
      <c r="F366" t="s">
        <v>32</v>
      </c>
      <c r="G366" t="s">
        <v>63</v>
      </c>
      <c r="H366" t="s">
        <v>45</v>
      </c>
      <c r="I366" t="s">
        <v>48</v>
      </c>
      <c r="J366" s="11">
        <v>45639</v>
      </c>
      <c r="K366" t="str">
        <f>TEXT(Transactions_Clean[[#This Row],[Date]],"MMM-YYYY")</f>
        <v>Dec-2024</v>
      </c>
      <c r="L366">
        <f>IF(Transactions_Clean[[#This Row],[Category]]="Revenue",Transactions_Clean[[#This Row],[Amount(₹)]],Transactions_Clean[[#This Row],[Amount(₹)]]/8)</f>
        <v>-8051.625</v>
      </c>
    </row>
    <row r="367" spans="1:12">
      <c r="A367" t="s">
        <v>815</v>
      </c>
      <c r="B367" t="s">
        <v>4757</v>
      </c>
      <c r="C367" t="s">
        <v>73</v>
      </c>
      <c r="D367">
        <v>-19820</v>
      </c>
      <c r="E367" t="s">
        <v>74</v>
      </c>
      <c r="F367" t="s">
        <v>32</v>
      </c>
      <c r="G367" t="s">
        <v>25</v>
      </c>
      <c r="H367" t="s">
        <v>26</v>
      </c>
      <c r="I367" t="s">
        <v>48</v>
      </c>
      <c r="J367" s="11">
        <v>45269</v>
      </c>
      <c r="K367" t="str">
        <f>TEXT(Transactions_Clean[[#This Row],[Date]],"MMM-YYYY")</f>
        <v>Dec-2023</v>
      </c>
      <c r="L367">
        <f>IF(Transactions_Clean[[#This Row],[Category]]="Revenue",Transactions_Clean[[#This Row],[Amount(₹)]],Transactions_Clean[[#This Row],[Amount(₹)]]/8)</f>
        <v>-2477.5</v>
      </c>
    </row>
    <row r="368" spans="1:12">
      <c r="A368" t="s">
        <v>817</v>
      </c>
      <c r="B368" t="s">
        <v>4764</v>
      </c>
      <c r="C368" t="s">
        <v>157</v>
      </c>
      <c r="D368">
        <v>602303</v>
      </c>
      <c r="E368" t="s">
        <v>62</v>
      </c>
      <c r="F368" t="s">
        <v>32</v>
      </c>
      <c r="G368" t="s">
        <v>25</v>
      </c>
      <c r="H368" t="s">
        <v>45</v>
      </c>
      <c r="I368" t="s">
        <v>40</v>
      </c>
      <c r="J368" s="11">
        <v>45503</v>
      </c>
      <c r="K368" t="str">
        <f>TEXT(Transactions_Clean[[#This Row],[Date]],"MMM-YYYY")</f>
        <v>Jul-2024</v>
      </c>
      <c r="L368">
        <f>IF(Transactions_Clean[[#This Row],[Category]]="Revenue",Transactions_Clean[[#This Row],[Amount(₹)]],Transactions_Clean[[#This Row],[Amount(₹)]]/8)</f>
        <v>602303</v>
      </c>
    </row>
    <row r="369" spans="1:12">
      <c r="A369" t="s">
        <v>818</v>
      </c>
      <c r="B369" t="s">
        <v>4749</v>
      </c>
      <c r="C369" t="s">
        <v>44</v>
      </c>
      <c r="D369">
        <v>-171894</v>
      </c>
      <c r="E369" t="s">
        <v>23</v>
      </c>
      <c r="F369" t="s">
        <v>32</v>
      </c>
      <c r="G369" t="s">
        <v>33</v>
      </c>
      <c r="H369" t="s">
        <v>39</v>
      </c>
      <c r="I369" t="s">
        <v>34</v>
      </c>
      <c r="J369" s="11">
        <v>45787</v>
      </c>
      <c r="K369" t="str">
        <f>TEXT(Transactions_Clean[[#This Row],[Date]],"MMM-YYYY")</f>
        <v>May-2025</v>
      </c>
      <c r="L369">
        <f>IF(Transactions_Clean[[#This Row],[Category]]="Revenue",Transactions_Clean[[#This Row],[Amount(₹)]],Transactions_Clean[[#This Row],[Amount(₹)]]/8)</f>
        <v>-21486.75</v>
      </c>
    </row>
    <row r="370" spans="1:12">
      <c r="A370" t="s">
        <v>820</v>
      </c>
      <c r="B370" t="s">
        <v>143</v>
      </c>
      <c r="C370" t="s">
        <v>78</v>
      </c>
      <c r="D370">
        <v>-45721</v>
      </c>
      <c r="E370" t="s">
        <v>23</v>
      </c>
      <c r="F370" t="s">
        <v>24</v>
      </c>
      <c r="G370" t="s">
        <v>79</v>
      </c>
      <c r="H370" t="s">
        <v>45</v>
      </c>
      <c r="I370" t="s">
        <v>34</v>
      </c>
      <c r="J370" s="11">
        <v>45395</v>
      </c>
      <c r="K370" t="str">
        <f>TEXT(Transactions_Clean[[#This Row],[Date]],"MMM-YYYY")</f>
        <v>Apr-2024</v>
      </c>
      <c r="L370">
        <f>IF(Transactions_Clean[[#This Row],[Category]]="Revenue",Transactions_Clean[[#This Row],[Amount(₹)]],Transactions_Clean[[#This Row],[Amount(₹)]]/8)</f>
        <v>-5715.125</v>
      </c>
    </row>
    <row r="371" spans="1:12">
      <c r="A371" t="s">
        <v>822</v>
      </c>
      <c r="B371" t="s">
        <v>4752</v>
      </c>
      <c r="C371" t="s">
        <v>44</v>
      </c>
      <c r="D371">
        <v>-123715</v>
      </c>
      <c r="E371" t="s">
        <v>23</v>
      </c>
      <c r="F371" t="s">
        <v>32</v>
      </c>
      <c r="G371" t="s">
        <v>33</v>
      </c>
      <c r="H371" t="s">
        <v>26</v>
      </c>
      <c r="I371" t="s">
        <v>48</v>
      </c>
      <c r="J371" s="11">
        <v>45260</v>
      </c>
      <c r="K371" t="str">
        <f>TEXT(Transactions_Clean[[#This Row],[Date]],"MMM-YYYY")</f>
        <v>Nov-2023</v>
      </c>
      <c r="L371">
        <f>IF(Transactions_Clean[[#This Row],[Category]]="Revenue",Transactions_Clean[[#This Row],[Amount(₹)]],Transactions_Clean[[#This Row],[Amount(₹)]]/8)</f>
        <v>-15464.375</v>
      </c>
    </row>
    <row r="372" spans="1:12">
      <c r="A372" t="s">
        <v>824</v>
      </c>
      <c r="B372" t="s">
        <v>305</v>
      </c>
      <c r="C372" t="s">
        <v>38</v>
      </c>
      <c r="D372">
        <v>-35023</v>
      </c>
      <c r="E372" t="s">
        <v>23</v>
      </c>
      <c r="F372" t="s">
        <v>32</v>
      </c>
      <c r="G372" t="s">
        <v>33</v>
      </c>
      <c r="H372" t="s">
        <v>26</v>
      </c>
      <c r="I372" t="s">
        <v>48</v>
      </c>
      <c r="J372" s="11">
        <v>45255</v>
      </c>
      <c r="K372" t="str">
        <f>TEXT(Transactions_Clean[[#This Row],[Date]],"MMM-YYYY")</f>
        <v>Nov-2023</v>
      </c>
      <c r="L372">
        <f>IF(Transactions_Clean[[#This Row],[Category]]="Revenue",Transactions_Clean[[#This Row],[Amount(₹)]],Transactions_Clean[[#This Row],[Amount(₹)]]/8)</f>
        <v>-4377.875</v>
      </c>
    </row>
    <row r="373" spans="1:12">
      <c r="A373" t="s">
        <v>826</v>
      </c>
      <c r="B373" t="s">
        <v>283</v>
      </c>
      <c r="C373" t="s">
        <v>44</v>
      </c>
      <c r="D373">
        <v>-108698</v>
      </c>
      <c r="E373" t="s">
        <v>23</v>
      </c>
      <c r="F373" t="s">
        <v>32</v>
      </c>
      <c r="G373" t="s">
        <v>33</v>
      </c>
      <c r="H373" t="s">
        <v>45</v>
      </c>
      <c r="I373" t="s">
        <v>34</v>
      </c>
      <c r="J373" s="11">
        <v>45468</v>
      </c>
      <c r="K373" t="str">
        <f>TEXT(Transactions_Clean[[#This Row],[Date]],"MMM-YYYY")</f>
        <v>Jun-2024</v>
      </c>
      <c r="L373">
        <f>IF(Transactions_Clean[[#This Row],[Category]]="Revenue",Transactions_Clean[[#This Row],[Amount(₹)]],Transactions_Clean[[#This Row],[Amount(₹)]]/8)</f>
        <v>-13587.25</v>
      </c>
    </row>
    <row r="374" spans="1:12">
      <c r="A374" t="s">
        <v>828</v>
      </c>
      <c r="B374" t="s">
        <v>687</v>
      </c>
      <c r="C374" t="s">
        <v>44</v>
      </c>
      <c r="D374">
        <v>-112831</v>
      </c>
      <c r="E374" t="s">
        <v>23</v>
      </c>
      <c r="F374" t="s">
        <v>32</v>
      </c>
      <c r="G374" t="s">
        <v>33</v>
      </c>
      <c r="H374" t="s">
        <v>45</v>
      </c>
      <c r="I374" t="s">
        <v>40</v>
      </c>
      <c r="J374" s="11">
        <v>45479</v>
      </c>
      <c r="K374" t="str">
        <f>TEXT(Transactions_Clean[[#This Row],[Date]],"MMM-YYYY")</f>
        <v>Jul-2024</v>
      </c>
      <c r="L374">
        <f>IF(Transactions_Clean[[#This Row],[Category]]="Revenue",Transactions_Clean[[#This Row],[Amount(₹)]],Transactions_Clean[[#This Row],[Amount(₹)]]/8)</f>
        <v>-14103.875</v>
      </c>
    </row>
    <row r="375" spans="1:12">
      <c r="A375" t="s">
        <v>830</v>
      </c>
      <c r="B375" t="s">
        <v>60</v>
      </c>
      <c r="C375" t="s">
        <v>61</v>
      </c>
      <c r="D375">
        <v>-14350</v>
      </c>
      <c r="E375" t="s">
        <v>62</v>
      </c>
      <c r="F375" t="s">
        <v>24</v>
      </c>
      <c r="G375" t="s">
        <v>63</v>
      </c>
      <c r="H375" t="s">
        <v>26</v>
      </c>
      <c r="I375" t="s">
        <v>27</v>
      </c>
      <c r="J375" s="11">
        <v>45367</v>
      </c>
      <c r="K375" t="str">
        <f>TEXT(Transactions_Clean[[#This Row],[Date]],"MMM-YYYY")</f>
        <v>Mar-2024</v>
      </c>
      <c r="L375">
        <f>IF(Transactions_Clean[[#This Row],[Category]]="Revenue",Transactions_Clean[[#This Row],[Amount(₹)]],Transactions_Clean[[#This Row],[Amount(₹)]]/8)</f>
        <v>-1793.75</v>
      </c>
    </row>
    <row r="376" spans="1:12">
      <c r="A376" t="s">
        <v>832</v>
      </c>
      <c r="B376" t="s">
        <v>4759</v>
      </c>
      <c r="C376" t="s">
        <v>31</v>
      </c>
      <c r="D376">
        <v>-26090</v>
      </c>
      <c r="E376" t="s">
        <v>23</v>
      </c>
      <c r="F376" t="s">
        <v>32</v>
      </c>
      <c r="G376" t="s">
        <v>33</v>
      </c>
      <c r="H376" t="s">
        <v>45</v>
      </c>
      <c r="I376" t="s">
        <v>27</v>
      </c>
      <c r="J376" s="11">
        <v>45691</v>
      </c>
      <c r="K376" t="str">
        <f>TEXT(Transactions_Clean[[#This Row],[Date]],"MMM-YYYY")</f>
        <v>Feb-2025</v>
      </c>
      <c r="L376">
        <f>IF(Transactions_Clean[[#This Row],[Category]]="Revenue",Transactions_Clean[[#This Row],[Amount(₹)]],Transactions_Clean[[#This Row],[Amount(₹)]]/8)</f>
        <v>-3261.25</v>
      </c>
    </row>
    <row r="377" spans="1:12">
      <c r="A377" t="s">
        <v>834</v>
      </c>
      <c r="B377" t="s">
        <v>66</v>
      </c>
      <c r="C377" t="s">
        <v>61</v>
      </c>
      <c r="D377">
        <v>-45510</v>
      </c>
      <c r="E377" t="s">
        <v>62</v>
      </c>
      <c r="F377" t="s">
        <v>32</v>
      </c>
      <c r="G377" t="s">
        <v>63</v>
      </c>
      <c r="H377" t="s">
        <v>45</v>
      </c>
      <c r="I377" t="s">
        <v>48</v>
      </c>
      <c r="J377" s="11">
        <v>45624</v>
      </c>
      <c r="K377" t="str">
        <f>TEXT(Transactions_Clean[[#This Row],[Date]],"MMM-YYYY")</f>
        <v>Nov-2024</v>
      </c>
      <c r="L377">
        <f>IF(Transactions_Clean[[#This Row],[Category]]="Revenue",Transactions_Clean[[#This Row],[Amount(₹)]],Transactions_Clean[[#This Row],[Amount(₹)]]/8)</f>
        <v>-5688.75</v>
      </c>
    </row>
    <row r="378" spans="1:12">
      <c r="A378" t="s">
        <v>835</v>
      </c>
      <c r="B378" t="s">
        <v>4771</v>
      </c>
      <c r="C378" t="s">
        <v>440</v>
      </c>
      <c r="D378">
        <v>-120722</v>
      </c>
      <c r="E378" t="s">
        <v>23</v>
      </c>
      <c r="F378" t="s">
        <v>32</v>
      </c>
      <c r="G378" t="s">
        <v>33</v>
      </c>
      <c r="H378" t="s">
        <v>26</v>
      </c>
      <c r="I378" t="s">
        <v>48</v>
      </c>
      <c r="J378" s="11">
        <v>45207</v>
      </c>
      <c r="K378" t="str">
        <f>TEXT(Transactions_Clean[[#This Row],[Date]],"MMM-YYYY")</f>
        <v>Oct-2023</v>
      </c>
      <c r="L378">
        <f>IF(Transactions_Clean[[#This Row],[Category]]="Revenue",Transactions_Clean[[#This Row],[Amount(₹)]],Transactions_Clean[[#This Row],[Amount(₹)]]/8)</f>
        <v>-15090.25</v>
      </c>
    </row>
    <row r="379" spans="1:12">
      <c r="A379" t="s">
        <v>837</v>
      </c>
      <c r="B379" t="s">
        <v>4758</v>
      </c>
      <c r="C379" t="s">
        <v>78</v>
      </c>
      <c r="D379">
        <v>-55371</v>
      </c>
      <c r="E379" t="s">
        <v>23</v>
      </c>
      <c r="F379" t="s">
        <v>32</v>
      </c>
      <c r="G379" t="s">
        <v>79</v>
      </c>
      <c r="H379" t="s">
        <v>45</v>
      </c>
      <c r="I379" t="s">
        <v>27</v>
      </c>
      <c r="J379" s="11">
        <v>45724</v>
      </c>
      <c r="K379" t="str">
        <f>TEXT(Transactions_Clean[[#This Row],[Date]],"MMM-YYYY")</f>
        <v>Mar-2025</v>
      </c>
      <c r="L379">
        <f>IF(Transactions_Clean[[#This Row],[Category]]="Revenue",Transactions_Clean[[#This Row],[Amount(₹)]],Transactions_Clean[[#This Row],[Amount(₹)]]/8)</f>
        <v>-6921.375</v>
      </c>
    </row>
    <row r="380" spans="1:12">
      <c r="A380" t="s">
        <v>839</v>
      </c>
      <c r="B380" t="s">
        <v>66</v>
      </c>
      <c r="C380" t="s">
        <v>61</v>
      </c>
      <c r="D380">
        <v>-29496</v>
      </c>
      <c r="E380" t="s">
        <v>62</v>
      </c>
      <c r="F380" t="s">
        <v>32</v>
      </c>
      <c r="G380" t="s">
        <v>63</v>
      </c>
      <c r="H380" t="s">
        <v>26</v>
      </c>
      <c r="I380" t="s">
        <v>34</v>
      </c>
      <c r="J380" s="11">
        <v>45039</v>
      </c>
      <c r="K380" t="str">
        <f>TEXT(Transactions_Clean[[#This Row],[Date]],"MMM-YYYY")</f>
        <v>Apr-2023</v>
      </c>
      <c r="L380">
        <f>IF(Transactions_Clean[[#This Row],[Category]]="Revenue",Transactions_Clean[[#This Row],[Amount(₹)]],Transactions_Clean[[#This Row],[Amount(₹)]]/8)</f>
        <v>-3687</v>
      </c>
    </row>
    <row r="381" spans="1:12">
      <c r="A381" t="s">
        <v>841</v>
      </c>
      <c r="B381" t="s">
        <v>345</v>
      </c>
      <c r="C381" t="s">
        <v>22</v>
      </c>
      <c r="D381">
        <v>-203732</v>
      </c>
      <c r="E381" t="s">
        <v>23</v>
      </c>
      <c r="F381" t="s">
        <v>24</v>
      </c>
      <c r="G381" t="s">
        <v>25</v>
      </c>
      <c r="H381" t="s">
        <v>45</v>
      </c>
      <c r="I381" t="s">
        <v>40</v>
      </c>
      <c r="J381" s="11">
        <v>45519</v>
      </c>
      <c r="K381" t="str">
        <f>TEXT(Transactions_Clean[[#This Row],[Date]],"MMM-YYYY")</f>
        <v>Aug-2024</v>
      </c>
      <c r="L381">
        <f>IF(Transactions_Clean[[#This Row],[Category]]="Revenue",Transactions_Clean[[#This Row],[Amount(₹)]],Transactions_Clean[[#This Row],[Amount(₹)]]/8)</f>
        <v>-25466.5</v>
      </c>
    </row>
    <row r="382" spans="1:12">
      <c r="A382" t="s">
        <v>843</v>
      </c>
      <c r="B382" t="s">
        <v>4757</v>
      </c>
      <c r="C382" t="s">
        <v>73</v>
      </c>
      <c r="D382">
        <v>-29237</v>
      </c>
      <c r="E382" t="s">
        <v>74</v>
      </c>
      <c r="F382" t="s">
        <v>32</v>
      </c>
      <c r="G382" t="s">
        <v>25</v>
      </c>
      <c r="H382" t="s">
        <v>26</v>
      </c>
      <c r="I382" t="s">
        <v>27</v>
      </c>
      <c r="J382" s="11">
        <v>45371</v>
      </c>
      <c r="K382" t="str">
        <f>TEXT(Transactions_Clean[[#This Row],[Date]],"MMM-YYYY")</f>
        <v>Mar-2024</v>
      </c>
      <c r="L382">
        <f>IF(Transactions_Clean[[#This Row],[Category]]="Revenue",Transactions_Clean[[#This Row],[Amount(₹)]],Transactions_Clean[[#This Row],[Amount(₹)]]/8)</f>
        <v>-3654.625</v>
      </c>
    </row>
    <row r="383" spans="1:12">
      <c r="A383" t="s">
        <v>845</v>
      </c>
      <c r="B383" t="s">
        <v>4760</v>
      </c>
      <c r="C383" t="s">
        <v>73</v>
      </c>
      <c r="D383">
        <v>-13776</v>
      </c>
      <c r="E383" t="s">
        <v>74</v>
      </c>
      <c r="F383" t="s">
        <v>24</v>
      </c>
      <c r="G383" t="s">
        <v>25</v>
      </c>
      <c r="H383" t="s">
        <v>45</v>
      </c>
      <c r="I383" t="s">
        <v>34</v>
      </c>
      <c r="J383" s="11">
        <v>45384</v>
      </c>
      <c r="K383" t="str">
        <f>TEXT(Transactions_Clean[[#This Row],[Date]],"MMM-YYYY")</f>
        <v>Apr-2024</v>
      </c>
      <c r="L383">
        <f>IF(Transactions_Clean[[#This Row],[Category]]="Revenue",Transactions_Clean[[#This Row],[Amount(₹)]],Transactions_Clean[[#This Row],[Amount(₹)]]/8)</f>
        <v>-1722</v>
      </c>
    </row>
    <row r="384" spans="1:12">
      <c r="A384" t="s">
        <v>847</v>
      </c>
      <c r="B384" t="s">
        <v>100</v>
      </c>
      <c r="C384" t="s">
        <v>31</v>
      </c>
      <c r="D384">
        <v>-27303</v>
      </c>
      <c r="E384" t="s">
        <v>23</v>
      </c>
      <c r="F384" t="s">
        <v>24</v>
      </c>
      <c r="G384" t="s">
        <v>33</v>
      </c>
      <c r="H384" t="s">
        <v>45</v>
      </c>
      <c r="I384" t="s">
        <v>34</v>
      </c>
      <c r="J384" s="11">
        <v>45428</v>
      </c>
      <c r="K384" t="str">
        <f>TEXT(Transactions_Clean[[#This Row],[Date]],"MMM-YYYY")</f>
        <v>May-2024</v>
      </c>
      <c r="L384">
        <f>IF(Transactions_Clean[[#This Row],[Category]]="Revenue",Transactions_Clean[[#This Row],[Amount(₹)]],Transactions_Clean[[#This Row],[Amount(₹)]]/8)</f>
        <v>-3412.875</v>
      </c>
    </row>
    <row r="385" spans="1:12">
      <c r="A385" t="s">
        <v>849</v>
      </c>
      <c r="B385" t="s">
        <v>4764</v>
      </c>
      <c r="C385" t="s">
        <v>157</v>
      </c>
      <c r="D385">
        <v>651987</v>
      </c>
      <c r="E385" t="s">
        <v>62</v>
      </c>
      <c r="F385" t="s">
        <v>32</v>
      </c>
      <c r="G385" t="s">
        <v>25</v>
      </c>
      <c r="H385" t="s">
        <v>45</v>
      </c>
      <c r="I385" t="s">
        <v>48</v>
      </c>
      <c r="J385" s="11">
        <v>45599</v>
      </c>
      <c r="K385" t="str">
        <f>TEXT(Transactions_Clean[[#This Row],[Date]],"MMM-YYYY")</f>
        <v>Nov-2024</v>
      </c>
      <c r="L385">
        <f>IF(Transactions_Clean[[#This Row],[Category]]="Revenue",Transactions_Clean[[#This Row],[Amount(₹)]],Transactions_Clean[[#This Row],[Amount(₹)]]/8)</f>
        <v>651987</v>
      </c>
    </row>
    <row r="386" spans="1:12">
      <c r="A386" t="s">
        <v>851</v>
      </c>
      <c r="B386" t="s">
        <v>4774</v>
      </c>
      <c r="C386" t="s">
        <v>440</v>
      </c>
      <c r="D386">
        <v>-138875</v>
      </c>
      <c r="E386" t="s">
        <v>23</v>
      </c>
      <c r="F386" t="s">
        <v>24</v>
      </c>
      <c r="G386" t="s">
        <v>33</v>
      </c>
      <c r="H386" t="s">
        <v>26</v>
      </c>
      <c r="I386" t="s">
        <v>27</v>
      </c>
      <c r="J386" s="11">
        <v>45355</v>
      </c>
      <c r="K386" t="str">
        <f>TEXT(Transactions_Clean[[#This Row],[Date]],"MMM-YYYY")</f>
        <v>Mar-2024</v>
      </c>
      <c r="L386">
        <f>IF(Transactions_Clean[[#This Row],[Category]]="Revenue",Transactions_Clean[[#This Row],[Amount(₹)]],Transactions_Clean[[#This Row],[Amount(₹)]]/8)</f>
        <v>-17359.375</v>
      </c>
    </row>
    <row r="387" spans="1:12">
      <c r="A387" t="s">
        <v>852</v>
      </c>
      <c r="B387" t="s">
        <v>174</v>
      </c>
      <c r="C387" t="s">
        <v>22</v>
      </c>
      <c r="D387">
        <v>-53639</v>
      </c>
      <c r="E387" t="s">
        <v>23</v>
      </c>
      <c r="F387" t="s">
        <v>32</v>
      </c>
      <c r="G387" t="s">
        <v>25</v>
      </c>
      <c r="H387" t="s">
        <v>39</v>
      </c>
      <c r="I387" t="s">
        <v>48</v>
      </c>
      <c r="J387" s="11">
        <v>45954</v>
      </c>
      <c r="K387" t="str">
        <f>TEXT(Transactions_Clean[[#This Row],[Date]],"MMM-YYYY")</f>
        <v>Oct-2025</v>
      </c>
      <c r="L387">
        <f>IF(Transactions_Clean[[#This Row],[Category]]="Revenue",Transactions_Clean[[#This Row],[Amount(₹)]],Transactions_Clean[[#This Row],[Amount(₹)]]/8)</f>
        <v>-6704.875</v>
      </c>
    </row>
    <row r="388" spans="1:12">
      <c r="A388" t="s">
        <v>854</v>
      </c>
      <c r="B388" t="s">
        <v>51</v>
      </c>
      <c r="C388" t="s">
        <v>31</v>
      </c>
      <c r="D388">
        <v>-32791</v>
      </c>
      <c r="E388" t="s">
        <v>23</v>
      </c>
      <c r="F388" t="s">
        <v>24</v>
      </c>
      <c r="G388" t="s">
        <v>33</v>
      </c>
      <c r="H388" t="s">
        <v>39</v>
      </c>
      <c r="I388" t="s">
        <v>40</v>
      </c>
      <c r="J388" s="11">
        <v>45930</v>
      </c>
      <c r="K388" t="str">
        <f>TEXT(Transactions_Clean[[#This Row],[Date]],"MMM-YYYY")</f>
        <v>Sep-2025</v>
      </c>
      <c r="L388">
        <f>IF(Transactions_Clean[[#This Row],[Category]]="Revenue",Transactions_Clean[[#This Row],[Amount(₹)]],Transactions_Clean[[#This Row],[Amount(₹)]]/8)</f>
        <v>-4098.875</v>
      </c>
    </row>
    <row r="389" spans="1:12">
      <c r="A389" t="s">
        <v>855</v>
      </c>
      <c r="B389" t="s">
        <v>4760</v>
      </c>
      <c r="C389" t="s">
        <v>73</v>
      </c>
      <c r="D389">
        <v>-61269</v>
      </c>
      <c r="E389" t="s">
        <v>74</v>
      </c>
      <c r="F389" t="s">
        <v>32</v>
      </c>
      <c r="G389" t="s">
        <v>25</v>
      </c>
      <c r="H389" t="s">
        <v>26</v>
      </c>
      <c r="I389" t="s">
        <v>34</v>
      </c>
      <c r="J389" s="11">
        <v>45032</v>
      </c>
      <c r="K389" t="str">
        <f>TEXT(Transactions_Clean[[#This Row],[Date]],"MMM-YYYY")</f>
        <v>Apr-2023</v>
      </c>
      <c r="L389">
        <f>IF(Transactions_Clean[[#This Row],[Category]]="Revenue",Transactions_Clean[[#This Row],[Amount(₹)]],Transactions_Clean[[#This Row],[Amount(₹)]]/8)</f>
        <v>-7658.625</v>
      </c>
    </row>
    <row r="390" spans="1:12">
      <c r="A390" t="s">
        <v>857</v>
      </c>
      <c r="B390" t="s">
        <v>129</v>
      </c>
      <c r="C390" t="s">
        <v>38</v>
      </c>
      <c r="D390">
        <v>-10798</v>
      </c>
      <c r="E390" t="s">
        <v>23</v>
      </c>
      <c r="F390" t="s">
        <v>24</v>
      </c>
      <c r="G390" t="s">
        <v>33</v>
      </c>
      <c r="H390" t="s">
        <v>26</v>
      </c>
      <c r="I390" t="s">
        <v>40</v>
      </c>
      <c r="J390" s="11">
        <v>45169</v>
      </c>
      <c r="K390" t="str">
        <f>TEXT(Transactions_Clean[[#This Row],[Date]],"MMM-YYYY")</f>
        <v>Aug-2023</v>
      </c>
      <c r="L390">
        <f>IF(Transactions_Clean[[#This Row],[Category]]="Revenue",Transactions_Clean[[#This Row],[Amount(₹)]],Transactions_Clean[[#This Row],[Amount(₹)]]/8)</f>
        <v>-1349.75</v>
      </c>
    </row>
    <row r="391" spans="1:12">
      <c r="A391" t="s">
        <v>858</v>
      </c>
      <c r="B391" t="s">
        <v>66</v>
      </c>
      <c r="C391" t="s">
        <v>4750</v>
      </c>
      <c r="D391">
        <v>-53637</v>
      </c>
      <c r="E391" t="s">
        <v>62</v>
      </c>
      <c r="F391" t="s">
        <v>32</v>
      </c>
      <c r="G391" t="s">
        <v>63</v>
      </c>
      <c r="H391" t="s">
        <v>39</v>
      </c>
      <c r="I391" t="s">
        <v>40</v>
      </c>
      <c r="J391" s="11">
        <v>45876</v>
      </c>
      <c r="K391" t="str">
        <f>TEXT(Transactions_Clean[[#This Row],[Date]],"MMM-YYYY")</f>
        <v>Aug-2025</v>
      </c>
      <c r="L391">
        <f>IF(Transactions_Clean[[#This Row],[Category]]="Revenue",Transactions_Clean[[#This Row],[Amount(₹)]],Transactions_Clean[[#This Row],[Amount(₹)]]/8)</f>
        <v>-6704.625</v>
      </c>
    </row>
    <row r="392" spans="1:12">
      <c r="A392" t="s">
        <v>860</v>
      </c>
      <c r="B392" t="s">
        <v>4757</v>
      </c>
      <c r="C392" t="s">
        <v>73</v>
      </c>
      <c r="D392">
        <v>-92685</v>
      </c>
      <c r="E392" t="s">
        <v>74</v>
      </c>
      <c r="F392" t="s">
        <v>32</v>
      </c>
      <c r="G392" t="s">
        <v>25</v>
      </c>
      <c r="H392" t="s">
        <v>26</v>
      </c>
      <c r="I392" t="s">
        <v>48</v>
      </c>
      <c r="J392" s="11">
        <v>45275</v>
      </c>
      <c r="K392" t="str">
        <f>TEXT(Transactions_Clean[[#This Row],[Date]],"MMM-YYYY")</f>
        <v>Dec-2023</v>
      </c>
      <c r="L392">
        <f>IF(Transactions_Clean[[#This Row],[Category]]="Revenue",Transactions_Clean[[#This Row],[Amount(₹)]],Transactions_Clean[[#This Row],[Amount(₹)]]/8)</f>
        <v>-11585.625</v>
      </c>
    </row>
    <row r="393" spans="1:12">
      <c r="A393" t="s">
        <v>862</v>
      </c>
      <c r="B393" t="s">
        <v>4751</v>
      </c>
      <c r="C393" t="s">
        <v>38</v>
      </c>
      <c r="D393">
        <v>-35095</v>
      </c>
      <c r="E393" t="s">
        <v>23</v>
      </c>
      <c r="F393" t="s">
        <v>24</v>
      </c>
      <c r="G393" t="s">
        <v>33</v>
      </c>
      <c r="H393" t="s">
        <v>26</v>
      </c>
      <c r="I393" t="s">
        <v>48</v>
      </c>
      <c r="J393" s="11">
        <v>45268</v>
      </c>
      <c r="K393" t="str">
        <f>TEXT(Transactions_Clean[[#This Row],[Date]],"MMM-YYYY")</f>
        <v>Dec-2023</v>
      </c>
      <c r="L393">
        <f>IF(Transactions_Clean[[#This Row],[Category]]="Revenue",Transactions_Clean[[#This Row],[Amount(₹)]],Transactions_Clean[[#This Row],[Amount(₹)]]/8)</f>
        <v>-4386.875</v>
      </c>
    </row>
    <row r="394" spans="1:12">
      <c r="A394" t="s">
        <v>864</v>
      </c>
      <c r="B394" t="s">
        <v>4764</v>
      </c>
      <c r="C394" t="s">
        <v>157</v>
      </c>
      <c r="D394">
        <v>659330</v>
      </c>
      <c r="E394" t="s">
        <v>62</v>
      </c>
      <c r="F394" t="s">
        <v>32</v>
      </c>
      <c r="G394" t="s">
        <v>25</v>
      </c>
      <c r="H394" t="s">
        <v>45</v>
      </c>
      <c r="I394" t="s">
        <v>27</v>
      </c>
      <c r="J394" s="11">
        <v>45658</v>
      </c>
      <c r="K394" t="str">
        <f>TEXT(Transactions_Clean[[#This Row],[Date]],"MMM-YYYY")</f>
        <v>Jan-2025</v>
      </c>
      <c r="L394">
        <f>IF(Transactions_Clean[[#This Row],[Category]]="Revenue",Transactions_Clean[[#This Row],[Amount(₹)]],Transactions_Clean[[#This Row],[Amount(₹)]]/8)</f>
        <v>659330</v>
      </c>
    </row>
    <row r="395" spans="1:12">
      <c r="A395" t="s">
        <v>865</v>
      </c>
      <c r="B395" t="s">
        <v>4752</v>
      </c>
      <c r="C395" t="s">
        <v>44</v>
      </c>
      <c r="D395">
        <v>-149213</v>
      </c>
      <c r="E395" t="s">
        <v>23</v>
      </c>
      <c r="F395" t="s">
        <v>32</v>
      </c>
      <c r="G395" t="s">
        <v>33</v>
      </c>
      <c r="H395" t="s">
        <v>45</v>
      </c>
      <c r="I395" t="s">
        <v>40</v>
      </c>
      <c r="J395" s="11">
        <v>45545</v>
      </c>
      <c r="K395" t="str">
        <f>TEXT(Transactions_Clean[[#This Row],[Date]],"MMM-YYYY")</f>
        <v>Sep-2024</v>
      </c>
      <c r="L395">
        <f>IF(Transactions_Clean[[#This Row],[Category]]="Revenue",Transactions_Clean[[#This Row],[Amount(₹)]],Transactions_Clean[[#This Row],[Amount(₹)]]/8)</f>
        <v>-18651.625</v>
      </c>
    </row>
    <row r="396" spans="1:12">
      <c r="A396" t="s">
        <v>867</v>
      </c>
      <c r="B396" t="s">
        <v>255</v>
      </c>
      <c r="C396" t="s">
        <v>22</v>
      </c>
      <c r="D396">
        <v>-110152</v>
      </c>
      <c r="E396" t="s">
        <v>23</v>
      </c>
      <c r="F396" t="s">
        <v>32</v>
      </c>
      <c r="G396" t="s">
        <v>25</v>
      </c>
      <c r="H396" t="s">
        <v>26</v>
      </c>
      <c r="I396" t="s">
        <v>27</v>
      </c>
      <c r="J396" s="11">
        <v>45323</v>
      </c>
      <c r="K396" t="str">
        <f>TEXT(Transactions_Clean[[#This Row],[Date]],"MMM-YYYY")</f>
        <v>Feb-2024</v>
      </c>
      <c r="L396">
        <f>IF(Transactions_Clean[[#This Row],[Category]]="Revenue",Transactions_Clean[[#This Row],[Amount(₹)]],Transactions_Clean[[#This Row],[Amount(₹)]]/8)</f>
        <v>-13769</v>
      </c>
    </row>
    <row r="397" spans="1:12">
      <c r="A397" t="s">
        <v>869</v>
      </c>
      <c r="B397" t="s">
        <v>30</v>
      </c>
      <c r="C397" t="s">
        <v>31</v>
      </c>
      <c r="D397">
        <v>-15369</v>
      </c>
      <c r="E397" t="s">
        <v>23</v>
      </c>
      <c r="F397" t="s">
        <v>32</v>
      </c>
      <c r="G397" t="s">
        <v>33</v>
      </c>
      <c r="H397" t="s">
        <v>26</v>
      </c>
      <c r="I397" t="s">
        <v>27</v>
      </c>
      <c r="J397" s="11">
        <v>45344</v>
      </c>
      <c r="K397" t="str">
        <f>TEXT(Transactions_Clean[[#This Row],[Date]],"MMM-YYYY")</f>
        <v>Feb-2024</v>
      </c>
      <c r="L397">
        <f>IF(Transactions_Clean[[#This Row],[Category]]="Revenue",Transactions_Clean[[#This Row],[Amount(₹)]],Transactions_Clean[[#This Row],[Amount(₹)]]/8)</f>
        <v>-1921.125</v>
      </c>
    </row>
    <row r="398" spans="1:12">
      <c r="A398" t="s">
        <v>871</v>
      </c>
      <c r="B398" t="s">
        <v>616</v>
      </c>
      <c r="C398" t="s">
        <v>22</v>
      </c>
      <c r="D398">
        <v>-77386</v>
      </c>
      <c r="E398" t="s">
        <v>23</v>
      </c>
      <c r="F398" t="s">
        <v>32</v>
      </c>
      <c r="G398" t="s">
        <v>25</v>
      </c>
      <c r="H398" t="s">
        <v>26</v>
      </c>
      <c r="I398" t="s">
        <v>34</v>
      </c>
      <c r="J398" s="11">
        <v>45082</v>
      </c>
      <c r="K398" t="str">
        <f>TEXT(Transactions_Clean[[#This Row],[Date]],"MMM-YYYY")</f>
        <v>Jun-2023</v>
      </c>
      <c r="L398">
        <f>IF(Transactions_Clean[[#This Row],[Category]]="Revenue",Transactions_Clean[[#This Row],[Amount(₹)]],Transactions_Clean[[#This Row],[Amount(₹)]]/8)</f>
        <v>-9673.25</v>
      </c>
    </row>
    <row r="399" spans="1:12">
      <c r="A399" t="s">
        <v>872</v>
      </c>
      <c r="B399" t="s">
        <v>215</v>
      </c>
      <c r="C399" t="s">
        <v>61</v>
      </c>
      <c r="D399">
        <v>-43299</v>
      </c>
      <c r="E399" t="s">
        <v>62</v>
      </c>
      <c r="F399" t="s">
        <v>32</v>
      </c>
      <c r="G399" t="s">
        <v>63</v>
      </c>
      <c r="H399" t="s">
        <v>45</v>
      </c>
      <c r="I399" t="s">
        <v>40</v>
      </c>
      <c r="J399" s="11">
        <v>45545</v>
      </c>
      <c r="K399" t="str">
        <f>TEXT(Transactions_Clean[[#This Row],[Date]],"MMM-YYYY")</f>
        <v>Sep-2024</v>
      </c>
      <c r="L399">
        <f>IF(Transactions_Clean[[#This Row],[Category]]="Revenue",Transactions_Clean[[#This Row],[Amount(₹)]],Transactions_Clean[[#This Row],[Amount(₹)]]/8)</f>
        <v>-5412.375</v>
      </c>
    </row>
    <row r="400" spans="1:12">
      <c r="A400" t="s">
        <v>873</v>
      </c>
      <c r="B400" t="s">
        <v>215</v>
      </c>
      <c r="C400" t="s">
        <v>61</v>
      </c>
      <c r="D400">
        <v>-40167</v>
      </c>
      <c r="E400" t="s">
        <v>62</v>
      </c>
      <c r="F400" t="s">
        <v>24</v>
      </c>
      <c r="G400" t="s">
        <v>63</v>
      </c>
      <c r="H400" t="s">
        <v>45</v>
      </c>
      <c r="I400" t="s">
        <v>27</v>
      </c>
      <c r="J400" s="11">
        <v>45724</v>
      </c>
      <c r="K400" t="str">
        <f>TEXT(Transactions_Clean[[#This Row],[Date]],"MMM-YYYY")</f>
        <v>Mar-2025</v>
      </c>
      <c r="L400">
        <f>IF(Transactions_Clean[[#This Row],[Category]]="Revenue",Transactions_Clean[[#This Row],[Amount(₹)]],Transactions_Clean[[#This Row],[Amount(₹)]]/8)</f>
        <v>-5020.875</v>
      </c>
    </row>
    <row r="401" spans="1:12">
      <c r="A401" t="s">
        <v>874</v>
      </c>
      <c r="B401" t="s">
        <v>4760</v>
      </c>
      <c r="C401" t="s">
        <v>73</v>
      </c>
      <c r="D401">
        <v>-32684</v>
      </c>
      <c r="E401" t="s">
        <v>74</v>
      </c>
      <c r="F401" t="s">
        <v>24</v>
      </c>
      <c r="G401" t="s">
        <v>25</v>
      </c>
      <c r="H401" t="s">
        <v>45</v>
      </c>
      <c r="I401" t="s">
        <v>27</v>
      </c>
      <c r="J401" s="11">
        <v>45711</v>
      </c>
      <c r="K401" t="str">
        <f>TEXT(Transactions_Clean[[#This Row],[Date]],"MMM-YYYY")</f>
        <v>Feb-2025</v>
      </c>
      <c r="L401">
        <f>IF(Transactions_Clean[[#This Row],[Category]]="Revenue",Transactions_Clean[[#This Row],[Amount(₹)]],Transactions_Clean[[#This Row],[Amount(₹)]]/8)</f>
        <v>-4085.5</v>
      </c>
    </row>
    <row r="402" spans="1:12">
      <c r="A402" t="s">
        <v>876</v>
      </c>
      <c r="B402" t="s">
        <v>4762</v>
      </c>
      <c r="C402" t="s">
        <v>157</v>
      </c>
      <c r="D402">
        <v>667688</v>
      </c>
      <c r="E402" t="s">
        <v>62</v>
      </c>
      <c r="F402" t="s">
        <v>32</v>
      </c>
      <c r="G402" t="s">
        <v>25</v>
      </c>
      <c r="H402" t="s">
        <v>45</v>
      </c>
      <c r="I402" t="s">
        <v>48</v>
      </c>
      <c r="J402" s="11">
        <v>45615</v>
      </c>
      <c r="K402" t="str">
        <f>TEXT(Transactions_Clean[[#This Row],[Date]],"MMM-YYYY")</f>
        <v>Nov-2024</v>
      </c>
      <c r="L402">
        <f>IF(Transactions_Clean[[#This Row],[Category]]="Revenue",Transactions_Clean[[#This Row],[Amount(₹)]],Transactions_Clean[[#This Row],[Amount(₹)]]/8)</f>
        <v>667688</v>
      </c>
    </row>
    <row r="403" spans="1:12">
      <c r="A403" t="s">
        <v>877</v>
      </c>
      <c r="B403" t="s">
        <v>4752</v>
      </c>
      <c r="C403" t="s">
        <v>44</v>
      </c>
      <c r="D403">
        <v>-132836</v>
      </c>
      <c r="E403" t="s">
        <v>23</v>
      </c>
      <c r="F403" t="s">
        <v>32</v>
      </c>
      <c r="G403" t="s">
        <v>33</v>
      </c>
      <c r="H403" t="s">
        <v>45</v>
      </c>
      <c r="I403" t="s">
        <v>48</v>
      </c>
      <c r="J403" s="11">
        <v>45585</v>
      </c>
      <c r="K403" t="str">
        <f>TEXT(Transactions_Clean[[#This Row],[Date]],"MMM-YYYY")</f>
        <v>Oct-2024</v>
      </c>
      <c r="L403">
        <f>IF(Transactions_Clean[[#This Row],[Category]]="Revenue",Transactions_Clean[[#This Row],[Amount(₹)]],Transactions_Clean[[#This Row],[Amount(₹)]]/8)</f>
        <v>-16604.5</v>
      </c>
    </row>
    <row r="404" spans="1:12">
      <c r="A404" t="s">
        <v>879</v>
      </c>
      <c r="B404" t="s">
        <v>4752</v>
      </c>
      <c r="C404" t="s">
        <v>44</v>
      </c>
      <c r="D404">
        <v>-148812</v>
      </c>
      <c r="E404" t="s">
        <v>23</v>
      </c>
      <c r="F404" t="s">
        <v>32</v>
      </c>
      <c r="G404" t="s">
        <v>33</v>
      </c>
      <c r="H404" t="s">
        <v>26</v>
      </c>
      <c r="I404" t="s">
        <v>48</v>
      </c>
      <c r="J404" s="11">
        <v>45241</v>
      </c>
      <c r="K404" t="str">
        <f>TEXT(Transactions_Clean[[#This Row],[Date]],"MMM-YYYY")</f>
        <v>Nov-2023</v>
      </c>
      <c r="L404">
        <f>IF(Transactions_Clean[[#This Row],[Category]]="Revenue",Transactions_Clean[[#This Row],[Amount(₹)]],Transactions_Clean[[#This Row],[Amount(₹)]]/8)</f>
        <v>-18601.5</v>
      </c>
    </row>
    <row r="405" spans="1:12">
      <c r="A405" t="s">
        <v>881</v>
      </c>
      <c r="B405" t="s">
        <v>215</v>
      </c>
      <c r="C405" t="s">
        <v>61</v>
      </c>
      <c r="D405">
        <v>-40140</v>
      </c>
      <c r="E405" t="s">
        <v>62</v>
      </c>
      <c r="F405" t="s">
        <v>24</v>
      </c>
      <c r="G405" t="s">
        <v>63</v>
      </c>
      <c r="H405" t="s">
        <v>45</v>
      </c>
      <c r="I405" t="s">
        <v>40</v>
      </c>
      <c r="J405" s="11">
        <v>45530</v>
      </c>
      <c r="K405" t="str">
        <f>TEXT(Transactions_Clean[[#This Row],[Date]],"MMM-YYYY")</f>
        <v>Aug-2024</v>
      </c>
      <c r="L405">
        <f>IF(Transactions_Clean[[#This Row],[Category]]="Revenue",Transactions_Clean[[#This Row],[Amount(₹)]],Transactions_Clean[[#This Row],[Amount(₹)]]/8)</f>
        <v>-5017.5</v>
      </c>
    </row>
    <row r="406" spans="1:12">
      <c r="A406" t="s">
        <v>883</v>
      </c>
      <c r="B406" t="s">
        <v>4757</v>
      </c>
      <c r="C406" t="s">
        <v>73</v>
      </c>
      <c r="D406">
        <v>-91471</v>
      </c>
      <c r="E406" t="s">
        <v>74</v>
      </c>
      <c r="F406" t="s">
        <v>24</v>
      </c>
      <c r="G406" t="s">
        <v>25</v>
      </c>
      <c r="H406" t="s">
        <v>39</v>
      </c>
      <c r="I406" t="s">
        <v>34</v>
      </c>
      <c r="J406" s="11">
        <v>45800</v>
      </c>
      <c r="K406" t="str">
        <f>TEXT(Transactions_Clean[[#This Row],[Date]],"MMM-YYYY")</f>
        <v>May-2025</v>
      </c>
      <c r="L406">
        <f>IF(Transactions_Clean[[#This Row],[Category]]="Revenue",Transactions_Clean[[#This Row],[Amount(₹)]],Transactions_Clean[[#This Row],[Amount(₹)]]/8)</f>
        <v>-11433.875</v>
      </c>
    </row>
    <row r="407" spans="1:12">
      <c r="A407" t="s">
        <v>885</v>
      </c>
      <c r="B407" t="s">
        <v>4749</v>
      </c>
      <c r="C407" t="s">
        <v>44</v>
      </c>
      <c r="D407">
        <v>-136529</v>
      </c>
      <c r="E407" t="s">
        <v>23</v>
      </c>
      <c r="F407" t="s">
        <v>24</v>
      </c>
      <c r="G407" t="s">
        <v>33</v>
      </c>
      <c r="H407" t="s">
        <v>45</v>
      </c>
      <c r="I407" t="s">
        <v>27</v>
      </c>
      <c r="J407" s="11">
        <v>45713</v>
      </c>
      <c r="K407" t="str">
        <f>TEXT(Transactions_Clean[[#This Row],[Date]],"MMM-YYYY")</f>
        <v>Feb-2025</v>
      </c>
      <c r="L407">
        <f>IF(Transactions_Clean[[#This Row],[Category]]="Revenue",Transactions_Clean[[#This Row],[Amount(₹)]],Transactions_Clean[[#This Row],[Amount(₹)]]/8)</f>
        <v>-17066.125</v>
      </c>
    </row>
    <row r="408" spans="1:12">
      <c r="A408" t="s">
        <v>887</v>
      </c>
      <c r="B408" t="s">
        <v>4759</v>
      </c>
      <c r="C408" t="s">
        <v>31</v>
      </c>
      <c r="D408">
        <v>-43887</v>
      </c>
      <c r="E408" t="s">
        <v>23</v>
      </c>
      <c r="F408" t="s">
        <v>24</v>
      </c>
      <c r="G408" t="s">
        <v>33</v>
      </c>
      <c r="H408" t="s">
        <v>39</v>
      </c>
      <c r="I408" t="s">
        <v>27</v>
      </c>
      <c r="J408" s="11">
        <v>46112</v>
      </c>
      <c r="K408" t="str">
        <f>TEXT(Transactions_Clean[[#This Row],[Date]],"MMM-YYYY")</f>
        <v>Mar-2026</v>
      </c>
      <c r="L408">
        <f>IF(Transactions_Clean[[#This Row],[Category]]="Revenue",Transactions_Clean[[#This Row],[Amount(₹)]],Transactions_Clean[[#This Row],[Amount(₹)]]/8)</f>
        <v>-5485.875</v>
      </c>
    </row>
    <row r="409" spans="1:12">
      <c r="A409" t="s">
        <v>888</v>
      </c>
      <c r="B409" t="s">
        <v>4771</v>
      </c>
      <c r="C409" t="s">
        <v>440</v>
      </c>
      <c r="D409">
        <v>-110818</v>
      </c>
      <c r="E409" t="s">
        <v>23</v>
      </c>
      <c r="F409" t="s">
        <v>24</v>
      </c>
      <c r="G409" t="s">
        <v>33</v>
      </c>
      <c r="H409" t="s">
        <v>45</v>
      </c>
      <c r="I409" t="s">
        <v>27</v>
      </c>
      <c r="J409" s="11">
        <v>45708</v>
      </c>
      <c r="K409" t="str">
        <f>TEXT(Transactions_Clean[[#This Row],[Date]],"MMM-YYYY")</f>
        <v>Feb-2025</v>
      </c>
      <c r="L409">
        <f>IF(Transactions_Clean[[#This Row],[Category]]="Revenue",Transactions_Clean[[#This Row],[Amount(₹)]],Transactions_Clean[[#This Row],[Amount(₹)]]/8)</f>
        <v>-13852.25</v>
      </c>
    </row>
    <row r="410" spans="1:12">
      <c r="A410" t="s">
        <v>891</v>
      </c>
      <c r="B410" t="s">
        <v>177</v>
      </c>
      <c r="C410" t="s">
        <v>78</v>
      </c>
      <c r="D410">
        <v>-112048</v>
      </c>
      <c r="E410" t="s">
        <v>23</v>
      </c>
      <c r="F410" t="s">
        <v>24</v>
      </c>
      <c r="G410" t="s">
        <v>79</v>
      </c>
      <c r="H410" t="s">
        <v>45</v>
      </c>
      <c r="I410" t="s">
        <v>40</v>
      </c>
      <c r="J410" s="11">
        <v>45535</v>
      </c>
      <c r="K410" t="str">
        <f>TEXT(Transactions_Clean[[#This Row],[Date]],"MMM-YYYY")</f>
        <v>Aug-2024</v>
      </c>
      <c r="L410">
        <f>IF(Transactions_Clean[[#This Row],[Category]]="Revenue",Transactions_Clean[[#This Row],[Amount(₹)]],Transactions_Clean[[#This Row],[Amount(₹)]]/8)</f>
        <v>-14006</v>
      </c>
    </row>
    <row r="411" spans="1:12">
      <c r="A411" t="s">
        <v>892</v>
      </c>
      <c r="B411" t="s">
        <v>4749</v>
      </c>
      <c r="C411" t="s">
        <v>44</v>
      </c>
      <c r="D411">
        <v>-132793</v>
      </c>
      <c r="E411" t="s">
        <v>23</v>
      </c>
      <c r="F411" t="s">
        <v>32</v>
      </c>
      <c r="G411" t="s">
        <v>33</v>
      </c>
      <c r="H411" t="s">
        <v>26</v>
      </c>
      <c r="I411" t="s">
        <v>40</v>
      </c>
      <c r="J411" s="11">
        <v>45138</v>
      </c>
      <c r="K411" t="str">
        <f>TEXT(Transactions_Clean[[#This Row],[Date]],"MMM-YYYY")</f>
        <v>Jul-2023</v>
      </c>
      <c r="L411">
        <f>IF(Transactions_Clean[[#This Row],[Category]]="Revenue",Transactions_Clean[[#This Row],[Amount(₹)]],Transactions_Clean[[#This Row],[Amount(₹)]]/8)</f>
        <v>-16599.125</v>
      </c>
    </row>
    <row r="412" spans="1:12">
      <c r="A412" t="s">
        <v>894</v>
      </c>
      <c r="B412" t="s">
        <v>30</v>
      </c>
      <c r="C412" t="s">
        <v>31</v>
      </c>
      <c r="D412">
        <v>-36680</v>
      </c>
      <c r="E412" t="s">
        <v>23</v>
      </c>
      <c r="F412" t="s">
        <v>24</v>
      </c>
      <c r="G412" t="s">
        <v>33</v>
      </c>
      <c r="H412" t="s">
        <v>39</v>
      </c>
      <c r="I412" t="s">
        <v>27</v>
      </c>
      <c r="J412" s="11">
        <v>46036</v>
      </c>
      <c r="K412" t="str">
        <f>TEXT(Transactions_Clean[[#This Row],[Date]],"MMM-YYYY")</f>
        <v>Jan-2026</v>
      </c>
      <c r="L412">
        <f>IF(Transactions_Clean[[#This Row],[Category]]="Revenue",Transactions_Clean[[#This Row],[Amount(₹)]],Transactions_Clean[[#This Row],[Amount(₹)]]/8)</f>
        <v>-4585</v>
      </c>
    </row>
    <row r="413" spans="1:12">
      <c r="A413" t="s">
        <v>896</v>
      </c>
      <c r="B413" t="s">
        <v>177</v>
      </c>
      <c r="C413" t="s">
        <v>78</v>
      </c>
      <c r="D413">
        <v>-56831</v>
      </c>
      <c r="E413" t="s">
        <v>23</v>
      </c>
      <c r="F413" t="s">
        <v>32</v>
      </c>
      <c r="G413" t="s">
        <v>79</v>
      </c>
      <c r="H413" t="s">
        <v>26</v>
      </c>
      <c r="I413" t="s">
        <v>48</v>
      </c>
      <c r="J413" s="11">
        <v>45285</v>
      </c>
      <c r="K413" t="str">
        <f>TEXT(Transactions_Clean[[#This Row],[Date]],"MMM-YYYY")</f>
        <v>Dec-2023</v>
      </c>
      <c r="L413">
        <f>IF(Transactions_Clean[[#This Row],[Category]]="Revenue",Transactions_Clean[[#This Row],[Amount(₹)]],Transactions_Clean[[#This Row],[Amount(₹)]]/8)</f>
        <v>-7103.875</v>
      </c>
    </row>
    <row r="414" spans="1:12">
      <c r="A414" t="s">
        <v>898</v>
      </c>
      <c r="B414" t="s">
        <v>60</v>
      </c>
      <c r="C414" t="s">
        <v>61</v>
      </c>
      <c r="D414">
        <v>-52380</v>
      </c>
      <c r="E414" t="s">
        <v>62</v>
      </c>
      <c r="F414" t="s">
        <v>24</v>
      </c>
      <c r="G414" t="s">
        <v>63</v>
      </c>
      <c r="H414" t="s">
        <v>26</v>
      </c>
      <c r="I414" t="s">
        <v>40</v>
      </c>
      <c r="J414" s="11">
        <v>45143</v>
      </c>
      <c r="K414" t="str">
        <f>TEXT(Transactions_Clean[[#This Row],[Date]],"MMM-YYYY")</f>
        <v>Aug-2023</v>
      </c>
      <c r="L414">
        <f>IF(Transactions_Clean[[#This Row],[Category]]="Revenue",Transactions_Clean[[#This Row],[Amount(₹)]],Transactions_Clean[[#This Row],[Amount(₹)]]/8)</f>
        <v>-6547.5</v>
      </c>
    </row>
    <row r="415" spans="1:12">
      <c r="A415" t="s">
        <v>900</v>
      </c>
      <c r="B415" t="s">
        <v>4760</v>
      </c>
      <c r="C415" t="s">
        <v>4750</v>
      </c>
      <c r="D415">
        <v>-92852</v>
      </c>
      <c r="E415" t="s">
        <v>74</v>
      </c>
      <c r="F415" t="s">
        <v>24</v>
      </c>
      <c r="G415" t="s">
        <v>25</v>
      </c>
      <c r="H415" t="s">
        <v>26</v>
      </c>
      <c r="I415" t="s">
        <v>40</v>
      </c>
      <c r="J415" s="11">
        <v>45175</v>
      </c>
      <c r="K415" t="str">
        <f>TEXT(Transactions_Clean[[#This Row],[Date]],"MMM-YYYY")</f>
        <v>Sep-2023</v>
      </c>
      <c r="L415">
        <f>IF(Transactions_Clean[[#This Row],[Category]]="Revenue",Transactions_Clean[[#This Row],[Amount(₹)]],Transactions_Clean[[#This Row],[Amount(₹)]]/8)</f>
        <v>-11606.5</v>
      </c>
    </row>
    <row r="416" spans="1:12">
      <c r="A416" t="s">
        <v>902</v>
      </c>
      <c r="B416" t="s">
        <v>60</v>
      </c>
      <c r="C416" t="s">
        <v>61</v>
      </c>
      <c r="D416">
        <v>-17415</v>
      </c>
      <c r="E416" t="s">
        <v>62</v>
      </c>
      <c r="F416" t="s">
        <v>32</v>
      </c>
      <c r="G416" t="s">
        <v>63</v>
      </c>
      <c r="H416" t="s">
        <v>45</v>
      </c>
      <c r="I416" t="s">
        <v>34</v>
      </c>
      <c r="J416" s="11">
        <v>45447</v>
      </c>
      <c r="K416" t="str">
        <f>TEXT(Transactions_Clean[[#This Row],[Date]],"MMM-YYYY")</f>
        <v>Jun-2024</v>
      </c>
      <c r="L416">
        <f>IF(Transactions_Clean[[#This Row],[Category]]="Revenue",Transactions_Clean[[#This Row],[Amount(₹)]],Transactions_Clean[[#This Row],[Amount(₹)]]/8)</f>
        <v>-2176.875</v>
      </c>
    </row>
    <row r="417" spans="1:12">
      <c r="A417" t="s">
        <v>903</v>
      </c>
      <c r="B417" t="s">
        <v>169</v>
      </c>
      <c r="C417" t="s">
        <v>4750</v>
      </c>
      <c r="D417">
        <v>-41423</v>
      </c>
      <c r="E417" t="s">
        <v>74</v>
      </c>
      <c r="F417" t="s">
        <v>24</v>
      </c>
      <c r="G417" t="s">
        <v>25</v>
      </c>
      <c r="H417" t="s">
        <v>39</v>
      </c>
      <c r="I417" t="s">
        <v>34</v>
      </c>
      <c r="J417" s="11">
        <v>45768</v>
      </c>
      <c r="K417" t="str">
        <f>TEXT(Transactions_Clean[[#This Row],[Date]],"MMM-YYYY")</f>
        <v>Apr-2025</v>
      </c>
      <c r="L417">
        <f>IF(Transactions_Clean[[#This Row],[Category]]="Revenue",Transactions_Clean[[#This Row],[Amount(₹)]],Transactions_Clean[[#This Row],[Amount(₹)]]/8)</f>
        <v>-5177.875</v>
      </c>
    </row>
    <row r="418" spans="1:12">
      <c r="A418" t="s">
        <v>904</v>
      </c>
      <c r="B418" t="s">
        <v>4773</v>
      </c>
      <c r="C418" t="s">
        <v>157</v>
      </c>
      <c r="D418">
        <v>528545</v>
      </c>
      <c r="E418" t="s">
        <v>62</v>
      </c>
      <c r="F418" t="s">
        <v>32</v>
      </c>
      <c r="G418" t="s">
        <v>25</v>
      </c>
      <c r="H418" t="s">
        <v>26</v>
      </c>
      <c r="I418" t="s">
        <v>34</v>
      </c>
      <c r="J418" s="11">
        <v>45073</v>
      </c>
      <c r="K418" t="str">
        <f>TEXT(Transactions_Clean[[#This Row],[Date]],"MMM-YYYY")</f>
        <v>May-2023</v>
      </c>
      <c r="L418">
        <f>IF(Transactions_Clean[[#This Row],[Category]]="Revenue",Transactions_Clean[[#This Row],[Amount(₹)]],Transactions_Clean[[#This Row],[Amount(₹)]]/8)</f>
        <v>528545</v>
      </c>
    </row>
    <row r="419" spans="1:12">
      <c r="A419" t="s">
        <v>906</v>
      </c>
      <c r="B419" t="s">
        <v>66</v>
      </c>
      <c r="C419" t="s">
        <v>61</v>
      </c>
      <c r="D419">
        <v>-55910</v>
      </c>
      <c r="E419" t="s">
        <v>62</v>
      </c>
      <c r="F419" t="s">
        <v>32</v>
      </c>
      <c r="G419" t="s">
        <v>63</v>
      </c>
      <c r="H419" t="s">
        <v>26</v>
      </c>
      <c r="I419" t="s">
        <v>40</v>
      </c>
      <c r="J419" s="11">
        <v>45190</v>
      </c>
      <c r="K419" t="str">
        <f>TEXT(Transactions_Clean[[#This Row],[Date]],"MMM-YYYY")</f>
        <v>Sep-2023</v>
      </c>
      <c r="L419">
        <f>IF(Transactions_Clean[[#This Row],[Category]]="Revenue",Transactions_Clean[[#This Row],[Amount(₹)]],Transactions_Clean[[#This Row],[Amount(₹)]]/8)</f>
        <v>-6988.75</v>
      </c>
    </row>
    <row r="420" spans="1:12">
      <c r="A420" t="s">
        <v>908</v>
      </c>
      <c r="B420" t="s">
        <v>4762</v>
      </c>
      <c r="C420" t="s">
        <v>157</v>
      </c>
      <c r="D420">
        <v>628980</v>
      </c>
      <c r="E420" t="s">
        <v>62</v>
      </c>
      <c r="F420" t="s">
        <v>32</v>
      </c>
      <c r="G420" t="s">
        <v>25</v>
      </c>
      <c r="H420" t="s">
        <v>26</v>
      </c>
      <c r="I420" t="s">
        <v>48</v>
      </c>
      <c r="J420" s="11">
        <v>45280</v>
      </c>
      <c r="K420" t="str">
        <f>TEXT(Transactions_Clean[[#This Row],[Date]],"MMM-YYYY")</f>
        <v>Dec-2023</v>
      </c>
      <c r="L420">
        <f>IF(Transactions_Clean[[#This Row],[Category]]="Revenue",Transactions_Clean[[#This Row],[Amount(₹)]],Transactions_Clean[[#This Row],[Amount(₹)]]/8)</f>
        <v>628980</v>
      </c>
    </row>
    <row r="421" spans="1:12">
      <c r="A421" t="s">
        <v>909</v>
      </c>
      <c r="B421" t="s">
        <v>4757</v>
      </c>
      <c r="C421" t="s">
        <v>73</v>
      </c>
      <c r="D421">
        <v>-35707</v>
      </c>
      <c r="E421" t="s">
        <v>74</v>
      </c>
      <c r="F421" t="s">
        <v>32</v>
      </c>
      <c r="G421" t="s">
        <v>25</v>
      </c>
      <c r="H421" t="s">
        <v>26</v>
      </c>
      <c r="I421" t="s">
        <v>40</v>
      </c>
      <c r="J421" s="11">
        <v>45199</v>
      </c>
      <c r="K421" t="str">
        <f>TEXT(Transactions_Clean[[#This Row],[Date]],"MMM-YYYY")</f>
        <v>Sep-2023</v>
      </c>
      <c r="L421">
        <f>IF(Transactions_Clean[[#This Row],[Category]]="Revenue",Transactions_Clean[[#This Row],[Amount(₹)]],Transactions_Clean[[#This Row],[Amount(₹)]]/8)</f>
        <v>-4463.375</v>
      </c>
    </row>
    <row r="422" spans="1:12">
      <c r="A422" t="s">
        <v>911</v>
      </c>
      <c r="B422" t="s">
        <v>283</v>
      </c>
      <c r="C422" t="s">
        <v>44</v>
      </c>
      <c r="D422">
        <v>-44270</v>
      </c>
      <c r="E422" t="s">
        <v>23</v>
      </c>
      <c r="F422" t="s">
        <v>32</v>
      </c>
      <c r="G422" t="s">
        <v>33</v>
      </c>
      <c r="H422" t="s">
        <v>26</v>
      </c>
      <c r="I422" t="s">
        <v>40</v>
      </c>
      <c r="J422" s="11">
        <v>45156</v>
      </c>
      <c r="K422" t="str">
        <f>TEXT(Transactions_Clean[[#This Row],[Date]],"MMM-YYYY")</f>
        <v>Aug-2023</v>
      </c>
      <c r="L422">
        <f>IF(Transactions_Clean[[#This Row],[Category]]="Revenue",Transactions_Clean[[#This Row],[Amount(₹)]],Transactions_Clean[[#This Row],[Amount(₹)]]/8)</f>
        <v>-5533.75</v>
      </c>
    </row>
    <row r="423" spans="1:12">
      <c r="A423" t="s">
        <v>912</v>
      </c>
      <c r="B423" t="s">
        <v>51</v>
      </c>
      <c r="C423" t="s">
        <v>31</v>
      </c>
      <c r="D423">
        <v>-26828</v>
      </c>
      <c r="E423" t="s">
        <v>23</v>
      </c>
      <c r="F423" t="s">
        <v>24</v>
      </c>
      <c r="G423" t="s">
        <v>33</v>
      </c>
      <c r="H423" t="s">
        <v>26</v>
      </c>
      <c r="I423" t="s">
        <v>40</v>
      </c>
      <c r="J423" s="11">
        <v>45117</v>
      </c>
      <c r="K423" t="str">
        <f>TEXT(Transactions_Clean[[#This Row],[Date]],"MMM-YYYY")</f>
        <v>Jul-2023</v>
      </c>
      <c r="L423">
        <f>IF(Transactions_Clean[[#This Row],[Category]]="Revenue",Transactions_Clean[[#This Row],[Amount(₹)]],Transactions_Clean[[#This Row],[Amount(₹)]]/8)</f>
        <v>-3353.5</v>
      </c>
    </row>
    <row r="424" spans="1:12">
      <c r="A424" t="s">
        <v>914</v>
      </c>
      <c r="B424" t="s">
        <v>4756</v>
      </c>
      <c r="C424" t="s">
        <v>73</v>
      </c>
      <c r="D424">
        <v>-59277</v>
      </c>
      <c r="E424" t="s">
        <v>74</v>
      </c>
      <c r="F424" t="s">
        <v>24</v>
      </c>
      <c r="G424" t="s">
        <v>25</v>
      </c>
      <c r="H424" t="s">
        <v>39</v>
      </c>
      <c r="I424" t="s">
        <v>34</v>
      </c>
      <c r="J424" s="11">
        <v>45820</v>
      </c>
      <c r="K424" t="str">
        <f>TEXT(Transactions_Clean[[#This Row],[Date]],"MMM-YYYY")</f>
        <v>Jun-2025</v>
      </c>
      <c r="L424">
        <f>IF(Transactions_Clean[[#This Row],[Category]]="Revenue",Transactions_Clean[[#This Row],[Amount(₹)]],Transactions_Clean[[#This Row],[Amount(₹)]]/8)</f>
        <v>-7409.625</v>
      </c>
    </row>
    <row r="425" spans="1:12">
      <c r="A425" t="s">
        <v>916</v>
      </c>
      <c r="B425" t="s">
        <v>4775</v>
      </c>
      <c r="C425" t="s">
        <v>136</v>
      </c>
      <c r="D425">
        <v>-10485713</v>
      </c>
      <c r="E425" t="s">
        <v>62</v>
      </c>
      <c r="F425" t="s">
        <v>32</v>
      </c>
      <c r="G425" t="s">
        <v>63</v>
      </c>
      <c r="H425" t="s">
        <v>39</v>
      </c>
      <c r="I425" t="s">
        <v>48</v>
      </c>
      <c r="J425" s="11">
        <v>45958</v>
      </c>
      <c r="K425" t="str">
        <f>TEXT(Transactions_Clean[[#This Row],[Date]],"MMM-YYYY")</f>
        <v>Oct-2025</v>
      </c>
      <c r="L425">
        <f>IF(Transactions_Clean[[#This Row],[Category]]="Revenue",Transactions_Clean[[#This Row],[Amount(₹)]],Transactions_Clean[[#This Row],[Amount(₹)]]/8)</f>
        <v>-1310714.125</v>
      </c>
    </row>
    <row r="426" spans="1:12">
      <c r="A426" t="s">
        <v>918</v>
      </c>
      <c r="B426" t="s">
        <v>4753</v>
      </c>
      <c r="C426" t="s">
        <v>38</v>
      </c>
      <c r="D426">
        <v>-18466</v>
      </c>
      <c r="E426" t="s">
        <v>23</v>
      </c>
      <c r="F426" t="s">
        <v>32</v>
      </c>
      <c r="G426" t="s">
        <v>33</v>
      </c>
      <c r="H426" t="s">
        <v>26</v>
      </c>
      <c r="I426" t="s">
        <v>34</v>
      </c>
      <c r="J426" s="11">
        <v>45104</v>
      </c>
      <c r="K426" t="str">
        <f>TEXT(Transactions_Clean[[#This Row],[Date]],"MMM-YYYY")</f>
        <v>Jun-2023</v>
      </c>
      <c r="L426">
        <f>IF(Transactions_Clean[[#This Row],[Category]]="Revenue",Transactions_Clean[[#This Row],[Amount(₹)]],Transactions_Clean[[#This Row],[Amount(₹)]]/8)</f>
        <v>-2308.25</v>
      </c>
    </row>
    <row r="427" spans="1:12">
      <c r="A427" t="s">
        <v>919</v>
      </c>
      <c r="B427" t="s">
        <v>283</v>
      </c>
      <c r="C427" t="s">
        <v>44</v>
      </c>
      <c r="D427">
        <v>-87506</v>
      </c>
      <c r="E427" t="s">
        <v>23</v>
      </c>
      <c r="F427" t="s">
        <v>24</v>
      </c>
      <c r="G427" t="s">
        <v>33</v>
      </c>
      <c r="H427" t="s">
        <v>26</v>
      </c>
      <c r="I427" t="s">
        <v>40</v>
      </c>
      <c r="J427" s="11">
        <v>45180</v>
      </c>
      <c r="K427" t="str">
        <f>TEXT(Transactions_Clean[[#This Row],[Date]],"MMM-YYYY")</f>
        <v>Sep-2023</v>
      </c>
      <c r="L427">
        <f>IF(Transactions_Clean[[#This Row],[Category]]="Revenue",Transactions_Clean[[#This Row],[Amount(₹)]],Transactions_Clean[[#This Row],[Amount(₹)]]/8)</f>
        <v>-10938.25</v>
      </c>
    </row>
    <row r="428" spans="1:12">
      <c r="A428" t="s">
        <v>920</v>
      </c>
      <c r="B428" t="s">
        <v>4755</v>
      </c>
      <c r="C428" t="s">
        <v>78</v>
      </c>
      <c r="D428">
        <v>-58278</v>
      </c>
      <c r="E428" t="s">
        <v>23</v>
      </c>
      <c r="F428" t="s">
        <v>32</v>
      </c>
      <c r="G428" t="s">
        <v>79</v>
      </c>
      <c r="H428" t="s">
        <v>39</v>
      </c>
      <c r="I428" t="s">
        <v>48</v>
      </c>
      <c r="J428" s="11">
        <v>45943</v>
      </c>
      <c r="K428" t="str">
        <f>TEXT(Transactions_Clean[[#This Row],[Date]],"MMM-YYYY")</f>
        <v>Oct-2025</v>
      </c>
      <c r="L428">
        <f>IF(Transactions_Clean[[#This Row],[Category]]="Revenue",Transactions_Clean[[#This Row],[Amount(₹)]],Transactions_Clean[[#This Row],[Amount(₹)]]/8)</f>
        <v>-7284.75</v>
      </c>
    </row>
    <row r="429" spans="1:12">
      <c r="A429" t="s">
        <v>922</v>
      </c>
      <c r="B429" t="s">
        <v>4749</v>
      </c>
      <c r="C429" t="s">
        <v>44</v>
      </c>
      <c r="D429">
        <v>-122368</v>
      </c>
      <c r="E429" t="s">
        <v>23</v>
      </c>
      <c r="F429" t="s">
        <v>32</v>
      </c>
      <c r="G429" t="s">
        <v>33</v>
      </c>
      <c r="H429" t="s">
        <v>26</v>
      </c>
      <c r="I429" t="s">
        <v>48</v>
      </c>
      <c r="J429" s="11">
        <v>45271</v>
      </c>
      <c r="K429" t="str">
        <f>TEXT(Transactions_Clean[[#This Row],[Date]],"MMM-YYYY")</f>
        <v>Dec-2023</v>
      </c>
      <c r="L429">
        <f>IF(Transactions_Clean[[#This Row],[Category]]="Revenue",Transactions_Clean[[#This Row],[Amount(₹)]],Transactions_Clean[[#This Row],[Amount(₹)]]/8)</f>
        <v>-15296</v>
      </c>
    </row>
    <row r="430" spans="1:12">
      <c r="A430" t="s">
        <v>924</v>
      </c>
      <c r="B430" t="s">
        <v>4749</v>
      </c>
      <c r="C430" t="s">
        <v>44</v>
      </c>
      <c r="D430">
        <v>-83390</v>
      </c>
      <c r="E430" t="s">
        <v>23</v>
      </c>
      <c r="F430" t="s">
        <v>24</v>
      </c>
      <c r="G430" t="s">
        <v>33</v>
      </c>
      <c r="H430" t="s">
        <v>45</v>
      </c>
      <c r="I430" t="s">
        <v>48</v>
      </c>
      <c r="J430" s="11">
        <v>45573</v>
      </c>
      <c r="K430" t="str">
        <f>TEXT(Transactions_Clean[[#This Row],[Date]],"MMM-YYYY")</f>
        <v>Oct-2024</v>
      </c>
      <c r="L430">
        <f>IF(Transactions_Clean[[#This Row],[Category]]="Revenue",Transactions_Clean[[#This Row],[Amount(₹)]],Transactions_Clean[[#This Row],[Amount(₹)]]/8)</f>
        <v>-10423.75</v>
      </c>
    </row>
    <row r="431" spans="1:12">
      <c r="A431" t="s">
        <v>926</v>
      </c>
      <c r="B431" t="s">
        <v>4763</v>
      </c>
      <c r="C431" t="s">
        <v>22</v>
      </c>
      <c r="D431">
        <v>-209770</v>
      </c>
      <c r="E431" t="s">
        <v>23</v>
      </c>
      <c r="F431" t="s">
        <v>24</v>
      </c>
      <c r="G431" t="s">
        <v>25</v>
      </c>
      <c r="H431" t="s">
        <v>26</v>
      </c>
      <c r="I431" t="s">
        <v>27</v>
      </c>
      <c r="J431" s="11">
        <v>45375</v>
      </c>
      <c r="K431" t="str">
        <f>TEXT(Transactions_Clean[[#This Row],[Date]],"MMM-YYYY")</f>
        <v>Mar-2024</v>
      </c>
      <c r="L431">
        <f>IF(Transactions_Clean[[#This Row],[Category]]="Revenue",Transactions_Clean[[#This Row],[Amount(₹)]],Transactions_Clean[[#This Row],[Amount(₹)]]/8)</f>
        <v>-26221.25</v>
      </c>
    </row>
    <row r="432" spans="1:12">
      <c r="A432" t="s">
        <v>928</v>
      </c>
      <c r="B432" t="s">
        <v>4754</v>
      </c>
      <c r="C432" t="s">
        <v>78</v>
      </c>
      <c r="D432">
        <v>-67100</v>
      </c>
      <c r="E432" t="s">
        <v>23</v>
      </c>
      <c r="F432" t="s">
        <v>24</v>
      </c>
      <c r="G432" t="s">
        <v>79</v>
      </c>
      <c r="H432" t="s">
        <v>45</v>
      </c>
      <c r="I432" t="s">
        <v>34</v>
      </c>
      <c r="J432" s="11">
        <v>45459</v>
      </c>
      <c r="K432" t="str">
        <f>TEXT(Transactions_Clean[[#This Row],[Date]],"MMM-YYYY")</f>
        <v>Jun-2024</v>
      </c>
      <c r="L432">
        <f>IF(Transactions_Clean[[#This Row],[Category]]="Revenue",Transactions_Clean[[#This Row],[Amount(₹)]],Transactions_Clean[[#This Row],[Amount(₹)]]/8)</f>
        <v>-8387.5</v>
      </c>
    </row>
    <row r="433" spans="1:12">
      <c r="A433" t="s">
        <v>930</v>
      </c>
      <c r="B433" t="s">
        <v>4766</v>
      </c>
      <c r="C433" t="s">
        <v>73</v>
      </c>
      <c r="D433">
        <v>-60818</v>
      </c>
      <c r="E433" t="s">
        <v>74</v>
      </c>
      <c r="F433" t="s">
        <v>24</v>
      </c>
      <c r="G433" t="s">
        <v>25</v>
      </c>
      <c r="H433" t="s">
        <v>26</v>
      </c>
      <c r="I433" t="s">
        <v>40</v>
      </c>
      <c r="J433" s="11">
        <v>45174</v>
      </c>
      <c r="K433" t="str">
        <f>TEXT(Transactions_Clean[[#This Row],[Date]],"MMM-YYYY")</f>
        <v>Sep-2023</v>
      </c>
      <c r="L433">
        <f>IF(Transactions_Clean[[#This Row],[Category]]="Revenue",Transactions_Clean[[#This Row],[Amount(₹)]],Transactions_Clean[[#This Row],[Amount(₹)]]/8)</f>
        <v>-7602.25</v>
      </c>
    </row>
    <row r="434" spans="1:12">
      <c r="A434" t="s">
        <v>932</v>
      </c>
      <c r="B434" t="s">
        <v>4751</v>
      </c>
      <c r="C434" t="s">
        <v>38</v>
      </c>
      <c r="D434">
        <v>-26960</v>
      </c>
      <c r="E434" t="s">
        <v>23</v>
      </c>
      <c r="F434" t="s">
        <v>24</v>
      </c>
      <c r="G434" t="s">
        <v>33</v>
      </c>
      <c r="H434" t="s">
        <v>45</v>
      </c>
      <c r="I434" t="s">
        <v>27</v>
      </c>
      <c r="J434" s="11">
        <v>45662</v>
      </c>
      <c r="K434" t="str">
        <f>TEXT(Transactions_Clean[[#This Row],[Date]],"MMM-YYYY")</f>
        <v>Jan-2025</v>
      </c>
      <c r="L434">
        <f>IF(Transactions_Clean[[#This Row],[Category]]="Revenue",Transactions_Clean[[#This Row],[Amount(₹)]],Transactions_Clean[[#This Row],[Amount(₹)]]/8)</f>
        <v>-3370</v>
      </c>
    </row>
    <row r="435" spans="1:12">
      <c r="A435" t="s">
        <v>934</v>
      </c>
      <c r="B435" t="s">
        <v>935</v>
      </c>
      <c r="C435" t="s">
        <v>22</v>
      </c>
      <c r="D435">
        <v>-142337</v>
      </c>
      <c r="E435" t="s">
        <v>23</v>
      </c>
      <c r="F435" t="s">
        <v>32</v>
      </c>
      <c r="G435" t="s">
        <v>25</v>
      </c>
      <c r="H435" t="s">
        <v>39</v>
      </c>
      <c r="I435" t="s">
        <v>48</v>
      </c>
      <c r="J435" s="11">
        <v>46001</v>
      </c>
      <c r="K435" t="str">
        <f>TEXT(Transactions_Clean[[#This Row],[Date]],"MMM-YYYY")</f>
        <v>Dec-2025</v>
      </c>
      <c r="L435">
        <f>IF(Transactions_Clean[[#This Row],[Category]]="Revenue",Transactions_Clean[[#This Row],[Amount(₹)]],Transactions_Clean[[#This Row],[Amount(₹)]]/8)</f>
        <v>-17792.125</v>
      </c>
    </row>
    <row r="436" spans="1:12">
      <c r="A436" t="s">
        <v>936</v>
      </c>
      <c r="B436" t="s">
        <v>4756</v>
      </c>
      <c r="C436" t="s">
        <v>73</v>
      </c>
      <c r="D436">
        <v>-68458</v>
      </c>
      <c r="E436" t="s">
        <v>74</v>
      </c>
      <c r="F436" t="s">
        <v>24</v>
      </c>
      <c r="G436" t="s">
        <v>25</v>
      </c>
      <c r="H436" t="s">
        <v>26</v>
      </c>
      <c r="I436" t="s">
        <v>48</v>
      </c>
      <c r="J436" s="11">
        <v>45220</v>
      </c>
      <c r="K436" t="str">
        <f>TEXT(Transactions_Clean[[#This Row],[Date]],"MMM-YYYY")</f>
        <v>Oct-2023</v>
      </c>
      <c r="L436">
        <f>IF(Transactions_Clean[[#This Row],[Category]]="Revenue",Transactions_Clean[[#This Row],[Amount(₹)]],Transactions_Clean[[#This Row],[Amount(₹)]]/8)</f>
        <v>-8557.25</v>
      </c>
    </row>
    <row r="437" spans="1:12">
      <c r="A437" t="s">
        <v>938</v>
      </c>
      <c r="B437" t="s">
        <v>4749</v>
      </c>
      <c r="C437" t="s">
        <v>44</v>
      </c>
      <c r="D437">
        <v>-45973</v>
      </c>
      <c r="E437" t="s">
        <v>23</v>
      </c>
      <c r="F437" t="s">
        <v>24</v>
      </c>
      <c r="G437" t="s">
        <v>33</v>
      </c>
      <c r="H437" t="s">
        <v>45</v>
      </c>
      <c r="I437" t="s">
        <v>34</v>
      </c>
      <c r="J437" s="11">
        <v>45416</v>
      </c>
      <c r="K437" t="str">
        <f>TEXT(Transactions_Clean[[#This Row],[Date]],"MMM-YYYY")</f>
        <v>May-2024</v>
      </c>
      <c r="L437">
        <f>IF(Transactions_Clean[[#This Row],[Category]]="Revenue",Transactions_Clean[[#This Row],[Amount(₹)]],Transactions_Clean[[#This Row],[Amount(₹)]]/8)</f>
        <v>-5746.625</v>
      </c>
    </row>
    <row r="438" spans="1:12">
      <c r="A438" t="s">
        <v>939</v>
      </c>
      <c r="B438" t="s">
        <v>212</v>
      </c>
      <c r="C438" t="s">
        <v>73</v>
      </c>
      <c r="D438">
        <v>-77434</v>
      </c>
      <c r="E438" t="s">
        <v>74</v>
      </c>
      <c r="F438" t="s">
        <v>32</v>
      </c>
      <c r="G438" t="s">
        <v>25</v>
      </c>
      <c r="H438" t="s">
        <v>39</v>
      </c>
      <c r="I438" t="s">
        <v>34</v>
      </c>
      <c r="J438" s="11">
        <v>45828</v>
      </c>
      <c r="K438" t="str">
        <f>TEXT(Transactions_Clean[[#This Row],[Date]],"MMM-YYYY")</f>
        <v>Jun-2025</v>
      </c>
      <c r="L438">
        <f>IF(Transactions_Clean[[#This Row],[Category]]="Revenue",Transactions_Clean[[#This Row],[Amount(₹)]],Transactions_Clean[[#This Row],[Amount(₹)]]/8)</f>
        <v>-9679.25</v>
      </c>
    </row>
    <row r="439" spans="1:12">
      <c r="A439" t="s">
        <v>940</v>
      </c>
      <c r="B439" t="s">
        <v>129</v>
      </c>
      <c r="C439" t="s">
        <v>38</v>
      </c>
      <c r="D439">
        <v>-52742</v>
      </c>
      <c r="E439" t="s">
        <v>23</v>
      </c>
      <c r="F439" t="s">
        <v>32</v>
      </c>
      <c r="G439" t="s">
        <v>33</v>
      </c>
      <c r="H439" t="s">
        <v>45</v>
      </c>
      <c r="I439" t="s">
        <v>48</v>
      </c>
      <c r="J439" s="11">
        <v>45638</v>
      </c>
      <c r="K439" t="str">
        <f>TEXT(Transactions_Clean[[#This Row],[Date]],"MMM-YYYY")</f>
        <v>Dec-2024</v>
      </c>
      <c r="L439">
        <f>IF(Transactions_Clean[[#This Row],[Category]]="Revenue",Transactions_Clean[[#This Row],[Amount(₹)]],Transactions_Clean[[#This Row],[Amount(₹)]]/8)</f>
        <v>-6592.75</v>
      </c>
    </row>
    <row r="440" spans="1:12">
      <c r="A440" t="s">
        <v>943</v>
      </c>
      <c r="B440" t="s">
        <v>345</v>
      </c>
      <c r="C440" t="s">
        <v>22</v>
      </c>
      <c r="D440">
        <v>-38776</v>
      </c>
      <c r="E440" t="s">
        <v>23</v>
      </c>
      <c r="F440" t="s">
        <v>24</v>
      </c>
      <c r="G440" t="s">
        <v>25</v>
      </c>
      <c r="H440" t="s">
        <v>45</v>
      </c>
      <c r="I440" t="s">
        <v>27</v>
      </c>
      <c r="J440" s="11">
        <v>45733</v>
      </c>
      <c r="K440" t="str">
        <f>TEXT(Transactions_Clean[[#This Row],[Date]],"MMM-YYYY")</f>
        <v>Mar-2025</v>
      </c>
      <c r="L440">
        <f>IF(Transactions_Clean[[#This Row],[Category]]="Revenue",Transactions_Clean[[#This Row],[Amount(₹)]],Transactions_Clean[[#This Row],[Amount(₹)]]/8)</f>
        <v>-4847</v>
      </c>
    </row>
    <row r="441" spans="1:12">
      <c r="A441" t="s">
        <v>944</v>
      </c>
      <c r="B441" t="s">
        <v>4759</v>
      </c>
      <c r="C441" t="s">
        <v>31</v>
      </c>
      <c r="D441">
        <v>-6771</v>
      </c>
      <c r="E441" t="s">
        <v>23</v>
      </c>
      <c r="F441" t="s">
        <v>32</v>
      </c>
      <c r="G441" t="s">
        <v>33</v>
      </c>
      <c r="H441" t="s">
        <v>45</v>
      </c>
      <c r="I441" t="s">
        <v>40</v>
      </c>
      <c r="J441" s="11">
        <v>45541</v>
      </c>
      <c r="K441" t="str">
        <f>TEXT(Transactions_Clean[[#This Row],[Date]],"MMM-YYYY")</f>
        <v>Sep-2024</v>
      </c>
      <c r="L441">
        <f>IF(Transactions_Clean[[#This Row],[Category]]="Revenue",Transactions_Clean[[#This Row],[Amount(₹)]],Transactions_Clean[[#This Row],[Amount(₹)]]/8)</f>
        <v>-846.375</v>
      </c>
    </row>
    <row r="442" spans="1:12">
      <c r="A442" t="s">
        <v>946</v>
      </c>
      <c r="B442" t="s">
        <v>30</v>
      </c>
      <c r="C442" t="s">
        <v>31</v>
      </c>
      <c r="D442">
        <v>-44472</v>
      </c>
      <c r="E442" t="s">
        <v>23</v>
      </c>
      <c r="F442" t="s">
        <v>32</v>
      </c>
      <c r="G442" t="s">
        <v>33</v>
      </c>
      <c r="H442" t="s">
        <v>45</v>
      </c>
      <c r="I442" t="s">
        <v>48</v>
      </c>
      <c r="J442" s="11">
        <v>45610</v>
      </c>
      <c r="K442" t="str">
        <f>TEXT(Transactions_Clean[[#This Row],[Date]],"MMM-YYYY")</f>
        <v>Nov-2024</v>
      </c>
      <c r="L442">
        <f>IF(Transactions_Clean[[#This Row],[Category]]="Revenue",Transactions_Clean[[#This Row],[Amount(₹)]],Transactions_Clean[[#This Row],[Amount(₹)]]/8)</f>
        <v>-5559</v>
      </c>
    </row>
    <row r="443" spans="1:12">
      <c r="A443" t="s">
        <v>948</v>
      </c>
      <c r="B443" t="s">
        <v>4749</v>
      </c>
      <c r="C443" t="s">
        <v>44</v>
      </c>
      <c r="D443">
        <v>-47384</v>
      </c>
      <c r="E443" t="s">
        <v>23</v>
      </c>
      <c r="F443" t="s">
        <v>24</v>
      </c>
      <c r="G443" t="s">
        <v>33</v>
      </c>
      <c r="H443" t="s">
        <v>39</v>
      </c>
      <c r="I443" t="s">
        <v>48</v>
      </c>
      <c r="J443" s="11">
        <v>45962</v>
      </c>
      <c r="K443" t="str">
        <f>TEXT(Transactions_Clean[[#This Row],[Date]],"MMM-YYYY")</f>
        <v>Nov-2025</v>
      </c>
      <c r="L443">
        <f>IF(Transactions_Clean[[#This Row],[Category]]="Revenue",Transactions_Clean[[#This Row],[Amount(₹)]],Transactions_Clean[[#This Row],[Amount(₹)]]/8)</f>
        <v>-5923</v>
      </c>
    </row>
    <row r="444" spans="1:12">
      <c r="A444" t="s">
        <v>950</v>
      </c>
      <c r="B444" t="s">
        <v>106</v>
      </c>
      <c r="C444" t="s">
        <v>4750</v>
      </c>
      <c r="D444">
        <v>-6990</v>
      </c>
      <c r="E444" t="s">
        <v>23</v>
      </c>
      <c r="F444" t="s">
        <v>32</v>
      </c>
      <c r="G444" t="s">
        <v>33</v>
      </c>
      <c r="H444" t="s">
        <v>39</v>
      </c>
      <c r="I444" t="s">
        <v>40</v>
      </c>
      <c r="J444" s="11">
        <v>45902</v>
      </c>
      <c r="K444" t="str">
        <f>TEXT(Transactions_Clean[[#This Row],[Date]],"MMM-YYYY")</f>
        <v>Sep-2025</v>
      </c>
      <c r="L444">
        <f>IF(Transactions_Clean[[#This Row],[Category]]="Revenue",Transactions_Clean[[#This Row],[Amount(₹)]],Transactions_Clean[[#This Row],[Amount(₹)]]/8)</f>
        <v>-873.75</v>
      </c>
    </row>
    <row r="445" spans="1:12">
      <c r="A445" t="s">
        <v>952</v>
      </c>
      <c r="B445" t="s">
        <v>224</v>
      </c>
      <c r="C445" t="s">
        <v>78</v>
      </c>
      <c r="D445">
        <v>-50893</v>
      </c>
      <c r="E445" t="s">
        <v>23</v>
      </c>
      <c r="F445" t="s">
        <v>32</v>
      </c>
      <c r="G445" t="s">
        <v>79</v>
      </c>
      <c r="H445" t="s">
        <v>45</v>
      </c>
      <c r="I445" t="s">
        <v>40</v>
      </c>
      <c r="J445" s="11">
        <v>45551</v>
      </c>
      <c r="K445" t="str">
        <f>TEXT(Transactions_Clean[[#This Row],[Date]],"MMM-YYYY")</f>
        <v>Sep-2024</v>
      </c>
      <c r="L445">
        <f>IF(Transactions_Clean[[#This Row],[Category]]="Revenue",Transactions_Clean[[#This Row],[Amount(₹)]],Transactions_Clean[[#This Row],[Amount(₹)]]/8)</f>
        <v>-6361.625</v>
      </c>
    </row>
    <row r="446" spans="1:12">
      <c r="A446" t="s">
        <v>954</v>
      </c>
      <c r="B446" t="s">
        <v>215</v>
      </c>
      <c r="C446" t="s">
        <v>61</v>
      </c>
      <c r="D446">
        <v>-57242</v>
      </c>
      <c r="E446" t="s">
        <v>62</v>
      </c>
      <c r="F446" t="s">
        <v>24</v>
      </c>
      <c r="G446" t="s">
        <v>63</v>
      </c>
      <c r="H446" t="s">
        <v>45</v>
      </c>
      <c r="I446" t="s">
        <v>34</v>
      </c>
      <c r="J446" s="11">
        <v>45570</v>
      </c>
      <c r="K446" t="str">
        <f>TEXT(Transactions_Clean[[#This Row],[Date]],"MMM-YYYY")</f>
        <v>Oct-2024</v>
      </c>
      <c r="L446">
        <f>IF(Transactions_Clean[[#This Row],[Category]]="Revenue",Transactions_Clean[[#This Row],[Amount(₹)]],Transactions_Clean[[#This Row],[Amount(₹)]]/8)</f>
        <v>-7155.25</v>
      </c>
    </row>
    <row r="447" spans="1:12">
      <c r="A447" t="s">
        <v>956</v>
      </c>
      <c r="B447" t="s">
        <v>106</v>
      </c>
      <c r="C447" t="s">
        <v>4750</v>
      </c>
      <c r="D447">
        <v>-11659</v>
      </c>
      <c r="E447" t="s">
        <v>23</v>
      </c>
      <c r="F447" t="s">
        <v>24</v>
      </c>
      <c r="G447" t="s">
        <v>33</v>
      </c>
      <c r="H447" t="s">
        <v>26</v>
      </c>
      <c r="I447" t="s">
        <v>27</v>
      </c>
      <c r="J447" s="11">
        <v>45301</v>
      </c>
      <c r="K447" t="str">
        <f>TEXT(Transactions_Clean[[#This Row],[Date]],"MMM-YYYY")</f>
        <v>Jan-2024</v>
      </c>
      <c r="L447">
        <f>IF(Transactions_Clean[[#This Row],[Category]]="Revenue",Transactions_Clean[[#This Row],[Amount(₹)]],Transactions_Clean[[#This Row],[Amount(₹)]]/8)</f>
        <v>-1457.375</v>
      </c>
    </row>
    <row r="448" spans="1:12">
      <c r="A448" t="s">
        <v>958</v>
      </c>
      <c r="B448" t="s">
        <v>224</v>
      </c>
      <c r="C448" t="s">
        <v>78</v>
      </c>
      <c r="D448">
        <v>-56446</v>
      </c>
      <c r="E448" t="s">
        <v>23</v>
      </c>
      <c r="F448" t="s">
        <v>24</v>
      </c>
      <c r="G448" t="s">
        <v>79</v>
      </c>
      <c r="H448" t="s">
        <v>39</v>
      </c>
      <c r="I448" t="s">
        <v>48</v>
      </c>
      <c r="J448" s="11">
        <v>46019</v>
      </c>
      <c r="K448" t="str">
        <f>TEXT(Transactions_Clean[[#This Row],[Date]],"MMM-YYYY")</f>
        <v>Dec-2025</v>
      </c>
      <c r="L448">
        <f>IF(Transactions_Clean[[#This Row],[Category]]="Revenue",Transactions_Clean[[#This Row],[Amount(₹)]],Transactions_Clean[[#This Row],[Amount(₹)]]/8)</f>
        <v>-7055.75</v>
      </c>
    </row>
    <row r="449" spans="1:12">
      <c r="A449" t="s">
        <v>960</v>
      </c>
      <c r="B449" t="s">
        <v>4759</v>
      </c>
      <c r="C449" t="s">
        <v>4750</v>
      </c>
      <c r="D449">
        <v>-36940</v>
      </c>
      <c r="E449" t="s">
        <v>23</v>
      </c>
      <c r="F449" t="s">
        <v>32</v>
      </c>
      <c r="G449" t="s">
        <v>33</v>
      </c>
      <c r="H449" t="s">
        <v>26</v>
      </c>
      <c r="I449" t="s">
        <v>27</v>
      </c>
      <c r="J449" s="11">
        <v>45380</v>
      </c>
      <c r="K449" t="str">
        <f>TEXT(Transactions_Clean[[#This Row],[Date]],"MMM-YYYY")</f>
        <v>Mar-2024</v>
      </c>
      <c r="L449">
        <f>IF(Transactions_Clean[[#This Row],[Category]]="Revenue",Transactions_Clean[[#This Row],[Amount(₹)]],Transactions_Clean[[#This Row],[Amount(₹)]]/8)</f>
        <v>-4617.5</v>
      </c>
    </row>
    <row r="450" spans="1:12">
      <c r="A450" t="s">
        <v>962</v>
      </c>
      <c r="B450" t="s">
        <v>72</v>
      </c>
      <c r="C450" t="s">
        <v>4750</v>
      </c>
      <c r="D450">
        <v>-13139</v>
      </c>
      <c r="E450" t="s">
        <v>74</v>
      </c>
      <c r="F450" t="s">
        <v>24</v>
      </c>
      <c r="G450" t="s">
        <v>25</v>
      </c>
      <c r="H450" t="s">
        <v>39</v>
      </c>
      <c r="I450" t="s">
        <v>34</v>
      </c>
      <c r="J450" s="11">
        <v>45806</v>
      </c>
      <c r="K450" t="str">
        <f>TEXT(Transactions_Clean[[#This Row],[Date]],"MMM-YYYY")</f>
        <v>May-2025</v>
      </c>
      <c r="L450">
        <f>IF(Transactions_Clean[[#This Row],[Category]]="Revenue",Transactions_Clean[[#This Row],[Amount(₹)]],Transactions_Clean[[#This Row],[Amount(₹)]]/8)</f>
        <v>-1642.375</v>
      </c>
    </row>
    <row r="451" spans="1:12">
      <c r="A451" t="s">
        <v>964</v>
      </c>
      <c r="B451" t="s">
        <v>129</v>
      </c>
      <c r="C451" t="s">
        <v>38</v>
      </c>
      <c r="D451">
        <v>-32421</v>
      </c>
      <c r="E451" t="s">
        <v>23</v>
      </c>
      <c r="F451" t="s">
        <v>24</v>
      </c>
      <c r="G451" t="s">
        <v>33</v>
      </c>
      <c r="H451" t="s">
        <v>26</v>
      </c>
      <c r="I451" t="s">
        <v>34</v>
      </c>
      <c r="J451" s="11">
        <v>45072</v>
      </c>
      <c r="K451" t="str">
        <f>TEXT(Transactions_Clean[[#This Row],[Date]],"MMM-YYYY")</f>
        <v>May-2023</v>
      </c>
      <c r="L451">
        <f>IF(Transactions_Clean[[#This Row],[Category]]="Revenue",Transactions_Clean[[#This Row],[Amount(₹)]],Transactions_Clean[[#This Row],[Amount(₹)]]/8)</f>
        <v>-4052.625</v>
      </c>
    </row>
    <row r="452" spans="1:12">
      <c r="A452" t="s">
        <v>965</v>
      </c>
      <c r="B452" t="s">
        <v>37</v>
      </c>
      <c r="C452" t="s">
        <v>38</v>
      </c>
      <c r="D452">
        <v>-19265</v>
      </c>
      <c r="E452" t="s">
        <v>23</v>
      </c>
      <c r="F452" t="s">
        <v>32</v>
      </c>
      <c r="G452" t="s">
        <v>33</v>
      </c>
      <c r="H452" t="s">
        <v>39</v>
      </c>
      <c r="I452" t="s">
        <v>27</v>
      </c>
      <c r="J452" s="11">
        <v>46054</v>
      </c>
      <c r="K452" t="str">
        <f>TEXT(Transactions_Clean[[#This Row],[Date]],"MMM-YYYY")</f>
        <v>Feb-2026</v>
      </c>
      <c r="L452">
        <f>IF(Transactions_Clean[[#This Row],[Category]]="Revenue",Transactions_Clean[[#This Row],[Amount(₹)]],Transactions_Clean[[#This Row],[Amount(₹)]]/8)</f>
        <v>-2408.125</v>
      </c>
    </row>
    <row r="453" spans="1:12">
      <c r="A453" t="s">
        <v>967</v>
      </c>
      <c r="B453" t="s">
        <v>616</v>
      </c>
      <c r="C453" t="s">
        <v>22</v>
      </c>
      <c r="D453">
        <v>-159366</v>
      </c>
      <c r="E453" t="s">
        <v>23</v>
      </c>
      <c r="F453" t="s">
        <v>24</v>
      </c>
      <c r="G453" t="s">
        <v>25</v>
      </c>
      <c r="H453" t="s">
        <v>39</v>
      </c>
      <c r="I453" t="s">
        <v>34</v>
      </c>
      <c r="J453" s="11">
        <v>45833</v>
      </c>
      <c r="K453" t="str">
        <f>TEXT(Transactions_Clean[[#This Row],[Date]],"MMM-YYYY")</f>
        <v>Jun-2025</v>
      </c>
      <c r="L453">
        <f>IF(Transactions_Clean[[#This Row],[Category]]="Revenue",Transactions_Clean[[#This Row],[Amount(₹)]],Transactions_Clean[[#This Row],[Amount(₹)]]/8)</f>
        <v>-19920.75</v>
      </c>
    </row>
    <row r="454" spans="1:12">
      <c r="A454" t="s">
        <v>969</v>
      </c>
      <c r="B454" t="s">
        <v>30</v>
      </c>
      <c r="C454" t="s">
        <v>31</v>
      </c>
      <c r="D454">
        <v>-39384</v>
      </c>
      <c r="E454" t="s">
        <v>23</v>
      </c>
      <c r="F454" t="s">
        <v>32</v>
      </c>
      <c r="G454" t="s">
        <v>33</v>
      </c>
      <c r="H454" t="s">
        <v>26</v>
      </c>
      <c r="I454" t="s">
        <v>48</v>
      </c>
      <c r="J454" s="11">
        <v>45249</v>
      </c>
      <c r="K454" t="str">
        <f>TEXT(Transactions_Clean[[#This Row],[Date]],"MMM-YYYY")</f>
        <v>Nov-2023</v>
      </c>
      <c r="L454">
        <f>IF(Transactions_Clean[[#This Row],[Category]]="Revenue",Transactions_Clean[[#This Row],[Amount(₹)]],Transactions_Clean[[#This Row],[Amount(₹)]]/8)</f>
        <v>-4923</v>
      </c>
    </row>
    <row r="455" spans="1:12">
      <c r="A455" t="s">
        <v>971</v>
      </c>
      <c r="B455" t="s">
        <v>51</v>
      </c>
      <c r="C455" t="s">
        <v>31</v>
      </c>
      <c r="D455">
        <v>-21717</v>
      </c>
      <c r="E455" t="s">
        <v>23</v>
      </c>
      <c r="F455" t="s">
        <v>24</v>
      </c>
      <c r="G455" t="s">
        <v>33</v>
      </c>
      <c r="H455" t="s">
        <v>39</v>
      </c>
      <c r="I455" t="s">
        <v>48</v>
      </c>
      <c r="J455" s="11">
        <v>46022</v>
      </c>
      <c r="K455" t="str">
        <f>TEXT(Transactions_Clean[[#This Row],[Date]],"MMM-YYYY")</f>
        <v>Dec-2025</v>
      </c>
      <c r="L455">
        <f>IF(Transactions_Clean[[#This Row],[Category]]="Revenue",Transactions_Clean[[#This Row],[Amount(₹)]],Transactions_Clean[[#This Row],[Amount(₹)]]/8)</f>
        <v>-2714.625</v>
      </c>
    </row>
    <row r="456" spans="1:12">
      <c r="A456" t="s">
        <v>972</v>
      </c>
      <c r="B456" t="s">
        <v>174</v>
      </c>
      <c r="C456" t="s">
        <v>22</v>
      </c>
      <c r="D456">
        <v>-189596</v>
      </c>
      <c r="E456" t="s">
        <v>23</v>
      </c>
      <c r="F456" t="s">
        <v>24</v>
      </c>
      <c r="G456" t="s">
        <v>25</v>
      </c>
      <c r="H456" t="s">
        <v>26</v>
      </c>
      <c r="I456" t="s">
        <v>40</v>
      </c>
      <c r="J456" s="11">
        <v>45150</v>
      </c>
      <c r="K456" t="str">
        <f>TEXT(Transactions_Clean[[#This Row],[Date]],"MMM-YYYY")</f>
        <v>Aug-2023</v>
      </c>
      <c r="L456">
        <f>IF(Transactions_Clean[[#This Row],[Category]]="Revenue",Transactions_Clean[[#This Row],[Amount(₹)]],Transactions_Clean[[#This Row],[Amount(₹)]]/8)</f>
        <v>-23699.5</v>
      </c>
    </row>
    <row r="457" spans="1:12">
      <c r="A457" t="s">
        <v>974</v>
      </c>
      <c r="B457" t="s">
        <v>66</v>
      </c>
      <c r="C457" t="s">
        <v>61</v>
      </c>
      <c r="D457">
        <v>-20143</v>
      </c>
      <c r="E457" t="s">
        <v>62</v>
      </c>
      <c r="F457" t="s">
        <v>24</v>
      </c>
      <c r="G457" t="s">
        <v>63</v>
      </c>
      <c r="H457" t="s">
        <v>39</v>
      </c>
      <c r="I457" t="s">
        <v>34</v>
      </c>
      <c r="J457" s="11">
        <v>45806</v>
      </c>
      <c r="K457" t="str">
        <f>TEXT(Transactions_Clean[[#This Row],[Date]],"MMM-YYYY")</f>
        <v>May-2025</v>
      </c>
      <c r="L457">
        <f>IF(Transactions_Clean[[#This Row],[Category]]="Revenue",Transactions_Clean[[#This Row],[Amount(₹)]],Transactions_Clean[[#This Row],[Amount(₹)]]/8)</f>
        <v>-2517.875</v>
      </c>
    </row>
    <row r="458" spans="1:12">
      <c r="A458" t="s">
        <v>975</v>
      </c>
      <c r="B458" t="s">
        <v>4755</v>
      </c>
      <c r="C458" t="s">
        <v>78</v>
      </c>
      <c r="D458">
        <v>-81665</v>
      </c>
      <c r="E458" t="s">
        <v>23</v>
      </c>
      <c r="F458" t="s">
        <v>24</v>
      </c>
      <c r="G458" t="s">
        <v>79</v>
      </c>
      <c r="H458" t="s">
        <v>45</v>
      </c>
      <c r="I458" t="s">
        <v>34</v>
      </c>
      <c r="J458" s="11">
        <v>45395</v>
      </c>
      <c r="K458" t="str">
        <f>TEXT(Transactions_Clean[[#This Row],[Date]],"MMM-YYYY")</f>
        <v>Apr-2024</v>
      </c>
      <c r="L458">
        <f>IF(Transactions_Clean[[#This Row],[Category]]="Revenue",Transactions_Clean[[#This Row],[Amount(₹)]],Transactions_Clean[[#This Row],[Amount(₹)]]/8)</f>
        <v>-10208.125</v>
      </c>
    </row>
    <row r="459" spans="1:12">
      <c r="A459" t="s">
        <v>976</v>
      </c>
      <c r="B459" t="s">
        <v>4753</v>
      </c>
      <c r="C459" t="s">
        <v>38</v>
      </c>
      <c r="D459">
        <v>-26498</v>
      </c>
      <c r="E459" t="s">
        <v>23</v>
      </c>
      <c r="F459" t="s">
        <v>24</v>
      </c>
      <c r="G459" t="s">
        <v>33</v>
      </c>
      <c r="H459" t="s">
        <v>26</v>
      </c>
      <c r="I459" t="s">
        <v>48</v>
      </c>
      <c r="J459" s="11">
        <v>45285</v>
      </c>
      <c r="K459" t="str">
        <f>TEXT(Transactions_Clean[[#This Row],[Date]],"MMM-YYYY")</f>
        <v>Dec-2023</v>
      </c>
      <c r="L459">
        <f>IF(Transactions_Clean[[#This Row],[Category]]="Revenue",Transactions_Clean[[#This Row],[Amount(₹)]],Transactions_Clean[[#This Row],[Amount(₹)]]/8)</f>
        <v>-3312.25</v>
      </c>
    </row>
    <row r="460" spans="1:12">
      <c r="A460" t="s">
        <v>977</v>
      </c>
      <c r="B460" t="s">
        <v>224</v>
      </c>
      <c r="C460" t="s">
        <v>78</v>
      </c>
      <c r="D460">
        <v>-46164</v>
      </c>
      <c r="E460" t="s">
        <v>23</v>
      </c>
      <c r="F460" t="s">
        <v>24</v>
      </c>
      <c r="G460" t="s">
        <v>79</v>
      </c>
      <c r="H460" t="s">
        <v>39</v>
      </c>
      <c r="I460" t="s">
        <v>27</v>
      </c>
      <c r="J460" s="11">
        <v>46075</v>
      </c>
      <c r="K460" t="str">
        <f>TEXT(Transactions_Clean[[#This Row],[Date]],"MMM-YYYY")</f>
        <v>Feb-2026</v>
      </c>
      <c r="L460">
        <f>IF(Transactions_Clean[[#This Row],[Category]]="Revenue",Transactions_Clean[[#This Row],[Amount(₹)]],Transactions_Clean[[#This Row],[Amount(₹)]]/8)</f>
        <v>-5770.5</v>
      </c>
    </row>
    <row r="461" spans="1:12">
      <c r="A461" t="s">
        <v>979</v>
      </c>
      <c r="B461" t="s">
        <v>51</v>
      </c>
      <c r="C461" t="s">
        <v>31</v>
      </c>
      <c r="D461">
        <v>-21536</v>
      </c>
      <c r="E461" t="s">
        <v>23</v>
      </c>
      <c r="F461" t="s">
        <v>24</v>
      </c>
      <c r="G461" t="s">
        <v>33</v>
      </c>
      <c r="H461" t="s">
        <v>45</v>
      </c>
      <c r="I461" t="s">
        <v>40</v>
      </c>
      <c r="J461" s="11">
        <v>45482</v>
      </c>
      <c r="K461" t="str">
        <f>TEXT(Transactions_Clean[[#This Row],[Date]],"MMM-YYYY")</f>
        <v>Jul-2024</v>
      </c>
      <c r="L461">
        <f>IF(Transactions_Clean[[#This Row],[Category]]="Revenue",Transactions_Clean[[#This Row],[Amount(₹)]],Transactions_Clean[[#This Row],[Amount(₹)]]/8)</f>
        <v>-2692</v>
      </c>
    </row>
    <row r="462" spans="1:12">
      <c r="A462" t="s">
        <v>981</v>
      </c>
      <c r="B462" t="s">
        <v>4773</v>
      </c>
      <c r="C462" t="s">
        <v>157</v>
      </c>
      <c r="D462">
        <v>741867</v>
      </c>
      <c r="E462" t="s">
        <v>62</v>
      </c>
      <c r="F462" t="s">
        <v>32</v>
      </c>
      <c r="G462" t="s">
        <v>25</v>
      </c>
      <c r="H462" t="s">
        <v>39</v>
      </c>
      <c r="I462" t="s">
        <v>48</v>
      </c>
      <c r="J462" s="11">
        <v>45981</v>
      </c>
      <c r="K462" t="str">
        <f>TEXT(Transactions_Clean[[#This Row],[Date]],"MMM-YYYY")</f>
        <v>Nov-2025</v>
      </c>
      <c r="L462">
        <f>IF(Transactions_Clean[[#This Row],[Category]]="Revenue",Transactions_Clean[[#This Row],[Amount(₹)]],Transactions_Clean[[#This Row],[Amount(₹)]]/8)</f>
        <v>741867</v>
      </c>
    </row>
    <row r="463" spans="1:12">
      <c r="A463" t="s">
        <v>982</v>
      </c>
      <c r="B463" t="s">
        <v>4765</v>
      </c>
      <c r="C463" t="s">
        <v>4750</v>
      </c>
      <c r="D463">
        <v>-24584</v>
      </c>
      <c r="E463" t="s">
        <v>74</v>
      </c>
      <c r="F463" t="s">
        <v>32</v>
      </c>
      <c r="G463" t="s">
        <v>25</v>
      </c>
      <c r="H463" t="s">
        <v>39</v>
      </c>
      <c r="I463" t="s">
        <v>40</v>
      </c>
      <c r="J463" s="11">
        <v>45924</v>
      </c>
      <c r="K463" t="str">
        <f>TEXT(Transactions_Clean[[#This Row],[Date]],"MMM-YYYY")</f>
        <v>Sep-2025</v>
      </c>
      <c r="L463">
        <f>IF(Transactions_Clean[[#This Row],[Category]]="Revenue",Transactions_Clean[[#This Row],[Amount(₹)]],Transactions_Clean[[#This Row],[Amount(₹)]]/8)</f>
        <v>-3073</v>
      </c>
    </row>
    <row r="464" spans="1:12">
      <c r="A464" t="s">
        <v>985</v>
      </c>
      <c r="B464" t="s">
        <v>106</v>
      </c>
      <c r="C464" t="s">
        <v>31</v>
      </c>
      <c r="D464">
        <v>-42105</v>
      </c>
      <c r="E464" t="s">
        <v>23</v>
      </c>
      <c r="F464" t="s">
        <v>24</v>
      </c>
      <c r="G464" t="s">
        <v>33</v>
      </c>
      <c r="H464" t="s">
        <v>39</v>
      </c>
      <c r="I464" t="s">
        <v>48</v>
      </c>
      <c r="J464" s="11">
        <v>46021</v>
      </c>
      <c r="K464" t="str">
        <f>TEXT(Transactions_Clean[[#This Row],[Date]],"MMM-YYYY")</f>
        <v>Dec-2025</v>
      </c>
      <c r="L464">
        <f>IF(Transactions_Clean[[#This Row],[Category]]="Revenue",Transactions_Clean[[#This Row],[Amount(₹)]],Transactions_Clean[[#This Row],[Amount(₹)]]/8)</f>
        <v>-5263.125</v>
      </c>
    </row>
    <row r="465" spans="1:12">
      <c r="A465" t="s">
        <v>987</v>
      </c>
      <c r="B465" t="s">
        <v>310</v>
      </c>
      <c r="C465" t="s">
        <v>22</v>
      </c>
      <c r="D465">
        <v>-150905</v>
      </c>
      <c r="E465" t="s">
        <v>23</v>
      </c>
      <c r="F465" t="s">
        <v>24</v>
      </c>
      <c r="G465" t="s">
        <v>25</v>
      </c>
      <c r="H465" t="s">
        <v>39</v>
      </c>
      <c r="I465" t="s">
        <v>27</v>
      </c>
      <c r="J465" s="11">
        <v>46027</v>
      </c>
      <c r="K465" t="str">
        <f>TEXT(Transactions_Clean[[#This Row],[Date]],"MMM-YYYY")</f>
        <v>Jan-2026</v>
      </c>
      <c r="L465">
        <f>IF(Transactions_Clean[[#This Row],[Category]]="Revenue",Transactions_Clean[[#This Row],[Amount(₹)]],Transactions_Clean[[#This Row],[Amount(₹)]]/8)</f>
        <v>-18863.125</v>
      </c>
    </row>
    <row r="466" spans="1:12">
      <c r="A466" t="s">
        <v>989</v>
      </c>
      <c r="B466" t="s">
        <v>100</v>
      </c>
      <c r="C466" t="s">
        <v>31</v>
      </c>
      <c r="D466">
        <v>-10969</v>
      </c>
      <c r="E466" t="s">
        <v>23</v>
      </c>
      <c r="F466" t="s">
        <v>32</v>
      </c>
      <c r="G466" t="s">
        <v>33</v>
      </c>
      <c r="H466" t="s">
        <v>45</v>
      </c>
      <c r="I466" t="s">
        <v>34</v>
      </c>
      <c r="J466" s="11">
        <v>45461</v>
      </c>
      <c r="K466" t="str">
        <f>TEXT(Transactions_Clean[[#This Row],[Date]],"MMM-YYYY")</f>
        <v>Jun-2024</v>
      </c>
      <c r="L466">
        <f>IF(Transactions_Clean[[#This Row],[Category]]="Revenue",Transactions_Clean[[#This Row],[Amount(₹)]],Transactions_Clean[[#This Row],[Amount(₹)]]/8)</f>
        <v>-1371.125</v>
      </c>
    </row>
    <row r="467" spans="1:12">
      <c r="A467" t="s">
        <v>991</v>
      </c>
      <c r="B467" t="s">
        <v>161</v>
      </c>
      <c r="C467" t="s">
        <v>22</v>
      </c>
      <c r="D467">
        <v>-107211</v>
      </c>
      <c r="E467" t="s">
        <v>23</v>
      </c>
      <c r="F467" t="s">
        <v>32</v>
      </c>
      <c r="G467" t="s">
        <v>25</v>
      </c>
      <c r="H467" t="s">
        <v>26</v>
      </c>
      <c r="I467" t="s">
        <v>27</v>
      </c>
      <c r="J467" s="11">
        <v>45328</v>
      </c>
      <c r="K467" t="str">
        <f>TEXT(Transactions_Clean[[#This Row],[Date]],"MMM-YYYY")</f>
        <v>Feb-2024</v>
      </c>
      <c r="L467">
        <f>IF(Transactions_Clean[[#This Row],[Category]]="Revenue",Transactions_Clean[[#This Row],[Amount(₹)]],Transactions_Clean[[#This Row],[Amount(₹)]]/8)</f>
        <v>-13401.375</v>
      </c>
    </row>
    <row r="468" spans="1:12">
      <c r="A468" t="s">
        <v>993</v>
      </c>
      <c r="B468" t="s">
        <v>215</v>
      </c>
      <c r="C468" t="s">
        <v>61</v>
      </c>
      <c r="D468">
        <v>-23368</v>
      </c>
      <c r="E468" t="s">
        <v>62</v>
      </c>
      <c r="F468" t="s">
        <v>32</v>
      </c>
      <c r="G468" t="s">
        <v>63</v>
      </c>
      <c r="H468" t="s">
        <v>39</v>
      </c>
      <c r="I468" t="s">
        <v>27</v>
      </c>
      <c r="J468" s="11">
        <v>46088</v>
      </c>
      <c r="K468" t="str">
        <f>TEXT(Transactions_Clean[[#This Row],[Date]],"MMM-YYYY")</f>
        <v>Mar-2026</v>
      </c>
      <c r="L468">
        <f>IF(Transactions_Clean[[#This Row],[Category]]="Revenue",Transactions_Clean[[#This Row],[Amount(₹)]],Transactions_Clean[[#This Row],[Amount(₹)]]/8)</f>
        <v>-2921</v>
      </c>
    </row>
    <row r="469" spans="1:12">
      <c r="A469" t="s">
        <v>995</v>
      </c>
      <c r="B469" t="s">
        <v>4771</v>
      </c>
      <c r="C469" t="s">
        <v>440</v>
      </c>
      <c r="D469">
        <v>-113901</v>
      </c>
      <c r="E469" t="s">
        <v>23</v>
      </c>
      <c r="F469" t="s">
        <v>24</v>
      </c>
      <c r="G469" t="s">
        <v>33</v>
      </c>
      <c r="H469" t="s">
        <v>45</v>
      </c>
      <c r="I469" t="s">
        <v>40</v>
      </c>
      <c r="J469" s="11">
        <v>45508</v>
      </c>
      <c r="K469" t="str">
        <f>TEXT(Transactions_Clean[[#This Row],[Date]],"MMM-YYYY")</f>
        <v>Aug-2024</v>
      </c>
      <c r="L469">
        <f>IF(Transactions_Clean[[#This Row],[Category]]="Revenue",Transactions_Clean[[#This Row],[Amount(₹)]],Transactions_Clean[[#This Row],[Amount(₹)]]/8)</f>
        <v>-14237.625</v>
      </c>
    </row>
    <row r="470" spans="1:12">
      <c r="A470" t="s">
        <v>997</v>
      </c>
      <c r="B470" t="s">
        <v>283</v>
      </c>
      <c r="C470" t="s">
        <v>44</v>
      </c>
      <c r="D470">
        <v>-62586</v>
      </c>
      <c r="E470" t="s">
        <v>23</v>
      </c>
      <c r="F470" t="s">
        <v>32</v>
      </c>
      <c r="G470" t="s">
        <v>33</v>
      </c>
      <c r="H470" t="s">
        <v>39</v>
      </c>
      <c r="I470" t="s">
        <v>40</v>
      </c>
      <c r="J470" s="11">
        <v>45896</v>
      </c>
      <c r="K470" t="str">
        <f>TEXT(Transactions_Clean[[#This Row],[Date]],"MMM-YYYY")</f>
        <v>Aug-2025</v>
      </c>
      <c r="L470">
        <f>IF(Transactions_Clean[[#This Row],[Category]]="Revenue",Transactions_Clean[[#This Row],[Amount(₹)]],Transactions_Clean[[#This Row],[Amount(₹)]]/8)</f>
        <v>-7823.25</v>
      </c>
    </row>
    <row r="471" spans="1:12">
      <c r="A471" t="s">
        <v>999</v>
      </c>
      <c r="B471" t="s">
        <v>143</v>
      </c>
      <c r="C471" t="s">
        <v>78</v>
      </c>
      <c r="D471">
        <v>-38274</v>
      </c>
      <c r="E471" t="s">
        <v>23</v>
      </c>
      <c r="F471" t="s">
        <v>32</v>
      </c>
      <c r="G471" t="s">
        <v>79</v>
      </c>
      <c r="H471" t="s">
        <v>45</v>
      </c>
      <c r="I471" t="s">
        <v>27</v>
      </c>
      <c r="J471" s="11">
        <v>45718</v>
      </c>
      <c r="K471" t="str">
        <f>TEXT(Transactions_Clean[[#This Row],[Date]],"MMM-YYYY")</f>
        <v>Mar-2025</v>
      </c>
      <c r="L471">
        <f>IF(Transactions_Clean[[#This Row],[Category]]="Revenue",Transactions_Clean[[#This Row],[Amount(₹)]],Transactions_Clean[[#This Row],[Amount(₹)]]/8)</f>
        <v>-4784.25</v>
      </c>
    </row>
    <row r="472" spans="1:12">
      <c r="A472" t="s">
        <v>1002</v>
      </c>
      <c r="B472" t="s">
        <v>116</v>
      </c>
      <c r="C472" t="s">
        <v>73</v>
      </c>
      <c r="D472">
        <v>-8675</v>
      </c>
      <c r="E472" t="s">
        <v>74</v>
      </c>
      <c r="F472" t="s">
        <v>24</v>
      </c>
      <c r="G472" t="s">
        <v>25</v>
      </c>
      <c r="H472" t="s">
        <v>45</v>
      </c>
      <c r="I472" t="s">
        <v>34</v>
      </c>
      <c r="J472" s="11">
        <v>45455</v>
      </c>
      <c r="K472" t="str">
        <f>TEXT(Transactions_Clean[[#This Row],[Date]],"MMM-YYYY")</f>
        <v>Jun-2024</v>
      </c>
      <c r="L472">
        <f>IF(Transactions_Clean[[#This Row],[Category]]="Revenue",Transactions_Clean[[#This Row],[Amount(₹)]],Transactions_Clean[[#This Row],[Amount(₹)]]/8)</f>
        <v>-1084.375</v>
      </c>
    </row>
    <row r="473" spans="1:12">
      <c r="A473" t="s">
        <v>1004</v>
      </c>
      <c r="B473" t="s">
        <v>180</v>
      </c>
      <c r="C473" t="s">
        <v>44</v>
      </c>
      <c r="D473">
        <v>-159589</v>
      </c>
      <c r="E473" t="s">
        <v>23</v>
      </c>
      <c r="F473" t="s">
        <v>32</v>
      </c>
      <c r="G473" t="s">
        <v>33</v>
      </c>
      <c r="H473" t="s">
        <v>26</v>
      </c>
      <c r="I473" t="s">
        <v>48</v>
      </c>
      <c r="J473" s="11">
        <v>45253</v>
      </c>
      <c r="K473" t="str">
        <f>TEXT(Transactions_Clean[[#This Row],[Date]],"MMM-YYYY")</f>
        <v>Nov-2023</v>
      </c>
      <c r="L473">
        <f>IF(Transactions_Clean[[#This Row],[Category]]="Revenue",Transactions_Clean[[#This Row],[Amount(₹)]],Transactions_Clean[[#This Row],[Amount(₹)]]/8)</f>
        <v>-19948.625</v>
      </c>
    </row>
    <row r="474" spans="1:12">
      <c r="A474" t="s">
        <v>1006</v>
      </c>
      <c r="B474" t="s">
        <v>174</v>
      </c>
      <c r="C474" t="s">
        <v>22</v>
      </c>
      <c r="D474">
        <v>-174771</v>
      </c>
      <c r="E474" t="s">
        <v>23</v>
      </c>
      <c r="F474" t="s">
        <v>32</v>
      </c>
      <c r="G474" t="s">
        <v>25</v>
      </c>
      <c r="H474" t="s">
        <v>26</v>
      </c>
      <c r="I474" t="s">
        <v>34</v>
      </c>
      <c r="J474" s="11">
        <v>44962</v>
      </c>
      <c r="K474" t="str">
        <f>TEXT(Transactions_Clean[[#This Row],[Date]],"MMM-YYYY")</f>
        <v>Feb-2023</v>
      </c>
      <c r="L474">
        <f>IF(Transactions_Clean[[#This Row],[Category]]="Revenue",Transactions_Clean[[#This Row],[Amount(₹)]],Transactions_Clean[[#This Row],[Amount(₹)]]/8)</f>
        <v>-21846.375</v>
      </c>
    </row>
    <row r="475" spans="1:12">
      <c r="A475" t="s">
        <v>1008</v>
      </c>
      <c r="B475" t="s">
        <v>37</v>
      </c>
      <c r="C475" t="s">
        <v>38</v>
      </c>
      <c r="D475">
        <v>-29684</v>
      </c>
      <c r="E475" t="s">
        <v>23</v>
      </c>
      <c r="F475" t="s">
        <v>24</v>
      </c>
      <c r="G475" t="s">
        <v>33</v>
      </c>
      <c r="H475" t="s">
        <v>26</v>
      </c>
      <c r="I475" t="s">
        <v>34</v>
      </c>
      <c r="J475" s="11">
        <v>45034</v>
      </c>
      <c r="K475" t="str">
        <f>TEXT(Transactions_Clean[[#This Row],[Date]],"MMM-YYYY")</f>
        <v>Apr-2023</v>
      </c>
      <c r="L475">
        <f>IF(Transactions_Clean[[#This Row],[Category]]="Revenue",Transactions_Clean[[#This Row],[Amount(₹)]],Transactions_Clean[[#This Row],[Amount(₹)]]/8)</f>
        <v>-3710.5</v>
      </c>
    </row>
    <row r="476" spans="1:12">
      <c r="A476" t="s">
        <v>1010</v>
      </c>
      <c r="B476" t="s">
        <v>51</v>
      </c>
      <c r="C476" t="s">
        <v>31</v>
      </c>
      <c r="D476">
        <v>-42597</v>
      </c>
      <c r="E476" t="s">
        <v>23</v>
      </c>
      <c r="F476" t="s">
        <v>32</v>
      </c>
      <c r="G476" t="s">
        <v>33</v>
      </c>
      <c r="H476" t="s">
        <v>26</v>
      </c>
      <c r="I476" t="s">
        <v>40</v>
      </c>
      <c r="J476" s="11">
        <v>45165</v>
      </c>
      <c r="K476" t="str">
        <f>TEXT(Transactions_Clean[[#This Row],[Date]],"MMM-YYYY")</f>
        <v>Aug-2023</v>
      </c>
      <c r="L476">
        <f>IF(Transactions_Clean[[#This Row],[Category]]="Revenue",Transactions_Clean[[#This Row],[Amount(₹)]],Transactions_Clean[[#This Row],[Amount(₹)]]/8)</f>
        <v>-5324.625</v>
      </c>
    </row>
    <row r="477" spans="1:12">
      <c r="A477" t="s">
        <v>1012</v>
      </c>
      <c r="B477" t="s">
        <v>161</v>
      </c>
      <c r="C477" t="s">
        <v>22</v>
      </c>
      <c r="D477">
        <v>-160075</v>
      </c>
      <c r="E477" t="s">
        <v>23</v>
      </c>
      <c r="F477" t="s">
        <v>32</v>
      </c>
      <c r="G477" t="s">
        <v>25</v>
      </c>
      <c r="H477" t="s">
        <v>39</v>
      </c>
      <c r="I477" t="s">
        <v>34</v>
      </c>
      <c r="J477" s="11">
        <v>45813</v>
      </c>
      <c r="K477" t="str">
        <f>TEXT(Transactions_Clean[[#This Row],[Date]],"MMM-YYYY")</f>
        <v>Jun-2025</v>
      </c>
      <c r="L477">
        <f>IF(Transactions_Clean[[#This Row],[Category]]="Revenue",Transactions_Clean[[#This Row],[Amount(₹)]],Transactions_Clean[[#This Row],[Amount(₹)]]/8)</f>
        <v>-20009.375</v>
      </c>
    </row>
    <row r="478" spans="1:12">
      <c r="A478" t="s">
        <v>1014</v>
      </c>
      <c r="B478" t="s">
        <v>4756</v>
      </c>
      <c r="C478" t="s">
        <v>73</v>
      </c>
      <c r="D478">
        <v>-32966</v>
      </c>
      <c r="E478" t="s">
        <v>74</v>
      </c>
      <c r="F478" t="s">
        <v>32</v>
      </c>
      <c r="G478" t="s">
        <v>25</v>
      </c>
      <c r="H478" t="s">
        <v>26</v>
      </c>
      <c r="I478" t="s">
        <v>40</v>
      </c>
      <c r="J478" s="11">
        <v>45109</v>
      </c>
      <c r="K478" t="str">
        <f>TEXT(Transactions_Clean[[#This Row],[Date]],"MMM-YYYY")</f>
        <v>Jul-2023</v>
      </c>
      <c r="L478">
        <f>IF(Transactions_Clean[[#This Row],[Category]]="Revenue",Transactions_Clean[[#This Row],[Amount(₹)]],Transactions_Clean[[#This Row],[Amount(₹)]]/8)</f>
        <v>-4120.75</v>
      </c>
    </row>
    <row r="479" spans="1:12">
      <c r="A479" t="s">
        <v>1016</v>
      </c>
      <c r="B479" t="s">
        <v>4752</v>
      </c>
      <c r="C479" t="s">
        <v>44</v>
      </c>
      <c r="D479">
        <v>-153779</v>
      </c>
      <c r="E479" t="s">
        <v>23</v>
      </c>
      <c r="F479" t="s">
        <v>24</v>
      </c>
      <c r="G479" t="s">
        <v>33</v>
      </c>
      <c r="H479" t="s">
        <v>39</v>
      </c>
      <c r="I479" t="s">
        <v>34</v>
      </c>
      <c r="J479" s="11">
        <v>45786</v>
      </c>
      <c r="K479" t="str">
        <f>TEXT(Transactions_Clean[[#This Row],[Date]],"MMM-YYYY")</f>
        <v>May-2025</v>
      </c>
      <c r="L479">
        <f>IF(Transactions_Clean[[#This Row],[Category]]="Revenue",Transactions_Clean[[#This Row],[Amount(₹)]],Transactions_Clean[[#This Row],[Amount(₹)]]/8)</f>
        <v>-19222.375</v>
      </c>
    </row>
    <row r="480" spans="1:12">
      <c r="A480" t="s">
        <v>1018</v>
      </c>
      <c r="B480" t="s">
        <v>4774</v>
      </c>
      <c r="C480" t="s">
        <v>440</v>
      </c>
      <c r="D480">
        <v>-112479</v>
      </c>
      <c r="E480" t="s">
        <v>23</v>
      </c>
      <c r="F480" t="s">
        <v>32</v>
      </c>
      <c r="G480" t="s">
        <v>33</v>
      </c>
      <c r="H480" t="s">
        <v>26</v>
      </c>
      <c r="I480" t="s">
        <v>34</v>
      </c>
      <c r="J480" s="11">
        <v>45103</v>
      </c>
      <c r="K480" t="str">
        <f>TEXT(Transactions_Clean[[#This Row],[Date]],"MMM-YYYY")</f>
        <v>Jun-2023</v>
      </c>
      <c r="L480">
        <f>IF(Transactions_Clean[[#This Row],[Category]]="Revenue",Transactions_Clean[[#This Row],[Amount(₹)]],Transactions_Clean[[#This Row],[Amount(₹)]]/8)</f>
        <v>-14059.875</v>
      </c>
    </row>
    <row r="481" spans="1:12">
      <c r="A481" t="s">
        <v>1020</v>
      </c>
      <c r="B481" t="s">
        <v>215</v>
      </c>
      <c r="C481" t="s">
        <v>61</v>
      </c>
      <c r="D481">
        <v>-62495</v>
      </c>
      <c r="E481" t="s">
        <v>62</v>
      </c>
      <c r="F481" t="s">
        <v>24</v>
      </c>
      <c r="G481" t="s">
        <v>63</v>
      </c>
      <c r="H481" t="s">
        <v>45</v>
      </c>
      <c r="I481" t="s">
        <v>48</v>
      </c>
      <c r="J481" s="11">
        <v>45608</v>
      </c>
      <c r="K481" t="str">
        <f>TEXT(Transactions_Clean[[#This Row],[Date]],"MMM-YYYY")</f>
        <v>Nov-2024</v>
      </c>
      <c r="L481">
        <f>IF(Transactions_Clean[[#This Row],[Category]]="Revenue",Transactions_Clean[[#This Row],[Amount(₹)]],Transactions_Clean[[#This Row],[Amount(₹)]]/8)</f>
        <v>-7811.875</v>
      </c>
    </row>
    <row r="482" spans="1:12">
      <c r="A482" t="s">
        <v>1022</v>
      </c>
      <c r="B482" t="s">
        <v>169</v>
      </c>
      <c r="C482" t="s">
        <v>73</v>
      </c>
      <c r="D482">
        <v>-8614</v>
      </c>
      <c r="E482" t="s">
        <v>74</v>
      </c>
      <c r="F482" t="s">
        <v>24</v>
      </c>
      <c r="G482" t="s">
        <v>25</v>
      </c>
      <c r="H482" t="s">
        <v>39</v>
      </c>
      <c r="I482" t="s">
        <v>48</v>
      </c>
      <c r="J482" s="11">
        <v>46002</v>
      </c>
      <c r="K482" t="str">
        <f>TEXT(Transactions_Clean[[#This Row],[Date]],"MMM-YYYY")</f>
        <v>Dec-2025</v>
      </c>
      <c r="L482">
        <f>IF(Transactions_Clean[[#This Row],[Category]]="Revenue",Transactions_Clean[[#This Row],[Amount(₹)]],Transactions_Clean[[#This Row],[Amount(₹)]]/8)</f>
        <v>-1076.75</v>
      </c>
    </row>
    <row r="483" spans="1:12">
      <c r="A483" t="s">
        <v>1024</v>
      </c>
      <c r="B483" t="s">
        <v>4748</v>
      </c>
      <c r="C483" t="s">
        <v>22</v>
      </c>
      <c r="D483">
        <v>-70432</v>
      </c>
      <c r="E483" t="s">
        <v>23</v>
      </c>
      <c r="F483" t="s">
        <v>24</v>
      </c>
      <c r="G483" t="s">
        <v>25</v>
      </c>
      <c r="H483" t="s">
        <v>39</v>
      </c>
      <c r="I483" t="s">
        <v>27</v>
      </c>
      <c r="J483" s="11">
        <v>46072</v>
      </c>
      <c r="K483" t="str">
        <f>TEXT(Transactions_Clean[[#This Row],[Date]],"MMM-YYYY")</f>
        <v>Feb-2026</v>
      </c>
      <c r="L483">
        <f>IF(Transactions_Clean[[#This Row],[Category]]="Revenue",Transactions_Clean[[#This Row],[Amount(₹)]],Transactions_Clean[[#This Row],[Amount(₹)]]/8)</f>
        <v>-8804</v>
      </c>
    </row>
    <row r="484" spans="1:12">
      <c r="A484" t="s">
        <v>1025</v>
      </c>
      <c r="B484" t="s">
        <v>4767</v>
      </c>
      <c r="C484" t="s">
        <v>157</v>
      </c>
      <c r="D484">
        <v>744703</v>
      </c>
      <c r="E484" t="s">
        <v>62</v>
      </c>
      <c r="F484" t="s">
        <v>32</v>
      </c>
      <c r="G484" t="s">
        <v>25</v>
      </c>
      <c r="H484" t="s">
        <v>39</v>
      </c>
      <c r="I484" t="s">
        <v>48</v>
      </c>
      <c r="J484" s="11">
        <v>45934</v>
      </c>
      <c r="K484" t="str">
        <f>TEXT(Transactions_Clean[[#This Row],[Date]],"MMM-YYYY")</f>
        <v>Oct-2025</v>
      </c>
      <c r="L484">
        <f>IF(Transactions_Clean[[#This Row],[Category]]="Revenue",Transactions_Clean[[#This Row],[Amount(₹)]],Transactions_Clean[[#This Row],[Amount(₹)]]/8)</f>
        <v>744703</v>
      </c>
    </row>
    <row r="485" spans="1:12">
      <c r="A485" t="s">
        <v>1027</v>
      </c>
      <c r="B485" t="s">
        <v>212</v>
      </c>
      <c r="C485" t="s">
        <v>73</v>
      </c>
      <c r="D485">
        <v>-54810</v>
      </c>
      <c r="E485" t="s">
        <v>74</v>
      </c>
      <c r="F485" t="s">
        <v>32</v>
      </c>
      <c r="G485" t="s">
        <v>25</v>
      </c>
      <c r="H485" t="s">
        <v>26</v>
      </c>
      <c r="I485" t="s">
        <v>48</v>
      </c>
      <c r="J485" s="11">
        <v>45056</v>
      </c>
      <c r="K485" t="str">
        <f>TEXT(Transactions_Clean[[#This Row],[Date]],"MMM-YYYY")</f>
        <v>May-2023</v>
      </c>
      <c r="L485">
        <f>IF(Transactions_Clean[[#This Row],[Category]]="Revenue",Transactions_Clean[[#This Row],[Amount(₹)]],Transactions_Clean[[#This Row],[Amount(₹)]]/8)</f>
        <v>-6851.25</v>
      </c>
    </row>
    <row r="486" spans="1:12">
      <c r="A486" t="s">
        <v>1029</v>
      </c>
      <c r="B486" t="s">
        <v>100</v>
      </c>
      <c r="C486" t="s">
        <v>4750</v>
      </c>
      <c r="D486">
        <v>-43542</v>
      </c>
      <c r="E486" t="s">
        <v>23</v>
      </c>
      <c r="F486" t="s">
        <v>24</v>
      </c>
      <c r="G486" t="s">
        <v>33</v>
      </c>
      <c r="H486" t="s">
        <v>45</v>
      </c>
      <c r="I486" t="s">
        <v>34</v>
      </c>
      <c r="J486" s="11">
        <v>45398</v>
      </c>
      <c r="K486" t="str">
        <f>TEXT(Transactions_Clean[[#This Row],[Date]],"MMM-YYYY")</f>
        <v>Apr-2024</v>
      </c>
      <c r="L486">
        <f>IF(Transactions_Clean[[#This Row],[Category]]="Revenue",Transactions_Clean[[#This Row],[Amount(₹)]],Transactions_Clean[[#This Row],[Amount(₹)]]/8)</f>
        <v>-5442.75</v>
      </c>
    </row>
    <row r="487" spans="1:12">
      <c r="A487" t="s">
        <v>1030</v>
      </c>
      <c r="B487" t="s">
        <v>180</v>
      </c>
      <c r="C487" t="s">
        <v>44</v>
      </c>
      <c r="D487">
        <v>-91119</v>
      </c>
      <c r="E487" t="s">
        <v>23</v>
      </c>
      <c r="F487" t="s">
        <v>32</v>
      </c>
      <c r="G487" t="s">
        <v>33</v>
      </c>
      <c r="H487" t="s">
        <v>26</v>
      </c>
      <c r="I487" t="s">
        <v>27</v>
      </c>
      <c r="J487" s="11">
        <v>45332</v>
      </c>
      <c r="K487" t="str">
        <f>TEXT(Transactions_Clean[[#This Row],[Date]],"MMM-YYYY")</f>
        <v>Feb-2024</v>
      </c>
      <c r="L487">
        <f>IF(Transactions_Clean[[#This Row],[Category]]="Revenue",Transactions_Clean[[#This Row],[Amount(₹)]],Transactions_Clean[[#This Row],[Amount(₹)]]/8)</f>
        <v>-11389.875</v>
      </c>
    </row>
    <row r="488" spans="1:12">
      <c r="A488" t="s">
        <v>1031</v>
      </c>
      <c r="B488" t="s">
        <v>305</v>
      </c>
      <c r="C488" t="s">
        <v>38</v>
      </c>
      <c r="D488">
        <v>-28145</v>
      </c>
      <c r="E488" t="s">
        <v>23</v>
      </c>
      <c r="F488" t="s">
        <v>32</v>
      </c>
      <c r="G488" t="s">
        <v>33</v>
      </c>
      <c r="H488" t="s">
        <v>45</v>
      </c>
      <c r="I488" t="s">
        <v>40</v>
      </c>
      <c r="J488" s="11">
        <v>45500</v>
      </c>
      <c r="K488" t="str">
        <f>TEXT(Transactions_Clean[[#This Row],[Date]],"MMM-YYYY")</f>
        <v>Jul-2024</v>
      </c>
      <c r="L488">
        <f>IF(Transactions_Clean[[#This Row],[Category]]="Revenue",Transactions_Clean[[#This Row],[Amount(₹)]],Transactions_Clean[[#This Row],[Amount(₹)]]/8)</f>
        <v>-3518.125</v>
      </c>
    </row>
    <row r="489" spans="1:12">
      <c r="A489" t="s">
        <v>1033</v>
      </c>
      <c r="B489" t="s">
        <v>4752</v>
      </c>
      <c r="C489" t="s">
        <v>44</v>
      </c>
      <c r="D489">
        <v>-133929</v>
      </c>
      <c r="E489" t="s">
        <v>23</v>
      </c>
      <c r="F489" t="s">
        <v>24</v>
      </c>
      <c r="G489" t="s">
        <v>33</v>
      </c>
      <c r="H489" t="s">
        <v>39</v>
      </c>
      <c r="I489" t="s">
        <v>40</v>
      </c>
      <c r="J489" s="11">
        <v>45850</v>
      </c>
      <c r="K489" t="str">
        <f>TEXT(Transactions_Clean[[#This Row],[Date]],"MMM-YYYY")</f>
        <v>Jul-2025</v>
      </c>
      <c r="L489">
        <f>IF(Transactions_Clean[[#This Row],[Category]]="Revenue",Transactions_Clean[[#This Row],[Amount(₹)]],Transactions_Clean[[#This Row],[Amount(₹)]]/8)</f>
        <v>-16741.125</v>
      </c>
    </row>
    <row r="490" spans="1:12">
      <c r="A490" t="s">
        <v>1035</v>
      </c>
      <c r="B490" t="s">
        <v>4751</v>
      </c>
      <c r="C490" t="s">
        <v>38</v>
      </c>
      <c r="D490">
        <v>-47316</v>
      </c>
      <c r="E490" t="s">
        <v>23</v>
      </c>
      <c r="F490" t="s">
        <v>24</v>
      </c>
      <c r="G490" t="s">
        <v>33</v>
      </c>
      <c r="H490" t="s">
        <v>26</v>
      </c>
      <c r="I490" t="s">
        <v>48</v>
      </c>
      <c r="J490" s="11">
        <v>45245</v>
      </c>
      <c r="K490" t="str">
        <f>TEXT(Transactions_Clean[[#This Row],[Date]],"MMM-YYYY")</f>
        <v>Nov-2023</v>
      </c>
      <c r="L490">
        <f>IF(Transactions_Clean[[#This Row],[Category]]="Revenue",Transactions_Clean[[#This Row],[Amount(₹)]],Transactions_Clean[[#This Row],[Amount(₹)]]/8)</f>
        <v>-5914.5</v>
      </c>
    </row>
    <row r="491" spans="1:12">
      <c r="A491" t="s">
        <v>1037</v>
      </c>
      <c r="B491" t="s">
        <v>4776</v>
      </c>
      <c r="C491" t="s">
        <v>440</v>
      </c>
      <c r="D491">
        <v>-98499</v>
      </c>
      <c r="E491" t="s">
        <v>23</v>
      </c>
      <c r="F491" t="s">
        <v>24</v>
      </c>
      <c r="G491" t="s">
        <v>33</v>
      </c>
      <c r="H491" t="s">
        <v>39</v>
      </c>
      <c r="I491" t="s">
        <v>40</v>
      </c>
      <c r="J491" s="11">
        <v>45895</v>
      </c>
      <c r="K491" t="str">
        <f>TEXT(Transactions_Clean[[#This Row],[Date]],"MMM-YYYY")</f>
        <v>Aug-2025</v>
      </c>
      <c r="L491">
        <f>IF(Transactions_Clean[[#This Row],[Category]]="Revenue",Transactions_Clean[[#This Row],[Amount(₹)]],Transactions_Clean[[#This Row],[Amount(₹)]]/8)</f>
        <v>-12312.375</v>
      </c>
    </row>
    <row r="492" spans="1:12">
      <c r="A492" t="s">
        <v>1040</v>
      </c>
      <c r="B492" t="s">
        <v>215</v>
      </c>
      <c r="C492" t="s">
        <v>61</v>
      </c>
      <c r="D492">
        <v>-23162</v>
      </c>
      <c r="E492" t="s">
        <v>62</v>
      </c>
      <c r="F492" t="s">
        <v>32</v>
      </c>
      <c r="G492" t="s">
        <v>63</v>
      </c>
      <c r="H492" t="s">
        <v>26</v>
      </c>
      <c r="I492" t="s">
        <v>48</v>
      </c>
      <c r="J492" s="11">
        <v>45262</v>
      </c>
      <c r="K492" t="str">
        <f>TEXT(Transactions_Clean[[#This Row],[Date]],"MMM-YYYY")</f>
        <v>Dec-2023</v>
      </c>
      <c r="L492">
        <f>IF(Transactions_Clean[[#This Row],[Category]]="Revenue",Transactions_Clean[[#This Row],[Amount(₹)]],Transactions_Clean[[#This Row],[Amount(₹)]]/8)</f>
        <v>-2895.25</v>
      </c>
    </row>
    <row r="493" spans="1:12">
      <c r="A493" t="s">
        <v>1042</v>
      </c>
      <c r="B493" t="s">
        <v>237</v>
      </c>
      <c r="C493" t="s">
        <v>22</v>
      </c>
      <c r="D493">
        <v>-143005</v>
      </c>
      <c r="E493" t="s">
        <v>23</v>
      </c>
      <c r="F493" t="s">
        <v>32</v>
      </c>
      <c r="G493" t="s">
        <v>25</v>
      </c>
      <c r="H493" t="s">
        <v>39</v>
      </c>
      <c r="I493" t="s">
        <v>27</v>
      </c>
      <c r="J493" s="11">
        <v>46060</v>
      </c>
      <c r="K493" t="str">
        <f>TEXT(Transactions_Clean[[#This Row],[Date]],"MMM-YYYY")</f>
        <v>Feb-2026</v>
      </c>
      <c r="L493">
        <f>IF(Transactions_Clean[[#This Row],[Category]]="Revenue",Transactions_Clean[[#This Row],[Amount(₹)]],Transactions_Clean[[#This Row],[Amount(₹)]]/8)</f>
        <v>-17875.625</v>
      </c>
    </row>
    <row r="494" spans="1:12">
      <c r="A494" t="s">
        <v>1044</v>
      </c>
      <c r="B494" t="s">
        <v>177</v>
      </c>
      <c r="C494" t="s">
        <v>78</v>
      </c>
      <c r="D494">
        <v>-15441</v>
      </c>
      <c r="E494" t="s">
        <v>23</v>
      </c>
      <c r="F494" t="s">
        <v>24</v>
      </c>
      <c r="G494" t="s">
        <v>79</v>
      </c>
      <c r="H494" t="s">
        <v>39</v>
      </c>
      <c r="I494" t="s">
        <v>34</v>
      </c>
      <c r="J494" s="11">
        <v>45752</v>
      </c>
      <c r="K494" t="str">
        <f>TEXT(Transactions_Clean[[#This Row],[Date]],"MMM-YYYY")</f>
        <v>Apr-2025</v>
      </c>
      <c r="L494">
        <f>IF(Transactions_Clean[[#This Row],[Category]]="Revenue",Transactions_Clean[[#This Row],[Amount(₹)]],Transactions_Clean[[#This Row],[Amount(₹)]]/8)</f>
        <v>-1930.125</v>
      </c>
    </row>
    <row r="495" spans="1:12">
      <c r="A495" t="s">
        <v>1046</v>
      </c>
      <c r="B495" t="s">
        <v>100</v>
      </c>
      <c r="C495" t="s">
        <v>31</v>
      </c>
      <c r="D495">
        <v>-43044</v>
      </c>
      <c r="E495" t="s">
        <v>23</v>
      </c>
      <c r="F495" t="s">
        <v>32</v>
      </c>
      <c r="G495" t="s">
        <v>33</v>
      </c>
      <c r="H495" t="s">
        <v>45</v>
      </c>
      <c r="I495" t="s">
        <v>48</v>
      </c>
      <c r="J495" s="11">
        <v>45569</v>
      </c>
      <c r="K495" t="str">
        <f>TEXT(Transactions_Clean[[#This Row],[Date]],"MMM-YYYY")</f>
        <v>Oct-2024</v>
      </c>
      <c r="L495">
        <f>IF(Transactions_Clean[[#This Row],[Category]]="Revenue",Transactions_Clean[[#This Row],[Amount(₹)]],Transactions_Clean[[#This Row],[Amount(₹)]]/8)</f>
        <v>-5380.5</v>
      </c>
    </row>
    <row r="496" spans="1:12">
      <c r="A496" t="s">
        <v>1049</v>
      </c>
      <c r="B496" t="s">
        <v>116</v>
      </c>
      <c r="C496" t="s">
        <v>73</v>
      </c>
      <c r="D496">
        <v>-19668</v>
      </c>
      <c r="E496" t="s">
        <v>74</v>
      </c>
      <c r="F496" t="s">
        <v>24</v>
      </c>
      <c r="G496" t="s">
        <v>25</v>
      </c>
      <c r="H496" t="s">
        <v>39</v>
      </c>
      <c r="I496" t="s">
        <v>40</v>
      </c>
      <c r="J496" s="11">
        <v>45852</v>
      </c>
      <c r="K496" t="str">
        <f>TEXT(Transactions_Clean[[#This Row],[Date]],"MMM-YYYY")</f>
        <v>Jul-2025</v>
      </c>
      <c r="L496">
        <f>IF(Transactions_Clean[[#This Row],[Category]]="Revenue",Transactions_Clean[[#This Row],[Amount(₹)]],Transactions_Clean[[#This Row],[Amount(₹)]]/8)</f>
        <v>-2458.5</v>
      </c>
    </row>
    <row r="497" spans="1:12">
      <c r="A497" t="s">
        <v>1050</v>
      </c>
      <c r="B497" t="s">
        <v>4770</v>
      </c>
      <c r="C497" t="s">
        <v>440</v>
      </c>
      <c r="D497">
        <v>-111647</v>
      </c>
      <c r="E497" t="s">
        <v>23</v>
      </c>
      <c r="F497" t="s">
        <v>32</v>
      </c>
      <c r="G497" t="s">
        <v>33</v>
      </c>
      <c r="H497" t="s">
        <v>39</v>
      </c>
      <c r="I497" t="s">
        <v>34</v>
      </c>
      <c r="J497" s="11">
        <v>45806</v>
      </c>
      <c r="K497" t="str">
        <f>TEXT(Transactions_Clean[[#This Row],[Date]],"MMM-YYYY")</f>
        <v>May-2025</v>
      </c>
      <c r="L497">
        <f>IF(Transactions_Clean[[#This Row],[Category]]="Revenue",Transactions_Clean[[#This Row],[Amount(₹)]],Transactions_Clean[[#This Row],[Amount(₹)]]/8)</f>
        <v>-13955.875</v>
      </c>
    </row>
    <row r="498" spans="1:12">
      <c r="A498" t="s">
        <v>1052</v>
      </c>
      <c r="B498" t="s">
        <v>129</v>
      </c>
      <c r="C498" t="s">
        <v>38</v>
      </c>
      <c r="D498">
        <v>-10473</v>
      </c>
      <c r="E498" t="s">
        <v>23</v>
      </c>
      <c r="F498" t="s">
        <v>32</v>
      </c>
      <c r="G498" t="s">
        <v>33</v>
      </c>
      <c r="H498" t="s">
        <v>26</v>
      </c>
      <c r="I498" t="s">
        <v>48</v>
      </c>
      <c r="J498" s="11">
        <v>45245</v>
      </c>
      <c r="K498" t="str">
        <f>TEXT(Transactions_Clean[[#This Row],[Date]],"MMM-YYYY")</f>
        <v>Nov-2023</v>
      </c>
      <c r="L498">
        <f>IF(Transactions_Clean[[#This Row],[Category]]="Revenue",Transactions_Clean[[#This Row],[Amount(₹)]],Transactions_Clean[[#This Row],[Amount(₹)]]/8)</f>
        <v>-1309.125</v>
      </c>
    </row>
    <row r="499" spans="1:12">
      <c r="A499" t="s">
        <v>1053</v>
      </c>
      <c r="B499" t="s">
        <v>100</v>
      </c>
      <c r="C499" t="s">
        <v>31</v>
      </c>
      <c r="D499">
        <v>-38522</v>
      </c>
      <c r="E499" t="s">
        <v>23</v>
      </c>
      <c r="F499" t="s">
        <v>24</v>
      </c>
      <c r="G499" t="s">
        <v>33</v>
      </c>
      <c r="H499" t="s">
        <v>45</v>
      </c>
      <c r="I499" t="s">
        <v>34</v>
      </c>
      <c r="J499" s="11">
        <v>45448</v>
      </c>
      <c r="K499" t="str">
        <f>TEXT(Transactions_Clean[[#This Row],[Date]],"MMM-YYYY")</f>
        <v>Jun-2024</v>
      </c>
      <c r="L499">
        <f>IF(Transactions_Clean[[#This Row],[Category]]="Revenue",Transactions_Clean[[#This Row],[Amount(₹)]],Transactions_Clean[[#This Row],[Amount(₹)]]/8)</f>
        <v>-4815.25</v>
      </c>
    </row>
    <row r="500" spans="1:12">
      <c r="A500" t="s">
        <v>1054</v>
      </c>
      <c r="B500" t="s">
        <v>66</v>
      </c>
      <c r="C500" t="s">
        <v>61</v>
      </c>
      <c r="D500">
        <v>-21702</v>
      </c>
      <c r="E500" t="s">
        <v>62</v>
      </c>
      <c r="F500" t="s">
        <v>32</v>
      </c>
      <c r="G500" t="s">
        <v>63</v>
      </c>
      <c r="H500" t="s">
        <v>26</v>
      </c>
      <c r="I500" t="s">
        <v>27</v>
      </c>
      <c r="J500" s="11">
        <v>45355</v>
      </c>
      <c r="K500" t="str">
        <f>TEXT(Transactions_Clean[[#This Row],[Date]],"MMM-YYYY")</f>
        <v>Mar-2024</v>
      </c>
      <c r="L500">
        <f>IF(Transactions_Clean[[#This Row],[Category]]="Revenue",Transactions_Clean[[#This Row],[Amount(₹)]],Transactions_Clean[[#This Row],[Amount(₹)]]/8)</f>
        <v>-2712.75</v>
      </c>
    </row>
    <row r="501" spans="1:12">
      <c r="A501" t="s">
        <v>1055</v>
      </c>
      <c r="B501" t="s">
        <v>305</v>
      </c>
      <c r="C501" t="s">
        <v>38</v>
      </c>
      <c r="D501">
        <v>-46358</v>
      </c>
      <c r="E501" t="s">
        <v>23</v>
      </c>
      <c r="F501" t="s">
        <v>24</v>
      </c>
      <c r="G501" t="s">
        <v>33</v>
      </c>
      <c r="H501" t="s">
        <v>39</v>
      </c>
      <c r="I501" t="s">
        <v>27</v>
      </c>
      <c r="J501" s="11">
        <v>46084</v>
      </c>
      <c r="K501" t="str">
        <f>TEXT(Transactions_Clean[[#This Row],[Date]],"MMM-YYYY")</f>
        <v>Mar-2026</v>
      </c>
      <c r="L501">
        <f>IF(Transactions_Clean[[#This Row],[Category]]="Revenue",Transactions_Clean[[#This Row],[Amount(₹)]],Transactions_Clean[[#This Row],[Amount(₹)]]/8)</f>
        <v>-5794.75</v>
      </c>
    </row>
    <row r="502" spans="1:12">
      <c r="A502" t="s">
        <v>1057</v>
      </c>
      <c r="B502" t="s">
        <v>4759</v>
      </c>
      <c r="C502" t="s">
        <v>31</v>
      </c>
      <c r="D502">
        <v>-36492</v>
      </c>
      <c r="E502" t="s">
        <v>23</v>
      </c>
      <c r="F502" t="s">
        <v>32</v>
      </c>
      <c r="G502" t="s">
        <v>33</v>
      </c>
      <c r="H502" t="s">
        <v>45</v>
      </c>
      <c r="I502" t="s">
        <v>40</v>
      </c>
      <c r="J502" s="11">
        <v>45487</v>
      </c>
      <c r="K502" t="str">
        <f>TEXT(Transactions_Clean[[#This Row],[Date]],"MMM-YYYY")</f>
        <v>Jul-2024</v>
      </c>
      <c r="L502">
        <f>IF(Transactions_Clean[[#This Row],[Category]]="Revenue",Transactions_Clean[[#This Row],[Amount(₹)]],Transactions_Clean[[#This Row],[Amount(₹)]]/8)</f>
        <v>-4561.5</v>
      </c>
    </row>
    <row r="503" spans="1:12">
      <c r="A503" t="s">
        <v>1058</v>
      </c>
      <c r="B503" t="s">
        <v>4763</v>
      </c>
      <c r="C503" t="s">
        <v>22</v>
      </c>
      <c r="D503">
        <v>-200756</v>
      </c>
      <c r="E503" t="s">
        <v>23</v>
      </c>
      <c r="F503" t="s">
        <v>24</v>
      </c>
      <c r="G503" t="s">
        <v>25</v>
      </c>
      <c r="H503" t="s">
        <v>39</v>
      </c>
      <c r="I503" t="s">
        <v>48</v>
      </c>
      <c r="J503" s="11">
        <v>46017</v>
      </c>
      <c r="K503" t="str">
        <f>TEXT(Transactions_Clean[[#This Row],[Date]],"MMM-YYYY")</f>
        <v>Dec-2025</v>
      </c>
      <c r="L503">
        <f>IF(Transactions_Clean[[#This Row],[Category]]="Revenue",Transactions_Clean[[#This Row],[Amount(₹)]],Transactions_Clean[[#This Row],[Amount(₹)]]/8)</f>
        <v>-25094.5</v>
      </c>
    </row>
    <row r="504" spans="1:12">
      <c r="A504" t="s">
        <v>1059</v>
      </c>
      <c r="B504" t="s">
        <v>212</v>
      </c>
      <c r="C504" t="s">
        <v>73</v>
      </c>
      <c r="D504">
        <v>-94324</v>
      </c>
      <c r="E504" t="s">
        <v>74</v>
      </c>
      <c r="F504" t="s">
        <v>24</v>
      </c>
      <c r="G504" t="s">
        <v>25</v>
      </c>
      <c r="H504" t="s">
        <v>45</v>
      </c>
      <c r="I504" t="s">
        <v>27</v>
      </c>
      <c r="J504" s="11">
        <v>45700</v>
      </c>
      <c r="K504" t="str">
        <f>TEXT(Transactions_Clean[[#This Row],[Date]],"MMM-YYYY")</f>
        <v>Feb-2025</v>
      </c>
      <c r="L504">
        <f>IF(Transactions_Clean[[#This Row],[Category]]="Revenue",Transactions_Clean[[#This Row],[Amount(₹)]],Transactions_Clean[[#This Row],[Amount(₹)]]/8)</f>
        <v>-11790.5</v>
      </c>
    </row>
    <row r="505" spans="1:12">
      <c r="A505" t="s">
        <v>1060</v>
      </c>
      <c r="B505" t="s">
        <v>4749</v>
      </c>
      <c r="C505" t="s">
        <v>44</v>
      </c>
      <c r="D505">
        <v>-166652</v>
      </c>
      <c r="E505" t="s">
        <v>23</v>
      </c>
      <c r="F505" t="s">
        <v>32</v>
      </c>
      <c r="G505" t="s">
        <v>33</v>
      </c>
      <c r="H505" t="s">
        <v>26</v>
      </c>
      <c r="I505" t="s">
        <v>40</v>
      </c>
      <c r="J505" s="11">
        <v>45134</v>
      </c>
      <c r="K505" t="str">
        <f>TEXT(Transactions_Clean[[#This Row],[Date]],"MMM-YYYY")</f>
        <v>Jul-2023</v>
      </c>
      <c r="L505">
        <f>IF(Transactions_Clean[[#This Row],[Category]]="Revenue",Transactions_Clean[[#This Row],[Amount(₹)]],Transactions_Clean[[#This Row],[Amount(₹)]]/8)</f>
        <v>-20831.5</v>
      </c>
    </row>
    <row r="506" spans="1:12">
      <c r="A506" t="s">
        <v>1062</v>
      </c>
      <c r="B506" t="s">
        <v>4759</v>
      </c>
      <c r="C506" t="s">
        <v>31</v>
      </c>
      <c r="D506">
        <v>-28518</v>
      </c>
      <c r="E506" t="s">
        <v>23</v>
      </c>
      <c r="F506" t="s">
        <v>32</v>
      </c>
      <c r="G506" t="s">
        <v>33</v>
      </c>
      <c r="H506" t="s">
        <v>26</v>
      </c>
      <c r="I506" t="s">
        <v>40</v>
      </c>
      <c r="J506" s="11">
        <v>45120</v>
      </c>
      <c r="K506" t="str">
        <f>TEXT(Transactions_Clean[[#This Row],[Date]],"MMM-YYYY")</f>
        <v>Jul-2023</v>
      </c>
      <c r="L506">
        <f>IF(Transactions_Clean[[#This Row],[Category]]="Revenue",Transactions_Clean[[#This Row],[Amount(₹)]],Transactions_Clean[[#This Row],[Amount(₹)]]/8)</f>
        <v>-3564.75</v>
      </c>
    </row>
    <row r="507" spans="1:12">
      <c r="A507" t="s">
        <v>1063</v>
      </c>
      <c r="B507" t="s">
        <v>116</v>
      </c>
      <c r="C507" t="s">
        <v>73</v>
      </c>
      <c r="D507">
        <v>-62339</v>
      </c>
      <c r="E507" t="s">
        <v>74</v>
      </c>
      <c r="F507" t="s">
        <v>32</v>
      </c>
      <c r="G507" t="s">
        <v>25</v>
      </c>
      <c r="H507" t="s">
        <v>39</v>
      </c>
      <c r="I507" t="s">
        <v>40</v>
      </c>
      <c r="J507" s="11">
        <v>45851</v>
      </c>
      <c r="K507" t="str">
        <f>TEXT(Transactions_Clean[[#This Row],[Date]],"MMM-YYYY")</f>
        <v>Jul-2025</v>
      </c>
      <c r="L507">
        <f>IF(Transactions_Clean[[#This Row],[Category]]="Revenue",Transactions_Clean[[#This Row],[Amount(₹)]],Transactions_Clean[[#This Row],[Amount(₹)]]/8)</f>
        <v>-7792.375</v>
      </c>
    </row>
    <row r="508" spans="1:12">
      <c r="A508" t="s">
        <v>1064</v>
      </c>
      <c r="B508" t="s">
        <v>177</v>
      </c>
      <c r="C508" t="s">
        <v>78</v>
      </c>
      <c r="D508">
        <v>-16615</v>
      </c>
      <c r="E508" t="s">
        <v>23</v>
      </c>
      <c r="F508" t="s">
        <v>32</v>
      </c>
      <c r="G508" t="s">
        <v>79</v>
      </c>
      <c r="H508" t="s">
        <v>39</v>
      </c>
      <c r="I508" t="s">
        <v>48</v>
      </c>
      <c r="J508" s="11">
        <v>45992</v>
      </c>
      <c r="K508" t="str">
        <f>TEXT(Transactions_Clean[[#This Row],[Date]],"MMM-YYYY")</f>
        <v>Dec-2025</v>
      </c>
      <c r="L508">
        <f>IF(Transactions_Clean[[#This Row],[Category]]="Revenue",Transactions_Clean[[#This Row],[Amount(₹)]],Transactions_Clean[[#This Row],[Amount(₹)]]/8)</f>
        <v>-2076.875</v>
      </c>
    </row>
    <row r="509" spans="1:12">
      <c r="A509" t="s">
        <v>1065</v>
      </c>
      <c r="B509" t="s">
        <v>4753</v>
      </c>
      <c r="C509" t="s">
        <v>38</v>
      </c>
      <c r="D509">
        <v>-37268</v>
      </c>
      <c r="E509" t="s">
        <v>23</v>
      </c>
      <c r="F509" t="s">
        <v>24</v>
      </c>
      <c r="G509" t="s">
        <v>33</v>
      </c>
      <c r="H509" t="s">
        <v>26</v>
      </c>
      <c r="I509" t="s">
        <v>48</v>
      </c>
      <c r="J509" s="11">
        <v>45225</v>
      </c>
      <c r="K509" t="str">
        <f>TEXT(Transactions_Clean[[#This Row],[Date]],"MMM-YYYY")</f>
        <v>Oct-2023</v>
      </c>
      <c r="L509">
        <f>IF(Transactions_Clean[[#This Row],[Category]]="Revenue",Transactions_Clean[[#This Row],[Amount(₹)]],Transactions_Clean[[#This Row],[Amount(₹)]]/8)</f>
        <v>-4658.5</v>
      </c>
    </row>
    <row r="510" spans="1:12">
      <c r="A510" t="s">
        <v>1067</v>
      </c>
      <c r="B510" t="s">
        <v>161</v>
      </c>
      <c r="C510" t="s">
        <v>22</v>
      </c>
      <c r="D510">
        <v>-121186</v>
      </c>
      <c r="E510" t="s">
        <v>23</v>
      </c>
      <c r="F510" t="s">
        <v>32</v>
      </c>
      <c r="G510" t="s">
        <v>25</v>
      </c>
      <c r="H510" t="s">
        <v>39</v>
      </c>
      <c r="I510" t="s">
        <v>40</v>
      </c>
      <c r="J510" s="11">
        <v>45852</v>
      </c>
      <c r="K510" t="str">
        <f>TEXT(Transactions_Clean[[#This Row],[Date]],"MMM-YYYY")</f>
        <v>Jul-2025</v>
      </c>
      <c r="L510">
        <f>IF(Transactions_Clean[[#This Row],[Category]]="Revenue",Transactions_Clean[[#This Row],[Amount(₹)]],Transactions_Clean[[#This Row],[Amount(₹)]]/8)</f>
        <v>-15148.25</v>
      </c>
    </row>
    <row r="511" spans="1:12">
      <c r="A511" t="s">
        <v>1068</v>
      </c>
      <c r="B511" t="s">
        <v>161</v>
      </c>
      <c r="C511" t="s">
        <v>22</v>
      </c>
      <c r="D511">
        <v>-48045</v>
      </c>
      <c r="E511" t="s">
        <v>23</v>
      </c>
      <c r="F511" t="s">
        <v>24</v>
      </c>
      <c r="G511" t="s">
        <v>25</v>
      </c>
      <c r="H511" t="s">
        <v>39</v>
      </c>
      <c r="I511" t="s">
        <v>40</v>
      </c>
      <c r="J511" s="11">
        <v>45871</v>
      </c>
      <c r="K511" t="str">
        <f>TEXT(Transactions_Clean[[#This Row],[Date]],"MMM-YYYY")</f>
        <v>Aug-2025</v>
      </c>
      <c r="L511">
        <f>IF(Transactions_Clean[[#This Row],[Category]]="Revenue",Transactions_Clean[[#This Row],[Amount(₹)]],Transactions_Clean[[#This Row],[Amount(₹)]]/8)</f>
        <v>-6005.625</v>
      </c>
    </row>
    <row r="512" spans="1:12">
      <c r="A512" t="s">
        <v>1070</v>
      </c>
      <c r="B512" t="s">
        <v>4754</v>
      </c>
      <c r="C512" t="s">
        <v>78</v>
      </c>
      <c r="D512">
        <v>-43010</v>
      </c>
      <c r="E512" t="s">
        <v>23</v>
      </c>
      <c r="F512" t="s">
        <v>32</v>
      </c>
      <c r="G512" t="s">
        <v>79</v>
      </c>
      <c r="H512" t="s">
        <v>26</v>
      </c>
      <c r="I512" t="s">
        <v>34</v>
      </c>
      <c r="J512" s="11">
        <v>45033</v>
      </c>
      <c r="K512" t="str">
        <f>TEXT(Transactions_Clean[[#This Row],[Date]],"MMM-YYYY")</f>
        <v>Apr-2023</v>
      </c>
      <c r="L512">
        <f>IF(Transactions_Clean[[#This Row],[Category]]="Revenue",Transactions_Clean[[#This Row],[Amount(₹)]],Transactions_Clean[[#This Row],[Amount(₹)]]/8)</f>
        <v>-5376.25</v>
      </c>
    </row>
    <row r="513" spans="1:12">
      <c r="A513" t="s">
        <v>1072</v>
      </c>
      <c r="B513" t="s">
        <v>212</v>
      </c>
      <c r="C513" t="s">
        <v>73</v>
      </c>
      <c r="D513">
        <v>-30497</v>
      </c>
      <c r="E513" t="s">
        <v>74</v>
      </c>
      <c r="F513" t="s">
        <v>24</v>
      </c>
      <c r="G513" t="s">
        <v>25</v>
      </c>
      <c r="H513" t="s">
        <v>39</v>
      </c>
      <c r="I513" t="s">
        <v>27</v>
      </c>
      <c r="J513" s="11">
        <v>46068</v>
      </c>
      <c r="K513" t="str">
        <f>TEXT(Transactions_Clean[[#This Row],[Date]],"MMM-YYYY")</f>
        <v>Feb-2026</v>
      </c>
      <c r="L513">
        <f>IF(Transactions_Clean[[#This Row],[Category]]="Revenue",Transactions_Clean[[#This Row],[Amount(₹)]],Transactions_Clean[[#This Row],[Amount(₹)]]/8)</f>
        <v>-3812.125</v>
      </c>
    </row>
    <row r="514" spans="1:12">
      <c r="A514" t="s">
        <v>1073</v>
      </c>
      <c r="B514" t="s">
        <v>283</v>
      </c>
      <c r="C514" t="s">
        <v>44</v>
      </c>
      <c r="D514">
        <v>-147413</v>
      </c>
      <c r="E514" t="s">
        <v>23</v>
      </c>
      <c r="F514" t="s">
        <v>24</v>
      </c>
      <c r="G514" t="s">
        <v>33</v>
      </c>
      <c r="H514" t="s">
        <v>26</v>
      </c>
      <c r="I514" t="s">
        <v>27</v>
      </c>
      <c r="J514" s="11">
        <v>45365</v>
      </c>
      <c r="K514" t="str">
        <f>TEXT(Transactions_Clean[[#This Row],[Date]],"MMM-YYYY")</f>
        <v>Mar-2024</v>
      </c>
      <c r="L514">
        <f>IF(Transactions_Clean[[#This Row],[Category]]="Revenue",Transactions_Clean[[#This Row],[Amount(₹)]],Transactions_Clean[[#This Row],[Amount(₹)]]/8)</f>
        <v>-18426.625</v>
      </c>
    </row>
    <row r="515" spans="1:12">
      <c r="A515" t="s">
        <v>1075</v>
      </c>
      <c r="B515" t="s">
        <v>4756</v>
      </c>
      <c r="C515" t="s">
        <v>73</v>
      </c>
      <c r="D515">
        <v>-37392</v>
      </c>
      <c r="E515" t="s">
        <v>74</v>
      </c>
      <c r="F515" t="s">
        <v>32</v>
      </c>
      <c r="G515" t="s">
        <v>25</v>
      </c>
      <c r="H515" t="s">
        <v>39</v>
      </c>
      <c r="I515" t="s">
        <v>40</v>
      </c>
      <c r="J515" s="11">
        <v>45905</v>
      </c>
      <c r="K515" t="str">
        <f>TEXT(Transactions_Clean[[#This Row],[Date]],"MMM-YYYY")</f>
        <v>Sep-2025</v>
      </c>
      <c r="L515">
        <f>IF(Transactions_Clean[[#This Row],[Category]]="Revenue",Transactions_Clean[[#This Row],[Amount(₹)]],Transactions_Clean[[#This Row],[Amount(₹)]]/8)</f>
        <v>-4674</v>
      </c>
    </row>
    <row r="516" spans="1:12">
      <c r="A516" t="s">
        <v>1076</v>
      </c>
      <c r="B516" t="s">
        <v>180</v>
      </c>
      <c r="C516" t="s">
        <v>44</v>
      </c>
      <c r="D516">
        <v>-137657</v>
      </c>
      <c r="E516" t="s">
        <v>23</v>
      </c>
      <c r="F516" t="s">
        <v>32</v>
      </c>
      <c r="G516" t="s">
        <v>33</v>
      </c>
      <c r="H516" t="s">
        <v>39</v>
      </c>
      <c r="I516" t="s">
        <v>48</v>
      </c>
      <c r="J516" s="11">
        <v>45937</v>
      </c>
      <c r="K516" t="str">
        <f>TEXT(Transactions_Clean[[#This Row],[Date]],"MMM-YYYY")</f>
        <v>Oct-2025</v>
      </c>
      <c r="L516">
        <f>IF(Transactions_Clean[[#This Row],[Category]]="Revenue",Transactions_Clean[[#This Row],[Amount(₹)]],Transactions_Clean[[#This Row],[Amount(₹)]]/8)</f>
        <v>-17207.125</v>
      </c>
    </row>
    <row r="517" spans="1:12">
      <c r="A517" t="s">
        <v>1078</v>
      </c>
      <c r="B517" t="s">
        <v>66</v>
      </c>
      <c r="C517" t="s">
        <v>61</v>
      </c>
      <c r="D517">
        <v>-14022</v>
      </c>
      <c r="E517" t="s">
        <v>62</v>
      </c>
      <c r="F517" t="s">
        <v>24</v>
      </c>
      <c r="G517" t="s">
        <v>63</v>
      </c>
      <c r="H517" t="s">
        <v>26</v>
      </c>
      <c r="I517" t="s">
        <v>40</v>
      </c>
      <c r="J517" s="11">
        <v>45164</v>
      </c>
      <c r="K517" t="str">
        <f>TEXT(Transactions_Clean[[#This Row],[Date]],"MMM-YYYY")</f>
        <v>Aug-2023</v>
      </c>
      <c r="L517">
        <f>IF(Transactions_Clean[[#This Row],[Category]]="Revenue",Transactions_Clean[[#This Row],[Amount(₹)]],Transactions_Clean[[#This Row],[Amount(₹)]]/8)</f>
        <v>-1752.75</v>
      </c>
    </row>
    <row r="518" spans="1:12">
      <c r="A518" t="s">
        <v>1079</v>
      </c>
      <c r="B518" t="s">
        <v>169</v>
      </c>
      <c r="C518" t="s">
        <v>73</v>
      </c>
      <c r="D518">
        <v>-18696</v>
      </c>
      <c r="E518" t="s">
        <v>74</v>
      </c>
      <c r="F518" t="s">
        <v>24</v>
      </c>
      <c r="G518" t="s">
        <v>25</v>
      </c>
      <c r="H518" t="s">
        <v>26</v>
      </c>
      <c r="I518" t="s">
        <v>34</v>
      </c>
      <c r="J518" s="11">
        <v>45089</v>
      </c>
      <c r="K518" t="str">
        <f>TEXT(Transactions_Clean[[#This Row],[Date]],"MMM-YYYY")</f>
        <v>Jun-2023</v>
      </c>
      <c r="L518">
        <f>IF(Transactions_Clean[[#This Row],[Category]]="Revenue",Transactions_Clean[[#This Row],[Amount(₹)]],Transactions_Clean[[#This Row],[Amount(₹)]]/8)</f>
        <v>-2337</v>
      </c>
    </row>
    <row r="519" spans="1:12">
      <c r="A519" t="s">
        <v>1081</v>
      </c>
      <c r="B519" t="s">
        <v>4766</v>
      </c>
      <c r="C519" t="s">
        <v>73</v>
      </c>
      <c r="D519">
        <v>-91920</v>
      </c>
      <c r="E519" t="s">
        <v>74</v>
      </c>
      <c r="F519" t="s">
        <v>32</v>
      </c>
      <c r="G519" t="s">
        <v>25</v>
      </c>
      <c r="H519" t="s">
        <v>45</v>
      </c>
      <c r="I519" t="s">
        <v>48</v>
      </c>
      <c r="J519" s="11">
        <v>45643</v>
      </c>
      <c r="K519" t="str">
        <f>TEXT(Transactions_Clean[[#This Row],[Date]],"MMM-YYYY")</f>
        <v>Dec-2024</v>
      </c>
      <c r="L519">
        <f>IF(Transactions_Clean[[#This Row],[Category]]="Revenue",Transactions_Clean[[#This Row],[Amount(₹)]],Transactions_Clean[[#This Row],[Amount(₹)]]/8)</f>
        <v>-11490</v>
      </c>
    </row>
    <row r="520" spans="1:12">
      <c r="A520" t="s">
        <v>1083</v>
      </c>
      <c r="B520" t="s">
        <v>4771</v>
      </c>
      <c r="C520" t="s">
        <v>440</v>
      </c>
      <c r="D520">
        <v>-99225</v>
      </c>
      <c r="E520" t="s">
        <v>23</v>
      </c>
      <c r="F520" t="s">
        <v>24</v>
      </c>
      <c r="G520" t="s">
        <v>33</v>
      </c>
      <c r="H520" t="s">
        <v>45</v>
      </c>
      <c r="I520" t="s">
        <v>40</v>
      </c>
      <c r="J520" s="11">
        <v>45484</v>
      </c>
      <c r="K520" t="str">
        <f>TEXT(Transactions_Clean[[#This Row],[Date]],"MMM-YYYY")</f>
        <v>Jul-2024</v>
      </c>
      <c r="L520">
        <f>IF(Transactions_Clean[[#This Row],[Category]]="Revenue",Transactions_Clean[[#This Row],[Amount(₹)]],Transactions_Clean[[#This Row],[Amount(₹)]]/8)</f>
        <v>-12403.125</v>
      </c>
    </row>
    <row r="521" spans="1:12">
      <c r="A521" t="s">
        <v>1085</v>
      </c>
      <c r="B521" t="s">
        <v>177</v>
      </c>
      <c r="C521" t="s">
        <v>78</v>
      </c>
      <c r="D521">
        <v>-101922</v>
      </c>
      <c r="E521" t="s">
        <v>23</v>
      </c>
      <c r="F521" t="s">
        <v>24</v>
      </c>
      <c r="G521" t="s">
        <v>79</v>
      </c>
      <c r="H521" t="s">
        <v>39</v>
      </c>
      <c r="I521" t="s">
        <v>40</v>
      </c>
      <c r="J521" s="11">
        <v>45856</v>
      </c>
      <c r="K521" t="str">
        <f>TEXT(Transactions_Clean[[#This Row],[Date]],"MMM-YYYY")</f>
        <v>Jul-2025</v>
      </c>
      <c r="L521">
        <f>IF(Transactions_Clean[[#This Row],[Category]]="Revenue",Transactions_Clean[[#This Row],[Amount(₹)]],Transactions_Clean[[#This Row],[Amount(₹)]]/8)</f>
        <v>-12740.25</v>
      </c>
    </row>
    <row r="522" spans="1:12">
      <c r="A522" t="s">
        <v>1087</v>
      </c>
      <c r="B522" t="s">
        <v>4766</v>
      </c>
      <c r="C522" t="s">
        <v>73</v>
      </c>
      <c r="D522">
        <v>-30494</v>
      </c>
      <c r="E522" t="s">
        <v>74</v>
      </c>
      <c r="F522" t="s">
        <v>32</v>
      </c>
      <c r="G522" t="s">
        <v>25</v>
      </c>
      <c r="H522" t="s">
        <v>39</v>
      </c>
      <c r="I522" t="s">
        <v>27</v>
      </c>
      <c r="J522" s="11">
        <v>46094</v>
      </c>
      <c r="K522" t="str">
        <f>TEXT(Transactions_Clean[[#This Row],[Date]],"MMM-YYYY")</f>
        <v>Mar-2026</v>
      </c>
      <c r="L522">
        <f>IF(Transactions_Clean[[#This Row],[Category]]="Revenue",Transactions_Clean[[#This Row],[Amount(₹)]],Transactions_Clean[[#This Row],[Amount(₹)]]/8)</f>
        <v>-3811.75</v>
      </c>
    </row>
    <row r="523" spans="1:12">
      <c r="A523" t="s">
        <v>1089</v>
      </c>
      <c r="B523" t="s">
        <v>935</v>
      </c>
      <c r="C523" t="s">
        <v>22</v>
      </c>
      <c r="D523">
        <v>-146435</v>
      </c>
      <c r="E523" t="s">
        <v>23</v>
      </c>
      <c r="F523" t="s">
        <v>32</v>
      </c>
      <c r="G523" t="s">
        <v>25</v>
      </c>
      <c r="H523" t="s">
        <v>26</v>
      </c>
      <c r="I523" t="s">
        <v>48</v>
      </c>
      <c r="J523" s="11">
        <v>45283</v>
      </c>
      <c r="K523" t="str">
        <f>TEXT(Transactions_Clean[[#This Row],[Date]],"MMM-YYYY")</f>
        <v>Dec-2023</v>
      </c>
      <c r="L523">
        <f>IF(Transactions_Clean[[#This Row],[Category]]="Revenue",Transactions_Clean[[#This Row],[Amount(₹)]],Transactions_Clean[[#This Row],[Amount(₹)]]/8)</f>
        <v>-18304.375</v>
      </c>
    </row>
    <row r="524" spans="1:12">
      <c r="A524" t="s">
        <v>1091</v>
      </c>
      <c r="B524" t="s">
        <v>4767</v>
      </c>
      <c r="C524" t="s">
        <v>157</v>
      </c>
      <c r="D524">
        <v>746018</v>
      </c>
      <c r="E524" t="s">
        <v>62</v>
      </c>
      <c r="F524" t="s">
        <v>32</v>
      </c>
      <c r="G524" t="s">
        <v>25</v>
      </c>
      <c r="H524" t="s">
        <v>39</v>
      </c>
      <c r="I524" t="s">
        <v>48</v>
      </c>
      <c r="J524" s="11">
        <v>45936</v>
      </c>
      <c r="K524" t="str">
        <f>TEXT(Transactions_Clean[[#This Row],[Date]],"MMM-YYYY")</f>
        <v>Oct-2025</v>
      </c>
      <c r="L524">
        <f>IF(Transactions_Clean[[#This Row],[Category]]="Revenue",Transactions_Clean[[#This Row],[Amount(₹)]],Transactions_Clean[[#This Row],[Amount(₹)]]/8)</f>
        <v>746018</v>
      </c>
    </row>
    <row r="525" spans="1:12">
      <c r="A525" t="s">
        <v>1092</v>
      </c>
      <c r="B525" t="s">
        <v>305</v>
      </c>
      <c r="C525" t="s">
        <v>4750</v>
      </c>
      <c r="D525">
        <v>-23368</v>
      </c>
      <c r="E525" t="s">
        <v>23</v>
      </c>
      <c r="F525" t="s">
        <v>24</v>
      </c>
      <c r="G525" t="s">
        <v>33</v>
      </c>
      <c r="H525" t="s">
        <v>26</v>
      </c>
      <c r="I525" t="s">
        <v>40</v>
      </c>
      <c r="J525" s="11">
        <v>45170</v>
      </c>
      <c r="K525" t="str">
        <f>TEXT(Transactions_Clean[[#This Row],[Date]],"MMM-YYYY")</f>
        <v>Sep-2023</v>
      </c>
      <c r="L525">
        <f>IF(Transactions_Clean[[#This Row],[Category]]="Revenue",Transactions_Clean[[#This Row],[Amount(₹)]],Transactions_Clean[[#This Row],[Amount(₹)]]/8)</f>
        <v>-2921</v>
      </c>
    </row>
    <row r="526" spans="1:12">
      <c r="A526" t="s">
        <v>1093</v>
      </c>
      <c r="B526" t="s">
        <v>169</v>
      </c>
      <c r="C526" t="s">
        <v>73</v>
      </c>
      <c r="D526">
        <v>-17565</v>
      </c>
      <c r="E526" t="s">
        <v>74</v>
      </c>
      <c r="F526" t="s">
        <v>24</v>
      </c>
      <c r="G526" t="s">
        <v>25</v>
      </c>
      <c r="H526" t="s">
        <v>45</v>
      </c>
      <c r="I526" t="s">
        <v>40</v>
      </c>
      <c r="J526" s="11">
        <v>45481</v>
      </c>
      <c r="K526" t="str">
        <f>TEXT(Transactions_Clean[[#This Row],[Date]],"MMM-YYYY")</f>
        <v>Jul-2024</v>
      </c>
      <c r="L526">
        <f>IF(Transactions_Clean[[#This Row],[Category]]="Revenue",Transactions_Clean[[#This Row],[Amount(₹)]],Transactions_Clean[[#This Row],[Amount(₹)]]/8)</f>
        <v>-2195.625</v>
      </c>
    </row>
    <row r="527" spans="1:12">
      <c r="A527" t="s">
        <v>1095</v>
      </c>
      <c r="B527" t="s">
        <v>106</v>
      </c>
      <c r="C527" t="s">
        <v>31</v>
      </c>
      <c r="D527">
        <v>-30890</v>
      </c>
      <c r="E527" t="s">
        <v>23</v>
      </c>
      <c r="F527" t="s">
        <v>32</v>
      </c>
      <c r="G527" t="s">
        <v>33</v>
      </c>
      <c r="H527" t="s">
        <v>26</v>
      </c>
      <c r="I527" t="s">
        <v>27</v>
      </c>
      <c r="J527" s="11">
        <v>45348</v>
      </c>
      <c r="K527" t="str">
        <f>TEXT(Transactions_Clean[[#This Row],[Date]],"MMM-YYYY")</f>
        <v>Feb-2024</v>
      </c>
      <c r="L527">
        <f>IF(Transactions_Clean[[#This Row],[Category]]="Revenue",Transactions_Clean[[#This Row],[Amount(₹)]],Transactions_Clean[[#This Row],[Amount(₹)]]/8)</f>
        <v>-3861.25</v>
      </c>
    </row>
    <row r="528" spans="1:12">
      <c r="A528" t="s">
        <v>1097</v>
      </c>
      <c r="B528" t="s">
        <v>177</v>
      </c>
      <c r="C528" t="s">
        <v>78</v>
      </c>
      <c r="D528">
        <v>-64976</v>
      </c>
      <c r="E528" t="s">
        <v>23</v>
      </c>
      <c r="F528" t="s">
        <v>32</v>
      </c>
      <c r="G528" t="s">
        <v>79</v>
      </c>
      <c r="H528" t="s">
        <v>39</v>
      </c>
      <c r="I528" t="s">
        <v>40</v>
      </c>
      <c r="J528" s="11">
        <v>45913</v>
      </c>
      <c r="K528" t="str">
        <f>TEXT(Transactions_Clean[[#This Row],[Date]],"MMM-YYYY")</f>
        <v>Sep-2025</v>
      </c>
      <c r="L528">
        <f>IF(Transactions_Clean[[#This Row],[Category]]="Revenue",Transactions_Clean[[#This Row],[Amount(₹)]],Transactions_Clean[[#This Row],[Amount(₹)]]/8)</f>
        <v>-8122</v>
      </c>
    </row>
    <row r="529" spans="1:12">
      <c r="A529" t="s">
        <v>1099</v>
      </c>
      <c r="B529" t="s">
        <v>4751</v>
      </c>
      <c r="C529" t="s">
        <v>38</v>
      </c>
      <c r="D529">
        <v>-32008</v>
      </c>
      <c r="E529" t="s">
        <v>23</v>
      </c>
      <c r="F529" t="s">
        <v>32</v>
      </c>
      <c r="G529" t="s">
        <v>33</v>
      </c>
      <c r="H529" t="s">
        <v>39</v>
      </c>
      <c r="I529" t="s">
        <v>27</v>
      </c>
      <c r="J529" s="11">
        <v>46048</v>
      </c>
      <c r="K529" t="str">
        <f>TEXT(Transactions_Clean[[#This Row],[Date]],"MMM-YYYY")</f>
        <v>Jan-2026</v>
      </c>
      <c r="L529">
        <f>IF(Transactions_Clean[[#This Row],[Category]]="Revenue",Transactions_Clean[[#This Row],[Amount(₹)]],Transactions_Clean[[#This Row],[Amount(₹)]]/8)</f>
        <v>-4001</v>
      </c>
    </row>
    <row r="530" spans="1:12">
      <c r="A530" t="s">
        <v>1101</v>
      </c>
      <c r="B530" t="s">
        <v>4759</v>
      </c>
      <c r="C530" t="s">
        <v>31</v>
      </c>
      <c r="D530">
        <v>-33088</v>
      </c>
      <c r="E530" t="s">
        <v>23</v>
      </c>
      <c r="F530" t="s">
        <v>32</v>
      </c>
      <c r="G530" t="s">
        <v>33</v>
      </c>
      <c r="H530" t="s">
        <v>26</v>
      </c>
      <c r="I530" t="s">
        <v>27</v>
      </c>
      <c r="J530" s="11">
        <v>45315</v>
      </c>
      <c r="K530" t="str">
        <f>TEXT(Transactions_Clean[[#This Row],[Date]],"MMM-YYYY")</f>
        <v>Jan-2024</v>
      </c>
      <c r="L530">
        <f>IF(Transactions_Clean[[#This Row],[Category]]="Revenue",Transactions_Clean[[#This Row],[Amount(₹)]],Transactions_Clean[[#This Row],[Amount(₹)]]/8)</f>
        <v>-4136</v>
      </c>
    </row>
    <row r="531" spans="1:12">
      <c r="A531" t="s">
        <v>1103</v>
      </c>
      <c r="B531" t="s">
        <v>106</v>
      </c>
      <c r="C531" t="s">
        <v>31</v>
      </c>
      <c r="D531">
        <v>-8906</v>
      </c>
      <c r="E531" t="s">
        <v>23</v>
      </c>
      <c r="F531" t="s">
        <v>24</v>
      </c>
      <c r="G531" t="s">
        <v>33</v>
      </c>
      <c r="H531" t="s">
        <v>39</v>
      </c>
      <c r="I531" t="s">
        <v>27</v>
      </c>
      <c r="J531" s="11">
        <v>46055</v>
      </c>
      <c r="K531" t="str">
        <f>TEXT(Transactions_Clean[[#This Row],[Date]],"MMM-YYYY")</f>
        <v>Feb-2026</v>
      </c>
      <c r="L531">
        <f>IF(Transactions_Clean[[#This Row],[Category]]="Revenue",Transactions_Clean[[#This Row],[Amount(₹)]],Transactions_Clean[[#This Row],[Amount(₹)]]/8)</f>
        <v>-1113.25</v>
      </c>
    </row>
    <row r="532" spans="1:12">
      <c r="A532" t="s">
        <v>1105</v>
      </c>
      <c r="B532" t="s">
        <v>4755</v>
      </c>
      <c r="C532" t="s">
        <v>78</v>
      </c>
      <c r="D532">
        <v>-98387</v>
      </c>
      <c r="E532" t="s">
        <v>23</v>
      </c>
      <c r="F532" t="s">
        <v>32</v>
      </c>
      <c r="G532" t="s">
        <v>79</v>
      </c>
      <c r="H532" t="s">
        <v>45</v>
      </c>
      <c r="I532" t="s">
        <v>40</v>
      </c>
      <c r="J532" s="11">
        <v>45505</v>
      </c>
      <c r="K532" t="str">
        <f>TEXT(Transactions_Clean[[#This Row],[Date]],"MMM-YYYY")</f>
        <v>Aug-2024</v>
      </c>
      <c r="L532">
        <f>IF(Transactions_Clean[[#This Row],[Category]]="Revenue",Transactions_Clean[[#This Row],[Amount(₹)]],Transactions_Clean[[#This Row],[Amount(₹)]]/8)</f>
        <v>-12298.375</v>
      </c>
    </row>
    <row r="533" spans="1:12">
      <c r="A533" t="s">
        <v>1106</v>
      </c>
      <c r="B533" t="s">
        <v>215</v>
      </c>
      <c r="C533" t="s">
        <v>61</v>
      </c>
      <c r="D533">
        <v>-41975</v>
      </c>
      <c r="E533" t="s">
        <v>62</v>
      </c>
      <c r="F533" t="s">
        <v>32</v>
      </c>
      <c r="G533" t="s">
        <v>63</v>
      </c>
      <c r="H533" t="s">
        <v>26</v>
      </c>
      <c r="I533" t="s">
        <v>48</v>
      </c>
      <c r="J533" s="11">
        <v>45221</v>
      </c>
      <c r="K533" t="str">
        <f>TEXT(Transactions_Clean[[#This Row],[Date]],"MMM-YYYY")</f>
        <v>Oct-2023</v>
      </c>
      <c r="L533">
        <f>IF(Transactions_Clean[[#This Row],[Category]]="Revenue",Transactions_Clean[[#This Row],[Amount(₹)]],Transactions_Clean[[#This Row],[Amount(₹)]]/8)</f>
        <v>-5246.875</v>
      </c>
    </row>
    <row r="534" spans="1:12">
      <c r="A534" t="s">
        <v>1107</v>
      </c>
      <c r="B534" t="s">
        <v>4759</v>
      </c>
      <c r="C534" t="s">
        <v>31</v>
      </c>
      <c r="D534">
        <v>-7173</v>
      </c>
      <c r="E534" t="s">
        <v>23</v>
      </c>
      <c r="F534" t="s">
        <v>32</v>
      </c>
      <c r="G534" t="s">
        <v>33</v>
      </c>
      <c r="H534" t="s">
        <v>39</v>
      </c>
      <c r="I534" t="s">
        <v>34</v>
      </c>
      <c r="J534" s="11">
        <v>45829</v>
      </c>
      <c r="K534" t="str">
        <f>TEXT(Transactions_Clean[[#This Row],[Date]],"MMM-YYYY")</f>
        <v>Jun-2025</v>
      </c>
      <c r="L534">
        <f>IF(Transactions_Clean[[#This Row],[Category]]="Revenue",Transactions_Clean[[#This Row],[Amount(₹)]],Transactions_Clean[[#This Row],[Amount(₹)]]/8)</f>
        <v>-896.625</v>
      </c>
    </row>
    <row r="535" spans="1:12">
      <c r="A535" t="s">
        <v>1108</v>
      </c>
      <c r="B535" t="s">
        <v>283</v>
      </c>
      <c r="C535" t="s">
        <v>44</v>
      </c>
      <c r="D535">
        <v>-58883</v>
      </c>
      <c r="E535" t="s">
        <v>23</v>
      </c>
      <c r="F535" t="s">
        <v>32</v>
      </c>
      <c r="G535" t="s">
        <v>33</v>
      </c>
      <c r="H535" t="s">
        <v>39</v>
      </c>
      <c r="I535" t="s">
        <v>27</v>
      </c>
      <c r="J535" s="11">
        <v>46028</v>
      </c>
      <c r="K535" t="str">
        <f>TEXT(Transactions_Clean[[#This Row],[Date]],"MMM-YYYY")</f>
        <v>Jan-2026</v>
      </c>
      <c r="L535">
        <f>IF(Transactions_Clean[[#This Row],[Category]]="Revenue",Transactions_Clean[[#This Row],[Amount(₹)]],Transactions_Clean[[#This Row],[Amount(₹)]]/8)</f>
        <v>-7360.375</v>
      </c>
    </row>
    <row r="536" spans="1:12">
      <c r="A536" t="s">
        <v>1109</v>
      </c>
      <c r="B536" t="s">
        <v>616</v>
      </c>
      <c r="C536" t="s">
        <v>4750</v>
      </c>
      <c r="D536">
        <v>-43260</v>
      </c>
      <c r="E536" t="s">
        <v>23</v>
      </c>
      <c r="F536" t="s">
        <v>32</v>
      </c>
      <c r="G536" t="s">
        <v>25</v>
      </c>
      <c r="H536" t="s">
        <v>39</v>
      </c>
      <c r="I536" t="s">
        <v>48</v>
      </c>
      <c r="J536" s="11">
        <v>45962</v>
      </c>
      <c r="K536" t="str">
        <f>TEXT(Transactions_Clean[[#This Row],[Date]],"MMM-YYYY")</f>
        <v>Nov-2025</v>
      </c>
      <c r="L536">
        <f>IF(Transactions_Clean[[#This Row],[Category]]="Revenue",Transactions_Clean[[#This Row],[Amount(₹)]],Transactions_Clean[[#This Row],[Amount(₹)]]/8)</f>
        <v>-5407.5</v>
      </c>
    </row>
    <row r="537" spans="1:12">
      <c r="A537" t="s">
        <v>1110</v>
      </c>
      <c r="B537" t="s">
        <v>215</v>
      </c>
      <c r="C537" t="s">
        <v>61</v>
      </c>
      <c r="D537">
        <v>-29472</v>
      </c>
      <c r="E537" t="s">
        <v>62</v>
      </c>
      <c r="F537" t="s">
        <v>24</v>
      </c>
      <c r="G537" t="s">
        <v>63</v>
      </c>
      <c r="H537" t="s">
        <v>39</v>
      </c>
      <c r="I537" t="s">
        <v>27</v>
      </c>
      <c r="J537" s="11">
        <v>46106</v>
      </c>
      <c r="K537" t="str">
        <f>TEXT(Transactions_Clean[[#This Row],[Date]],"MMM-YYYY")</f>
        <v>Mar-2026</v>
      </c>
      <c r="L537">
        <f>IF(Transactions_Clean[[#This Row],[Category]]="Revenue",Transactions_Clean[[#This Row],[Amount(₹)]],Transactions_Clean[[#This Row],[Amount(₹)]]/8)</f>
        <v>-3684</v>
      </c>
    </row>
    <row r="538" spans="1:12">
      <c r="A538" t="s">
        <v>1111</v>
      </c>
      <c r="B538" t="s">
        <v>180</v>
      </c>
      <c r="C538" t="s">
        <v>44</v>
      </c>
      <c r="D538">
        <v>-108552</v>
      </c>
      <c r="E538" t="s">
        <v>23</v>
      </c>
      <c r="F538" t="s">
        <v>32</v>
      </c>
      <c r="G538" t="s">
        <v>33</v>
      </c>
      <c r="H538" t="s">
        <v>39</v>
      </c>
      <c r="I538" t="s">
        <v>48</v>
      </c>
      <c r="J538" s="11">
        <v>45943</v>
      </c>
      <c r="K538" t="str">
        <f>TEXT(Transactions_Clean[[#This Row],[Date]],"MMM-YYYY")</f>
        <v>Oct-2025</v>
      </c>
      <c r="L538">
        <f>IF(Transactions_Clean[[#This Row],[Category]]="Revenue",Transactions_Clean[[#This Row],[Amount(₹)]],Transactions_Clean[[#This Row],[Amount(₹)]]/8)</f>
        <v>-13569</v>
      </c>
    </row>
    <row r="539" spans="1:12">
      <c r="A539" t="s">
        <v>1112</v>
      </c>
      <c r="B539" t="s">
        <v>51</v>
      </c>
      <c r="C539" t="s">
        <v>31</v>
      </c>
      <c r="D539">
        <v>-39156</v>
      </c>
      <c r="E539" t="s">
        <v>23</v>
      </c>
      <c r="F539" t="s">
        <v>32</v>
      </c>
      <c r="G539" t="s">
        <v>33</v>
      </c>
      <c r="H539" t="s">
        <v>45</v>
      </c>
      <c r="I539" t="s">
        <v>34</v>
      </c>
      <c r="J539" s="11">
        <v>45396</v>
      </c>
      <c r="K539" t="str">
        <f>TEXT(Transactions_Clean[[#This Row],[Date]],"MMM-YYYY")</f>
        <v>Apr-2024</v>
      </c>
      <c r="L539">
        <f>IF(Transactions_Clean[[#This Row],[Category]]="Revenue",Transactions_Clean[[#This Row],[Amount(₹)]],Transactions_Clean[[#This Row],[Amount(₹)]]/8)</f>
        <v>-4894.5</v>
      </c>
    </row>
    <row r="540" spans="1:12">
      <c r="A540" t="s">
        <v>1114</v>
      </c>
      <c r="B540" t="s">
        <v>4759</v>
      </c>
      <c r="C540" t="s">
        <v>31</v>
      </c>
      <c r="D540">
        <v>-37595</v>
      </c>
      <c r="E540" t="s">
        <v>23</v>
      </c>
      <c r="F540" t="s">
        <v>24</v>
      </c>
      <c r="G540" t="s">
        <v>33</v>
      </c>
      <c r="H540" t="s">
        <v>45</v>
      </c>
      <c r="I540" t="s">
        <v>48</v>
      </c>
      <c r="J540" s="11">
        <v>45589</v>
      </c>
      <c r="K540" t="str">
        <f>TEXT(Transactions_Clean[[#This Row],[Date]],"MMM-YYYY")</f>
        <v>Oct-2024</v>
      </c>
      <c r="L540">
        <f>IF(Transactions_Clean[[#This Row],[Category]]="Revenue",Transactions_Clean[[#This Row],[Amount(₹)]],Transactions_Clean[[#This Row],[Amount(₹)]]/8)</f>
        <v>-4699.375</v>
      </c>
    </row>
    <row r="541" spans="1:12">
      <c r="A541" t="s">
        <v>1116</v>
      </c>
      <c r="B541" t="s">
        <v>143</v>
      </c>
      <c r="C541" t="s">
        <v>78</v>
      </c>
      <c r="D541">
        <v>-32358</v>
      </c>
      <c r="E541" t="s">
        <v>23</v>
      </c>
      <c r="F541" t="s">
        <v>32</v>
      </c>
      <c r="G541" t="s">
        <v>79</v>
      </c>
      <c r="H541" t="s">
        <v>39</v>
      </c>
      <c r="I541" t="s">
        <v>27</v>
      </c>
      <c r="J541" s="11">
        <v>46082</v>
      </c>
      <c r="K541" t="str">
        <f>TEXT(Transactions_Clean[[#This Row],[Date]],"MMM-YYYY")</f>
        <v>Mar-2026</v>
      </c>
      <c r="L541">
        <f>IF(Transactions_Clean[[#This Row],[Category]]="Revenue",Transactions_Clean[[#This Row],[Amount(₹)]],Transactions_Clean[[#This Row],[Amount(₹)]]/8)</f>
        <v>-4044.75</v>
      </c>
    </row>
    <row r="542" spans="1:12">
      <c r="A542" t="s">
        <v>1118</v>
      </c>
      <c r="B542" t="s">
        <v>4757</v>
      </c>
      <c r="C542" t="s">
        <v>73</v>
      </c>
      <c r="D542">
        <v>-93445</v>
      </c>
      <c r="E542" t="s">
        <v>74</v>
      </c>
      <c r="F542" t="s">
        <v>24</v>
      </c>
      <c r="G542" t="s">
        <v>25</v>
      </c>
      <c r="H542" t="s">
        <v>39</v>
      </c>
      <c r="I542" t="s">
        <v>48</v>
      </c>
      <c r="J542" s="11">
        <v>46015</v>
      </c>
      <c r="K542" t="str">
        <f>TEXT(Transactions_Clean[[#This Row],[Date]],"MMM-YYYY")</f>
        <v>Dec-2025</v>
      </c>
      <c r="L542">
        <f>IF(Transactions_Clean[[#This Row],[Category]]="Revenue",Transactions_Clean[[#This Row],[Amount(₹)]],Transactions_Clean[[#This Row],[Amount(₹)]]/8)</f>
        <v>-11680.625</v>
      </c>
    </row>
    <row r="543" spans="1:12">
      <c r="A543" t="s">
        <v>1120</v>
      </c>
      <c r="B543" t="s">
        <v>87</v>
      </c>
      <c r="C543" t="s">
        <v>22</v>
      </c>
      <c r="D543">
        <v>-128985</v>
      </c>
      <c r="E543" t="s">
        <v>23</v>
      </c>
      <c r="F543" t="s">
        <v>24</v>
      </c>
      <c r="G543" t="s">
        <v>25</v>
      </c>
      <c r="H543" t="s">
        <v>26</v>
      </c>
      <c r="I543" t="s">
        <v>40</v>
      </c>
      <c r="J543" s="11">
        <v>45172</v>
      </c>
      <c r="K543" t="str">
        <f>TEXT(Transactions_Clean[[#This Row],[Date]],"MMM-YYYY")</f>
        <v>Sep-2023</v>
      </c>
      <c r="L543">
        <f>IF(Transactions_Clean[[#This Row],[Category]]="Revenue",Transactions_Clean[[#This Row],[Amount(₹)]],Transactions_Clean[[#This Row],[Amount(₹)]]/8)</f>
        <v>-16123.125</v>
      </c>
    </row>
    <row r="544" spans="1:12">
      <c r="A544" t="s">
        <v>1122</v>
      </c>
      <c r="B544" t="s">
        <v>4771</v>
      </c>
      <c r="C544" t="s">
        <v>440</v>
      </c>
      <c r="D544">
        <v>-151836</v>
      </c>
      <c r="E544" t="s">
        <v>23</v>
      </c>
      <c r="F544" t="s">
        <v>24</v>
      </c>
      <c r="G544" t="s">
        <v>33</v>
      </c>
      <c r="H544" t="s">
        <v>45</v>
      </c>
      <c r="I544" t="s">
        <v>48</v>
      </c>
      <c r="J544" s="11">
        <v>45614</v>
      </c>
      <c r="K544" t="str">
        <f>TEXT(Transactions_Clean[[#This Row],[Date]],"MMM-YYYY")</f>
        <v>Nov-2024</v>
      </c>
      <c r="L544">
        <f>IF(Transactions_Clean[[#This Row],[Category]]="Revenue",Transactions_Clean[[#This Row],[Amount(₹)]],Transactions_Clean[[#This Row],[Amount(₹)]]/8)</f>
        <v>-18979.5</v>
      </c>
    </row>
    <row r="545" spans="1:12">
      <c r="A545" t="s">
        <v>1123</v>
      </c>
      <c r="B545" t="s">
        <v>4755</v>
      </c>
      <c r="C545" t="s">
        <v>78</v>
      </c>
      <c r="D545">
        <v>-34318</v>
      </c>
      <c r="E545" t="s">
        <v>23</v>
      </c>
      <c r="F545" t="s">
        <v>32</v>
      </c>
      <c r="G545" t="s">
        <v>79</v>
      </c>
      <c r="H545" t="s">
        <v>45</v>
      </c>
      <c r="I545" t="s">
        <v>27</v>
      </c>
      <c r="J545" s="11">
        <v>45698</v>
      </c>
      <c r="K545" t="str">
        <f>TEXT(Transactions_Clean[[#This Row],[Date]],"MMM-YYYY")</f>
        <v>Feb-2025</v>
      </c>
      <c r="L545">
        <f>IF(Transactions_Clean[[#This Row],[Category]]="Revenue",Transactions_Clean[[#This Row],[Amount(₹)]],Transactions_Clean[[#This Row],[Amount(₹)]]/8)</f>
        <v>-4289.75</v>
      </c>
    </row>
    <row r="546" spans="1:12">
      <c r="A546" t="s">
        <v>1125</v>
      </c>
      <c r="B546" t="s">
        <v>4757</v>
      </c>
      <c r="C546" t="s">
        <v>73</v>
      </c>
      <c r="D546">
        <v>-23325</v>
      </c>
      <c r="E546" t="s">
        <v>74</v>
      </c>
      <c r="F546" t="s">
        <v>24</v>
      </c>
      <c r="G546" t="s">
        <v>25</v>
      </c>
      <c r="H546" t="s">
        <v>45</v>
      </c>
      <c r="I546" t="s">
        <v>27</v>
      </c>
      <c r="J546" s="11">
        <v>45699</v>
      </c>
      <c r="K546" t="str">
        <f>TEXT(Transactions_Clean[[#This Row],[Date]],"MMM-YYYY")</f>
        <v>Feb-2025</v>
      </c>
      <c r="L546">
        <f>IF(Transactions_Clean[[#This Row],[Category]]="Revenue",Transactions_Clean[[#This Row],[Amount(₹)]],Transactions_Clean[[#This Row],[Amount(₹)]]/8)</f>
        <v>-2915.625</v>
      </c>
    </row>
    <row r="547" spans="1:12">
      <c r="A547" t="s">
        <v>1126</v>
      </c>
      <c r="B547" t="s">
        <v>169</v>
      </c>
      <c r="C547" t="s">
        <v>73</v>
      </c>
      <c r="D547">
        <v>-79536</v>
      </c>
      <c r="E547" t="s">
        <v>74</v>
      </c>
      <c r="F547" t="s">
        <v>24</v>
      </c>
      <c r="G547" t="s">
        <v>25</v>
      </c>
      <c r="H547" t="s">
        <v>39</v>
      </c>
      <c r="I547" t="s">
        <v>27</v>
      </c>
      <c r="J547" s="11">
        <v>46037</v>
      </c>
      <c r="K547" t="str">
        <f>TEXT(Transactions_Clean[[#This Row],[Date]],"MMM-YYYY")</f>
        <v>Jan-2026</v>
      </c>
      <c r="L547">
        <f>IF(Transactions_Clean[[#This Row],[Category]]="Revenue",Transactions_Clean[[#This Row],[Amount(₹)]],Transactions_Clean[[#This Row],[Amount(₹)]]/8)</f>
        <v>-9942</v>
      </c>
    </row>
    <row r="548" spans="1:12">
      <c r="A548" t="s">
        <v>1127</v>
      </c>
      <c r="B548" t="s">
        <v>106</v>
      </c>
      <c r="C548" t="s">
        <v>31</v>
      </c>
      <c r="D548">
        <v>-5007</v>
      </c>
      <c r="E548" t="s">
        <v>23</v>
      </c>
      <c r="F548" t="s">
        <v>24</v>
      </c>
      <c r="G548" t="s">
        <v>33</v>
      </c>
      <c r="H548" t="s">
        <v>26</v>
      </c>
      <c r="I548" t="s">
        <v>48</v>
      </c>
      <c r="J548" s="11">
        <v>45223</v>
      </c>
      <c r="K548" t="str">
        <f>TEXT(Transactions_Clean[[#This Row],[Date]],"MMM-YYYY")</f>
        <v>Oct-2023</v>
      </c>
      <c r="L548">
        <f>IF(Transactions_Clean[[#This Row],[Category]]="Revenue",Transactions_Clean[[#This Row],[Amount(₹)]],Transactions_Clean[[#This Row],[Amount(₹)]]/8)</f>
        <v>-625.875</v>
      </c>
    </row>
    <row r="549" spans="1:12">
      <c r="A549" t="s">
        <v>1129</v>
      </c>
      <c r="B549" t="s">
        <v>215</v>
      </c>
      <c r="C549" t="s">
        <v>61</v>
      </c>
      <c r="D549">
        <v>-21505</v>
      </c>
      <c r="E549" t="s">
        <v>62</v>
      </c>
      <c r="F549" t="s">
        <v>24</v>
      </c>
      <c r="G549" t="s">
        <v>63</v>
      </c>
      <c r="H549" t="s">
        <v>45</v>
      </c>
      <c r="I549" t="s">
        <v>40</v>
      </c>
      <c r="J549" s="11">
        <v>45529</v>
      </c>
      <c r="K549" t="str">
        <f>TEXT(Transactions_Clean[[#This Row],[Date]],"MMM-YYYY")</f>
        <v>Aug-2024</v>
      </c>
      <c r="L549">
        <f>IF(Transactions_Clean[[#This Row],[Category]]="Revenue",Transactions_Clean[[#This Row],[Amount(₹)]],Transactions_Clean[[#This Row],[Amount(₹)]]/8)</f>
        <v>-2688.125</v>
      </c>
    </row>
    <row r="550" spans="1:12">
      <c r="A550" t="s">
        <v>1131</v>
      </c>
      <c r="B550" t="s">
        <v>4766</v>
      </c>
      <c r="C550" t="s">
        <v>4750</v>
      </c>
      <c r="D550">
        <v>-63058</v>
      </c>
      <c r="E550" t="s">
        <v>74</v>
      </c>
      <c r="F550" t="s">
        <v>32</v>
      </c>
      <c r="G550" t="s">
        <v>25</v>
      </c>
      <c r="H550" t="s">
        <v>45</v>
      </c>
      <c r="I550" t="s">
        <v>34</v>
      </c>
      <c r="J550" s="11">
        <v>45400</v>
      </c>
      <c r="K550" t="str">
        <f>TEXT(Transactions_Clean[[#This Row],[Date]],"MMM-YYYY")</f>
        <v>Apr-2024</v>
      </c>
      <c r="L550">
        <f>IF(Transactions_Clean[[#This Row],[Category]]="Revenue",Transactions_Clean[[#This Row],[Amount(₹)]],Transactions_Clean[[#This Row],[Amount(₹)]]/8)</f>
        <v>-7882.25</v>
      </c>
    </row>
    <row r="551" spans="1:12">
      <c r="A551" t="s">
        <v>1133</v>
      </c>
      <c r="B551" t="s">
        <v>616</v>
      </c>
      <c r="C551" t="s">
        <v>22</v>
      </c>
      <c r="D551">
        <v>-147448</v>
      </c>
      <c r="E551" t="s">
        <v>23</v>
      </c>
      <c r="F551" t="s">
        <v>32</v>
      </c>
      <c r="G551" t="s">
        <v>25</v>
      </c>
      <c r="H551" t="s">
        <v>45</v>
      </c>
      <c r="I551" t="s">
        <v>34</v>
      </c>
      <c r="J551" s="11">
        <v>45394</v>
      </c>
      <c r="K551" t="str">
        <f>TEXT(Transactions_Clean[[#This Row],[Date]],"MMM-YYYY")</f>
        <v>Apr-2024</v>
      </c>
      <c r="L551">
        <f>IF(Transactions_Clean[[#This Row],[Category]]="Revenue",Transactions_Clean[[#This Row],[Amount(₹)]],Transactions_Clean[[#This Row],[Amount(₹)]]/8)</f>
        <v>-18431</v>
      </c>
    </row>
    <row r="552" spans="1:12">
      <c r="A552" t="s">
        <v>1135</v>
      </c>
      <c r="B552" t="s">
        <v>4759</v>
      </c>
      <c r="C552" t="s">
        <v>31</v>
      </c>
      <c r="D552">
        <v>-13700</v>
      </c>
      <c r="E552" t="s">
        <v>23</v>
      </c>
      <c r="F552" t="s">
        <v>24</v>
      </c>
      <c r="G552" t="s">
        <v>33</v>
      </c>
      <c r="H552" t="s">
        <v>26</v>
      </c>
      <c r="I552" t="s">
        <v>48</v>
      </c>
      <c r="J552" s="11">
        <v>45235</v>
      </c>
      <c r="K552" t="str">
        <f>TEXT(Transactions_Clean[[#This Row],[Date]],"MMM-YYYY")</f>
        <v>Nov-2023</v>
      </c>
      <c r="L552">
        <f>IF(Transactions_Clean[[#This Row],[Category]]="Revenue",Transactions_Clean[[#This Row],[Amount(₹)]],Transactions_Clean[[#This Row],[Amount(₹)]]/8)</f>
        <v>-1712.5</v>
      </c>
    </row>
    <row r="553" spans="1:12">
      <c r="A553" t="s">
        <v>1137</v>
      </c>
      <c r="B553" t="s">
        <v>202</v>
      </c>
      <c r="C553" t="s">
        <v>22</v>
      </c>
      <c r="D553">
        <v>-204065</v>
      </c>
      <c r="E553" t="s">
        <v>23</v>
      </c>
      <c r="F553" t="s">
        <v>32</v>
      </c>
      <c r="G553" t="s">
        <v>25</v>
      </c>
      <c r="H553" t="s">
        <v>39</v>
      </c>
      <c r="I553" t="s">
        <v>48</v>
      </c>
      <c r="J553" s="11">
        <v>45962</v>
      </c>
      <c r="K553" t="str">
        <f>TEXT(Transactions_Clean[[#This Row],[Date]],"MMM-YYYY")</f>
        <v>Nov-2025</v>
      </c>
      <c r="L553">
        <f>IF(Transactions_Clean[[#This Row],[Category]]="Revenue",Transactions_Clean[[#This Row],[Amount(₹)]],Transactions_Clean[[#This Row],[Amount(₹)]]/8)</f>
        <v>-25508.125</v>
      </c>
    </row>
    <row r="554" spans="1:12">
      <c r="A554" t="s">
        <v>1138</v>
      </c>
      <c r="B554" t="s">
        <v>51</v>
      </c>
      <c r="C554" t="s">
        <v>31</v>
      </c>
      <c r="D554">
        <v>-38193</v>
      </c>
      <c r="E554" t="s">
        <v>23</v>
      </c>
      <c r="F554" t="s">
        <v>24</v>
      </c>
      <c r="G554" t="s">
        <v>33</v>
      </c>
      <c r="H554" t="s">
        <v>26</v>
      </c>
      <c r="I554" t="s">
        <v>34</v>
      </c>
      <c r="J554" s="11">
        <v>45037</v>
      </c>
      <c r="K554" t="str">
        <f>TEXT(Transactions_Clean[[#This Row],[Date]],"MMM-YYYY")</f>
        <v>Apr-2023</v>
      </c>
      <c r="L554">
        <f>IF(Transactions_Clean[[#This Row],[Category]]="Revenue",Transactions_Clean[[#This Row],[Amount(₹)]],Transactions_Clean[[#This Row],[Amount(₹)]]/8)</f>
        <v>-4774.125</v>
      </c>
    </row>
    <row r="555" spans="1:12">
      <c r="A555" t="s">
        <v>1140</v>
      </c>
      <c r="B555" t="s">
        <v>4757</v>
      </c>
      <c r="C555" t="s">
        <v>73</v>
      </c>
      <c r="D555">
        <v>-53371</v>
      </c>
      <c r="E555" t="s">
        <v>74</v>
      </c>
      <c r="F555" t="s">
        <v>24</v>
      </c>
      <c r="G555" t="s">
        <v>25</v>
      </c>
      <c r="H555" t="s">
        <v>26</v>
      </c>
      <c r="I555" t="s">
        <v>40</v>
      </c>
      <c r="J555" s="11">
        <v>45112</v>
      </c>
      <c r="K555" t="str">
        <f>TEXT(Transactions_Clean[[#This Row],[Date]],"MMM-YYYY")</f>
        <v>Jul-2023</v>
      </c>
      <c r="L555">
        <f>IF(Transactions_Clean[[#This Row],[Category]]="Revenue",Transactions_Clean[[#This Row],[Amount(₹)]],Transactions_Clean[[#This Row],[Amount(₹)]]/8)</f>
        <v>-6671.375</v>
      </c>
    </row>
    <row r="556" spans="1:12">
      <c r="A556" t="s">
        <v>1142</v>
      </c>
      <c r="B556" t="s">
        <v>202</v>
      </c>
      <c r="C556" t="s">
        <v>22</v>
      </c>
      <c r="D556">
        <v>-215988</v>
      </c>
      <c r="E556" t="s">
        <v>23</v>
      </c>
      <c r="F556" t="s">
        <v>24</v>
      </c>
      <c r="G556" t="s">
        <v>25</v>
      </c>
      <c r="H556" t="s">
        <v>26</v>
      </c>
      <c r="I556" t="s">
        <v>34</v>
      </c>
      <c r="J556" s="11">
        <v>45040</v>
      </c>
      <c r="K556" t="str">
        <f>TEXT(Transactions_Clean[[#This Row],[Date]],"MMM-YYYY")</f>
        <v>Apr-2023</v>
      </c>
      <c r="L556">
        <f>IF(Transactions_Clean[[#This Row],[Category]]="Revenue",Transactions_Clean[[#This Row],[Amount(₹)]],Transactions_Clean[[#This Row],[Amount(₹)]]/8)</f>
        <v>-26998.5</v>
      </c>
    </row>
    <row r="557" spans="1:12">
      <c r="A557" t="s">
        <v>1143</v>
      </c>
      <c r="B557" t="s">
        <v>310</v>
      </c>
      <c r="C557" t="s">
        <v>22</v>
      </c>
      <c r="D557">
        <v>-156919</v>
      </c>
      <c r="E557" t="s">
        <v>23</v>
      </c>
      <c r="F557" t="s">
        <v>24</v>
      </c>
      <c r="G557" t="s">
        <v>25</v>
      </c>
      <c r="H557" t="s">
        <v>45</v>
      </c>
      <c r="I557" t="s">
        <v>27</v>
      </c>
      <c r="J557" s="11">
        <v>45664</v>
      </c>
      <c r="K557" t="str">
        <f>TEXT(Transactions_Clean[[#This Row],[Date]],"MMM-YYYY")</f>
        <v>Jan-2025</v>
      </c>
      <c r="L557">
        <f>IF(Transactions_Clean[[#This Row],[Category]]="Revenue",Transactions_Clean[[#This Row],[Amount(₹)]],Transactions_Clean[[#This Row],[Amount(₹)]]/8)</f>
        <v>-19614.875</v>
      </c>
    </row>
    <row r="558" spans="1:12">
      <c r="A558" t="s">
        <v>1144</v>
      </c>
      <c r="B558" t="s">
        <v>255</v>
      </c>
      <c r="C558" t="s">
        <v>22</v>
      </c>
      <c r="D558">
        <v>-37521</v>
      </c>
      <c r="E558" t="s">
        <v>23</v>
      </c>
      <c r="F558" t="s">
        <v>24</v>
      </c>
      <c r="G558" t="s">
        <v>25</v>
      </c>
      <c r="H558" t="s">
        <v>26</v>
      </c>
      <c r="I558" t="s">
        <v>48</v>
      </c>
      <c r="J558" s="11">
        <v>45087</v>
      </c>
      <c r="K558" t="str">
        <f>TEXT(Transactions_Clean[[#This Row],[Date]],"MMM-YYYY")</f>
        <v>Jun-2023</v>
      </c>
      <c r="L558">
        <f>IF(Transactions_Clean[[#This Row],[Category]]="Revenue",Transactions_Clean[[#This Row],[Amount(₹)]],Transactions_Clean[[#This Row],[Amount(₹)]]/8)</f>
        <v>-4690.125</v>
      </c>
    </row>
    <row r="559" spans="1:12">
      <c r="A559" t="s">
        <v>1146</v>
      </c>
      <c r="B559" t="s">
        <v>305</v>
      </c>
      <c r="C559" t="s">
        <v>38</v>
      </c>
      <c r="D559">
        <v>-9034</v>
      </c>
      <c r="E559" t="s">
        <v>23</v>
      </c>
      <c r="F559" t="s">
        <v>32</v>
      </c>
      <c r="G559" t="s">
        <v>33</v>
      </c>
      <c r="H559" t="s">
        <v>26</v>
      </c>
      <c r="I559" t="s">
        <v>34</v>
      </c>
      <c r="J559" s="11">
        <v>45052</v>
      </c>
      <c r="K559" t="str">
        <f>TEXT(Transactions_Clean[[#This Row],[Date]],"MMM-YYYY")</f>
        <v>May-2023</v>
      </c>
      <c r="L559">
        <f>IF(Transactions_Clean[[#This Row],[Category]]="Revenue",Transactions_Clean[[#This Row],[Amount(₹)]],Transactions_Clean[[#This Row],[Amount(₹)]]/8)</f>
        <v>-1129.25</v>
      </c>
    </row>
    <row r="560" spans="1:12">
      <c r="A560" t="s">
        <v>1148</v>
      </c>
      <c r="B560" t="s">
        <v>60</v>
      </c>
      <c r="C560" t="s">
        <v>61</v>
      </c>
      <c r="D560">
        <v>-26825</v>
      </c>
      <c r="E560" t="s">
        <v>62</v>
      </c>
      <c r="F560" t="s">
        <v>24</v>
      </c>
      <c r="G560" t="s">
        <v>63</v>
      </c>
      <c r="H560" t="s">
        <v>45</v>
      </c>
      <c r="I560" t="s">
        <v>48</v>
      </c>
      <c r="J560" s="11">
        <v>45635</v>
      </c>
      <c r="K560" t="str">
        <f>TEXT(Transactions_Clean[[#This Row],[Date]],"MMM-YYYY")</f>
        <v>Dec-2024</v>
      </c>
      <c r="L560">
        <f>IF(Transactions_Clean[[#This Row],[Category]]="Revenue",Transactions_Clean[[#This Row],[Amount(₹)]],Transactions_Clean[[#This Row],[Amount(₹)]]/8)</f>
        <v>-3353.125</v>
      </c>
    </row>
    <row r="561" spans="1:12">
      <c r="A561" t="s">
        <v>1149</v>
      </c>
      <c r="B561" t="s">
        <v>143</v>
      </c>
      <c r="C561" t="s">
        <v>78</v>
      </c>
      <c r="D561">
        <v>-54054</v>
      </c>
      <c r="E561" t="s">
        <v>23</v>
      </c>
      <c r="F561" t="s">
        <v>32</v>
      </c>
      <c r="G561" t="s">
        <v>79</v>
      </c>
      <c r="H561" t="s">
        <v>26</v>
      </c>
      <c r="I561" t="s">
        <v>27</v>
      </c>
      <c r="J561" s="11">
        <v>45370</v>
      </c>
      <c r="K561" t="str">
        <f>TEXT(Transactions_Clean[[#This Row],[Date]],"MMM-YYYY")</f>
        <v>Mar-2024</v>
      </c>
      <c r="L561">
        <f>IF(Transactions_Clean[[#This Row],[Category]]="Revenue",Transactions_Clean[[#This Row],[Amount(₹)]],Transactions_Clean[[#This Row],[Amount(₹)]]/8)</f>
        <v>-6756.75</v>
      </c>
    </row>
    <row r="562" spans="1:12">
      <c r="A562" t="s">
        <v>1150</v>
      </c>
      <c r="B562" t="s">
        <v>60</v>
      </c>
      <c r="C562" t="s">
        <v>61</v>
      </c>
      <c r="D562">
        <v>-60685</v>
      </c>
      <c r="E562" t="s">
        <v>62</v>
      </c>
      <c r="F562" t="s">
        <v>24</v>
      </c>
      <c r="G562" t="s">
        <v>63</v>
      </c>
      <c r="H562" t="s">
        <v>26</v>
      </c>
      <c r="I562" t="s">
        <v>34</v>
      </c>
      <c r="J562" s="11">
        <v>45064</v>
      </c>
      <c r="K562" t="str">
        <f>TEXT(Transactions_Clean[[#This Row],[Date]],"MMM-YYYY")</f>
        <v>May-2023</v>
      </c>
      <c r="L562">
        <f>IF(Transactions_Clean[[#This Row],[Category]]="Revenue",Transactions_Clean[[#This Row],[Amount(₹)]],Transactions_Clean[[#This Row],[Amount(₹)]]/8)</f>
        <v>-7585.625</v>
      </c>
    </row>
    <row r="563" spans="1:12">
      <c r="A563" t="s">
        <v>1152</v>
      </c>
      <c r="B563" t="s">
        <v>129</v>
      </c>
      <c r="C563" t="s">
        <v>38</v>
      </c>
      <c r="D563">
        <v>-39211</v>
      </c>
      <c r="E563" t="s">
        <v>23</v>
      </c>
      <c r="F563" t="s">
        <v>32</v>
      </c>
      <c r="G563" t="s">
        <v>33</v>
      </c>
      <c r="H563" t="s">
        <v>26</v>
      </c>
      <c r="I563" t="s">
        <v>34</v>
      </c>
      <c r="J563" s="11">
        <v>45061</v>
      </c>
      <c r="K563" t="str">
        <f>TEXT(Transactions_Clean[[#This Row],[Date]],"MMM-YYYY")</f>
        <v>May-2023</v>
      </c>
      <c r="L563">
        <f>IF(Transactions_Clean[[#This Row],[Category]]="Revenue",Transactions_Clean[[#This Row],[Amount(₹)]],Transactions_Clean[[#This Row],[Amount(₹)]]/8)</f>
        <v>-4901.375</v>
      </c>
    </row>
    <row r="564" spans="1:12">
      <c r="A564" t="s">
        <v>1154</v>
      </c>
      <c r="B564" t="s">
        <v>161</v>
      </c>
      <c r="C564" t="s">
        <v>22</v>
      </c>
      <c r="D564">
        <v>-153164</v>
      </c>
      <c r="E564" t="s">
        <v>23</v>
      </c>
      <c r="F564" t="s">
        <v>24</v>
      </c>
      <c r="G564" t="s">
        <v>25</v>
      </c>
      <c r="H564" t="s">
        <v>26</v>
      </c>
      <c r="I564" t="s">
        <v>40</v>
      </c>
      <c r="J564" s="11">
        <v>45162</v>
      </c>
      <c r="K564" t="str">
        <f>TEXT(Transactions_Clean[[#This Row],[Date]],"MMM-YYYY")</f>
        <v>Aug-2023</v>
      </c>
      <c r="L564">
        <f>IF(Transactions_Clean[[#This Row],[Category]]="Revenue",Transactions_Clean[[#This Row],[Amount(₹)]],Transactions_Clean[[#This Row],[Amount(₹)]]/8)</f>
        <v>-19145.5</v>
      </c>
    </row>
    <row r="565" spans="1:12">
      <c r="A565" t="s">
        <v>1156</v>
      </c>
      <c r="B565" t="s">
        <v>4752</v>
      </c>
      <c r="C565" t="s">
        <v>44</v>
      </c>
      <c r="D565">
        <v>-105954</v>
      </c>
      <c r="E565" t="s">
        <v>23</v>
      </c>
      <c r="F565" t="s">
        <v>32</v>
      </c>
      <c r="G565" t="s">
        <v>33</v>
      </c>
      <c r="H565" t="s">
        <v>45</v>
      </c>
      <c r="I565" t="s">
        <v>40</v>
      </c>
      <c r="J565" s="11">
        <v>45420</v>
      </c>
      <c r="K565" t="str">
        <f>TEXT(Transactions_Clean[[#This Row],[Date]],"MMM-YYYY")</f>
        <v>May-2024</v>
      </c>
      <c r="L565">
        <f>IF(Transactions_Clean[[#This Row],[Category]]="Revenue",Transactions_Clean[[#This Row],[Amount(₹)]],Transactions_Clean[[#This Row],[Amount(₹)]]/8)</f>
        <v>-13244.25</v>
      </c>
    </row>
    <row r="566" spans="1:12">
      <c r="A566" t="s">
        <v>1158</v>
      </c>
      <c r="B566" t="s">
        <v>4760</v>
      </c>
      <c r="C566" t="s">
        <v>4750</v>
      </c>
      <c r="D566">
        <v>-36348</v>
      </c>
      <c r="E566" t="s">
        <v>74</v>
      </c>
      <c r="F566" t="s">
        <v>32</v>
      </c>
      <c r="G566" t="s">
        <v>25</v>
      </c>
      <c r="H566" t="s">
        <v>39</v>
      </c>
      <c r="I566" t="s">
        <v>40</v>
      </c>
      <c r="J566" s="11">
        <v>45854</v>
      </c>
      <c r="K566" t="str">
        <f>TEXT(Transactions_Clean[[#This Row],[Date]],"MMM-YYYY")</f>
        <v>Jul-2025</v>
      </c>
      <c r="L566">
        <f>IF(Transactions_Clean[[#This Row],[Category]]="Revenue",Transactions_Clean[[#This Row],[Amount(₹)]],Transactions_Clean[[#This Row],[Amount(₹)]]/8)</f>
        <v>-4543.5</v>
      </c>
    </row>
    <row r="567" spans="1:12">
      <c r="A567" t="s">
        <v>1160</v>
      </c>
      <c r="B567" t="s">
        <v>310</v>
      </c>
      <c r="C567" t="s">
        <v>22</v>
      </c>
      <c r="D567">
        <v>-144538</v>
      </c>
      <c r="E567" t="s">
        <v>23</v>
      </c>
      <c r="F567" t="s">
        <v>32</v>
      </c>
      <c r="G567" t="s">
        <v>25</v>
      </c>
      <c r="H567" t="s">
        <v>45</v>
      </c>
      <c r="I567" t="s">
        <v>40</v>
      </c>
      <c r="J567" s="11">
        <v>45512</v>
      </c>
      <c r="K567" t="str">
        <f>TEXT(Transactions_Clean[[#This Row],[Date]],"MMM-YYYY")</f>
        <v>Aug-2024</v>
      </c>
      <c r="L567">
        <f>IF(Transactions_Clean[[#This Row],[Category]]="Revenue",Transactions_Clean[[#This Row],[Amount(₹)]],Transactions_Clean[[#This Row],[Amount(₹)]]/8)</f>
        <v>-18067.25</v>
      </c>
    </row>
    <row r="568" spans="1:12">
      <c r="A568" t="s">
        <v>1162</v>
      </c>
      <c r="B568" t="s">
        <v>4756</v>
      </c>
      <c r="C568" t="s">
        <v>73</v>
      </c>
      <c r="D568">
        <v>-69160</v>
      </c>
      <c r="E568" t="s">
        <v>74</v>
      </c>
      <c r="F568" t="s">
        <v>24</v>
      </c>
      <c r="G568" t="s">
        <v>25</v>
      </c>
      <c r="H568" t="s">
        <v>45</v>
      </c>
      <c r="I568" t="s">
        <v>27</v>
      </c>
      <c r="J568" s="11">
        <v>45747</v>
      </c>
      <c r="K568" t="str">
        <f>TEXT(Transactions_Clean[[#This Row],[Date]],"MMM-YYYY")</f>
        <v>Mar-2025</v>
      </c>
      <c r="L568">
        <f>IF(Transactions_Clean[[#This Row],[Category]]="Revenue",Transactions_Clean[[#This Row],[Amount(₹)]],Transactions_Clean[[#This Row],[Amount(₹)]]/8)</f>
        <v>-8645</v>
      </c>
    </row>
    <row r="569" spans="1:12">
      <c r="A569" t="s">
        <v>1164</v>
      </c>
      <c r="B569" t="s">
        <v>4765</v>
      </c>
      <c r="C569" t="s">
        <v>73</v>
      </c>
      <c r="D569">
        <v>-23985</v>
      </c>
      <c r="E569" t="s">
        <v>74</v>
      </c>
      <c r="F569" t="s">
        <v>32</v>
      </c>
      <c r="G569" t="s">
        <v>25</v>
      </c>
      <c r="H569" t="s">
        <v>26</v>
      </c>
      <c r="I569" t="s">
        <v>48</v>
      </c>
      <c r="J569" s="11">
        <v>45255</v>
      </c>
      <c r="K569" t="str">
        <f>TEXT(Transactions_Clean[[#This Row],[Date]],"MMM-YYYY")</f>
        <v>Nov-2023</v>
      </c>
      <c r="L569">
        <f>IF(Transactions_Clean[[#This Row],[Category]]="Revenue",Transactions_Clean[[#This Row],[Amount(₹)]],Transactions_Clean[[#This Row],[Amount(₹)]]/8)</f>
        <v>-2998.125</v>
      </c>
    </row>
    <row r="570" spans="1:12">
      <c r="A570" t="s">
        <v>1165</v>
      </c>
      <c r="B570" t="s">
        <v>4766</v>
      </c>
      <c r="C570" t="s">
        <v>73</v>
      </c>
      <c r="D570">
        <v>-19486</v>
      </c>
      <c r="E570" t="s">
        <v>74</v>
      </c>
      <c r="F570" t="s">
        <v>32</v>
      </c>
      <c r="G570" t="s">
        <v>25</v>
      </c>
      <c r="H570" t="s">
        <v>26</v>
      </c>
      <c r="I570" t="s">
        <v>27</v>
      </c>
      <c r="J570" s="11">
        <v>45356</v>
      </c>
      <c r="K570" t="str">
        <f>TEXT(Transactions_Clean[[#This Row],[Date]],"MMM-YYYY")</f>
        <v>Mar-2024</v>
      </c>
      <c r="L570">
        <f>IF(Transactions_Clean[[#This Row],[Category]]="Revenue",Transactions_Clean[[#This Row],[Amount(₹)]],Transactions_Clean[[#This Row],[Amount(₹)]]/8)</f>
        <v>-2435.75</v>
      </c>
    </row>
    <row r="571" spans="1:12">
      <c r="A571" t="s">
        <v>1167</v>
      </c>
      <c r="B571" t="s">
        <v>215</v>
      </c>
      <c r="C571" t="s">
        <v>61</v>
      </c>
      <c r="D571">
        <v>-34632</v>
      </c>
      <c r="E571" t="s">
        <v>62</v>
      </c>
      <c r="F571" t="s">
        <v>24</v>
      </c>
      <c r="G571" t="s">
        <v>63</v>
      </c>
      <c r="H571" t="s">
        <v>39</v>
      </c>
      <c r="I571" t="s">
        <v>40</v>
      </c>
      <c r="J571" s="11">
        <v>45875</v>
      </c>
      <c r="K571" t="str">
        <f>TEXT(Transactions_Clean[[#This Row],[Date]],"MMM-YYYY")</f>
        <v>Aug-2025</v>
      </c>
      <c r="L571">
        <f>IF(Transactions_Clean[[#This Row],[Category]]="Revenue",Transactions_Clean[[#This Row],[Amount(₹)]],Transactions_Clean[[#This Row],[Amount(₹)]]/8)</f>
        <v>-4329</v>
      </c>
    </row>
    <row r="572" spans="1:12">
      <c r="A572" t="s">
        <v>1169</v>
      </c>
      <c r="B572" t="s">
        <v>169</v>
      </c>
      <c r="C572" t="s">
        <v>73</v>
      </c>
      <c r="D572">
        <v>-82135</v>
      </c>
      <c r="E572" t="s">
        <v>74</v>
      </c>
      <c r="F572" t="s">
        <v>24</v>
      </c>
      <c r="G572" t="s">
        <v>25</v>
      </c>
      <c r="H572" t="s">
        <v>45</v>
      </c>
      <c r="I572" t="s">
        <v>34</v>
      </c>
      <c r="J572" s="11">
        <v>45418</v>
      </c>
      <c r="K572" t="str">
        <f>TEXT(Transactions_Clean[[#This Row],[Date]],"MMM-YYYY")</f>
        <v>May-2024</v>
      </c>
      <c r="L572">
        <f>IF(Transactions_Clean[[#This Row],[Category]]="Revenue",Transactions_Clean[[#This Row],[Amount(₹)]],Transactions_Clean[[#This Row],[Amount(₹)]]/8)</f>
        <v>-10266.875</v>
      </c>
    </row>
    <row r="573" spans="1:12">
      <c r="A573" t="s">
        <v>1171</v>
      </c>
      <c r="B573" t="s">
        <v>4755</v>
      </c>
      <c r="C573" t="s">
        <v>78</v>
      </c>
      <c r="D573">
        <v>-96665</v>
      </c>
      <c r="E573" t="s">
        <v>23</v>
      </c>
      <c r="F573" t="s">
        <v>32</v>
      </c>
      <c r="G573" t="s">
        <v>79</v>
      </c>
      <c r="H573" t="s">
        <v>45</v>
      </c>
      <c r="I573" t="s">
        <v>27</v>
      </c>
      <c r="J573" s="11">
        <v>45732</v>
      </c>
      <c r="K573" t="str">
        <f>TEXT(Transactions_Clean[[#This Row],[Date]],"MMM-YYYY")</f>
        <v>Mar-2025</v>
      </c>
      <c r="L573">
        <f>IF(Transactions_Clean[[#This Row],[Category]]="Revenue",Transactions_Clean[[#This Row],[Amount(₹)]],Transactions_Clean[[#This Row],[Amount(₹)]]/8)</f>
        <v>-12083.125</v>
      </c>
    </row>
    <row r="574" spans="1:12">
      <c r="A574" t="s">
        <v>1173</v>
      </c>
      <c r="B574" t="s">
        <v>174</v>
      </c>
      <c r="C574" t="s">
        <v>22</v>
      </c>
      <c r="D574">
        <v>-158096</v>
      </c>
      <c r="E574" t="s">
        <v>23</v>
      </c>
      <c r="F574" t="s">
        <v>24</v>
      </c>
      <c r="G574" t="s">
        <v>25</v>
      </c>
      <c r="H574" t="s">
        <v>26</v>
      </c>
      <c r="I574" t="s">
        <v>40</v>
      </c>
      <c r="J574" s="11">
        <v>45151</v>
      </c>
      <c r="K574" t="str">
        <f>TEXT(Transactions_Clean[[#This Row],[Date]],"MMM-YYYY")</f>
        <v>Aug-2023</v>
      </c>
      <c r="L574">
        <f>IF(Transactions_Clean[[#This Row],[Category]]="Revenue",Transactions_Clean[[#This Row],[Amount(₹)]],Transactions_Clean[[#This Row],[Amount(₹)]]/8)</f>
        <v>-19762</v>
      </c>
    </row>
    <row r="575" spans="1:12">
      <c r="A575" t="s">
        <v>1175</v>
      </c>
      <c r="B575" t="s">
        <v>215</v>
      </c>
      <c r="C575" t="s">
        <v>61</v>
      </c>
      <c r="D575">
        <v>-53162</v>
      </c>
      <c r="E575" t="s">
        <v>62</v>
      </c>
      <c r="F575" t="s">
        <v>32</v>
      </c>
      <c r="G575" t="s">
        <v>63</v>
      </c>
      <c r="H575" t="s">
        <v>45</v>
      </c>
      <c r="I575" t="s">
        <v>34</v>
      </c>
      <c r="J575" s="11">
        <v>45430</v>
      </c>
      <c r="K575" t="str">
        <f>TEXT(Transactions_Clean[[#This Row],[Date]],"MMM-YYYY")</f>
        <v>May-2024</v>
      </c>
      <c r="L575">
        <f>IF(Transactions_Clean[[#This Row],[Category]]="Revenue",Transactions_Clean[[#This Row],[Amount(₹)]],Transactions_Clean[[#This Row],[Amount(₹)]]/8)</f>
        <v>-6645.25</v>
      </c>
    </row>
    <row r="576" spans="1:12">
      <c r="A576" t="s">
        <v>1177</v>
      </c>
      <c r="B576" t="s">
        <v>215</v>
      </c>
      <c r="C576" t="s">
        <v>61</v>
      </c>
      <c r="D576">
        <v>-47679</v>
      </c>
      <c r="E576" t="s">
        <v>62</v>
      </c>
      <c r="F576" t="s">
        <v>24</v>
      </c>
      <c r="G576" t="s">
        <v>63</v>
      </c>
      <c r="H576" t="s">
        <v>45</v>
      </c>
      <c r="I576" t="s">
        <v>34</v>
      </c>
      <c r="J576" s="11">
        <v>45449</v>
      </c>
      <c r="K576" t="str">
        <f>TEXT(Transactions_Clean[[#This Row],[Date]],"MMM-YYYY")</f>
        <v>Jun-2024</v>
      </c>
      <c r="L576">
        <f>IF(Transactions_Clean[[#This Row],[Category]]="Revenue",Transactions_Clean[[#This Row],[Amount(₹)]],Transactions_Clean[[#This Row],[Amount(₹)]]/8)</f>
        <v>-5959.875</v>
      </c>
    </row>
    <row r="577" spans="1:12">
      <c r="A577" t="s">
        <v>1179</v>
      </c>
      <c r="B577" t="s">
        <v>4754</v>
      </c>
      <c r="C577" t="s">
        <v>78</v>
      </c>
      <c r="D577">
        <v>-17368</v>
      </c>
      <c r="E577" t="s">
        <v>23</v>
      </c>
      <c r="F577" t="s">
        <v>24</v>
      </c>
      <c r="G577" t="s">
        <v>79</v>
      </c>
      <c r="H577" t="s">
        <v>39</v>
      </c>
      <c r="I577" t="s">
        <v>40</v>
      </c>
      <c r="J577" s="11">
        <v>45901</v>
      </c>
      <c r="K577" t="str">
        <f>TEXT(Transactions_Clean[[#This Row],[Date]],"MMM-YYYY")</f>
        <v>Sep-2025</v>
      </c>
      <c r="L577">
        <f>IF(Transactions_Clean[[#This Row],[Category]]="Revenue",Transactions_Clean[[#This Row],[Amount(₹)]],Transactions_Clean[[#This Row],[Amount(₹)]]/8)</f>
        <v>-2171</v>
      </c>
    </row>
    <row r="578" spans="1:12">
      <c r="A578" t="s">
        <v>1181</v>
      </c>
      <c r="B578" t="s">
        <v>283</v>
      </c>
      <c r="C578" t="s">
        <v>4750</v>
      </c>
      <c r="D578">
        <v>-95668</v>
      </c>
      <c r="E578" t="s">
        <v>23</v>
      </c>
      <c r="F578" t="s">
        <v>24</v>
      </c>
      <c r="G578" t="s">
        <v>33</v>
      </c>
      <c r="H578" t="s">
        <v>26</v>
      </c>
      <c r="I578" t="s">
        <v>40</v>
      </c>
      <c r="J578" s="11">
        <v>45110</v>
      </c>
      <c r="K578" t="str">
        <f>TEXT(Transactions_Clean[[#This Row],[Date]],"MMM-YYYY")</f>
        <v>Jul-2023</v>
      </c>
      <c r="L578">
        <f>IF(Transactions_Clean[[#This Row],[Category]]="Revenue",Transactions_Clean[[#This Row],[Amount(₹)]],Transactions_Clean[[#This Row],[Amount(₹)]]/8)</f>
        <v>-11958.5</v>
      </c>
    </row>
    <row r="579" spans="1:12">
      <c r="A579" t="s">
        <v>1183</v>
      </c>
      <c r="B579" t="s">
        <v>116</v>
      </c>
      <c r="C579" t="s">
        <v>73</v>
      </c>
      <c r="D579">
        <v>-27767</v>
      </c>
      <c r="E579" t="s">
        <v>74</v>
      </c>
      <c r="F579" t="s">
        <v>24</v>
      </c>
      <c r="G579" t="s">
        <v>25</v>
      </c>
      <c r="H579" t="s">
        <v>39</v>
      </c>
      <c r="I579" t="s">
        <v>27</v>
      </c>
      <c r="J579" s="11">
        <v>46025</v>
      </c>
      <c r="K579" t="str">
        <f>TEXT(Transactions_Clean[[#This Row],[Date]],"MMM-YYYY")</f>
        <v>Jan-2026</v>
      </c>
      <c r="L579">
        <f>IF(Transactions_Clean[[#This Row],[Category]]="Revenue",Transactions_Clean[[#This Row],[Amount(₹)]],Transactions_Clean[[#This Row],[Amount(₹)]]/8)</f>
        <v>-3470.875</v>
      </c>
    </row>
    <row r="580" spans="1:12">
      <c r="A580" t="s">
        <v>1184</v>
      </c>
      <c r="B580" t="s">
        <v>143</v>
      </c>
      <c r="C580" t="s">
        <v>78</v>
      </c>
      <c r="D580">
        <v>-52255</v>
      </c>
      <c r="E580" t="s">
        <v>23</v>
      </c>
      <c r="F580" t="s">
        <v>24</v>
      </c>
      <c r="G580" t="s">
        <v>79</v>
      </c>
      <c r="H580" t="s">
        <v>45</v>
      </c>
      <c r="I580" t="s">
        <v>48</v>
      </c>
      <c r="J580" s="11">
        <v>45600</v>
      </c>
      <c r="K580" t="str">
        <f>TEXT(Transactions_Clean[[#This Row],[Date]],"MMM-YYYY")</f>
        <v>Nov-2024</v>
      </c>
      <c r="L580">
        <f>IF(Transactions_Clean[[#This Row],[Category]]="Revenue",Transactions_Clean[[#This Row],[Amount(₹)]],Transactions_Clean[[#This Row],[Amount(₹)]]/8)</f>
        <v>-6531.875</v>
      </c>
    </row>
    <row r="581" spans="1:12">
      <c r="A581" t="s">
        <v>1186</v>
      </c>
      <c r="B581" t="s">
        <v>169</v>
      </c>
      <c r="C581" t="s">
        <v>73</v>
      </c>
      <c r="D581">
        <v>-59109</v>
      </c>
      <c r="E581" t="s">
        <v>74</v>
      </c>
      <c r="F581" t="s">
        <v>24</v>
      </c>
      <c r="G581" t="s">
        <v>25</v>
      </c>
      <c r="H581" t="s">
        <v>39</v>
      </c>
      <c r="I581" t="s">
        <v>40</v>
      </c>
      <c r="J581" s="11">
        <v>45883</v>
      </c>
      <c r="K581" t="str">
        <f>TEXT(Transactions_Clean[[#This Row],[Date]],"MMM-YYYY")</f>
        <v>Aug-2025</v>
      </c>
      <c r="L581">
        <f>IF(Transactions_Clean[[#This Row],[Category]]="Revenue",Transactions_Clean[[#This Row],[Amount(₹)]],Transactions_Clean[[#This Row],[Amount(₹)]]/8)</f>
        <v>-7388.625</v>
      </c>
    </row>
    <row r="582" spans="1:12">
      <c r="A582" t="s">
        <v>1187</v>
      </c>
      <c r="B582" t="s">
        <v>60</v>
      </c>
      <c r="C582" t="s">
        <v>61</v>
      </c>
      <c r="D582">
        <v>-40090</v>
      </c>
      <c r="E582" t="s">
        <v>62</v>
      </c>
      <c r="F582" t="s">
        <v>24</v>
      </c>
      <c r="G582" t="s">
        <v>63</v>
      </c>
      <c r="H582" t="s">
        <v>45</v>
      </c>
      <c r="I582" t="s">
        <v>40</v>
      </c>
      <c r="J582" s="11">
        <v>45490</v>
      </c>
      <c r="K582" t="str">
        <f>TEXT(Transactions_Clean[[#This Row],[Date]],"MMM-YYYY")</f>
        <v>Jul-2024</v>
      </c>
      <c r="L582">
        <f>IF(Transactions_Clean[[#This Row],[Category]]="Revenue",Transactions_Clean[[#This Row],[Amount(₹)]],Transactions_Clean[[#This Row],[Amount(₹)]]/8)</f>
        <v>-5011.25</v>
      </c>
    </row>
    <row r="583" spans="1:12">
      <c r="A583" t="s">
        <v>1189</v>
      </c>
      <c r="B583" t="s">
        <v>4748</v>
      </c>
      <c r="C583" t="s">
        <v>22</v>
      </c>
      <c r="D583">
        <v>-58156</v>
      </c>
      <c r="E583" t="s">
        <v>23</v>
      </c>
      <c r="F583" t="s">
        <v>24</v>
      </c>
      <c r="G583" t="s">
        <v>25</v>
      </c>
      <c r="H583" t="s">
        <v>26</v>
      </c>
      <c r="I583" t="s">
        <v>40</v>
      </c>
      <c r="J583" s="11">
        <v>45122</v>
      </c>
      <c r="K583" t="str">
        <f>TEXT(Transactions_Clean[[#This Row],[Date]],"MMM-YYYY")</f>
        <v>Jul-2023</v>
      </c>
      <c r="L583">
        <f>IF(Transactions_Clean[[#This Row],[Category]]="Revenue",Transactions_Clean[[#This Row],[Amount(₹)]],Transactions_Clean[[#This Row],[Amount(₹)]]/8)</f>
        <v>-7269.5</v>
      </c>
    </row>
    <row r="584" spans="1:12">
      <c r="A584" t="s">
        <v>1191</v>
      </c>
      <c r="B584" t="s">
        <v>116</v>
      </c>
      <c r="C584" t="s">
        <v>73</v>
      </c>
      <c r="D584">
        <v>-20657</v>
      </c>
      <c r="E584" t="s">
        <v>74</v>
      </c>
      <c r="F584" t="s">
        <v>24</v>
      </c>
      <c r="G584" t="s">
        <v>25</v>
      </c>
      <c r="H584" t="s">
        <v>39</v>
      </c>
      <c r="I584" t="s">
        <v>40</v>
      </c>
      <c r="J584" s="11">
        <v>45887</v>
      </c>
      <c r="K584" t="str">
        <f>TEXT(Transactions_Clean[[#This Row],[Date]],"MMM-YYYY")</f>
        <v>Aug-2025</v>
      </c>
      <c r="L584">
        <f>IF(Transactions_Clean[[#This Row],[Category]]="Revenue",Transactions_Clean[[#This Row],[Amount(₹)]],Transactions_Clean[[#This Row],[Amount(₹)]]/8)</f>
        <v>-2582.125</v>
      </c>
    </row>
    <row r="585" spans="1:12">
      <c r="A585" t="s">
        <v>1192</v>
      </c>
      <c r="B585" t="s">
        <v>4751</v>
      </c>
      <c r="C585" t="s">
        <v>38</v>
      </c>
      <c r="D585">
        <v>-22902</v>
      </c>
      <c r="E585" t="s">
        <v>23</v>
      </c>
      <c r="F585" t="s">
        <v>24</v>
      </c>
      <c r="G585" t="s">
        <v>33</v>
      </c>
      <c r="H585" t="s">
        <v>39</v>
      </c>
      <c r="I585" t="s">
        <v>48</v>
      </c>
      <c r="J585" s="11">
        <v>45948</v>
      </c>
      <c r="K585" t="str">
        <f>TEXT(Transactions_Clean[[#This Row],[Date]],"MMM-YYYY")</f>
        <v>Oct-2025</v>
      </c>
      <c r="L585">
        <f>IF(Transactions_Clean[[#This Row],[Category]]="Revenue",Transactions_Clean[[#This Row],[Amount(₹)]],Transactions_Clean[[#This Row],[Amount(₹)]]/8)</f>
        <v>-2862.75</v>
      </c>
    </row>
    <row r="586" spans="1:12">
      <c r="A586" t="s">
        <v>1193</v>
      </c>
      <c r="B586" t="s">
        <v>212</v>
      </c>
      <c r="C586" t="s">
        <v>73</v>
      </c>
      <c r="D586">
        <v>-31500</v>
      </c>
      <c r="E586" t="s">
        <v>74</v>
      </c>
      <c r="F586" t="s">
        <v>32</v>
      </c>
      <c r="G586" t="s">
        <v>25</v>
      </c>
      <c r="H586" t="s">
        <v>26</v>
      </c>
      <c r="I586" t="s">
        <v>27</v>
      </c>
      <c r="J586" s="11">
        <v>45323</v>
      </c>
      <c r="K586" t="str">
        <f>TEXT(Transactions_Clean[[#This Row],[Date]],"MMM-YYYY")</f>
        <v>Feb-2024</v>
      </c>
      <c r="L586">
        <f>IF(Transactions_Clean[[#This Row],[Category]]="Revenue",Transactions_Clean[[#This Row],[Amount(₹)]],Transactions_Clean[[#This Row],[Amount(₹)]]/8)</f>
        <v>-3937.5</v>
      </c>
    </row>
    <row r="587" spans="1:12">
      <c r="A587" t="s">
        <v>1194</v>
      </c>
      <c r="B587" t="s">
        <v>4762</v>
      </c>
      <c r="C587" t="s">
        <v>157</v>
      </c>
      <c r="D587">
        <v>707620</v>
      </c>
      <c r="E587" t="s">
        <v>62</v>
      </c>
      <c r="F587" t="s">
        <v>32</v>
      </c>
      <c r="G587" t="s">
        <v>25</v>
      </c>
      <c r="H587" t="s">
        <v>39</v>
      </c>
      <c r="I587" t="s">
        <v>27</v>
      </c>
      <c r="J587" s="11">
        <v>46070</v>
      </c>
      <c r="K587" t="str">
        <f>TEXT(Transactions_Clean[[#This Row],[Date]],"MMM-YYYY")</f>
        <v>Feb-2026</v>
      </c>
      <c r="L587">
        <f>IF(Transactions_Clean[[#This Row],[Category]]="Revenue",Transactions_Clean[[#This Row],[Amount(₹)]],Transactions_Clean[[#This Row],[Amount(₹)]]/8)</f>
        <v>707620</v>
      </c>
    </row>
    <row r="588" spans="1:12">
      <c r="A588" t="s">
        <v>1196</v>
      </c>
      <c r="B588" t="s">
        <v>87</v>
      </c>
      <c r="C588" t="s">
        <v>22</v>
      </c>
      <c r="D588">
        <v>-80791</v>
      </c>
      <c r="E588" t="s">
        <v>23</v>
      </c>
      <c r="F588" t="s">
        <v>24</v>
      </c>
      <c r="G588" t="s">
        <v>25</v>
      </c>
      <c r="H588" t="s">
        <v>45</v>
      </c>
      <c r="I588" t="s">
        <v>40</v>
      </c>
      <c r="J588" s="11">
        <v>45572</v>
      </c>
      <c r="K588" t="str">
        <f>TEXT(Transactions_Clean[[#This Row],[Date]],"MMM-YYYY")</f>
        <v>Oct-2024</v>
      </c>
      <c r="L588">
        <f>IF(Transactions_Clean[[#This Row],[Category]]="Revenue",Transactions_Clean[[#This Row],[Amount(₹)]],Transactions_Clean[[#This Row],[Amount(₹)]]/8)</f>
        <v>-10098.875</v>
      </c>
    </row>
    <row r="589" spans="1:12">
      <c r="A589" t="s">
        <v>1198</v>
      </c>
      <c r="B589" t="s">
        <v>224</v>
      </c>
      <c r="C589" t="s">
        <v>78</v>
      </c>
      <c r="D589">
        <v>-52606</v>
      </c>
      <c r="E589" t="s">
        <v>23</v>
      </c>
      <c r="F589" t="s">
        <v>24</v>
      </c>
      <c r="G589" t="s">
        <v>79</v>
      </c>
      <c r="H589" t="s">
        <v>26</v>
      </c>
      <c r="I589" t="s">
        <v>34</v>
      </c>
      <c r="J589" s="11">
        <v>45023</v>
      </c>
      <c r="K589" t="str">
        <f>TEXT(Transactions_Clean[[#This Row],[Date]],"MMM-YYYY")</f>
        <v>Apr-2023</v>
      </c>
      <c r="L589">
        <f>IF(Transactions_Clean[[#This Row],[Category]]="Revenue",Transactions_Clean[[#This Row],[Amount(₹)]],Transactions_Clean[[#This Row],[Amount(₹)]]/8)</f>
        <v>-6575.75</v>
      </c>
    </row>
    <row r="590" spans="1:12">
      <c r="A590" t="s">
        <v>1200</v>
      </c>
      <c r="B590" t="s">
        <v>129</v>
      </c>
      <c r="C590" t="s">
        <v>38</v>
      </c>
      <c r="D590">
        <v>-33907</v>
      </c>
      <c r="E590" t="s">
        <v>23</v>
      </c>
      <c r="F590" t="s">
        <v>24</v>
      </c>
      <c r="G590" t="s">
        <v>33</v>
      </c>
      <c r="H590" t="s">
        <v>45</v>
      </c>
      <c r="I590" t="s">
        <v>34</v>
      </c>
      <c r="J590" s="11">
        <v>45413</v>
      </c>
      <c r="K590" t="str">
        <f>TEXT(Transactions_Clean[[#This Row],[Date]],"MMM-YYYY")</f>
        <v>May-2024</v>
      </c>
      <c r="L590">
        <f>IF(Transactions_Clean[[#This Row],[Category]]="Revenue",Transactions_Clean[[#This Row],[Amount(₹)]],Transactions_Clean[[#This Row],[Amount(₹)]]/8)</f>
        <v>-4238.375</v>
      </c>
    </row>
    <row r="591" spans="1:12">
      <c r="A591" t="s">
        <v>1202</v>
      </c>
      <c r="B591" t="s">
        <v>4749</v>
      </c>
      <c r="C591" t="s">
        <v>44</v>
      </c>
      <c r="D591">
        <v>-92310</v>
      </c>
      <c r="E591" t="s">
        <v>23</v>
      </c>
      <c r="F591" t="s">
        <v>24</v>
      </c>
      <c r="G591" t="s">
        <v>33</v>
      </c>
      <c r="H591" t="s">
        <v>45</v>
      </c>
      <c r="I591" t="s">
        <v>40</v>
      </c>
      <c r="J591" s="11">
        <v>45497</v>
      </c>
      <c r="K591" t="str">
        <f>TEXT(Transactions_Clean[[#This Row],[Date]],"MMM-YYYY")</f>
        <v>Jul-2024</v>
      </c>
      <c r="L591">
        <f>IF(Transactions_Clean[[#This Row],[Category]]="Revenue",Transactions_Clean[[#This Row],[Amount(₹)]],Transactions_Clean[[#This Row],[Amount(₹)]]/8)</f>
        <v>-11538.75</v>
      </c>
    </row>
    <row r="592" spans="1:12">
      <c r="A592" t="s">
        <v>1203</v>
      </c>
      <c r="B592" t="s">
        <v>143</v>
      </c>
      <c r="C592" t="s">
        <v>78</v>
      </c>
      <c r="D592">
        <v>-103538</v>
      </c>
      <c r="E592" t="s">
        <v>23</v>
      </c>
      <c r="F592" t="s">
        <v>24</v>
      </c>
      <c r="G592" t="s">
        <v>79</v>
      </c>
      <c r="H592" t="s">
        <v>26</v>
      </c>
      <c r="I592" t="s">
        <v>48</v>
      </c>
      <c r="J592" s="11">
        <v>45262</v>
      </c>
      <c r="K592" t="str">
        <f>TEXT(Transactions_Clean[[#This Row],[Date]],"MMM-YYYY")</f>
        <v>Dec-2023</v>
      </c>
      <c r="L592">
        <f>IF(Transactions_Clean[[#This Row],[Category]]="Revenue",Transactions_Clean[[#This Row],[Amount(₹)]],Transactions_Clean[[#This Row],[Amount(₹)]]/8)</f>
        <v>-12942.25</v>
      </c>
    </row>
    <row r="593" spans="1:12">
      <c r="A593" t="s">
        <v>1204</v>
      </c>
      <c r="B593" t="s">
        <v>4765</v>
      </c>
      <c r="C593" t="s">
        <v>73</v>
      </c>
      <c r="D593">
        <v>-41386</v>
      </c>
      <c r="E593" t="s">
        <v>74</v>
      </c>
      <c r="F593" t="s">
        <v>24</v>
      </c>
      <c r="G593" t="s">
        <v>25</v>
      </c>
      <c r="H593" t="s">
        <v>45</v>
      </c>
      <c r="I593" t="s">
        <v>27</v>
      </c>
      <c r="J593" s="11">
        <v>45706</v>
      </c>
      <c r="K593" t="str">
        <f>TEXT(Transactions_Clean[[#This Row],[Date]],"MMM-YYYY")</f>
        <v>Feb-2025</v>
      </c>
      <c r="L593">
        <f>IF(Transactions_Clean[[#This Row],[Category]]="Revenue",Transactions_Clean[[#This Row],[Amount(₹)]],Transactions_Clean[[#This Row],[Amount(₹)]]/8)</f>
        <v>-5173.25</v>
      </c>
    </row>
    <row r="594" spans="1:12">
      <c r="A594" t="s">
        <v>1206</v>
      </c>
      <c r="B594" t="s">
        <v>177</v>
      </c>
      <c r="C594" t="s">
        <v>78</v>
      </c>
      <c r="D594">
        <v>-80921</v>
      </c>
      <c r="E594" t="s">
        <v>23</v>
      </c>
      <c r="F594" t="s">
        <v>24</v>
      </c>
      <c r="G594" t="s">
        <v>79</v>
      </c>
      <c r="H594" t="s">
        <v>45</v>
      </c>
      <c r="I594" t="s">
        <v>48</v>
      </c>
      <c r="J594" s="11">
        <v>45611</v>
      </c>
      <c r="K594" t="str">
        <f>TEXT(Transactions_Clean[[#This Row],[Date]],"MMM-YYYY")</f>
        <v>Nov-2024</v>
      </c>
      <c r="L594">
        <f>IF(Transactions_Clean[[#This Row],[Category]]="Revenue",Transactions_Clean[[#This Row],[Amount(₹)]],Transactions_Clean[[#This Row],[Amount(₹)]]/8)</f>
        <v>-10115.125</v>
      </c>
    </row>
    <row r="595" spans="1:12">
      <c r="A595" t="s">
        <v>1208</v>
      </c>
      <c r="B595" t="s">
        <v>60</v>
      </c>
      <c r="C595" t="s">
        <v>61</v>
      </c>
      <c r="D595">
        <v>-31313</v>
      </c>
      <c r="E595" t="s">
        <v>62</v>
      </c>
      <c r="F595" t="s">
        <v>24</v>
      </c>
      <c r="G595" t="s">
        <v>63</v>
      </c>
      <c r="H595" t="s">
        <v>45</v>
      </c>
      <c r="I595" t="s">
        <v>40</v>
      </c>
      <c r="J595" s="11">
        <v>45488</v>
      </c>
      <c r="K595" t="str">
        <f>TEXT(Transactions_Clean[[#This Row],[Date]],"MMM-YYYY")</f>
        <v>Jul-2024</v>
      </c>
      <c r="L595">
        <f>IF(Transactions_Clean[[#This Row],[Category]]="Revenue",Transactions_Clean[[#This Row],[Amount(₹)]],Transactions_Clean[[#This Row],[Amount(₹)]]/8)</f>
        <v>-3914.125</v>
      </c>
    </row>
    <row r="596" spans="1:12">
      <c r="A596" t="s">
        <v>1210</v>
      </c>
      <c r="B596" t="s">
        <v>4766</v>
      </c>
      <c r="C596" t="s">
        <v>73</v>
      </c>
      <c r="D596">
        <v>-15977</v>
      </c>
      <c r="E596" t="s">
        <v>74</v>
      </c>
      <c r="F596" t="s">
        <v>24</v>
      </c>
      <c r="G596" t="s">
        <v>25</v>
      </c>
      <c r="H596" t="s">
        <v>39</v>
      </c>
      <c r="I596" t="s">
        <v>27</v>
      </c>
      <c r="J596" s="11">
        <v>46059</v>
      </c>
      <c r="K596" t="str">
        <f>TEXT(Transactions_Clean[[#This Row],[Date]],"MMM-YYYY")</f>
        <v>Feb-2026</v>
      </c>
      <c r="L596">
        <f>IF(Transactions_Clean[[#This Row],[Category]]="Revenue",Transactions_Clean[[#This Row],[Amount(₹)]],Transactions_Clean[[#This Row],[Amount(₹)]]/8)</f>
        <v>-1997.125</v>
      </c>
    </row>
    <row r="597" spans="1:12">
      <c r="A597" t="s">
        <v>1211</v>
      </c>
      <c r="B597" t="s">
        <v>4763</v>
      </c>
      <c r="C597" t="s">
        <v>22</v>
      </c>
      <c r="D597">
        <v>-88339</v>
      </c>
      <c r="E597" t="s">
        <v>23</v>
      </c>
      <c r="F597" t="s">
        <v>32</v>
      </c>
      <c r="G597" t="s">
        <v>25</v>
      </c>
      <c r="H597" t="s">
        <v>39</v>
      </c>
      <c r="I597" t="s">
        <v>34</v>
      </c>
      <c r="J597" s="11">
        <v>45817</v>
      </c>
      <c r="K597" t="str">
        <f>TEXT(Transactions_Clean[[#This Row],[Date]],"MMM-YYYY")</f>
        <v>Jun-2025</v>
      </c>
      <c r="L597">
        <f>IF(Transactions_Clean[[#This Row],[Category]]="Revenue",Transactions_Clean[[#This Row],[Amount(₹)]],Transactions_Clean[[#This Row],[Amount(₹)]]/8)</f>
        <v>-11042.375</v>
      </c>
    </row>
    <row r="598" spans="1:12">
      <c r="A598" t="s">
        <v>1213</v>
      </c>
      <c r="B598" t="s">
        <v>100</v>
      </c>
      <c r="C598" t="s">
        <v>31</v>
      </c>
      <c r="D598">
        <v>-13524</v>
      </c>
      <c r="E598" t="s">
        <v>23</v>
      </c>
      <c r="F598" t="s">
        <v>32</v>
      </c>
      <c r="G598" t="s">
        <v>33</v>
      </c>
      <c r="H598" t="s">
        <v>26</v>
      </c>
      <c r="I598" t="s">
        <v>48</v>
      </c>
      <c r="J598" s="11">
        <v>45215</v>
      </c>
      <c r="K598" t="str">
        <f>TEXT(Transactions_Clean[[#This Row],[Date]],"MMM-YYYY")</f>
        <v>Oct-2023</v>
      </c>
      <c r="L598">
        <f>IF(Transactions_Clean[[#This Row],[Category]]="Revenue",Transactions_Clean[[#This Row],[Amount(₹)]],Transactions_Clean[[#This Row],[Amount(₹)]]/8)</f>
        <v>-1690.5</v>
      </c>
    </row>
    <row r="599" spans="1:12">
      <c r="A599" t="s">
        <v>1215</v>
      </c>
      <c r="B599" t="s">
        <v>4771</v>
      </c>
      <c r="C599" t="s">
        <v>440</v>
      </c>
      <c r="D599">
        <v>-137993</v>
      </c>
      <c r="E599" t="s">
        <v>23</v>
      </c>
      <c r="F599" t="s">
        <v>24</v>
      </c>
      <c r="G599" t="s">
        <v>33</v>
      </c>
      <c r="H599" t="s">
        <v>39</v>
      </c>
      <c r="I599" t="s">
        <v>40</v>
      </c>
      <c r="J599" s="11">
        <v>45902</v>
      </c>
      <c r="K599" t="str">
        <f>TEXT(Transactions_Clean[[#This Row],[Date]],"MMM-YYYY")</f>
        <v>Sep-2025</v>
      </c>
      <c r="L599">
        <f>IF(Transactions_Clean[[#This Row],[Category]]="Revenue",Transactions_Clean[[#This Row],[Amount(₹)]],Transactions_Clean[[#This Row],[Amount(₹)]]/8)</f>
        <v>-17249.125</v>
      </c>
    </row>
    <row r="600" spans="1:12">
      <c r="A600" t="s">
        <v>1216</v>
      </c>
      <c r="B600" t="s">
        <v>935</v>
      </c>
      <c r="C600" t="s">
        <v>22</v>
      </c>
      <c r="D600">
        <v>-183780</v>
      </c>
      <c r="E600" t="s">
        <v>23</v>
      </c>
      <c r="F600" t="s">
        <v>32</v>
      </c>
      <c r="G600" t="s">
        <v>25</v>
      </c>
      <c r="H600" t="s">
        <v>26</v>
      </c>
      <c r="I600" t="s">
        <v>40</v>
      </c>
      <c r="J600" s="11">
        <v>45147</v>
      </c>
      <c r="K600" t="str">
        <f>TEXT(Transactions_Clean[[#This Row],[Date]],"MMM-YYYY")</f>
        <v>Aug-2023</v>
      </c>
      <c r="L600">
        <f>IF(Transactions_Clean[[#This Row],[Category]]="Revenue",Transactions_Clean[[#This Row],[Amount(₹)]],Transactions_Clean[[#This Row],[Amount(₹)]]/8)</f>
        <v>-22972.5</v>
      </c>
    </row>
    <row r="601" spans="1:12">
      <c r="A601" t="s">
        <v>1218</v>
      </c>
      <c r="B601" t="s">
        <v>4774</v>
      </c>
      <c r="C601" t="s">
        <v>440</v>
      </c>
      <c r="D601">
        <v>-156203</v>
      </c>
      <c r="E601" t="s">
        <v>23</v>
      </c>
      <c r="F601" t="s">
        <v>24</v>
      </c>
      <c r="G601" t="s">
        <v>33</v>
      </c>
      <c r="H601" t="s">
        <v>26</v>
      </c>
      <c r="I601" t="s">
        <v>48</v>
      </c>
      <c r="J601" s="11">
        <v>45286</v>
      </c>
      <c r="K601" t="str">
        <f>TEXT(Transactions_Clean[[#This Row],[Date]],"MMM-YYYY")</f>
        <v>Dec-2023</v>
      </c>
      <c r="L601">
        <f>IF(Transactions_Clean[[#This Row],[Category]]="Revenue",Transactions_Clean[[#This Row],[Amount(₹)]],Transactions_Clean[[#This Row],[Amount(₹)]]/8)</f>
        <v>-19525.375</v>
      </c>
    </row>
    <row r="602" spans="1:12">
      <c r="A602" t="s">
        <v>1220</v>
      </c>
      <c r="B602" t="s">
        <v>143</v>
      </c>
      <c r="C602" t="s">
        <v>78</v>
      </c>
      <c r="D602">
        <v>-118956</v>
      </c>
      <c r="E602" t="s">
        <v>23</v>
      </c>
      <c r="F602" t="s">
        <v>24</v>
      </c>
      <c r="G602" t="s">
        <v>79</v>
      </c>
      <c r="H602" t="s">
        <v>39</v>
      </c>
      <c r="I602" t="s">
        <v>48</v>
      </c>
      <c r="J602" s="11">
        <v>45962</v>
      </c>
      <c r="K602" t="str">
        <f>TEXT(Transactions_Clean[[#This Row],[Date]],"MMM-YYYY")</f>
        <v>Nov-2025</v>
      </c>
      <c r="L602">
        <f>IF(Transactions_Clean[[#This Row],[Category]]="Revenue",Transactions_Clean[[#This Row],[Amount(₹)]],Transactions_Clean[[#This Row],[Amount(₹)]]/8)</f>
        <v>-14869.5</v>
      </c>
    </row>
    <row r="603" spans="1:12">
      <c r="A603" t="s">
        <v>1221</v>
      </c>
      <c r="B603" t="s">
        <v>237</v>
      </c>
      <c r="C603" t="s">
        <v>22</v>
      </c>
      <c r="D603">
        <v>-184138</v>
      </c>
      <c r="E603" t="s">
        <v>23</v>
      </c>
      <c r="F603" t="s">
        <v>24</v>
      </c>
      <c r="G603" t="s">
        <v>25</v>
      </c>
      <c r="H603" t="s">
        <v>45</v>
      </c>
      <c r="I603" t="s">
        <v>48</v>
      </c>
      <c r="J603" s="11">
        <v>45592</v>
      </c>
      <c r="K603" t="str">
        <f>TEXT(Transactions_Clean[[#This Row],[Date]],"MMM-YYYY")</f>
        <v>Oct-2024</v>
      </c>
      <c r="L603">
        <f>IF(Transactions_Clean[[#This Row],[Category]]="Revenue",Transactions_Clean[[#This Row],[Amount(₹)]],Transactions_Clean[[#This Row],[Amount(₹)]]/8)</f>
        <v>-23017.25</v>
      </c>
    </row>
    <row r="604" spans="1:12">
      <c r="A604" t="s">
        <v>1223</v>
      </c>
      <c r="B604" t="s">
        <v>212</v>
      </c>
      <c r="C604" t="s">
        <v>73</v>
      </c>
      <c r="D604">
        <v>-50749</v>
      </c>
      <c r="E604" t="s">
        <v>74</v>
      </c>
      <c r="F604" t="s">
        <v>24</v>
      </c>
      <c r="G604" t="s">
        <v>25</v>
      </c>
      <c r="H604" t="s">
        <v>39</v>
      </c>
      <c r="I604" t="s">
        <v>48</v>
      </c>
      <c r="J604" s="11">
        <v>45880</v>
      </c>
      <c r="K604" t="str">
        <f>TEXT(Transactions_Clean[[#This Row],[Date]],"MMM-YYYY")</f>
        <v>Aug-2025</v>
      </c>
      <c r="L604">
        <f>IF(Transactions_Clean[[#This Row],[Category]]="Revenue",Transactions_Clean[[#This Row],[Amount(₹)]],Transactions_Clean[[#This Row],[Amount(₹)]]/8)</f>
        <v>-6343.625</v>
      </c>
    </row>
    <row r="605" spans="1:12">
      <c r="A605" t="s">
        <v>1225</v>
      </c>
      <c r="B605" t="s">
        <v>51</v>
      </c>
      <c r="C605" t="s">
        <v>31</v>
      </c>
      <c r="D605">
        <v>-39623</v>
      </c>
      <c r="E605" t="s">
        <v>23</v>
      </c>
      <c r="F605" t="s">
        <v>24</v>
      </c>
      <c r="G605" t="s">
        <v>33</v>
      </c>
      <c r="H605" t="s">
        <v>39</v>
      </c>
      <c r="I605" t="s">
        <v>27</v>
      </c>
      <c r="J605" s="11">
        <v>46097</v>
      </c>
      <c r="K605" t="str">
        <f>TEXT(Transactions_Clean[[#This Row],[Date]],"MMM-YYYY")</f>
        <v>Mar-2026</v>
      </c>
      <c r="L605">
        <f>IF(Transactions_Clean[[#This Row],[Category]]="Revenue",Transactions_Clean[[#This Row],[Amount(₹)]],Transactions_Clean[[#This Row],[Amount(₹)]]/8)</f>
        <v>-4952.875</v>
      </c>
    </row>
    <row r="606" spans="1:12">
      <c r="A606" t="s">
        <v>1226</v>
      </c>
      <c r="B606" t="s">
        <v>87</v>
      </c>
      <c r="C606" t="s">
        <v>22</v>
      </c>
      <c r="D606">
        <v>-166145</v>
      </c>
      <c r="E606" t="s">
        <v>23</v>
      </c>
      <c r="F606" t="s">
        <v>24</v>
      </c>
      <c r="G606" t="s">
        <v>25</v>
      </c>
      <c r="H606" t="s">
        <v>39</v>
      </c>
      <c r="I606" t="s">
        <v>40</v>
      </c>
      <c r="J606" s="11">
        <v>45852</v>
      </c>
      <c r="K606" t="str">
        <f>TEXT(Transactions_Clean[[#This Row],[Date]],"MMM-YYYY")</f>
        <v>Jul-2025</v>
      </c>
      <c r="L606">
        <f>IF(Transactions_Clean[[#This Row],[Category]]="Revenue",Transactions_Clean[[#This Row],[Amount(₹)]],Transactions_Clean[[#This Row],[Amount(₹)]]/8)</f>
        <v>-20768.125</v>
      </c>
    </row>
    <row r="607" spans="1:12">
      <c r="A607" t="s">
        <v>1227</v>
      </c>
      <c r="B607" t="s">
        <v>215</v>
      </c>
      <c r="C607" t="s">
        <v>61</v>
      </c>
      <c r="D607">
        <v>-19622</v>
      </c>
      <c r="E607" t="s">
        <v>62</v>
      </c>
      <c r="F607" t="s">
        <v>24</v>
      </c>
      <c r="G607" t="s">
        <v>63</v>
      </c>
      <c r="H607" t="s">
        <v>39</v>
      </c>
      <c r="I607" t="s">
        <v>27</v>
      </c>
      <c r="J607" s="11">
        <v>46111</v>
      </c>
      <c r="K607" t="str">
        <f>TEXT(Transactions_Clean[[#This Row],[Date]],"MMM-YYYY")</f>
        <v>Mar-2026</v>
      </c>
      <c r="L607">
        <f>IF(Transactions_Clean[[#This Row],[Category]]="Revenue",Transactions_Clean[[#This Row],[Amount(₹)]],Transactions_Clean[[#This Row],[Amount(₹)]]/8)</f>
        <v>-2452.75</v>
      </c>
    </row>
    <row r="608" spans="1:12">
      <c r="A608" t="s">
        <v>1229</v>
      </c>
      <c r="B608" t="s">
        <v>237</v>
      </c>
      <c r="C608" t="s">
        <v>22</v>
      </c>
      <c r="D608">
        <v>-173986</v>
      </c>
      <c r="E608" t="s">
        <v>23</v>
      </c>
      <c r="F608" t="s">
        <v>32</v>
      </c>
      <c r="G608" t="s">
        <v>25</v>
      </c>
      <c r="H608" t="s">
        <v>26</v>
      </c>
      <c r="I608" t="s">
        <v>34</v>
      </c>
      <c r="J608" s="11">
        <v>45100</v>
      </c>
      <c r="K608" t="str">
        <f>TEXT(Transactions_Clean[[#This Row],[Date]],"MMM-YYYY")</f>
        <v>Jun-2023</v>
      </c>
      <c r="L608">
        <f>IF(Transactions_Clean[[#This Row],[Category]]="Revenue",Transactions_Clean[[#This Row],[Amount(₹)]],Transactions_Clean[[#This Row],[Amount(₹)]]/8)</f>
        <v>-21748.25</v>
      </c>
    </row>
    <row r="609" spans="1:12">
      <c r="A609" t="s">
        <v>1231</v>
      </c>
      <c r="B609" t="s">
        <v>143</v>
      </c>
      <c r="C609" t="s">
        <v>78</v>
      </c>
      <c r="D609">
        <v>-27099</v>
      </c>
      <c r="E609" t="s">
        <v>23</v>
      </c>
      <c r="F609" t="s">
        <v>32</v>
      </c>
      <c r="G609" t="s">
        <v>79</v>
      </c>
      <c r="H609" t="s">
        <v>45</v>
      </c>
      <c r="I609" t="s">
        <v>27</v>
      </c>
      <c r="J609" s="11">
        <v>45746</v>
      </c>
      <c r="K609" t="str">
        <f>TEXT(Transactions_Clean[[#This Row],[Date]],"MMM-YYYY")</f>
        <v>Mar-2025</v>
      </c>
      <c r="L609">
        <f>IF(Transactions_Clean[[#This Row],[Category]]="Revenue",Transactions_Clean[[#This Row],[Amount(₹)]],Transactions_Clean[[#This Row],[Amount(₹)]]/8)</f>
        <v>-3387.375</v>
      </c>
    </row>
    <row r="610" spans="1:12">
      <c r="A610" t="s">
        <v>1233</v>
      </c>
      <c r="B610" t="s">
        <v>169</v>
      </c>
      <c r="C610" t="s">
        <v>73</v>
      </c>
      <c r="D610">
        <v>-47283</v>
      </c>
      <c r="E610" t="s">
        <v>74</v>
      </c>
      <c r="F610" t="s">
        <v>24</v>
      </c>
      <c r="G610" t="s">
        <v>25</v>
      </c>
      <c r="H610" t="s">
        <v>39</v>
      </c>
      <c r="I610" t="s">
        <v>48</v>
      </c>
      <c r="J610" s="11">
        <v>45938</v>
      </c>
      <c r="K610" t="str">
        <f>TEXT(Transactions_Clean[[#This Row],[Date]],"MMM-YYYY")</f>
        <v>Oct-2025</v>
      </c>
      <c r="L610">
        <f>IF(Transactions_Clean[[#This Row],[Category]]="Revenue",Transactions_Clean[[#This Row],[Amount(₹)]],Transactions_Clean[[#This Row],[Amount(₹)]]/8)</f>
        <v>-5910.375</v>
      </c>
    </row>
    <row r="611" spans="1:12">
      <c r="A611" t="s">
        <v>1234</v>
      </c>
      <c r="B611" t="s">
        <v>106</v>
      </c>
      <c r="C611" t="s">
        <v>31</v>
      </c>
      <c r="D611">
        <v>-43064</v>
      </c>
      <c r="E611" t="s">
        <v>23</v>
      </c>
      <c r="F611" t="s">
        <v>24</v>
      </c>
      <c r="G611" t="s">
        <v>33</v>
      </c>
      <c r="H611" t="s">
        <v>26</v>
      </c>
      <c r="I611" t="s">
        <v>48</v>
      </c>
      <c r="J611" s="11">
        <v>45275</v>
      </c>
      <c r="K611" t="str">
        <f>TEXT(Transactions_Clean[[#This Row],[Date]],"MMM-YYYY")</f>
        <v>Dec-2023</v>
      </c>
      <c r="L611">
        <f>IF(Transactions_Clean[[#This Row],[Category]]="Revenue",Transactions_Clean[[#This Row],[Amount(₹)]],Transactions_Clean[[#This Row],[Amount(₹)]]/8)</f>
        <v>-5383</v>
      </c>
    </row>
    <row r="612" spans="1:12">
      <c r="A612" t="s">
        <v>1235</v>
      </c>
      <c r="B612" t="s">
        <v>37</v>
      </c>
      <c r="C612" t="s">
        <v>38</v>
      </c>
      <c r="D612">
        <v>-15010</v>
      </c>
      <c r="E612" t="s">
        <v>23</v>
      </c>
      <c r="F612" t="s">
        <v>24</v>
      </c>
      <c r="G612" t="s">
        <v>33</v>
      </c>
      <c r="H612" t="s">
        <v>26</v>
      </c>
      <c r="I612" t="s">
        <v>40</v>
      </c>
      <c r="J612" s="11">
        <v>45112</v>
      </c>
      <c r="K612" t="str">
        <f>TEXT(Transactions_Clean[[#This Row],[Date]],"MMM-YYYY")</f>
        <v>Jul-2023</v>
      </c>
      <c r="L612">
        <f>IF(Transactions_Clean[[#This Row],[Category]]="Revenue",Transactions_Clean[[#This Row],[Amount(₹)]],Transactions_Clean[[#This Row],[Amount(₹)]]/8)</f>
        <v>-1876.25</v>
      </c>
    </row>
    <row r="613" spans="1:12">
      <c r="A613" t="s">
        <v>1236</v>
      </c>
      <c r="B613" t="s">
        <v>177</v>
      </c>
      <c r="C613" t="s">
        <v>78</v>
      </c>
      <c r="D613">
        <v>-33899</v>
      </c>
      <c r="E613" t="s">
        <v>23</v>
      </c>
      <c r="F613" t="s">
        <v>32</v>
      </c>
      <c r="G613" t="s">
        <v>79</v>
      </c>
      <c r="H613" t="s">
        <v>26</v>
      </c>
      <c r="I613" t="s">
        <v>40</v>
      </c>
      <c r="J613" s="11">
        <v>45132</v>
      </c>
      <c r="K613" t="str">
        <f>TEXT(Transactions_Clean[[#This Row],[Date]],"MMM-YYYY")</f>
        <v>Jul-2023</v>
      </c>
      <c r="L613">
        <f>IF(Transactions_Clean[[#This Row],[Category]]="Revenue",Transactions_Clean[[#This Row],[Amount(₹)]],Transactions_Clean[[#This Row],[Amount(₹)]]/8)</f>
        <v>-4237.375</v>
      </c>
    </row>
    <row r="614" spans="1:12">
      <c r="A614" t="s">
        <v>1238</v>
      </c>
      <c r="B614" t="s">
        <v>161</v>
      </c>
      <c r="C614" t="s">
        <v>4750</v>
      </c>
      <c r="D614">
        <v>-167856</v>
      </c>
      <c r="E614" t="s">
        <v>23</v>
      </c>
      <c r="F614" t="s">
        <v>24</v>
      </c>
      <c r="G614" t="s">
        <v>25</v>
      </c>
      <c r="H614" t="s">
        <v>45</v>
      </c>
      <c r="I614" t="s">
        <v>27</v>
      </c>
      <c r="J614" s="11">
        <v>45728</v>
      </c>
      <c r="K614" t="str">
        <f>TEXT(Transactions_Clean[[#This Row],[Date]],"MMM-YYYY")</f>
        <v>Mar-2025</v>
      </c>
      <c r="L614">
        <f>IF(Transactions_Clean[[#This Row],[Category]]="Revenue",Transactions_Clean[[#This Row],[Amount(₹)]],Transactions_Clean[[#This Row],[Amount(₹)]]/8)</f>
        <v>-20982</v>
      </c>
    </row>
    <row r="615" spans="1:12">
      <c r="A615" t="s">
        <v>1240</v>
      </c>
      <c r="B615" t="s">
        <v>66</v>
      </c>
      <c r="C615" t="s">
        <v>61</v>
      </c>
      <c r="D615">
        <v>-47659</v>
      </c>
      <c r="E615" t="s">
        <v>62</v>
      </c>
      <c r="F615" t="s">
        <v>24</v>
      </c>
      <c r="G615" t="s">
        <v>63</v>
      </c>
      <c r="H615" t="s">
        <v>26</v>
      </c>
      <c r="I615" t="s">
        <v>40</v>
      </c>
      <c r="J615" s="11">
        <v>45182</v>
      </c>
      <c r="K615" t="str">
        <f>TEXT(Transactions_Clean[[#This Row],[Date]],"MMM-YYYY")</f>
        <v>Sep-2023</v>
      </c>
      <c r="L615">
        <f>IF(Transactions_Clean[[#This Row],[Category]]="Revenue",Transactions_Clean[[#This Row],[Amount(₹)]],Transactions_Clean[[#This Row],[Amount(₹)]]/8)</f>
        <v>-5957.375</v>
      </c>
    </row>
    <row r="616" spans="1:12">
      <c r="A616" t="s">
        <v>1242</v>
      </c>
      <c r="B616" t="s">
        <v>4765</v>
      </c>
      <c r="C616" t="s">
        <v>73</v>
      </c>
      <c r="D616">
        <v>-67850</v>
      </c>
      <c r="E616" t="s">
        <v>74</v>
      </c>
      <c r="F616" t="s">
        <v>32</v>
      </c>
      <c r="G616" t="s">
        <v>25</v>
      </c>
      <c r="H616" t="s">
        <v>45</v>
      </c>
      <c r="I616" t="s">
        <v>48</v>
      </c>
      <c r="J616" s="11">
        <v>45654</v>
      </c>
      <c r="K616" t="str">
        <f>TEXT(Transactions_Clean[[#This Row],[Date]],"MMM-YYYY")</f>
        <v>Dec-2024</v>
      </c>
      <c r="L616">
        <f>IF(Transactions_Clean[[#This Row],[Category]]="Revenue",Transactions_Clean[[#This Row],[Amount(₹)]],Transactions_Clean[[#This Row],[Amount(₹)]]/8)</f>
        <v>-8481.25</v>
      </c>
    </row>
    <row r="617" spans="1:12">
      <c r="A617" t="s">
        <v>1244</v>
      </c>
      <c r="B617" t="s">
        <v>51</v>
      </c>
      <c r="C617" t="s">
        <v>31</v>
      </c>
      <c r="D617">
        <v>-24482</v>
      </c>
      <c r="E617" t="s">
        <v>23</v>
      </c>
      <c r="F617" t="s">
        <v>24</v>
      </c>
      <c r="G617" t="s">
        <v>33</v>
      </c>
      <c r="H617" t="s">
        <v>45</v>
      </c>
      <c r="I617" t="s">
        <v>27</v>
      </c>
      <c r="J617" s="11">
        <v>45678</v>
      </c>
      <c r="K617" t="str">
        <f>TEXT(Transactions_Clean[[#This Row],[Date]],"MMM-YYYY")</f>
        <v>Jan-2025</v>
      </c>
      <c r="L617">
        <f>IF(Transactions_Clean[[#This Row],[Category]]="Revenue",Transactions_Clean[[#This Row],[Amount(₹)]],Transactions_Clean[[#This Row],[Amount(₹)]]/8)</f>
        <v>-3060.25</v>
      </c>
    </row>
    <row r="618" spans="1:12">
      <c r="A618" t="s">
        <v>1246</v>
      </c>
      <c r="B618" t="s">
        <v>106</v>
      </c>
      <c r="C618" t="s">
        <v>31</v>
      </c>
      <c r="D618">
        <v>-9580</v>
      </c>
      <c r="E618" t="s">
        <v>23</v>
      </c>
      <c r="F618" t="s">
        <v>32</v>
      </c>
      <c r="G618" t="s">
        <v>33</v>
      </c>
      <c r="H618" t="s">
        <v>26</v>
      </c>
      <c r="I618" t="s">
        <v>27</v>
      </c>
      <c r="J618" s="11">
        <v>45358</v>
      </c>
      <c r="K618" t="str">
        <f>TEXT(Transactions_Clean[[#This Row],[Date]],"MMM-YYYY")</f>
        <v>Mar-2024</v>
      </c>
      <c r="L618">
        <f>IF(Transactions_Clean[[#This Row],[Category]]="Revenue",Transactions_Clean[[#This Row],[Amount(₹)]],Transactions_Clean[[#This Row],[Amount(₹)]]/8)</f>
        <v>-1197.5</v>
      </c>
    </row>
    <row r="619" spans="1:12">
      <c r="A619" t="s">
        <v>1248</v>
      </c>
      <c r="B619" t="s">
        <v>60</v>
      </c>
      <c r="C619" t="s">
        <v>61</v>
      </c>
      <c r="D619">
        <v>-25242</v>
      </c>
      <c r="E619" t="s">
        <v>62</v>
      </c>
      <c r="F619" t="s">
        <v>32</v>
      </c>
      <c r="G619" t="s">
        <v>63</v>
      </c>
      <c r="H619" t="s">
        <v>26</v>
      </c>
      <c r="I619" t="s">
        <v>40</v>
      </c>
      <c r="J619" s="11">
        <v>45134</v>
      </c>
      <c r="K619" t="str">
        <f>TEXT(Transactions_Clean[[#This Row],[Date]],"MMM-YYYY")</f>
        <v>Jul-2023</v>
      </c>
      <c r="L619">
        <f>IF(Transactions_Clean[[#This Row],[Category]]="Revenue",Transactions_Clean[[#This Row],[Amount(₹)]],Transactions_Clean[[#This Row],[Amount(₹)]]/8)</f>
        <v>-3155.25</v>
      </c>
    </row>
    <row r="620" spans="1:12">
      <c r="A620" t="s">
        <v>1249</v>
      </c>
      <c r="B620" t="s">
        <v>60</v>
      </c>
      <c r="C620" t="s">
        <v>61</v>
      </c>
      <c r="D620">
        <v>-50028</v>
      </c>
      <c r="E620" t="s">
        <v>62</v>
      </c>
      <c r="F620" t="s">
        <v>24</v>
      </c>
      <c r="G620" t="s">
        <v>63</v>
      </c>
      <c r="H620" t="s">
        <v>26</v>
      </c>
      <c r="I620" t="s">
        <v>27</v>
      </c>
      <c r="J620" s="11">
        <v>45307</v>
      </c>
      <c r="K620" t="str">
        <f>TEXT(Transactions_Clean[[#This Row],[Date]],"MMM-YYYY")</f>
        <v>Jan-2024</v>
      </c>
      <c r="L620">
        <f>IF(Transactions_Clean[[#This Row],[Category]]="Revenue",Transactions_Clean[[#This Row],[Amount(₹)]],Transactions_Clean[[#This Row],[Amount(₹)]]/8)</f>
        <v>-6253.5</v>
      </c>
    </row>
    <row r="621" spans="1:12">
      <c r="A621" t="s">
        <v>1251</v>
      </c>
      <c r="B621" t="s">
        <v>4760</v>
      </c>
      <c r="C621" t="s">
        <v>73</v>
      </c>
      <c r="D621">
        <v>-62419</v>
      </c>
      <c r="E621" t="s">
        <v>74</v>
      </c>
      <c r="F621" t="s">
        <v>24</v>
      </c>
      <c r="G621" t="s">
        <v>25</v>
      </c>
      <c r="H621" t="s">
        <v>45</v>
      </c>
      <c r="I621" t="s">
        <v>27</v>
      </c>
      <c r="J621" s="11">
        <v>45661</v>
      </c>
      <c r="K621" t="str">
        <f>TEXT(Transactions_Clean[[#This Row],[Date]],"MMM-YYYY")</f>
        <v>Jan-2025</v>
      </c>
      <c r="L621">
        <f>IF(Transactions_Clean[[#This Row],[Category]]="Revenue",Transactions_Clean[[#This Row],[Amount(₹)]],Transactions_Clean[[#This Row],[Amount(₹)]]/8)</f>
        <v>-7802.375</v>
      </c>
    </row>
    <row r="622" spans="1:12">
      <c r="A622" t="s">
        <v>1253</v>
      </c>
      <c r="B622" t="s">
        <v>4760</v>
      </c>
      <c r="C622" t="s">
        <v>73</v>
      </c>
      <c r="D622">
        <v>-76799</v>
      </c>
      <c r="E622" t="s">
        <v>74</v>
      </c>
      <c r="F622" t="s">
        <v>32</v>
      </c>
      <c r="G622" t="s">
        <v>25</v>
      </c>
      <c r="H622" t="s">
        <v>39</v>
      </c>
      <c r="I622" t="s">
        <v>40</v>
      </c>
      <c r="J622" s="11">
        <v>45924</v>
      </c>
      <c r="K622" t="str">
        <f>TEXT(Transactions_Clean[[#This Row],[Date]],"MMM-YYYY")</f>
        <v>Sep-2025</v>
      </c>
      <c r="L622">
        <f>IF(Transactions_Clean[[#This Row],[Category]]="Revenue",Transactions_Clean[[#This Row],[Amount(₹)]],Transactions_Clean[[#This Row],[Amount(₹)]]/8)</f>
        <v>-9599.875</v>
      </c>
    </row>
    <row r="623" spans="1:12">
      <c r="A623" t="s">
        <v>1254</v>
      </c>
      <c r="B623" t="s">
        <v>72</v>
      </c>
      <c r="C623" t="s">
        <v>73</v>
      </c>
      <c r="D623">
        <v>-81200</v>
      </c>
      <c r="E623" t="s">
        <v>74</v>
      </c>
      <c r="F623" t="s">
        <v>32</v>
      </c>
      <c r="G623" t="s">
        <v>25</v>
      </c>
      <c r="H623" t="s">
        <v>45</v>
      </c>
      <c r="I623" t="s">
        <v>48</v>
      </c>
      <c r="J623" s="11">
        <v>45651</v>
      </c>
      <c r="K623" t="str">
        <f>TEXT(Transactions_Clean[[#This Row],[Date]],"MMM-YYYY")</f>
        <v>Dec-2024</v>
      </c>
      <c r="L623">
        <f>IF(Transactions_Clean[[#This Row],[Category]]="Revenue",Transactions_Clean[[#This Row],[Amount(₹)]],Transactions_Clean[[#This Row],[Amount(₹)]]/8)</f>
        <v>-10150</v>
      </c>
    </row>
    <row r="624" spans="1:12">
      <c r="A624" t="s">
        <v>1255</v>
      </c>
      <c r="B624" t="s">
        <v>4760</v>
      </c>
      <c r="C624" t="s">
        <v>73</v>
      </c>
      <c r="D624">
        <v>-26035</v>
      </c>
      <c r="E624" t="s">
        <v>74</v>
      </c>
      <c r="F624" t="s">
        <v>24</v>
      </c>
      <c r="G624" t="s">
        <v>25</v>
      </c>
      <c r="H624" t="s">
        <v>26</v>
      </c>
      <c r="I624" t="s">
        <v>34</v>
      </c>
      <c r="J624" s="11">
        <v>45079</v>
      </c>
      <c r="K624" t="str">
        <f>TEXT(Transactions_Clean[[#This Row],[Date]],"MMM-YYYY")</f>
        <v>Jun-2023</v>
      </c>
      <c r="L624">
        <f>IF(Transactions_Clean[[#This Row],[Category]]="Revenue",Transactions_Clean[[#This Row],[Amount(₹)]],Transactions_Clean[[#This Row],[Amount(₹)]]/8)</f>
        <v>-3254.375</v>
      </c>
    </row>
    <row r="625" spans="1:12">
      <c r="A625" t="s">
        <v>1256</v>
      </c>
      <c r="B625" t="s">
        <v>51</v>
      </c>
      <c r="C625" t="s">
        <v>31</v>
      </c>
      <c r="D625">
        <v>-14316</v>
      </c>
      <c r="E625" t="s">
        <v>23</v>
      </c>
      <c r="F625" t="s">
        <v>24</v>
      </c>
      <c r="G625" t="s">
        <v>33</v>
      </c>
      <c r="H625" t="s">
        <v>26</v>
      </c>
      <c r="I625" t="s">
        <v>34</v>
      </c>
      <c r="J625" s="11">
        <v>45071</v>
      </c>
      <c r="K625" t="str">
        <f>TEXT(Transactions_Clean[[#This Row],[Date]],"MMM-YYYY")</f>
        <v>May-2023</v>
      </c>
      <c r="L625">
        <f>IF(Transactions_Clean[[#This Row],[Category]]="Revenue",Transactions_Clean[[#This Row],[Amount(₹)]],Transactions_Clean[[#This Row],[Amount(₹)]]/8)</f>
        <v>-1789.5</v>
      </c>
    </row>
    <row r="626" spans="1:12">
      <c r="A626" t="s">
        <v>1258</v>
      </c>
      <c r="B626" t="s">
        <v>174</v>
      </c>
      <c r="C626" t="s">
        <v>22</v>
      </c>
      <c r="D626">
        <v>-204785</v>
      </c>
      <c r="E626" t="s">
        <v>23</v>
      </c>
      <c r="F626" t="s">
        <v>32</v>
      </c>
      <c r="G626" t="s">
        <v>25</v>
      </c>
      <c r="H626" t="s">
        <v>45</v>
      </c>
      <c r="I626" t="s">
        <v>34</v>
      </c>
      <c r="J626" s="11">
        <v>45430</v>
      </c>
      <c r="K626" t="str">
        <f>TEXT(Transactions_Clean[[#This Row],[Date]],"MMM-YYYY")</f>
        <v>May-2024</v>
      </c>
      <c r="L626">
        <f>IF(Transactions_Clean[[#This Row],[Category]]="Revenue",Transactions_Clean[[#This Row],[Amount(₹)]],Transactions_Clean[[#This Row],[Amount(₹)]]/8)</f>
        <v>-25598.125</v>
      </c>
    </row>
    <row r="627" spans="1:12">
      <c r="A627" t="s">
        <v>1259</v>
      </c>
      <c r="B627" t="s">
        <v>72</v>
      </c>
      <c r="C627" t="s">
        <v>73</v>
      </c>
      <c r="D627">
        <v>-17441</v>
      </c>
      <c r="E627" t="s">
        <v>74</v>
      </c>
      <c r="F627" t="s">
        <v>32</v>
      </c>
      <c r="G627" t="s">
        <v>25</v>
      </c>
      <c r="H627" t="s">
        <v>26</v>
      </c>
      <c r="I627" t="s">
        <v>27</v>
      </c>
      <c r="J627" s="11">
        <v>45293</v>
      </c>
      <c r="K627" t="str">
        <f>TEXT(Transactions_Clean[[#This Row],[Date]],"MMM-YYYY")</f>
        <v>Jan-2024</v>
      </c>
      <c r="L627">
        <f>IF(Transactions_Clean[[#This Row],[Category]]="Revenue",Transactions_Clean[[#This Row],[Amount(₹)]],Transactions_Clean[[#This Row],[Amount(₹)]]/8)</f>
        <v>-2180.125</v>
      </c>
    </row>
    <row r="628" spans="1:12">
      <c r="A628" t="s">
        <v>1262</v>
      </c>
      <c r="B628" t="s">
        <v>4752</v>
      </c>
      <c r="C628" t="s">
        <v>44</v>
      </c>
      <c r="D628">
        <v>-179254</v>
      </c>
      <c r="E628" t="s">
        <v>23</v>
      </c>
      <c r="F628" t="s">
        <v>24</v>
      </c>
      <c r="G628" t="s">
        <v>33</v>
      </c>
      <c r="H628" t="s">
        <v>39</v>
      </c>
      <c r="I628" t="s">
        <v>34</v>
      </c>
      <c r="J628" s="11">
        <v>45801</v>
      </c>
      <c r="K628" t="str">
        <f>TEXT(Transactions_Clean[[#This Row],[Date]],"MMM-YYYY")</f>
        <v>May-2025</v>
      </c>
      <c r="L628">
        <f>IF(Transactions_Clean[[#This Row],[Category]]="Revenue",Transactions_Clean[[#This Row],[Amount(₹)]],Transactions_Clean[[#This Row],[Amount(₹)]]/8)</f>
        <v>-22406.75</v>
      </c>
    </row>
    <row r="629" spans="1:12">
      <c r="A629" t="s">
        <v>1265</v>
      </c>
      <c r="B629" t="s">
        <v>4769</v>
      </c>
      <c r="C629" t="s">
        <v>44</v>
      </c>
      <c r="D629">
        <v>-138807</v>
      </c>
      <c r="E629" t="s">
        <v>23</v>
      </c>
      <c r="F629" t="s">
        <v>24</v>
      </c>
      <c r="G629" t="s">
        <v>33</v>
      </c>
      <c r="H629" t="s">
        <v>45</v>
      </c>
      <c r="I629" t="s">
        <v>48</v>
      </c>
      <c r="J629" s="11">
        <v>45571</v>
      </c>
      <c r="K629" t="str">
        <f>TEXT(Transactions_Clean[[#This Row],[Date]],"MMM-YYYY")</f>
        <v>Oct-2024</v>
      </c>
      <c r="L629">
        <f>IF(Transactions_Clean[[#This Row],[Category]]="Revenue",Transactions_Clean[[#This Row],[Amount(₹)]],Transactions_Clean[[#This Row],[Amount(₹)]]/8)</f>
        <v>-17350.875</v>
      </c>
    </row>
    <row r="630" spans="1:12">
      <c r="A630" t="s">
        <v>1266</v>
      </c>
      <c r="B630" t="s">
        <v>37</v>
      </c>
      <c r="C630" t="s">
        <v>4750</v>
      </c>
      <c r="D630">
        <v>-10141</v>
      </c>
      <c r="E630" t="s">
        <v>23</v>
      </c>
      <c r="F630" t="s">
        <v>24</v>
      </c>
      <c r="G630" t="s">
        <v>33</v>
      </c>
      <c r="H630" t="s">
        <v>45</v>
      </c>
      <c r="I630" t="s">
        <v>40</v>
      </c>
      <c r="J630" s="11">
        <v>45474</v>
      </c>
      <c r="K630" t="str">
        <f>TEXT(Transactions_Clean[[#This Row],[Date]],"MMM-YYYY")</f>
        <v>Jul-2024</v>
      </c>
      <c r="L630">
        <f>IF(Transactions_Clean[[#This Row],[Category]]="Revenue",Transactions_Clean[[#This Row],[Amount(₹)]],Transactions_Clean[[#This Row],[Amount(₹)]]/8)</f>
        <v>-1267.625</v>
      </c>
    </row>
    <row r="631" spans="1:12">
      <c r="A631" t="s">
        <v>1268</v>
      </c>
      <c r="B631" t="s">
        <v>224</v>
      </c>
      <c r="C631" t="s">
        <v>78</v>
      </c>
      <c r="D631">
        <v>-95121</v>
      </c>
      <c r="E631" t="s">
        <v>23</v>
      </c>
      <c r="F631" t="s">
        <v>32</v>
      </c>
      <c r="G631" t="s">
        <v>79</v>
      </c>
      <c r="H631" t="s">
        <v>39</v>
      </c>
      <c r="I631" t="s">
        <v>48</v>
      </c>
      <c r="J631" s="11">
        <v>45981</v>
      </c>
      <c r="K631" t="str">
        <f>TEXT(Transactions_Clean[[#This Row],[Date]],"MMM-YYYY")</f>
        <v>Nov-2025</v>
      </c>
      <c r="L631">
        <f>IF(Transactions_Clean[[#This Row],[Category]]="Revenue",Transactions_Clean[[#This Row],[Amount(₹)]],Transactions_Clean[[#This Row],[Amount(₹)]]/8)</f>
        <v>-11890.125</v>
      </c>
    </row>
    <row r="632" spans="1:12">
      <c r="A632" t="s">
        <v>1269</v>
      </c>
      <c r="B632" t="s">
        <v>4762</v>
      </c>
      <c r="C632" t="s">
        <v>157</v>
      </c>
      <c r="D632">
        <v>735308</v>
      </c>
      <c r="E632" t="s">
        <v>62</v>
      </c>
      <c r="F632" t="s">
        <v>32</v>
      </c>
      <c r="G632" t="s">
        <v>25</v>
      </c>
      <c r="H632" t="s">
        <v>39</v>
      </c>
      <c r="I632" t="s">
        <v>40</v>
      </c>
      <c r="J632" s="11">
        <v>45882</v>
      </c>
      <c r="K632" t="str">
        <f>TEXT(Transactions_Clean[[#This Row],[Date]],"MMM-YYYY")</f>
        <v>Aug-2025</v>
      </c>
      <c r="L632">
        <f>IF(Transactions_Clean[[#This Row],[Category]]="Revenue",Transactions_Clean[[#This Row],[Amount(₹)]],Transactions_Clean[[#This Row],[Amount(₹)]]/8)</f>
        <v>735308</v>
      </c>
    </row>
    <row r="633" spans="1:12">
      <c r="A633" t="s">
        <v>1271</v>
      </c>
      <c r="B633" t="s">
        <v>4755</v>
      </c>
      <c r="C633" t="s">
        <v>78</v>
      </c>
      <c r="D633">
        <v>-100950</v>
      </c>
      <c r="E633" t="s">
        <v>23</v>
      </c>
      <c r="F633" t="s">
        <v>24</v>
      </c>
      <c r="G633" t="s">
        <v>79</v>
      </c>
      <c r="H633" t="s">
        <v>26</v>
      </c>
      <c r="I633" t="s">
        <v>48</v>
      </c>
      <c r="J633" s="11">
        <v>45246</v>
      </c>
      <c r="K633" t="str">
        <f>TEXT(Transactions_Clean[[#This Row],[Date]],"MMM-YYYY")</f>
        <v>Nov-2023</v>
      </c>
      <c r="L633">
        <f>IF(Transactions_Clean[[#This Row],[Category]]="Revenue",Transactions_Clean[[#This Row],[Amount(₹)]],Transactions_Clean[[#This Row],[Amount(₹)]]/8)</f>
        <v>-12618.75</v>
      </c>
    </row>
    <row r="634" spans="1:12">
      <c r="A634" t="s">
        <v>1272</v>
      </c>
      <c r="B634" t="s">
        <v>51</v>
      </c>
      <c r="C634" t="s">
        <v>31</v>
      </c>
      <c r="D634">
        <v>-10909</v>
      </c>
      <c r="E634" t="s">
        <v>23</v>
      </c>
      <c r="F634" t="s">
        <v>24</v>
      </c>
      <c r="G634" t="s">
        <v>33</v>
      </c>
      <c r="H634" t="s">
        <v>45</v>
      </c>
      <c r="I634" t="s">
        <v>40</v>
      </c>
      <c r="J634" s="11">
        <v>45533</v>
      </c>
      <c r="K634" t="str">
        <f>TEXT(Transactions_Clean[[#This Row],[Date]],"MMM-YYYY")</f>
        <v>Aug-2024</v>
      </c>
      <c r="L634">
        <f>IF(Transactions_Clean[[#This Row],[Category]]="Revenue",Transactions_Clean[[#This Row],[Amount(₹)]],Transactions_Clean[[#This Row],[Amount(₹)]]/8)</f>
        <v>-1363.625</v>
      </c>
    </row>
    <row r="635" spans="1:12">
      <c r="A635" t="s">
        <v>1273</v>
      </c>
      <c r="B635" t="s">
        <v>202</v>
      </c>
      <c r="C635" t="s">
        <v>22</v>
      </c>
      <c r="D635">
        <v>-84395</v>
      </c>
      <c r="E635" t="s">
        <v>23</v>
      </c>
      <c r="F635" t="s">
        <v>32</v>
      </c>
      <c r="G635" t="s">
        <v>25</v>
      </c>
      <c r="H635" t="s">
        <v>39</v>
      </c>
      <c r="I635" t="s">
        <v>40</v>
      </c>
      <c r="J635" s="11">
        <v>45908</v>
      </c>
      <c r="K635" t="str">
        <f>TEXT(Transactions_Clean[[#This Row],[Date]],"MMM-YYYY")</f>
        <v>Sep-2025</v>
      </c>
      <c r="L635">
        <f>IF(Transactions_Clean[[#This Row],[Category]]="Revenue",Transactions_Clean[[#This Row],[Amount(₹)]],Transactions_Clean[[#This Row],[Amount(₹)]]/8)</f>
        <v>-10549.375</v>
      </c>
    </row>
    <row r="636" spans="1:12">
      <c r="A636" t="s">
        <v>1274</v>
      </c>
      <c r="B636" t="s">
        <v>60</v>
      </c>
      <c r="C636" t="s">
        <v>4750</v>
      </c>
      <c r="D636">
        <v>-38620</v>
      </c>
      <c r="E636" t="s">
        <v>62</v>
      </c>
      <c r="F636" t="s">
        <v>32</v>
      </c>
      <c r="G636" t="s">
        <v>63</v>
      </c>
      <c r="H636" t="s">
        <v>39</v>
      </c>
      <c r="I636" t="s">
        <v>27</v>
      </c>
      <c r="J636" s="11">
        <v>46048</v>
      </c>
      <c r="K636" t="str">
        <f>TEXT(Transactions_Clean[[#This Row],[Date]],"MMM-YYYY")</f>
        <v>Jan-2026</v>
      </c>
      <c r="L636">
        <f>IF(Transactions_Clean[[#This Row],[Category]]="Revenue",Transactions_Clean[[#This Row],[Amount(₹)]],Transactions_Clean[[#This Row],[Amount(₹)]]/8)</f>
        <v>-4827.5</v>
      </c>
    </row>
    <row r="637" spans="1:12">
      <c r="A637" t="s">
        <v>1275</v>
      </c>
      <c r="B637" t="s">
        <v>169</v>
      </c>
      <c r="C637" t="s">
        <v>73</v>
      </c>
      <c r="D637">
        <v>-62206</v>
      </c>
      <c r="E637" t="s">
        <v>74</v>
      </c>
      <c r="F637" t="s">
        <v>32</v>
      </c>
      <c r="G637" t="s">
        <v>25</v>
      </c>
      <c r="H637" t="s">
        <v>26</v>
      </c>
      <c r="I637" t="s">
        <v>48</v>
      </c>
      <c r="J637" s="11">
        <v>45271</v>
      </c>
      <c r="K637" t="str">
        <f>TEXT(Transactions_Clean[[#This Row],[Date]],"MMM-YYYY")</f>
        <v>Dec-2023</v>
      </c>
      <c r="L637">
        <f>IF(Transactions_Clean[[#This Row],[Category]]="Revenue",Transactions_Clean[[#This Row],[Amount(₹)]],Transactions_Clean[[#This Row],[Amount(₹)]]/8)</f>
        <v>-7775.75</v>
      </c>
    </row>
    <row r="638" spans="1:12">
      <c r="A638" t="s">
        <v>1276</v>
      </c>
      <c r="B638" t="s">
        <v>4759</v>
      </c>
      <c r="C638" t="s">
        <v>31</v>
      </c>
      <c r="D638">
        <v>-5466</v>
      </c>
      <c r="E638" t="s">
        <v>23</v>
      </c>
      <c r="F638" t="s">
        <v>32</v>
      </c>
      <c r="G638" t="s">
        <v>33</v>
      </c>
      <c r="H638" t="s">
        <v>45</v>
      </c>
      <c r="I638" t="s">
        <v>48</v>
      </c>
      <c r="J638" s="11">
        <v>45571</v>
      </c>
      <c r="K638" t="str">
        <f>TEXT(Transactions_Clean[[#This Row],[Date]],"MMM-YYYY")</f>
        <v>Oct-2024</v>
      </c>
      <c r="L638">
        <f>IF(Transactions_Clean[[#This Row],[Category]]="Revenue",Transactions_Clean[[#This Row],[Amount(₹)]],Transactions_Clean[[#This Row],[Amount(₹)]]/8)</f>
        <v>-683.25</v>
      </c>
    </row>
    <row r="639" spans="1:12">
      <c r="A639" t="s">
        <v>1277</v>
      </c>
      <c r="B639" t="s">
        <v>174</v>
      </c>
      <c r="C639" t="s">
        <v>22</v>
      </c>
      <c r="D639">
        <v>-151791</v>
      </c>
      <c r="E639" t="s">
        <v>23</v>
      </c>
      <c r="F639" t="s">
        <v>32</v>
      </c>
      <c r="G639" t="s">
        <v>25</v>
      </c>
      <c r="H639" t="s">
        <v>26</v>
      </c>
      <c r="I639" t="s">
        <v>40</v>
      </c>
      <c r="J639" s="11">
        <v>45122</v>
      </c>
      <c r="K639" t="str">
        <f>TEXT(Transactions_Clean[[#This Row],[Date]],"MMM-YYYY")</f>
        <v>Jul-2023</v>
      </c>
      <c r="L639">
        <f>IF(Transactions_Clean[[#This Row],[Category]]="Revenue",Transactions_Clean[[#This Row],[Amount(₹)]],Transactions_Clean[[#This Row],[Amount(₹)]]/8)</f>
        <v>-18973.875</v>
      </c>
    </row>
    <row r="640" spans="1:12">
      <c r="A640" t="s">
        <v>1278</v>
      </c>
      <c r="B640" t="s">
        <v>169</v>
      </c>
      <c r="C640" t="s">
        <v>73</v>
      </c>
      <c r="D640">
        <v>-54076</v>
      </c>
      <c r="E640" t="s">
        <v>74</v>
      </c>
      <c r="F640" t="s">
        <v>32</v>
      </c>
      <c r="G640" t="s">
        <v>25</v>
      </c>
      <c r="H640" t="s">
        <v>26</v>
      </c>
      <c r="I640" t="s">
        <v>40</v>
      </c>
      <c r="J640" s="11">
        <v>45169</v>
      </c>
      <c r="K640" t="str">
        <f>TEXT(Transactions_Clean[[#This Row],[Date]],"MMM-YYYY")</f>
        <v>Aug-2023</v>
      </c>
      <c r="L640">
        <f>IF(Transactions_Clean[[#This Row],[Category]]="Revenue",Transactions_Clean[[#This Row],[Amount(₹)]],Transactions_Clean[[#This Row],[Amount(₹)]]/8)</f>
        <v>-6759.5</v>
      </c>
    </row>
    <row r="641" spans="1:12">
      <c r="A641" t="s">
        <v>1279</v>
      </c>
      <c r="B641" t="s">
        <v>100</v>
      </c>
      <c r="C641" t="s">
        <v>31</v>
      </c>
      <c r="D641">
        <v>-27564</v>
      </c>
      <c r="E641" t="s">
        <v>23</v>
      </c>
      <c r="F641" t="s">
        <v>32</v>
      </c>
      <c r="G641" t="s">
        <v>33</v>
      </c>
      <c r="H641" t="s">
        <v>45</v>
      </c>
      <c r="I641" t="s">
        <v>40</v>
      </c>
      <c r="J641" s="11">
        <v>45529</v>
      </c>
      <c r="K641" t="str">
        <f>TEXT(Transactions_Clean[[#This Row],[Date]],"MMM-YYYY")</f>
        <v>Aug-2024</v>
      </c>
      <c r="L641">
        <f>IF(Transactions_Clean[[#This Row],[Category]]="Revenue",Transactions_Clean[[#This Row],[Amount(₹)]],Transactions_Clean[[#This Row],[Amount(₹)]]/8)</f>
        <v>-3445.5</v>
      </c>
    </row>
    <row r="642" spans="1:12">
      <c r="A642" t="s">
        <v>1281</v>
      </c>
      <c r="B642" t="s">
        <v>129</v>
      </c>
      <c r="C642" t="s">
        <v>38</v>
      </c>
      <c r="D642">
        <v>-13294</v>
      </c>
      <c r="E642" t="s">
        <v>23</v>
      </c>
      <c r="F642" t="s">
        <v>24</v>
      </c>
      <c r="G642" t="s">
        <v>33</v>
      </c>
      <c r="H642" t="s">
        <v>26</v>
      </c>
      <c r="I642" t="s">
        <v>34</v>
      </c>
      <c r="J642" s="11">
        <v>45057</v>
      </c>
      <c r="K642" t="str">
        <f>TEXT(Transactions_Clean[[#This Row],[Date]],"MMM-YYYY")</f>
        <v>May-2023</v>
      </c>
      <c r="L642">
        <f>IF(Transactions_Clean[[#This Row],[Category]]="Revenue",Transactions_Clean[[#This Row],[Amount(₹)]],Transactions_Clean[[#This Row],[Amount(₹)]]/8)</f>
        <v>-1661.75</v>
      </c>
    </row>
    <row r="643" spans="1:12">
      <c r="A643" t="s">
        <v>1283</v>
      </c>
      <c r="B643" t="s">
        <v>4771</v>
      </c>
      <c r="C643" t="s">
        <v>440</v>
      </c>
      <c r="D643">
        <v>-148054</v>
      </c>
      <c r="E643" t="s">
        <v>23</v>
      </c>
      <c r="F643" t="s">
        <v>24</v>
      </c>
      <c r="G643" t="s">
        <v>33</v>
      </c>
      <c r="H643" t="s">
        <v>26</v>
      </c>
      <c r="I643" t="s">
        <v>27</v>
      </c>
      <c r="J643" s="11">
        <v>45346</v>
      </c>
      <c r="K643" t="str">
        <f>TEXT(Transactions_Clean[[#This Row],[Date]],"MMM-YYYY")</f>
        <v>Feb-2024</v>
      </c>
      <c r="L643">
        <f>IF(Transactions_Clean[[#This Row],[Category]]="Revenue",Transactions_Clean[[#This Row],[Amount(₹)]],Transactions_Clean[[#This Row],[Amount(₹)]]/8)</f>
        <v>-18506.75</v>
      </c>
    </row>
    <row r="644" spans="1:12">
      <c r="A644" t="s">
        <v>1285</v>
      </c>
      <c r="B644" t="s">
        <v>180</v>
      </c>
      <c r="C644" t="s">
        <v>4750</v>
      </c>
      <c r="D644">
        <v>-72542</v>
      </c>
      <c r="E644" t="s">
        <v>23</v>
      </c>
      <c r="F644" t="s">
        <v>24</v>
      </c>
      <c r="G644" t="s">
        <v>33</v>
      </c>
      <c r="H644" t="s">
        <v>39</v>
      </c>
      <c r="I644" t="s">
        <v>34</v>
      </c>
      <c r="J644" s="11">
        <v>45837</v>
      </c>
      <c r="K644" t="str">
        <f>TEXT(Transactions_Clean[[#This Row],[Date]],"MMM-YYYY")</f>
        <v>Jun-2025</v>
      </c>
      <c r="L644">
        <f>IF(Transactions_Clean[[#This Row],[Category]]="Revenue",Transactions_Clean[[#This Row],[Amount(₹)]],Transactions_Clean[[#This Row],[Amount(₹)]]/8)</f>
        <v>-9067.75</v>
      </c>
    </row>
    <row r="645" spans="1:12">
      <c r="A645" t="s">
        <v>1287</v>
      </c>
      <c r="B645" t="s">
        <v>161</v>
      </c>
      <c r="C645" t="s">
        <v>22</v>
      </c>
      <c r="D645">
        <v>-43945</v>
      </c>
      <c r="E645" t="s">
        <v>23</v>
      </c>
      <c r="F645" t="s">
        <v>32</v>
      </c>
      <c r="G645" t="s">
        <v>25</v>
      </c>
      <c r="H645" t="s">
        <v>26</v>
      </c>
      <c r="I645" t="s">
        <v>48</v>
      </c>
      <c r="J645" s="11">
        <v>45253</v>
      </c>
      <c r="K645" t="str">
        <f>TEXT(Transactions_Clean[[#This Row],[Date]],"MMM-YYYY")</f>
        <v>Nov-2023</v>
      </c>
      <c r="L645">
        <f>IF(Transactions_Clean[[#This Row],[Category]]="Revenue",Transactions_Clean[[#This Row],[Amount(₹)]],Transactions_Clean[[#This Row],[Amount(₹)]]/8)</f>
        <v>-5493.125</v>
      </c>
    </row>
    <row r="646" spans="1:12">
      <c r="A646" t="s">
        <v>1288</v>
      </c>
      <c r="B646" t="s">
        <v>202</v>
      </c>
      <c r="C646" t="s">
        <v>22</v>
      </c>
      <c r="D646">
        <v>-108143</v>
      </c>
      <c r="E646" t="s">
        <v>23</v>
      </c>
      <c r="F646" t="s">
        <v>32</v>
      </c>
      <c r="G646" t="s">
        <v>25</v>
      </c>
      <c r="H646" t="s">
        <v>26</v>
      </c>
      <c r="I646" t="s">
        <v>40</v>
      </c>
      <c r="J646" s="11">
        <v>45198</v>
      </c>
      <c r="K646" t="str">
        <f>TEXT(Transactions_Clean[[#This Row],[Date]],"MMM-YYYY")</f>
        <v>Sep-2023</v>
      </c>
      <c r="L646">
        <f>IF(Transactions_Clean[[#This Row],[Category]]="Revenue",Transactions_Clean[[#This Row],[Amount(₹)]],Transactions_Clean[[#This Row],[Amount(₹)]]/8)</f>
        <v>-13517.875</v>
      </c>
    </row>
    <row r="647" spans="1:12">
      <c r="A647" t="s">
        <v>1290</v>
      </c>
      <c r="B647" t="s">
        <v>129</v>
      </c>
      <c r="C647" t="s">
        <v>38</v>
      </c>
      <c r="D647">
        <v>-20241</v>
      </c>
      <c r="E647" t="s">
        <v>23</v>
      </c>
      <c r="F647" t="s">
        <v>32</v>
      </c>
      <c r="G647" t="s">
        <v>33</v>
      </c>
      <c r="H647" t="s">
        <v>39</v>
      </c>
      <c r="I647" t="s">
        <v>34</v>
      </c>
      <c r="J647" s="11">
        <v>45827</v>
      </c>
      <c r="K647" t="str">
        <f>TEXT(Transactions_Clean[[#This Row],[Date]],"MMM-YYYY")</f>
        <v>Jun-2025</v>
      </c>
      <c r="L647">
        <f>IF(Transactions_Clean[[#This Row],[Category]]="Revenue",Transactions_Clean[[#This Row],[Amount(₹)]],Transactions_Clean[[#This Row],[Amount(₹)]]/8)</f>
        <v>-2530.125</v>
      </c>
    </row>
    <row r="648" spans="1:12">
      <c r="A648" t="s">
        <v>1292</v>
      </c>
      <c r="B648" t="s">
        <v>215</v>
      </c>
      <c r="C648" t="s">
        <v>61</v>
      </c>
      <c r="D648">
        <v>-24210</v>
      </c>
      <c r="E648" t="s">
        <v>62</v>
      </c>
      <c r="F648" t="s">
        <v>32</v>
      </c>
      <c r="G648" t="s">
        <v>63</v>
      </c>
      <c r="H648" t="s">
        <v>26</v>
      </c>
      <c r="I648" t="s">
        <v>40</v>
      </c>
      <c r="J648" s="11">
        <v>45137</v>
      </c>
      <c r="K648" t="str">
        <f>TEXT(Transactions_Clean[[#This Row],[Date]],"MMM-YYYY")</f>
        <v>Jul-2023</v>
      </c>
      <c r="L648">
        <f>IF(Transactions_Clean[[#This Row],[Category]]="Revenue",Transactions_Clean[[#This Row],[Amount(₹)]],Transactions_Clean[[#This Row],[Amount(₹)]]/8)</f>
        <v>-3026.25</v>
      </c>
    </row>
    <row r="649" spans="1:12">
      <c r="A649" t="s">
        <v>1294</v>
      </c>
      <c r="B649" t="s">
        <v>224</v>
      </c>
      <c r="C649" t="s">
        <v>78</v>
      </c>
      <c r="D649">
        <v>-16901</v>
      </c>
      <c r="E649" t="s">
        <v>23</v>
      </c>
      <c r="F649" t="s">
        <v>32</v>
      </c>
      <c r="G649" t="s">
        <v>79</v>
      </c>
      <c r="H649" t="s">
        <v>26</v>
      </c>
      <c r="I649" t="s">
        <v>27</v>
      </c>
      <c r="J649" s="11">
        <v>45315</v>
      </c>
      <c r="K649" t="str">
        <f>TEXT(Transactions_Clean[[#This Row],[Date]],"MMM-YYYY")</f>
        <v>Jan-2024</v>
      </c>
      <c r="L649">
        <f>IF(Transactions_Clean[[#This Row],[Category]]="Revenue",Transactions_Clean[[#This Row],[Amount(₹)]],Transactions_Clean[[#This Row],[Amount(₹)]]/8)</f>
        <v>-2112.625</v>
      </c>
    </row>
    <row r="650" spans="1:12">
      <c r="A650" t="s">
        <v>1296</v>
      </c>
      <c r="B650" t="s">
        <v>129</v>
      </c>
      <c r="C650" t="s">
        <v>38</v>
      </c>
      <c r="D650">
        <v>-27204</v>
      </c>
      <c r="E650" t="s">
        <v>23</v>
      </c>
      <c r="F650" t="s">
        <v>24</v>
      </c>
      <c r="G650" t="s">
        <v>33</v>
      </c>
      <c r="H650" t="s">
        <v>39</v>
      </c>
      <c r="I650" t="s">
        <v>34</v>
      </c>
      <c r="J650" s="11">
        <v>45798</v>
      </c>
      <c r="K650" t="str">
        <f>TEXT(Transactions_Clean[[#This Row],[Date]],"MMM-YYYY")</f>
        <v>May-2025</v>
      </c>
      <c r="L650">
        <f>IF(Transactions_Clean[[#This Row],[Category]]="Revenue",Transactions_Clean[[#This Row],[Amount(₹)]],Transactions_Clean[[#This Row],[Amount(₹)]]/8)</f>
        <v>-3400.5</v>
      </c>
    </row>
    <row r="651" spans="1:12">
      <c r="A651" t="s">
        <v>1298</v>
      </c>
      <c r="B651" t="s">
        <v>174</v>
      </c>
      <c r="C651" t="s">
        <v>22</v>
      </c>
      <c r="D651">
        <v>-173356</v>
      </c>
      <c r="E651" t="s">
        <v>23</v>
      </c>
      <c r="F651" t="s">
        <v>24</v>
      </c>
      <c r="G651" t="s">
        <v>25</v>
      </c>
      <c r="H651" t="s">
        <v>45</v>
      </c>
      <c r="I651" t="s">
        <v>48</v>
      </c>
      <c r="J651" s="11">
        <v>45570</v>
      </c>
      <c r="K651" t="str">
        <f>TEXT(Transactions_Clean[[#This Row],[Date]],"MMM-YYYY")</f>
        <v>Oct-2024</v>
      </c>
      <c r="L651">
        <f>IF(Transactions_Clean[[#This Row],[Category]]="Revenue",Transactions_Clean[[#This Row],[Amount(₹)]],Transactions_Clean[[#This Row],[Amount(₹)]]/8)</f>
        <v>-21669.5</v>
      </c>
    </row>
    <row r="652" spans="1:12">
      <c r="A652" t="s">
        <v>1300</v>
      </c>
      <c r="B652" t="s">
        <v>66</v>
      </c>
      <c r="C652" t="s">
        <v>61</v>
      </c>
      <c r="D652">
        <v>-63447</v>
      </c>
      <c r="E652" t="s">
        <v>62</v>
      </c>
      <c r="F652" t="s">
        <v>32</v>
      </c>
      <c r="G652" t="s">
        <v>63</v>
      </c>
      <c r="H652" t="s">
        <v>26</v>
      </c>
      <c r="I652" t="s">
        <v>27</v>
      </c>
      <c r="J652" s="11">
        <v>45310</v>
      </c>
      <c r="K652" t="str">
        <f>TEXT(Transactions_Clean[[#This Row],[Date]],"MMM-YYYY")</f>
        <v>Jan-2024</v>
      </c>
      <c r="L652">
        <f>IF(Transactions_Clean[[#This Row],[Category]]="Revenue",Transactions_Clean[[#This Row],[Amount(₹)]],Transactions_Clean[[#This Row],[Amount(₹)]]/8)</f>
        <v>-7930.875</v>
      </c>
    </row>
    <row r="653" spans="1:12">
      <c r="A653" t="s">
        <v>1302</v>
      </c>
      <c r="B653" t="s">
        <v>100</v>
      </c>
      <c r="C653" t="s">
        <v>31</v>
      </c>
      <c r="D653">
        <v>-23733</v>
      </c>
      <c r="E653" t="s">
        <v>23</v>
      </c>
      <c r="F653" t="s">
        <v>24</v>
      </c>
      <c r="G653" t="s">
        <v>33</v>
      </c>
      <c r="H653" t="s">
        <v>39</v>
      </c>
      <c r="I653" t="s">
        <v>27</v>
      </c>
      <c r="J653" s="11">
        <v>46115</v>
      </c>
      <c r="K653" t="str">
        <f>TEXT(Transactions_Clean[[#This Row],[Date]],"MMM-YYYY")</f>
        <v>Apr-2026</v>
      </c>
      <c r="L653">
        <f>IF(Transactions_Clean[[#This Row],[Category]]="Revenue",Transactions_Clean[[#This Row],[Amount(₹)]],Transactions_Clean[[#This Row],[Amount(₹)]]/8)</f>
        <v>-2966.625</v>
      </c>
    </row>
    <row r="654" spans="1:12">
      <c r="A654" t="s">
        <v>1304</v>
      </c>
      <c r="B654" t="s">
        <v>72</v>
      </c>
      <c r="C654" t="s">
        <v>73</v>
      </c>
      <c r="D654">
        <v>-80602</v>
      </c>
      <c r="E654" t="s">
        <v>74</v>
      </c>
      <c r="F654" t="s">
        <v>24</v>
      </c>
      <c r="G654" t="s">
        <v>25</v>
      </c>
      <c r="H654" t="s">
        <v>26</v>
      </c>
      <c r="I654" t="s">
        <v>27</v>
      </c>
      <c r="J654" s="11">
        <v>45336</v>
      </c>
      <c r="K654" t="str">
        <f>TEXT(Transactions_Clean[[#This Row],[Date]],"MMM-YYYY")</f>
        <v>Feb-2024</v>
      </c>
      <c r="L654">
        <f>IF(Transactions_Clean[[#This Row],[Category]]="Revenue",Transactions_Clean[[#This Row],[Amount(₹)]],Transactions_Clean[[#This Row],[Amount(₹)]]/8)</f>
        <v>-10075.25</v>
      </c>
    </row>
    <row r="655" spans="1:12">
      <c r="A655" t="s">
        <v>1306</v>
      </c>
      <c r="B655" t="s">
        <v>177</v>
      </c>
      <c r="C655" t="s">
        <v>78</v>
      </c>
      <c r="D655">
        <v>-112449</v>
      </c>
      <c r="E655" t="s">
        <v>23</v>
      </c>
      <c r="F655" t="s">
        <v>24</v>
      </c>
      <c r="G655" t="s">
        <v>79</v>
      </c>
      <c r="H655" t="s">
        <v>26</v>
      </c>
      <c r="I655" t="s">
        <v>48</v>
      </c>
      <c r="J655" s="11">
        <v>45259</v>
      </c>
      <c r="K655" t="str">
        <f>TEXT(Transactions_Clean[[#This Row],[Date]],"MMM-YYYY")</f>
        <v>Nov-2023</v>
      </c>
      <c r="L655">
        <f>IF(Transactions_Clean[[#This Row],[Category]]="Revenue",Transactions_Clean[[#This Row],[Amount(₹)]],Transactions_Clean[[#This Row],[Amount(₹)]]/8)</f>
        <v>-14056.125</v>
      </c>
    </row>
    <row r="656" spans="1:12">
      <c r="A656" t="s">
        <v>1307</v>
      </c>
      <c r="B656" t="s">
        <v>116</v>
      </c>
      <c r="C656" t="s">
        <v>73</v>
      </c>
      <c r="D656">
        <v>-31920</v>
      </c>
      <c r="E656" t="s">
        <v>74</v>
      </c>
      <c r="F656" t="s">
        <v>32</v>
      </c>
      <c r="G656" t="s">
        <v>25</v>
      </c>
      <c r="H656" t="s">
        <v>45</v>
      </c>
      <c r="I656" t="s">
        <v>48</v>
      </c>
      <c r="J656" s="11">
        <v>45589</v>
      </c>
      <c r="K656" t="str">
        <f>TEXT(Transactions_Clean[[#This Row],[Date]],"MMM-YYYY")</f>
        <v>Oct-2024</v>
      </c>
      <c r="L656">
        <f>IF(Transactions_Clean[[#This Row],[Category]]="Revenue",Transactions_Clean[[#This Row],[Amount(₹)]],Transactions_Clean[[#This Row],[Amount(₹)]]/8)</f>
        <v>-3990</v>
      </c>
    </row>
    <row r="657" spans="1:12">
      <c r="A657" t="s">
        <v>1308</v>
      </c>
      <c r="B657" t="s">
        <v>72</v>
      </c>
      <c r="C657" t="s">
        <v>73</v>
      </c>
      <c r="D657">
        <v>-24666</v>
      </c>
      <c r="E657" t="s">
        <v>74</v>
      </c>
      <c r="F657" t="s">
        <v>32</v>
      </c>
      <c r="G657" t="s">
        <v>25</v>
      </c>
      <c r="H657" t="s">
        <v>39</v>
      </c>
      <c r="I657" t="s">
        <v>27</v>
      </c>
      <c r="J657" s="11">
        <v>46041</v>
      </c>
      <c r="K657" t="str">
        <f>TEXT(Transactions_Clean[[#This Row],[Date]],"MMM-YYYY")</f>
        <v>Jan-2026</v>
      </c>
      <c r="L657">
        <f>IF(Transactions_Clean[[#This Row],[Category]]="Revenue",Transactions_Clean[[#This Row],[Amount(₹)]],Transactions_Clean[[#This Row],[Amount(₹)]]/8)</f>
        <v>-3083.25</v>
      </c>
    </row>
    <row r="658" spans="1:12">
      <c r="A658" t="s">
        <v>1310</v>
      </c>
      <c r="B658" t="s">
        <v>305</v>
      </c>
      <c r="C658" t="s">
        <v>38</v>
      </c>
      <c r="D658">
        <v>-24203</v>
      </c>
      <c r="E658" t="s">
        <v>23</v>
      </c>
      <c r="F658" t="s">
        <v>32</v>
      </c>
      <c r="G658" t="s">
        <v>33</v>
      </c>
      <c r="H658" t="s">
        <v>26</v>
      </c>
      <c r="I658" t="s">
        <v>34</v>
      </c>
      <c r="J658" s="11">
        <v>45043</v>
      </c>
      <c r="K658" t="str">
        <f>TEXT(Transactions_Clean[[#This Row],[Date]],"MMM-YYYY")</f>
        <v>Apr-2023</v>
      </c>
      <c r="L658">
        <f>IF(Transactions_Clean[[#This Row],[Category]]="Revenue",Transactions_Clean[[#This Row],[Amount(₹)]],Transactions_Clean[[#This Row],[Amount(₹)]]/8)</f>
        <v>-3025.375</v>
      </c>
    </row>
    <row r="659" spans="1:12">
      <c r="A659" t="s">
        <v>1311</v>
      </c>
      <c r="B659" t="s">
        <v>60</v>
      </c>
      <c r="C659" t="s">
        <v>61</v>
      </c>
      <c r="D659">
        <v>-47570</v>
      </c>
      <c r="E659" t="s">
        <v>62</v>
      </c>
      <c r="F659" t="s">
        <v>24</v>
      </c>
      <c r="G659" t="s">
        <v>63</v>
      </c>
      <c r="H659" t="s">
        <v>39</v>
      </c>
      <c r="I659" t="s">
        <v>40</v>
      </c>
      <c r="J659" s="11">
        <v>45910</v>
      </c>
      <c r="K659" t="str">
        <f>TEXT(Transactions_Clean[[#This Row],[Date]],"MMM-YYYY")</f>
        <v>Sep-2025</v>
      </c>
      <c r="L659">
        <f>IF(Transactions_Clean[[#This Row],[Category]]="Revenue",Transactions_Clean[[#This Row],[Amount(₹)]],Transactions_Clean[[#This Row],[Amount(₹)]]/8)</f>
        <v>-5946.25</v>
      </c>
    </row>
    <row r="660" spans="1:12">
      <c r="A660" t="s">
        <v>1313</v>
      </c>
      <c r="B660" t="s">
        <v>4757</v>
      </c>
      <c r="C660" t="s">
        <v>73</v>
      </c>
      <c r="D660">
        <v>-20335</v>
      </c>
      <c r="E660" t="s">
        <v>74</v>
      </c>
      <c r="F660" t="s">
        <v>24</v>
      </c>
      <c r="G660" t="s">
        <v>25</v>
      </c>
      <c r="H660" t="s">
        <v>45</v>
      </c>
      <c r="I660" t="s">
        <v>40</v>
      </c>
      <c r="J660" s="11">
        <v>45488</v>
      </c>
      <c r="K660" t="str">
        <f>TEXT(Transactions_Clean[[#This Row],[Date]],"MMM-YYYY")</f>
        <v>Jul-2024</v>
      </c>
      <c r="L660">
        <f>IF(Transactions_Clean[[#This Row],[Category]]="Revenue",Transactions_Clean[[#This Row],[Amount(₹)]],Transactions_Clean[[#This Row],[Amount(₹)]]/8)</f>
        <v>-2541.875</v>
      </c>
    </row>
    <row r="661" spans="1:12">
      <c r="A661" t="s">
        <v>1314</v>
      </c>
      <c r="B661" t="s">
        <v>60</v>
      </c>
      <c r="C661" t="s">
        <v>61</v>
      </c>
      <c r="D661">
        <v>-47810</v>
      </c>
      <c r="E661" t="s">
        <v>62</v>
      </c>
      <c r="F661" t="s">
        <v>32</v>
      </c>
      <c r="G661" t="s">
        <v>63</v>
      </c>
      <c r="H661" t="s">
        <v>26</v>
      </c>
      <c r="I661" t="s">
        <v>48</v>
      </c>
      <c r="J661" s="11">
        <v>45277</v>
      </c>
      <c r="K661" t="str">
        <f>TEXT(Transactions_Clean[[#This Row],[Date]],"MMM-YYYY")</f>
        <v>Dec-2023</v>
      </c>
      <c r="L661">
        <f>IF(Transactions_Clean[[#This Row],[Category]]="Revenue",Transactions_Clean[[#This Row],[Amount(₹)]],Transactions_Clean[[#This Row],[Amount(₹)]]/8)</f>
        <v>-5976.25</v>
      </c>
    </row>
    <row r="662" spans="1:12">
      <c r="A662" t="s">
        <v>1316</v>
      </c>
      <c r="B662" t="s">
        <v>51</v>
      </c>
      <c r="C662" t="s">
        <v>4750</v>
      </c>
      <c r="D662">
        <v>-35013</v>
      </c>
      <c r="E662" t="s">
        <v>23</v>
      </c>
      <c r="F662" t="s">
        <v>32</v>
      </c>
      <c r="G662" t="s">
        <v>33</v>
      </c>
      <c r="H662" t="s">
        <v>45</v>
      </c>
      <c r="I662" t="s">
        <v>27</v>
      </c>
      <c r="J662" s="11">
        <v>45737</v>
      </c>
      <c r="K662" t="str">
        <f>TEXT(Transactions_Clean[[#This Row],[Date]],"MMM-YYYY")</f>
        <v>Mar-2025</v>
      </c>
      <c r="L662">
        <f>IF(Transactions_Clean[[#This Row],[Category]]="Revenue",Transactions_Clean[[#This Row],[Amount(₹)]],Transactions_Clean[[#This Row],[Amount(₹)]]/8)</f>
        <v>-4376.625</v>
      </c>
    </row>
    <row r="663" spans="1:12">
      <c r="A663" t="s">
        <v>1318</v>
      </c>
      <c r="B663" t="s">
        <v>60</v>
      </c>
      <c r="C663" t="s">
        <v>61</v>
      </c>
      <c r="D663">
        <v>-14060</v>
      </c>
      <c r="E663" t="s">
        <v>62</v>
      </c>
      <c r="F663" t="s">
        <v>24</v>
      </c>
      <c r="G663" t="s">
        <v>63</v>
      </c>
      <c r="H663" t="s">
        <v>39</v>
      </c>
      <c r="I663" t="s">
        <v>40</v>
      </c>
      <c r="J663" s="11">
        <v>45891</v>
      </c>
      <c r="K663" t="str">
        <f>TEXT(Transactions_Clean[[#This Row],[Date]],"MMM-YYYY")</f>
        <v>Aug-2025</v>
      </c>
      <c r="L663">
        <f>IF(Transactions_Clean[[#This Row],[Category]]="Revenue",Transactions_Clean[[#This Row],[Amount(₹)]],Transactions_Clean[[#This Row],[Amount(₹)]]/8)</f>
        <v>-1757.5</v>
      </c>
    </row>
    <row r="664" spans="1:12">
      <c r="A664" t="s">
        <v>1319</v>
      </c>
      <c r="B664" t="s">
        <v>129</v>
      </c>
      <c r="C664" t="s">
        <v>38</v>
      </c>
      <c r="D664">
        <v>-49917</v>
      </c>
      <c r="E664" t="s">
        <v>23</v>
      </c>
      <c r="F664" t="s">
        <v>32</v>
      </c>
      <c r="G664" t="s">
        <v>33</v>
      </c>
      <c r="H664" t="s">
        <v>45</v>
      </c>
      <c r="I664" t="s">
        <v>34</v>
      </c>
      <c r="J664" s="11">
        <v>45448</v>
      </c>
      <c r="K664" t="str">
        <f>TEXT(Transactions_Clean[[#This Row],[Date]],"MMM-YYYY")</f>
        <v>Jun-2024</v>
      </c>
      <c r="L664">
        <f>IF(Transactions_Clean[[#This Row],[Category]]="Revenue",Transactions_Clean[[#This Row],[Amount(₹)]],Transactions_Clean[[#This Row],[Amount(₹)]]/8)</f>
        <v>-6239.625</v>
      </c>
    </row>
    <row r="665" spans="1:12">
      <c r="A665" t="s">
        <v>1320</v>
      </c>
      <c r="B665" t="s">
        <v>4763</v>
      </c>
      <c r="C665" t="s">
        <v>22</v>
      </c>
      <c r="D665">
        <v>-66842</v>
      </c>
      <c r="E665" t="s">
        <v>23</v>
      </c>
      <c r="F665" t="s">
        <v>32</v>
      </c>
      <c r="G665" t="s">
        <v>25</v>
      </c>
      <c r="H665" t="s">
        <v>45</v>
      </c>
      <c r="I665" t="s">
        <v>48</v>
      </c>
      <c r="J665" s="11">
        <v>45635</v>
      </c>
      <c r="K665" t="str">
        <f>TEXT(Transactions_Clean[[#This Row],[Date]],"MMM-YYYY")</f>
        <v>Dec-2024</v>
      </c>
      <c r="L665">
        <f>IF(Transactions_Clean[[#This Row],[Category]]="Revenue",Transactions_Clean[[#This Row],[Amount(₹)]],Transactions_Clean[[#This Row],[Amount(₹)]]/8)</f>
        <v>-8355.25</v>
      </c>
    </row>
    <row r="666" spans="1:12">
      <c r="A666" t="s">
        <v>1321</v>
      </c>
      <c r="B666" t="s">
        <v>4774</v>
      </c>
      <c r="C666" t="s">
        <v>440</v>
      </c>
      <c r="D666">
        <v>-149615</v>
      </c>
      <c r="E666" t="s">
        <v>23</v>
      </c>
      <c r="F666" t="s">
        <v>24</v>
      </c>
      <c r="G666" t="s">
        <v>33</v>
      </c>
      <c r="H666" t="s">
        <v>26</v>
      </c>
      <c r="I666" t="s">
        <v>40</v>
      </c>
      <c r="J666" s="11">
        <v>45115</v>
      </c>
      <c r="K666" t="str">
        <f>TEXT(Transactions_Clean[[#This Row],[Date]],"MMM-YYYY")</f>
        <v>Jul-2023</v>
      </c>
      <c r="L666">
        <f>IF(Transactions_Clean[[#This Row],[Category]]="Revenue",Transactions_Clean[[#This Row],[Amount(₹)]],Transactions_Clean[[#This Row],[Amount(₹)]]/8)</f>
        <v>-18701.875</v>
      </c>
    </row>
    <row r="667" spans="1:12">
      <c r="A667" t="s">
        <v>1322</v>
      </c>
      <c r="B667" t="s">
        <v>4767</v>
      </c>
      <c r="C667" t="s">
        <v>157</v>
      </c>
      <c r="D667">
        <v>594361</v>
      </c>
      <c r="E667" t="s">
        <v>62</v>
      </c>
      <c r="F667" t="s">
        <v>32</v>
      </c>
      <c r="G667" t="s">
        <v>25</v>
      </c>
      <c r="H667" t="s">
        <v>45</v>
      </c>
      <c r="I667" t="s">
        <v>27</v>
      </c>
      <c r="J667" s="11">
        <v>45723</v>
      </c>
      <c r="K667" t="str">
        <f>TEXT(Transactions_Clean[[#This Row],[Date]],"MMM-YYYY")</f>
        <v>Mar-2025</v>
      </c>
      <c r="L667">
        <f>IF(Transactions_Clean[[#This Row],[Category]]="Revenue",Transactions_Clean[[#This Row],[Amount(₹)]],Transactions_Clean[[#This Row],[Amount(₹)]]/8)</f>
        <v>594361</v>
      </c>
    </row>
    <row r="668" spans="1:12">
      <c r="A668" t="s">
        <v>1324</v>
      </c>
      <c r="B668" t="s">
        <v>177</v>
      </c>
      <c r="C668" t="s">
        <v>78</v>
      </c>
      <c r="D668">
        <v>-114674</v>
      </c>
      <c r="E668" t="s">
        <v>23</v>
      </c>
      <c r="F668" t="s">
        <v>32</v>
      </c>
      <c r="G668" t="s">
        <v>79</v>
      </c>
      <c r="H668" t="s">
        <v>39</v>
      </c>
      <c r="I668" t="s">
        <v>27</v>
      </c>
      <c r="J668" s="11">
        <v>46024</v>
      </c>
      <c r="K668" t="str">
        <f>TEXT(Transactions_Clean[[#This Row],[Date]],"MMM-YYYY")</f>
        <v>Jan-2026</v>
      </c>
      <c r="L668">
        <f>IF(Transactions_Clean[[#This Row],[Category]]="Revenue",Transactions_Clean[[#This Row],[Amount(₹)]],Transactions_Clean[[#This Row],[Amount(₹)]]/8)</f>
        <v>-14334.25</v>
      </c>
    </row>
    <row r="669" spans="1:12">
      <c r="A669" t="s">
        <v>1326</v>
      </c>
      <c r="B669" t="s">
        <v>215</v>
      </c>
      <c r="C669" t="s">
        <v>4750</v>
      </c>
      <c r="D669">
        <v>-51125</v>
      </c>
      <c r="E669" t="s">
        <v>62</v>
      </c>
      <c r="F669" t="s">
        <v>32</v>
      </c>
      <c r="G669" t="s">
        <v>63</v>
      </c>
      <c r="H669" t="s">
        <v>45</v>
      </c>
      <c r="I669" t="s">
        <v>27</v>
      </c>
      <c r="J669" s="11">
        <v>45682</v>
      </c>
      <c r="K669" t="str">
        <f>TEXT(Transactions_Clean[[#This Row],[Date]],"MMM-YYYY")</f>
        <v>Jan-2025</v>
      </c>
      <c r="L669">
        <f>IF(Transactions_Clean[[#This Row],[Category]]="Revenue",Transactions_Clean[[#This Row],[Amount(₹)]],Transactions_Clean[[#This Row],[Amount(₹)]]/8)</f>
        <v>-6390.625</v>
      </c>
    </row>
    <row r="670" spans="1:12">
      <c r="A670" t="s">
        <v>1328</v>
      </c>
      <c r="B670" t="s">
        <v>106</v>
      </c>
      <c r="C670" t="s">
        <v>31</v>
      </c>
      <c r="D670">
        <v>-24254</v>
      </c>
      <c r="E670" t="s">
        <v>23</v>
      </c>
      <c r="F670" t="s">
        <v>32</v>
      </c>
      <c r="G670" t="s">
        <v>33</v>
      </c>
      <c r="H670" t="s">
        <v>26</v>
      </c>
      <c r="I670" t="s">
        <v>40</v>
      </c>
      <c r="J670" s="11">
        <v>45144</v>
      </c>
      <c r="K670" t="str">
        <f>TEXT(Transactions_Clean[[#This Row],[Date]],"MMM-YYYY")</f>
        <v>Aug-2023</v>
      </c>
      <c r="L670">
        <f>IF(Transactions_Clean[[#This Row],[Category]]="Revenue",Transactions_Clean[[#This Row],[Amount(₹)]],Transactions_Clean[[#This Row],[Amount(₹)]]/8)</f>
        <v>-3031.75</v>
      </c>
    </row>
    <row r="671" spans="1:12">
      <c r="A671" t="s">
        <v>1330</v>
      </c>
      <c r="B671" t="s">
        <v>935</v>
      </c>
      <c r="C671" t="s">
        <v>22</v>
      </c>
      <c r="D671">
        <v>-84147</v>
      </c>
      <c r="E671" t="s">
        <v>23</v>
      </c>
      <c r="F671" t="s">
        <v>24</v>
      </c>
      <c r="G671" t="s">
        <v>25</v>
      </c>
      <c r="H671" t="s">
        <v>45</v>
      </c>
      <c r="I671" t="s">
        <v>27</v>
      </c>
      <c r="J671" s="11">
        <v>45695</v>
      </c>
      <c r="K671" t="str">
        <f>TEXT(Transactions_Clean[[#This Row],[Date]],"MMM-YYYY")</f>
        <v>Feb-2025</v>
      </c>
      <c r="L671">
        <f>IF(Transactions_Clean[[#This Row],[Category]]="Revenue",Transactions_Clean[[#This Row],[Amount(₹)]],Transactions_Clean[[#This Row],[Amount(₹)]]/8)</f>
        <v>-10518.375</v>
      </c>
    </row>
    <row r="672" spans="1:12">
      <c r="A672" t="s">
        <v>1332</v>
      </c>
      <c r="B672" t="s">
        <v>143</v>
      </c>
      <c r="C672" t="s">
        <v>78</v>
      </c>
      <c r="D672">
        <v>-68205</v>
      </c>
      <c r="E672" t="s">
        <v>23</v>
      </c>
      <c r="F672" t="s">
        <v>24</v>
      </c>
      <c r="G672" t="s">
        <v>79</v>
      </c>
      <c r="H672" t="s">
        <v>45</v>
      </c>
      <c r="I672" t="s">
        <v>27</v>
      </c>
      <c r="J672" s="11">
        <v>45743</v>
      </c>
      <c r="K672" t="str">
        <f>TEXT(Transactions_Clean[[#This Row],[Date]],"MMM-YYYY")</f>
        <v>Mar-2025</v>
      </c>
      <c r="L672">
        <f>IF(Transactions_Clean[[#This Row],[Category]]="Revenue",Transactions_Clean[[#This Row],[Amount(₹)]],Transactions_Clean[[#This Row],[Amount(₹)]]/8)</f>
        <v>-8525.625</v>
      </c>
    </row>
    <row r="673" spans="1:12">
      <c r="A673" t="s">
        <v>1334</v>
      </c>
      <c r="B673" t="s">
        <v>305</v>
      </c>
      <c r="C673" t="s">
        <v>38</v>
      </c>
      <c r="D673">
        <v>-44235</v>
      </c>
      <c r="E673" t="s">
        <v>23</v>
      </c>
      <c r="F673" t="s">
        <v>24</v>
      </c>
      <c r="G673" t="s">
        <v>33</v>
      </c>
      <c r="H673" t="s">
        <v>45</v>
      </c>
      <c r="I673" t="s">
        <v>40</v>
      </c>
      <c r="J673" s="11">
        <v>45450</v>
      </c>
      <c r="K673" t="str">
        <f>TEXT(Transactions_Clean[[#This Row],[Date]],"MMM-YYYY")</f>
        <v>Jun-2024</v>
      </c>
      <c r="L673">
        <f>IF(Transactions_Clean[[#This Row],[Category]]="Revenue",Transactions_Clean[[#This Row],[Amount(₹)]],Transactions_Clean[[#This Row],[Amount(₹)]]/8)</f>
        <v>-5529.375</v>
      </c>
    </row>
    <row r="674" spans="1:12">
      <c r="A674" t="s">
        <v>1336</v>
      </c>
      <c r="B674" t="s">
        <v>60</v>
      </c>
      <c r="C674" t="s">
        <v>61</v>
      </c>
      <c r="D674">
        <v>-13772</v>
      </c>
      <c r="E674" t="s">
        <v>62</v>
      </c>
      <c r="F674" t="s">
        <v>32</v>
      </c>
      <c r="G674" t="s">
        <v>63</v>
      </c>
      <c r="H674" t="s">
        <v>39</v>
      </c>
      <c r="I674" t="s">
        <v>40</v>
      </c>
      <c r="J674" s="11">
        <v>45847</v>
      </c>
      <c r="K674" t="str">
        <f>TEXT(Transactions_Clean[[#This Row],[Date]],"MMM-YYYY")</f>
        <v>Jul-2025</v>
      </c>
      <c r="L674">
        <f>IF(Transactions_Clean[[#This Row],[Category]]="Revenue",Transactions_Clean[[#This Row],[Amount(₹)]],Transactions_Clean[[#This Row],[Amount(₹)]]/8)</f>
        <v>-1721.5</v>
      </c>
    </row>
    <row r="675" spans="1:12">
      <c r="A675" t="s">
        <v>1338</v>
      </c>
      <c r="B675" t="s">
        <v>100</v>
      </c>
      <c r="C675" t="s">
        <v>31</v>
      </c>
      <c r="D675">
        <v>-15462</v>
      </c>
      <c r="E675" t="s">
        <v>23</v>
      </c>
      <c r="F675" t="s">
        <v>24</v>
      </c>
      <c r="G675" t="s">
        <v>33</v>
      </c>
      <c r="H675" t="s">
        <v>39</v>
      </c>
      <c r="I675" t="s">
        <v>40</v>
      </c>
      <c r="J675" s="11">
        <v>45843</v>
      </c>
      <c r="K675" t="str">
        <f>TEXT(Transactions_Clean[[#This Row],[Date]],"MMM-YYYY")</f>
        <v>Jul-2025</v>
      </c>
      <c r="L675">
        <f>IF(Transactions_Clean[[#This Row],[Category]]="Revenue",Transactions_Clean[[#This Row],[Amount(₹)]],Transactions_Clean[[#This Row],[Amount(₹)]]/8)</f>
        <v>-1932.75</v>
      </c>
    </row>
    <row r="676" spans="1:12">
      <c r="A676" t="s">
        <v>1340</v>
      </c>
      <c r="B676" t="s">
        <v>215</v>
      </c>
      <c r="C676" t="s">
        <v>61</v>
      </c>
      <c r="D676">
        <v>-47784</v>
      </c>
      <c r="E676" t="s">
        <v>62</v>
      </c>
      <c r="F676" t="s">
        <v>32</v>
      </c>
      <c r="G676" t="s">
        <v>63</v>
      </c>
      <c r="H676" t="s">
        <v>26</v>
      </c>
      <c r="I676" t="s">
        <v>40</v>
      </c>
      <c r="J676" s="11">
        <v>45182</v>
      </c>
      <c r="K676" t="str">
        <f>TEXT(Transactions_Clean[[#This Row],[Date]],"MMM-YYYY")</f>
        <v>Sep-2023</v>
      </c>
      <c r="L676">
        <f>IF(Transactions_Clean[[#This Row],[Category]]="Revenue",Transactions_Clean[[#This Row],[Amount(₹)]],Transactions_Clean[[#This Row],[Amount(₹)]]/8)</f>
        <v>-5973</v>
      </c>
    </row>
    <row r="677" spans="1:12">
      <c r="A677" t="s">
        <v>1341</v>
      </c>
      <c r="B677" t="s">
        <v>4769</v>
      </c>
      <c r="C677" t="s">
        <v>44</v>
      </c>
      <c r="D677">
        <v>-163982</v>
      </c>
      <c r="E677" t="s">
        <v>23</v>
      </c>
      <c r="F677" t="s">
        <v>24</v>
      </c>
      <c r="G677" t="s">
        <v>33</v>
      </c>
      <c r="H677" t="s">
        <v>26</v>
      </c>
      <c r="I677" t="s">
        <v>40</v>
      </c>
      <c r="J677" s="11">
        <v>45169</v>
      </c>
      <c r="K677" t="str">
        <f>TEXT(Transactions_Clean[[#This Row],[Date]],"MMM-YYYY")</f>
        <v>Aug-2023</v>
      </c>
      <c r="L677">
        <f>IF(Transactions_Clean[[#This Row],[Category]]="Revenue",Transactions_Clean[[#This Row],[Amount(₹)]],Transactions_Clean[[#This Row],[Amount(₹)]]/8)</f>
        <v>-20497.75</v>
      </c>
    </row>
    <row r="678" spans="1:12">
      <c r="A678" t="s">
        <v>1342</v>
      </c>
      <c r="B678" t="s">
        <v>212</v>
      </c>
      <c r="C678" t="s">
        <v>73</v>
      </c>
      <c r="D678">
        <v>-84037</v>
      </c>
      <c r="E678" t="s">
        <v>74</v>
      </c>
      <c r="F678" t="s">
        <v>32</v>
      </c>
      <c r="G678" t="s">
        <v>25</v>
      </c>
      <c r="H678" t="s">
        <v>45</v>
      </c>
      <c r="I678" t="s">
        <v>48</v>
      </c>
      <c r="J678" s="11">
        <v>45648</v>
      </c>
      <c r="K678" t="str">
        <f>TEXT(Transactions_Clean[[#This Row],[Date]],"MMM-YYYY")</f>
        <v>Dec-2024</v>
      </c>
      <c r="L678">
        <f>IF(Transactions_Clean[[#This Row],[Category]]="Revenue",Transactions_Clean[[#This Row],[Amount(₹)]],Transactions_Clean[[#This Row],[Amount(₹)]]/8)</f>
        <v>-10504.625</v>
      </c>
    </row>
    <row r="679" spans="1:12">
      <c r="A679" t="s">
        <v>1344</v>
      </c>
      <c r="B679" t="s">
        <v>143</v>
      </c>
      <c r="C679" t="s">
        <v>78</v>
      </c>
      <c r="D679">
        <v>-21978</v>
      </c>
      <c r="E679" t="s">
        <v>23</v>
      </c>
      <c r="F679" t="s">
        <v>24</v>
      </c>
      <c r="G679" t="s">
        <v>79</v>
      </c>
      <c r="H679" t="s">
        <v>39</v>
      </c>
      <c r="I679" t="s">
        <v>40</v>
      </c>
      <c r="J679" s="11">
        <v>45896</v>
      </c>
      <c r="K679" t="str">
        <f>TEXT(Transactions_Clean[[#This Row],[Date]],"MMM-YYYY")</f>
        <v>Aug-2025</v>
      </c>
      <c r="L679">
        <f>IF(Transactions_Clean[[#This Row],[Category]]="Revenue",Transactions_Clean[[#This Row],[Amount(₹)]],Transactions_Clean[[#This Row],[Amount(₹)]]/8)</f>
        <v>-2747.25</v>
      </c>
    </row>
    <row r="680" spans="1:12">
      <c r="A680" t="s">
        <v>1346</v>
      </c>
      <c r="B680" t="s">
        <v>4766</v>
      </c>
      <c r="C680" t="s">
        <v>73</v>
      </c>
      <c r="D680">
        <v>-50922</v>
      </c>
      <c r="E680" t="s">
        <v>74</v>
      </c>
      <c r="F680" t="s">
        <v>24</v>
      </c>
      <c r="G680" t="s">
        <v>25</v>
      </c>
      <c r="H680" t="s">
        <v>45</v>
      </c>
      <c r="I680" t="s">
        <v>48</v>
      </c>
      <c r="J680" s="11">
        <v>45627</v>
      </c>
      <c r="K680" t="str">
        <f>TEXT(Transactions_Clean[[#This Row],[Date]],"MMM-YYYY")</f>
        <v>Dec-2024</v>
      </c>
      <c r="L680">
        <f>IF(Transactions_Clean[[#This Row],[Category]]="Revenue",Transactions_Clean[[#This Row],[Amount(₹)]],Transactions_Clean[[#This Row],[Amount(₹)]]/8)</f>
        <v>-6365.25</v>
      </c>
    </row>
    <row r="681" spans="1:12">
      <c r="A681" t="s">
        <v>1348</v>
      </c>
      <c r="B681" t="s">
        <v>30</v>
      </c>
      <c r="C681" t="s">
        <v>31</v>
      </c>
      <c r="D681">
        <v>-26458</v>
      </c>
      <c r="E681" t="s">
        <v>23</v>
      </c>
      <c r="F681" t="s">
        <v>32</v>
      </c>
      <c r="G681" t="s">
        <v>33</v>
      </c>
      <c r="H681" t="s">
        <v>39</v>
      </c>
      <c r="I681" t="s">
        <v>27</v>
      </c>
      <c r="J681" s="11">
        <v>46080</v>
      </c>
      <c r="K681" t="str">
        <f>TEXT(Transactions_Clean[[#This Row],[Date]],"MMM-YYYY")</f>
        <v>Feb-2026</v>
      </c>
      <c r="L681">
        <f>IF(Transactions_Clean[[#This Row],[Category]]="Revenue",Transactions_Clean[[#This Row],[Amount(₹)]],Transactions_Clean[[#This Row],[Amount(₹)]]/8)</f>
        <v>-3307.25</v>
      </c>
    </row>
    <row r="682" spans="1:12">
      <c r="A682" t="s">
        <v>1350</v>
      </c>
      <c r="B682" t="s">
        <v>215</v>
      </c>
      <c r="C682" t="s">
        <v>61</v>
      </c>
      <c r="D682">
        <v>-38889</v>
      </c>
      <c r="E682" t="s">
        <v>62</v>
      </c>
      <c r="F682" t="s">
        <v>32</v>
      </c>
      <c r="G682" t="s">
        <v>63</v>
      </c>
      <c r="H682" t="s">
        <v>45</v>
      </c>
      <c r="I682" t="s">
        <v>48</v>
      </c>
      <c r="J682" s="11">
        <v>45603</v>
      </c>
      <c r="K682" t="str">
        <f>TEXT(Transactions_Clean[[#This Row],[Date]],"MMM-YYYY")</f>
        <v>Nov-2024</v>
      </c>
      <c r="L682">
        <f>IF(Transactions_Clean[[#This Row],[Category]]="Revenue",Transactions_Clean[[#This Row],[Amount(₹)]],Transactions_Clean[[#This Row],[Amount(₹)]]/8)</f>
        <v>-4861.125</v>
      </c>
    </row>
    <row r="683" spans="1:12">
      <c r="A683" t="s">
        <v>1352</v>
      </c>
      <c r="B683" t="s">
        <v>212</v>
      </c>
      <c r="C683" t="s">
        <v>73</v>
      </c>
      <c r="D683">
        <v>-25853</v>
      </c>
      <c r="E683" t="s">
        <v>74</v>
      </c>
      <c r="F683" t="s">
        <v>32</v>
      </c>
      <c r="G683" t="s">
        <v>25</v>
      </c>
      <c r="H683" t="s">
        <v>39</v>
      </c>
      <c r="I683" t="s">
        <v>34</v>
      </c>
      <c r="J683" s="11">
        <v>45760</v>
      </c>
      <c r="K683" t="str">
        <f>TEXT(Transactions_Clean[[#This Row],[Date]],"MMM-YYYY")</f>
        <v>Apr-2025</v>
      </c>
      <c r="L683">
        <f>IF(Transactions_Clean[[#This Row],[Category]]="Revenue",Transactions_Clean[[#This Row],[Amount(₹)]],Transactions_Clean[[#This Row],[Amount(₹)]]/8)</f>
        <v>-3231.625</v>
      </c>
    </row>
    <row r="684" spans="1:12">
      <c r="A684" t="s">
        <v>1353</v>
      </c>
      <c r="B684" t="s">
        <v>310</v>
      </c>
      <c r="C684" t="s">
        <v>22</v>
      </c>
      <c r="D684">
        <v>-73538</v>
      </c>
      <c r="E684" t="s">
        <v>23</v>
      </c>
      <c r="F684" t="s">
        <v>32</v>
      </c>
      <c r="G684" t="s">
        <v>25</v>
      </c>
      <c r="H684" t="s">
        <v>45</v>
      </c>
      <c r="I684" t="s">
        <v>40</v>
      </c>
      <c r="J684" s="11">
        <v>45486</v>
      </c>
      <c r="K684" t="str">
        <f>TEXT(Transactions_Clean[[#This Row],[Date]],"MMM-YYYY")</f>
        <v>Jul-2024</v>
      </c>
      <c r="L684">
        <f>IF(Transactions_Clean[[#This Row],[Category]]="Revenue",Transactions_Clean[[#This Row],[Amount(₹)]],Transactions_Clean[[#This Row],[Amount(₹)]]/8)</f>
        <v>-9192.25</v>
      </c>
    </row>
    <row r="685" spans="1:12">
      <c r="A685" t="s">
        <v>1355</v>
      </c>
      <c r="B685" t="s">
        <v>202</v>
      </c>
      <c r="C685" t="s">
        <v>22</v>
      </c>
      <c r="D685">
        <v>-123502</v>
      </c>
      <c r="E685" t="s">
        <v>23</v>
      </c>
      <c r="F685" t="s">
        <v>32</v>
      </c>
      <c r="G685" t="s">
        <v>25</v>
      </c>
      <c r="H685" t="s">
        <v>39</v>
      </c>
      <c r="I685" t="s">
        <v>34</v>
      </c>
      <c r="J685" s="11">
        <v>45754</v>
      </c>
      <c r="K685" t="str">
        <f>TEXT(Transactions_Clean[[#This Row],[Date]],"MMM-YYYY")</f>
        <v>Apr-2025</v>
      </c>
      <c r="L685">
        <f>IF(Transactions_Clean[[#This Row],[Category]]="Revenue",Transactions_Clean[[#This Row],[Amount(₹)]],Transactions_Clean[[#This Row],[Amount(₹)]]/8)</f>
        <v>-15437.75</v>
      </c>
    </row>
    <row r="686" spans="1:12">
      <c r="A686" t="s">
        <v>1356</v>
      </c>
      <c r="B686" t="s">
        <v>4766</v>
      </c>
      <c r="C686" t="s">
        <v>4750</v>
      </c>
      <c r="D686">
        <v>-73902</v>
      </c>
      <c r="E686" t="s">
        <v>74</v>
      </c>
      <c r="F686" t="s">
        <v>32</v>
      </c>
      <c r="G686" t="s">
        <v>25</v>
      </c>
      <c r="H686" t="s">
        <v>45</v>
      </c>
      <c r="I686" t="s">
        <v>48</v>
      </c>
      <c r="J686" s="11">
        <v>45595</v>
      </c>
      <c r="K686" t="str">
        <f>TEXT(Transactions_Clean[[#This Row],[Date]],"MMM-YYYY")</f>
        <v>Oct-2024</v>
      </c>
      <c r="L686">
        <f>IF(Transactions_Clean[[#This Row],[Category]]="Revenue",Transactions_Clean[[#This Row],[Amount(₹)]],Transactions_Clean[[#This Row],[Amount(₹)]]/8)</f>
        <v>-9237.75</v>
      </c>
    </row>
    <row r="687" spans="1:12">
      <c r="A687" t="s">
        <v>1358</v>
      </c>
      <c r="B687" t="s">
        <v>4753</v>
      </c>
      <c r="C687" t="s">
        <v>38</v>
      </c>
      <c r="D687">
        <v>-37933</v>
      </c>
      <c r="E687" t="s">
        <v>23</v>
      </c>
      <c r="F687" t="s">
        <v>32</v>
      </c>
      <c r="G687" t="s">
        <v>33</v>
      </c>
      <c r="H687" t="s">
        <v>26</v>
      </c>
      <c r="I687" t="s">
        <v>40</v>
      </c>
      <c r="J687" s="11">
        <v>45179</v>
      </c>
      <c r="K687" t="str">
        <f>TEXT(Transactions_Clean[[#This Row],[Date]],"MMM-YYYY")</f>
        <v>Sep-2023</v>
      </c>
      <c r="L687">
        <f>IF(Transactions_Clean[[#This Row],[Category]]="Revenue",Transactions_Clean[[#This Row],[Amount(₹)]],Transactions_Clean[[#This Row],[Amount(₹)]]/8)</f>
        <v>-4741.625</v>
      </c>
    </row>
    <row r="688" spans="1:12">
      <c r="A688" t="s">
        <v>1360</v>
      </c>
      <c r="B688" t="s">
        <v>4771</v>
      </c>
      <c r="C688" t="s">
        <v>4750</v>
      </c>
      <c r="D688">
        <v>-114006</v>
      </c>
      <c r="E688" t="s">
        <v>23</v>
      </c>
      <c r="F688" t="s">
        <v>24</v>
      </c>
      <c r="G688" t="s">
        <v>33</v>
      </c>
      <c r="H688" t="s">
        <v>39</v>
      </c>
      <c r="I688" t="s">
        <v>48</v>
      </c>
      <c r="J688" s="11">
        <v>45972</v>
      </c>
      <c r="K688" t="str">
        <f>TEXT(Transactions_Clean[[#This Row],[Date]],"MMM-YYYY")</f>
        <v>Nov-2025</v>
      </c>
      <c r="L688">
        <f>IF(Transactions_Clean[[#This Row],[Category]]="Revenue",Transactions_Clean[[#This Row],[Amount(₹)]],Transactions_Clean[[#This Row],[Amount(₹)]]/8)</f>
        <v>-14250.75</v>
      </c>
    </row>
    <row r="689" spans="1:12">
      <c r="A689" t="s">
        <v>1362</v>
      </c>
      <c r="B689" t="s">
        <v>72</v>
      </c>
      <c r="C689" t="s">
        <v>73</v>
      </c>
      <c r="D689">
        <v>-83631</v>
      </c>
      <c r="E689" t="s">
        <v>74</v>
      </c>
      <c r="F689" t="s">
        <v>24</v>
      </c>
      <c r="G689" t="s">
        <v>25</v>
      </c>
      <c r="H689" t="s">
        <v>45</v>
      </c>
      <c r="I689" t="s">
        <v>27</v>
      </c>
      <c r="J689" s="11">
        <v>45700</v>
      </c>
      <c r="K689" t="str">
        <f>TEXT(Transactions_Clean[[#This Row],[Date]],"MMM-YYYY")</f>
        <v>Feb-2025</v>
      </c>
      <c r="L689">
        <f>IF(Transactions_Clean[[#This Row],[Category]]="Revenue",Transactions_Clean[[#This Row],[Amount(₹)]],Transactions_Clean[[#This Row],[Amount(₹)]]/8)</f>
        <v>-10453.875</v>
      </c>
    </row>
    <row r="690" spans="1:12">
      <c r="A690" t="s">
        <v>1363</v>
      </c>
      <c r="B690" t="s">
        <v>4766</v>
      </c>
      <c r="C690" t="s">
        <v>73</v>
      </c>
      <c r="D690">
        <v>-83257</v>
      </c>
      <c r="E690" t="s">
        <v>74</v>
      </c>
      <c r="F690" t="s">
        <v>32</v>
      </c>
      <c r="G690" t="s">
        <v>25</v>
      </c>
      <c r="H690" t="s">
        <v>39</v>
      </c>
      <c r="I690" t="s">
        <v>40</v>
      </c>
      <c r="J690" s="11">
        <v>45839</v>
      </c>
      <c r="K690" t="str">
        <f>TEXT(Transactions_Clean[[#This Row],[Date]],"MMM-YYYY")</f>
        <v>Jul-2025</v>
      </c>
      <c r="L690">
        <f>IF(Transactions_Clean[[#This Row],[Category]]="Revenue",Transactions_Clean[[#This Row],[Amount(₹)]],Transactions_Clean[[#This Row],[Amount(₹)]]/8)</f>
        <v>-10407.125</v>
      </c>
    </row>
    <row r="691" spans="1:12">
      <c r="A691" t="s">
        <v>1365</v>
      </c>
      <c r="B691" t="s">
        <v>30</v>
      </c>
      <c r="C691" t="s">
        <v>31</v>
      </c>
      <c r="D691">
        <v>-21104</v>
      </c>
      <c r="E691" t="s">
        <v>23</v>
      </c>
      <c r="F691" t="s">
        <v>24</v>
      </c>
      <c r="G691" t="s">
        <v>33</v>
      </c>
      <c r="H691" t="s">
        <v>45</v>
      </c>
      <c r="I691" t="s">
        <v>27</v>
      </c>
      <c r="J691" s="11">
        <v>45664</v>
      </c>
      <c r="K691" t="str">
        <f>TEXT(Transactions_Clean[[#This Row],[Date]],"MMM-YYYY")</f>
        <v>Jan-2025</v>
      </c>
      <c r="L691">
        <f>IF(Transactions_Clean[[#This Row],[Category]]="Revenue",Transactions_Clean[[#This Row],[Amount(₹)]],Transactions_Clean[[#This Row],[Amount(₹)]]/8)</f>
        <v>-2638</v>
      </c>
    </row>
    <row r="692" spans="1:12">
      <c r="A692" t="s">
        <v>1367</v>
      </c>
      <c r="B692" t="s">
        <v>215</v>
      </c>
      <c r="C692" t="s">
        <v>61</v>
      </c>
      <c r="D692">
        <v>-60307</v>
      </c>
      <c r="E692" t="s">
        <v>62</v>
      </c>
      <c r="F692" t="s">
        <v>32</v>
      </c>
      <c r="G692" t="s">
        <v>63</v>
      </c>
      <c r="H692" t="s">
        <v>26</v>
      </c>
      <c r="I692" t="s">
        <v>48</v>
      </c>
      <c r="J692" s="11">
        <v>45237</v>
      </c>
      <c r="K692" t="str">
        <f>TEXT(Transactions_Clean[[#This Row],[Date]],"MMM-YYYY")</f>
        <v>Nov-2023</v>
      </c>
      <c r="L692">
        <f>IF(Transactions_Clean[[#This Row],[Category]]="Revenue",Transactions_Clean[[#This Row],[Amount(₹)]],Transactions_Clean[[#This Row],[Amount(₹)]]/8)</f>
        <v>-7538.375</v>
      </c>
    </row>
    <row r="693" spans="1:12">
      <c r="A693" t="s">
        <v>1369</v>
      </c>
      <c r="B693" t="s">
        <v>143</v>
      </c>
      <c r="C693" t="s">
        <v>78</v>
      </c>
      <c r="D693">
        <v>-20432</v>
      </c>
      <c r="E693" t="s">
        <v>23</v>
      </c>
      <c r="F693" t="s">
        <v>32</v>
      </c>
      <c r="G693" t="s">
        <v>79</v>
      </c>
      <c r="H693" t="s">
        <v>39</v>
      </c>
      <c r="I693" t="s">
        <v>27</v>
      </c>
      <c r="J693" s="11">
        <v>46067</v>
      </c>
      <c r="K693" t="str">
        <f>TEXT(Transactions_Clean[[#This Row],[Date]],"MMM-YYYY")</f>
        <v>Feb-2026</v>
      </c>
      <c r="L693">
        <f>IF(Transactions_Clean[[#This Row],[Category]]="Revenue",Transactions_Clean[[#This Row],[Amount(₹)]],Transactions_Clean[[#This Row],[Amount(₹)]]/8)</f>
        <v>-2554</v>
      </c>
    </row>
    <row r="694" spans="1:12">
      <c r="A694" t="s">
        <v>1371</v>
      </c>
      <c r="B694" t="s">
        <v>30</v>
      </c>
      <c r="C694" t="s">
        <v>31</v>
      </c>
      <c r="D694">
        <v>-17493</v>
      </c>
      <c r="E694" t="s">
        <v>23</v>
      </c>
      <c r="F694" t="s">
        <v>24</v>
      </c>
      <c r="G694" t="s">
        <v>33</v>
      </c>
      <c r="H694" t="s">
        <v>45</v>
      </c>
      <c r="I694" t="s">
        <v>34</v>
      </c>
      <c r="J694" s="11">
        <v>45390</v>
      </c>
      <c r="K694" t="str">
        <f>TEXT(Transactions_Clean[[#This Row],[Date]],"MMM-YYYY")</f>
        <v>Apr-2024</v>
      </c>
      <c r="L694">
        <f>IF(Transactions_Clean[[#This Row],[Category]]="Revenue",Transactions_Clean[[#This Row],[Amount(₹)]],Transactions_Clean[[#This Row],[Amount(₹)]]/8)</f>
        <v>-2186.625</v>
      </c>
    </row>
    <row r="695" spans="1:12">
      <c r="A695" t="s">
        <v>1373</v>
      </c>
      <c r="B695" t="s">
        <v>169</v>
      </c>
      <c r="C695" t="s">
        <v>73</v>
      </c>
      <c r="D695">
        <v>-52843</v>
      </c>
      <c r="E695" t="s">
        <v>74</v>
      </c>
      <c r="F695" t="s">
        <v>24</v>
      </c>
      <c r="G695" t="s">
        <v>25</v>
      </c>
      <c r="H695" t="s">
        <v>45</v>
      </c>
      <c r="I695" t="s">
        <v>27</v>
      </c>
      <c r="J695" s="11">
        <v>45662</v>
      </c>
      <c r="K695" t="str">
        <f>TEXT(Transactions_Clean[[#This Row],[Date]],"MMM-YYYY")</f>
        <v>Jan-2025</v>
      </c>
      <c r="L695">
        <f>IF(Transactions_Clean[[#This Row],[Category]]="Revenue",Transactions_Clean[[#This Row],[Amount(₹)]],Transactions_Clean[[#This Row],[Amount(₹)]]/8)</f>
        <v>-6605.375</v>
      </c>
    </row>
    <row r="696" spans="1:12">
      <c r="A696" t="s">
        <v>1374</v>
      </c>
      <c r="B696" t="s">
        <v>37</v>
      </c>
      <c r="C696" t="s">
        <v>38</v>
      </c>
      <c r="D696">
        <v>-13116</v>
      </c>
      <c r="E696" t="s">
        <v>23</v>
      </c>
      <c r="F696" t="s">
        <v>24</v>
      </c>
      <c r="G696" t="s">
        <v>33</v>
      </c>
      <c r="H696" t="s">
        <v>26</v>
      </c>
      <c r="I696" t="s">
        <v>27</v>
      </c>
      <c r="J696" s="11">
        <v>45363</v>
      </c>
      <c r="K696" t="str">
        <f>TEXT(Transactions_Clean[[#This Row],[Date]],"MMM-YYYY")</f>
        <v>Mar-2024</v>
      </c>
      <c r="L696">
        <f>IF(Transactions_Clean[[#This Row],[Category]]="Revenue",Transactions_Clean[[#This Row],[Amount(₹)]],Transactions_Clean[[#This Row],[Amount(₹)]]/8)</f>
        <v>-1639.5</v>
      </c>
    </row>
    <row r="697" spans="1:12">
      <c r="A697" t="s">
        <v>1375</v>
      </c>
      <c r="B697" t="s">
        <v>255</v>
      </c>
      <c r="C697" t="s">
        <v>22</v>
      </c>
      <c r="D697">
        <v>-128560</v>
      </c>
      <c r="E697" t="s">
        <v>23</v>
      </c>
      <c r="F697" t="s">
        <v>24</v>
      </c>
      <c r="G697" t="s">
        <v>25</v>
      </c>
      <c r="H697" t="s">
        <v>39</v>
      </c>
      <c r="I697" t="s">
        <v>40</v>
      </c>
      <c r="J697" s="11">
        <v>45927</v>
      </c>
      <c r="K697" t="str">
        <f>TEXT(Transactions_Clean[[#This Row],[Date]],"MMM-YYYY")</f>
        <v>Sep-2025</v>
      </c>
      <c r="L697">
        <f>IF(Transactions_Clean[[#This Row],[Category]]="Revenue",Transactions_Clean[[#This Row],[Amount(₹)]],Transactions_Clean[[#This Row],[Amount(₹)]]/8)</f>
        <v>-16070</v>
      </c>
    </row>
    <row r="698" spans="1:12">
      <c r="A698" t="s">
        <v>1378</v>
      </c>
      <c r="B698" t="s">
        <v>215</v>
      </c>
      <c r="C698" t="s">
        <v>61</v>
      </c>
      <c r="D698">
        <v>-20645</v>
      </c>
      <c r="E698" t="s">
        <v>62</v>
      </c>
      <c r="F698" t="s">
        <v>32</v>
      </c>
      <c r="G698" t="s">
        <v>63</v>
      </c>
      <c r="H698" t="s">
        <v>26</v>
      </c>
      <c r="I698" t="s">
        <v>27</v>
      </c>
      <c r="J698" s="11">
        <v>45354</v>
      </c>
      <c r="K698" t="str">
        <f>TEXT(Transactions_Clean[[#This Row],[Date]],"MMM-YYYY")</f>
        <v>Mar-2024</v>
      </c>
      <c r="L698">
        <f>IF(Transactions_Clean[[#This Row],[Category]]="Revenue",Transactions_Clean[[#This Row],[Amount(₹)]],Transactions_Clean[[#This Row],[Amount(₹)]]/8)</f>
        <v>-2580.625</v>
      </c>
    </row>
    <row r="699" spans="1:12">
      <c r="A699" t="s">
        <v>1380</v>
      </c>
      <c r="B699" t="s">
        <v>161</v>
      </c>
      <c r="C699" t="s">
        <v>22</v>
      </c>
      <c r="D699">
        <v>-212470</v>
      </c>
      <c r="E699" t="s">
        <v>23</v>
      </c>
      <c r="F699" t="s">
        <v>32</v>
      </c>
      <c r="G699" t="s">
        <v>25</v>
      </c>
      <c r="H699" t="s">
        <v>45</v>
      </c>
      <c r="I699" t="s">
        <v>27</v>
      </c>
      <c r="J699" s="11">
        <v>45993</v>
      </c>
      <c r="K699" t="str">
        <f>TEXT(Transactions_Clean[[#This Row],[Date]],"MMM-YYYY")</f>
        <v>Dec-2025</v>
      </c>
      <c r="L699">
        <f>IF(Transactions_Clean[[#This Row],[Category]]="Revenue",Transactions_Clean[[#This Row],[Amount(₹)]],Transactions_Clean[[#This Row],[Amount(₹)]]/8)</f>
        <v>-26558.75</v>
      </c>
    </row>
    <row r="700" spans="1:12">
      <c r="A700" t="s">
        <v>1382</v>
      </c>
      <c r="B700" t="s">
        <v>66</v>
      </c>
      <c r="C700" t="s">
        <v>61</v>
      </c>
      <c r="D700">
        <v>-22102</v>
      </c>
      <c r="E700" t="s">
        <v>62</v>
      </c>
      <c r="F700" t="s">
        <v>32</v>
      </c>
      <c r="G700" t="s">
        <v>63</v>
      </c>
      <c r="H700" t="s">
        <v>26</v>
      </c>
      <c r="I700" t="s">
        <v>27</v>
      </c>
      <c r="J700" s="11">
        <v>45318</v>
      </c>
      <c r="K700" t="str">
        <f>TEXT(Transactions_Clean[[#This Row],[Date]],"MMM-YYYY")</f>
        <v>Jan-2024</v>
      </c>
      <c r="L700">
        <f>IF(Transactions_Clean[[#This Row],[Category]]="Revenue",Transactions_Clean[[#This Row],[Amount(₹)]],Transactions_Clean[[#This Row],[Amount(₹)]]/8)</f>
        <v>-2762.75</v>
      </c>
    </row>
    <row r="701" spans="1:12">
      <c r="A701" t="s">
        <v>1384</v>
      </c>
      <c r="B701" t="s">
        <v>4757</v>
      </c>
      <c r="C701" t="s">
        <v>73</v>
      </c>
      <c r="D701">
        <v>-58321</v>
      </c>
      <c r="E701" t="s">
        <v>74</v>
      </c>
      <c r="F701" t="s">
        <v>32</v>
      </c>
      <c r="G701" t="s">
        <v>25</v>
      </c>
      <c r="H701" t="s">
        <v>45</v>
      </c>
      <c r="I701" t="s">
        <v>34</v>
      </c>
      <c r="J701" s="11">
        <v>45397</v>
      </c>
      <c r="K701" t="str">
        <f>TEXT(Transactions_Clean[[#This Row],[Date]],"MMM-YYYY")</f>
        <v>Apr-2024</v>
      </c>
      <c r="L701">
        <f>IF(Transactions_Clean[[#This Row],[Category]]="Revenue",Transactions_Clean[[#This Row],[Amount(₹)]],Transactions_Clean[[#This Row],[Amount(₹)]]/8)</f>
        <v>-7290.125</v>
      </c>
    </row>
    <row r="702" spans="1:12">
      <c r="A702" t="s">
        <v>1386</v>
      </c>
      <c r="B702" t="s">
        <v>100</v>
      </c>
      <c r="C702" t="s">
        <v>31</v>
      </c>
      <c r="D702">
        <v>-12578</v>
      </c>
      <c r="E702" t="s">
        <v>23</v>
      </c>
      <c r="F702" t="s">
        <v>24</v>
      </c>
      <c r="G702" t="s">
        <v>33</v>
      </c>
      <c r="H702" t="s">
        <v>45</v>
      </c>
      <c r="I702" t="s">
        <v>34</v>
      </c>
      <c r="J702" s="11">
        <v>45423</v>
      </c>
      <c r="K702" t="str">
        <f>TEXT(Transactions_Clean[[#This Row],[Date]],"MMM-YYYY")</f>
        <v>May-2024</v>
      </c>
      <c r="L702">
        <f>IF(Transactions_Clean[[#This Row],[Category]]="Revenue",Transactions_Clean[[#This Row],[Amount(₹)]],Transactions_Clean[[#This Row],[Amount(₹)]]/8)</f>
        <v>-1572.25</v>
      </c>
    </row>
    <row r="703" spans="1:12">
      <c r="A703" t="s">
        <v>1387</v>
      </c>
      <c r="B703" t="s">
        <v>72</v>
      </c>
      <c r="C703" t="s">
        <v>73</v>
      </c>
      <c r="D703">
        <v>-47552</v>
      </c>
      <c r="E703" t="s">
        <v>74</v>
      </c>
      <c r="F703" t="s">
        <v>32</v>
      </c>
      <c r="G703" t="s">
        <v>25</v>
      </c>
      <c r="H703" t="s">
        <v>26</v>
      </c>
      <c r="I703" t="s">
        <v>40</v>
      </c>
      <c r="J703" s="11">
        <v>45136</v>
      </c>
      <c r="K703" t="str">
        <f>TEXT(Transactions_Clean[[#This Row],[Date]],"MMM-YYYY")</f>
        <v>Jul-2023</v>
      </c>
      <c r="L703">
        <f>IF(Transactions_Clean[[#This Row],[Category]]="Revenue",Transactions_Clean[[#This Row],[Amount(₹)]],Transactions_Clean[[#This Row],[Amount(₹)]]/8)</f>
        <v>-5944</v>
      </c>
    </row>
    <row r="704" spans="1:12">
      <c r="A704" t="s">
        <v>1389</v>
      </c>
      <c r="B704" t="s">
        <v>290</v>
      </c>
      <c r="C704" t="s">
        <v>440</v>
      </c>
      <c r="D704">
        <v>-112506</v>
      </c>
      <c r="E704" t="s">
        <v>23</v>
      </c>
      <c r="F704" t="s">
        <v>32</v>
      </c>
      <c r="G704" t="s">
        <v>33</v>
      </c>
      <c r="H704" t="s">
        <v>39</v>
      </c>
      <c r="I704" t="s">
        <v>40</v>
      </c>
      <c r="J704" s="11">
        <v>45840</v>
      </c>
      <c r="K704" t="str">
        <f>TEXT(Transactions_Clean[[#This Row],[Date]],"MMM-YYYY")</f>
        <v>Jul-2025</v>
      </c>
      <c r="L704">
        <f>IF(Transactions_Clean[[#This Row],[Category]]="Revenue",Transactions_Clean[[#This Row],[Amount(₹)]],Transactions_Clean[[#This Row],[Amount(₹)]]/8)</f>
        <v>-14063.25</v>
      </c>
    </row>
    <row r="705" spans="1:12">
      <c r="A705" t="s">
        <v>1390</v>
      </c>
      <c r="B705" t="s">
        <v>4758</v>
      </c>
      <c r="C705" t="s">
        <v>78</v>
      </c>
      <c r="D705">
        <v>-72002</v>
      </c>
      <c r="E705" t="s">
        <v>23</v>
      </c>
      <c r="F705" t="s">
        <v>24</v>
      </c>
      <c r="G705" t="s">
        <v>79</v>
      </c>
      <c r="H705" t="s">
        <v>45</v>
      </c>
      <c r="I705" t="s">
        <v>34</v>
      </c>
      <c r="J705" s="11">
        <v>45435</v>
      </c>
      <c r="K705" t="str">
        <f>TEXT(Transactions_Clean[[#This Row],[Date]],"MMM-YYYY")</f>
        <v>May-2024</v>
      </c>
      <c r="L705">
        <f>IF(Transactions_Clean[[#This Row],[Category]]="Revenue",Transactions_Clean[[#This Row],[Amount(₹)]],Transactions_Clean[[#This Row],[Amount(₹)]]/8)</f>
        <v>-9000.25</v>
      </c>
    </row>
    <row r="706" spans="1:12">
      <c r="A706" t="s">
        <v>1392</v>
      </c>
      <c r="B706" t="s">
        <v>60</v>
      </c>
      <c r="C706" t="s">
        <v>61</v>
      </c>
      <c r="D706">
        <v>-23919</v>
      </c>
      <c r="E706" t="s">
        <v>62</v>
      </c>
      <c r="F706" t="s">
        <v>24</v>
      </c>
      <c r="G706" t="s">
        <v>63</v>
      </c>
      <c r="H706" t="s">
        <v>45</v>
      </c>
      <c r="I706" t="s">
        <v>40</v>
      </c>
      <c r="J706" s="11">
        <v>45498</v>
      </c>
      <c r="K706" t="str">
        <f>TEXT(Transactions_Clean[[#This Row],[Date]],"MMM-YYYY")</f>
        <v>Jul-2024</v>
      </c>
      <c r="L706">
        <f>IF(Transactions_Clean[[#This Row],[Category]]="Revenue",Transactions_Clean[[#This Row],[Amount(₹)]],Transactions_Clean[[#This Row],[Amount(₹)]]/8)</f>
        <v>-2989.875</v>
      </c>
    </row>
    <row r="707" spans="1:12">
      <c r="A707" t="s">
        <v>1393</v>
      </c>
      <c r="B707" t="s">
        <v>4766</v>
      </c>
      <c r="C707" t="s">
        <v>73</v>
      </c>
      <c r="D707">
        <v>-81821</v>
      </c>
      <c r="E707" t="s">
        <v>74</v>
      </c>
      <c r="F707" t="s">
        <v>24</v>
      </c>
      <c r="G707" t="s">
        <v>25</v>
      </c>
      <c r="H707" t="s">
        <v>39</v>
      </c>
      <c r="I707" t="s">
        <v>27</v>
      </c>
      <c r="J707" s="11">
        <v>46080</v>
      </c>
      <c r="K707" t="str">
        <f>TEXT(Transactions_Clean[[#This Row],[Date]],"MMM-YYYY")</f>
        <v>Feb-2026</v>
      </c>
      <c r="L707">
        <f>IF(Transactions_Clean[[#This Row],[Category]]="Revenue",Transactions_Clean[[#This Row],[Amount(₹)]],Transactions_Clean[[#This Row],[Amount(₹)]]/8)</f>
        <v>-10227.625</v>
      </c>
    </row>
    <row r="708" spans="1:12">
      <c r="A708" t="s">
        <v>1394</v>
      </c>
      <c r="B708" t="s">
        <v>305</v>
      </c>
      <c r="C708" t="s">
        <v>38</v>
      </c>
      <c r="D708">
        <v>-27210</v>
      </c>
      <c r="E708" t="s">
        <v>23</v>
      </c>
      <c r="F708" t="s">
        <v>32</v>
      </c>
      <c r="G708" t="s">
        <v>33</v>
      </c>
      <c r="H708" t="s">
        <v>39</v>
      </c>
      <c r="I708" t="s">
        <v>48</v>
      </c>
      <c r="J708" s="11">
        <v>46019</v>
      </c>
      <c r="K708" t="str">
        <f>TEXT(Transactions_Clean[[#This Row],[Date]],"MMM-YYYY")</f>
        <v>Dec-2025</v>
      </c>
      <c r="L708">
        <f>IF(Transactions_Clean[[#This Row],[Category]]="Revenue",Transactions_Clean[[#This Row],[Amount(₹)]],Transactions_Clean[[#This Row],[Amount(₹)]]/8)</f>
        <v>-3401.25</v>
      </c>
    </row>
    <row r="709" spans="1:12">
      <c r="A709" t="s">
        <v>1395</v>
      </c>
      <c r="B709" t="s">
        <v>30</v>
      </c>
      <c r="C709" t="s">
        <v>31</v>
      </c>
      <c r="D709">
        <v>-43757</v>
      </c>
      <c r="E709" t="s">
        <v>23</v>
      </c>
      <c r="F709" t="s">
        <v>24</v>
      </c>
      <c r="G709" t="s">
        <v>33</v>
      </c>
      <c r="H709" t="s">
        <v>39</v>
      </c>
      <c r="I709" t="s">
        <v>48</v>
      </c>
      <c r="J709" s="11">
        <v>46017</v>
      </c>
      <c r="K709" t="str">
        <f>TEXT(Transactions_Clean[[#This Row],[Date]],"MMM-YYYY")</f>
        <v>Dec-2025</v>
      </c>
      <c r="L709">
        <f>IF(Transactions_Clean[[#This Row],[Category]]="Revenue",Transactions_Clean[[#This Row],[Amount(₹)]],Transactions_Clean[[#This Row],[Amount(₹)]]/8)</f>
        <v>-5469.625</v>
      </c>
    </row>
    <row r="710" spans="1:12">
      <c r="A710" t="s">
        <v>1396</v>
      </c>
      <c r="B710" t="s">
        <v>215</v>
      </c>
      <c r="C710" t="s">
        <v>61</v>
      </c>
      <c r="D710">
        <v>-55004</v>
      </c>
      <c r="E710" t="s">
        <v>62</v>
      </c>
      <c r="F710" t="s">
        <v>24</v>
      </c>
      <c r="G710" t="s">
        <v>63</v>
      </c>
      <c r="H710" t="s">
        <v>45</v>
      </c>
      <c r="I710" t="s">
        <v>48</v>
      </c>
      <c r="J710" s="11">
        <v>45602</v>
      </c>
      <c r="K710" t="str">
        <f>TEXT(Transactions_Clean[[#This Row],[Date]],"MMM-YYYY")</f>
        <v>Nov-2024</v>
      </c>
      <c r="L710">
        <f>IF(Transactions_Clean[[#This Row],[Category]]="Revenue",Transactions_Clean[[#This Row],[Amount(₹)]],Transactions_Clean[[#This Row],[Amount(₹)]]/8)</f>
        <v>-6875.5</v>
      </c>
    </row>
    <row r="711" spans="1:12">
      <c r="A711" t="s">
        <v>1398</v>
      </c>
      <c r="B711" t="s">
        <v>37</v>
      </c>
      <c r="C711" t="s">
        <v>38</v>
      </c>
      <c r="D711">
        <v>-24831</v>
      </c>
      <c r="E711" t="s">
        <v>23</v>
      </c>
      <c r="F711" t="s">
        <v>32</v>
      </c>
      <c r="G711" t="s">
        <v>33</v>
      </c>
      <c r="H711" t="s">
        <v>39</v>
      </c>
      <c r="I711" t="s">
        <v>48</v>
      </c>
      <c r="J711" s="11">
        <v>46001</v>
      </c>
      <c r="K711" t="str">
        <f>TEXT(Transactions_Clean[[#This Row],[Date]],"MMM-YYYY")</f>
        <v>Dec-2025</v>
      </c>
      <c r="L711">
        <f>IF(Transactions_Clean[[#This Row],[Category]]="Revenue",Transactions_Clean[[#This Row],[Amount(₹)]],Transactions_Clean[[#This Row],[Amount(₹)]]/8)</f>
        <v>-3103.875</v>
      </c>
    </row>
    <row r="712" spans="1:12">
      <c r="A712" t="s">
        <v>1399</v>
      </c>
      <c r="B712" t="s">
        <v>4754</v>
      </c>
      <c r="C712" t="s">
        <v>78</v>
      </c>
      <c r="D712">
        <v>-115742</v>
      </c>
      <c r="E712" t="s">
        <v>23</v>
      </c>
      <c r="F712" t="s">
        <v>32</v>
      </c>
      <c r="G712" t="s">
        <v>79</v>
      </c>
      <c r="H712" t="s">
        <v>26</v>
      </c>
      <c r="I712" t="s">
        <v>27</v>
      </c>
      <c r="J712" s="11">
        <v>45308</v>
      </c>
      <c r="K712" t="str">
        <f>TEXT(Transactions_Clean[[#This Row],[Date]],"MMM-YYYY")</f>
        <v>Jan-2024</v>
      </c>
      <c r="L712">
        <f>IF(Transactions_Clean[[#This Row],[Category]]="Revenue",Transactions_Clean[[#This Row],[Amount(₹)]],Transactions_Clean[[#This Row],[Amount(₹)]]/8)</f>
        <v>-14467.75</v>
      </c>
    </row>
    <row r="713" spans="1:12">
      <c r="A713" t="s">
        <v>1401</v>
      </c>
      <c r="B713" t="s">
        <v>4766</v>
      </c>
      <c r="C713" t="s">
        <v>73</v>
      </c>
      <c r="D713">
        <v>-19343</v>
      </c>
      <c r="E713" t="s">
        <v>74</v>
      </c>
      <c r="F713" t="s">
        <v>24</v>
      </c>
      <c r="G713" t="s">
        <v>25</v>
      </c>
      <c r="H713" t="s">
        <v>39</v>
      </c>
      <c r="I713" t="s">
        <v>40</v>
      </c>
      <c r="J713" s="11">
        <v>45892</v>
      </c>
      <c r="K713" t="str">
        <f>TEXT(Transactions_Clean[[#This Row],[Date]],"MMM-YYYY")</f>
        <v>Aug-2025</v>
      </c>
      <c r="L713">
        <f>IF(Transactions_Clean[[#This Row],[Category]]="Revenue",Transactions_Clean[[#This Row],[Amount(₹)]],Transactions_Clean[[#This Row],[Amount(₹)]]/8)</f>
        <v>-2417.875</v>
      </c>
    </row>
    <row r="714" spans="1:12">
      <c r="A714" t="s">
        <v>1403</v>
      </c>
      <c r="B714" t="s">
        <v>177</v>
      </c>
      <c r="C714" t="s">
        <v>78</v>
      </c>
      <c r="D714">
        <v>-46880</v>
      </c>
      <c r="E714" t="s">
        <v>23</v>
      </c>
      <c r="F714" t="s">
        <v>24</v>
      </c>
      <c r="G714" t="s">
        <v>79</v>
      </c>
      <c r="H714" t="s">
        <v>45</v>
      </c>
      <c r="I714" t="s">
        <v>27</v>
      </c>
      <c r="J714" s="11">
        <v>45693</v>
      </c>
      <c r="K714" t="str">
        <f>TEXT(Transactions_Clean[[#This Row],[Date]],"MMM-YYYY")</f>
        <v>Feb-2025</v>
      </c>
      <c r="L714">
        <f>IF(Transactions_Clean[[#This Row],[Category]]="Revenue",Transactions_Clean[[#This Row],[Amount(₹)]],Transactions_Clean[[#This Row],[Amount(₹)]]/8)</f>
        <v>-5860</v>
      </c>
    </row>
    <row r="715" spans="1:12">
      <c r="A715" t="s">
        <v>1405</v>
      </c>
      <c r="B715" t="s">
        <v>4760</v>
      </c>
      <c r="C715" t="s">
        <v>73</v>
      </c>
      <c r="D715">
        <v>-57052</v>
      </c>
      <c r="E715" t="s">
        <v>74</v>
      </c>
      <c r="F715" t="s">
        <v>32</v>
      </c>
      <c r="G715" t="s">
        <v>25</v>
      </c>
      <c r="H715" t="s">
        <v>39</v>
      </c>
      <c r="I715" t="s">
        <v>27</v>
      </c>
      <c r="J715" s="11">
        <v>46074</v>
      </c>
      <c r="K715" t="str">
        <f>TEXT(Transactions_Clean[[#This Row],[Date]],"MMM-YYYY")</f>
        <v>Feb-2026</v>
      </c>
      <c r="L715">
        <f>IF(Transactions_Clean[[#This Row],[Category]]="Revenue",Transactions_Clean[[#This Row],[Amount(₹)]],Transactions_Clean[[#This Row],[Amount(₹)]]/8)</f>
        <v>-7131.5</v>
      </c>
    </row>
    <row r="716" spans="1:12">
      <c r="A716" t="s">
        <v>1407</v>
      </c>
      <c r="B716" t="s">
        <v>72</v>
      </c>
      <c r="C716" t="s">
        <v>73</v>
      </c>
      <c r="D716">
        <v>-48541</v>
      </c>
      <c r="E716" t="s">
        <v>74</v>
      </c>
      <c r="F716" t="s">
        <v>32</v>
      </c>
      <c r="G716" t="s">
        <v>25</v>
      </c>
      <c r="H716" t="s">
        <v>45</v>
      </c>
      <c r="I716" t="s">
        <v>48</v>
      </c>
      <c r="J716" s="11">
        <v>45603</v>
      </c>
      <c r="K716" t="str">
        <f>TEXT(Transactions_Clean[[#This Row],[Date]],"MMM-YYYY")</f>
        <v>Nov-2024</v>
      </c>
      <c r="L716">
        <f>IF(Transactions_Clean[[#This Row],[Category]]="Revenue",Transactions_Clean[[#This Row],[Amount(₹)]],Transactions_Clean[[#This Row],[Amount(₹)]]/8)</f>
        <v>-6067.625</v>
      </c>
    </row>
    <row r="717" spans="1:12">
      <c r="A717" t="s">
        <v>1408</v>
      </c>
      <c r="B717" t="s">
        <v>4755</v>
      </c>
      <c r="C717" t="s">
        <v>78</v>
      </c>
      <c r="D717">
        <v>-71704</v>
      </c>
      <c r="E717" t="s">
        <v>23</v>
      </c>
      <c r="F717" t="s">
        <v>32</v>
      </c>
      <c r="G717" t="s">
        <v>79</v>
      </c>
      <c r="H717" t="s">
        <v>26</v>
      </c>
      <c r="I717" t="s">
        <v>34</v>
      </c>
      <c r="J717" s="11">
        <v>45094</v>
      </c>
      <c r="K717" t="str">
        <f>TEXT(Transactions_Clean[[#This Row],[Date]],"MMM-YYYY")</f>
        <v>Jun-2023</v>
      </c>
      <c r="L717">
        <f>IF(Transactions_Clean[[#This Row],[Category]]="Revenue",Transactions_Clean[[#This Row],[Amount(₹)]],Transactions_Clean[[#This Row],[Amount(₹)]]/8)</f>
        <v>-8963</v>
      </c>
    </row>
    <row r="718" spans="1:12">
      <c r="A718" t="s">
        <v>1410</v>
      </c>
      <c r="B718" t="s">
        <v>60</v>
      </c>
      <c r="C718" t="s">
        <v>61</v>
      </c>
      <c r="D718">
        <v>-17078</v>
      </c>
      <c r="E718" t="s">
        <v>62</v>
      </c>
      <c r="F718" t="s">
        <v>24</v>
      </c>
      <c r="G718" t="s">
        <v>63</v>
      </c>
      <c r="H718" t="s">
        <v>39</v>
      </c>
      <c r="I718" t="s">
        <v>48</v>
      </c>
      <c r="J718" s="11">
        <v>45949</v>
      </c>
      <c r="K718" t="str">
        <f>TEXT(Transactions_Clean[[#This Row],[Date]],"MMM-YYYY")</f>
        <v>Oct-2025</v>
      </c>
      <c r="L718">
        <f>IF(Transactions_Clean[[#This Row],[Category]]="Revenue",Transactions_Clean[[#This Row],[Amount(₹)]],Transactions_Clean[[#This Row],[Amount(₹)]]/8)</f>
        <v>-2134.75</v>
      </c>
    </row>
    <row r="719" spans="1:12">
      <c r="A719" t="s">
        <v>1412</v>
      </c>
      <c r="B719" t="s">
        <v>215</v>
      </c>
      <c r="C719" t="s">
        <v>61</v>
      </c>
      <c r="D719">
        <v>-45263</v>
      </c>
      <c r="E719" t="s">
        <v>62</v>
      </c>
      <c r="F719" t="s">
        <v>32</v>
      </c>
      <c r="G719" t="s">
        <v>63</v>
      </c>
      <c r="H719" t="s">
        <v>45</v>
      </c>
      <c r="I719" t="s">
        <v>27</v>
      </c>
      <c r="J719" s="11">
        <v>45736</v>
      </c>
      <c r="K719" t="str">
        <f>TEXT(Transactions_Clean[[#This Row],[Date]],"MMM-YYYY")</f>
        <v>Mar-2025</v>
      </c>
      <c r="L719">
        <f>IF(Transactions_Clean[[#This Row],[Category]]="Revenue",Transactions_Clean[[#This Row],[Amount(₹)]],Transactions_Clean[[#This Row],[Amount(₹)]]/8)</f>
        <v>-5657.875</v>
      </c>
    </row>
    <row r="720" spans="1:12">
      <c r="A720" t="s">
        <v>1414</v>
      </c>
      <c r="B720" t="s">
        <v>30</v>
      </c>
      <c r="C720" t="s">
        <v>4750</v>
      </c>
      <c r="D720">
        <v>-9245</v>
      </c>
      <c r="E720" t="s">
        <v>23</v>
      </c>
      <c r="F720" t="s">
        <v>24</v>
      </c>
      <c r="G720" t="s">
        <v>33</v>
      </c>
      <c r="H720" t="s">
        <v>26</v>
      </c>
      <c r="I720" t="s">
        <v>48</v>
      </c>
      <c r="J720" s="11">
        <v>45219</v>
      </c>
      <c r="K720" t="str">
        <f>TEXT(Transactions_Clean[[#This Row],[Date]],"MMM-YYYY")</f>
        <v>Oct-2023</v>
      </c>
      <c r="L720">
        <f>IF(Transactions_Clean[[#This Row],[Category]]="Revenue",Transactions_Clean[[#This Row],[Amount(₹)]],Transactions_Clean[[#This Row],[Amount(₹)]]/8)</f>
        <v>-1155.625</v>
      </c>
    </row>
    <row r="721" spans="1:12">
      <c r="A721" t="s">
        <v>1416</v>
      </c>
      <c r="B721" t="s">
        <v>4766</v>
      </c>
      <c r="C721" t="s">
        <v>73</v>
      </c>
      <c r="D721">
        <v>-89015</v>
      </c>
      <c r="E721" t="s">
        <v>74</v>
      </c>
      <c r="F721" t="s">
        <v>32</v>
      </c>
      <c r="G721" t="s">
        <v>25</v>
      </c>
      <c r="H721" t="s">
        <v>26</v>
      </c>
      <c r="I721" t="s">
        <v>48</v>
      </c>
      <c r="J721" s="11">
        <v>45235</v>
      </c>
      <c r="K721" t="str">
        <f>TEXT(Transactions_Clean[[#This Row],[Date]],"MMM-YYYY")</f>
        <v>Nov-2023</v>
      </c>
      <c r="L721">
        <f>IF(Transactions_Clean[[#This Row],[Category]]="Revenue",Transactions_Clean[[#This Row],[Amount(₹)]],Transactions_Clean[[#This Row],[Amount(₹)]]/8)</f>
        <v>-11126.875</v>
      </c>
    </row>
    <row r="722" spans="1:12">
      <c r="A722" t="s">
        <v>1417</v>
      </c>
      <c r="B722" t="s">
        <v>283</v>
      </c>
      <c r="C722" t="s">
        <v>44</v>
      </c>
      <c r="D722">
        <v>-44105</v>
      </c>
      <c r="E722" t="s">
        <v>23</v>
      </c>
      <c r="F722" t="s">
        <v>24</v>
      </c>
      <c r="G722" t="s">
        <v>33</v>
      </c>
      <c r="H722" t="s">
        <v>39</v>
      </c>
      <c r="I722" t="s">
        <v>40</v>
      </c>
      <c r="J722" s="11">
        <v>45926</v>
      </c>
      <c r="K722" t="str">
        <f>TEXT(Transactions_Clean[[#This Row],[Date]],"MMM-YYYY")</f>
        <v>Sep-2025</v>
      </c>
      <c r="L722">
        <f>IF(Transactions_Clean[[#This Row],[Category]]="Revenue",Transactions_Clean[[#This Row],[Amount(₹)]],Transactions_Clean[[#This Row],[Amount(₹)]]/8)</f>
        <v>-5513.125</v>
      </c>
    </row>
    <row r="723" spans="1:12">
      <c r="A723" t="s">
        <v>1418</v>
      </c>
      <c r="B723" t="s">
        <v>215</v>
      </c>
      <c r="C723" t="s">
        <v>61</v>
      </c>
      <c r="D723">
        <v>-48272</v>
      </c>
      <c r="E723" t="s">
        <v>62</v>
      </c>
      <c r="F723" t="s">
        <v>24</v>
      </c>
      <c r="G723" t="s">
        <v>63</v>
      </c>
      <c r="H723" t="s">
        <v>26</v>
      </c>
      <c r="I723" t="s">
        <v>34</v>
      </c>
      <c r="J723" s="11">
        <v>45063</v>
      </c>
      <c r="K723" t="str">
        <f>TEXT(Transactions_Clean[[#This Row],[Date]],"MMM-YYYY")</f>
        <v>May-2023</v>
      </c>
      <c r="L723">
        <f>IF(Transactions_Clean[[#This Row],[Category]]="Revenue",Transactions_Clean[[#This Row],[Amount(₹)]],Transactions_Clean[[#This Row],[Amount(₹)]]/8)</f>
        <v>-6034</v>
      </c>
    </row>
    <row r="724" spans="1:12">
      <c r="A724" t="s">
        <v>1420</v>
      </c>
      <c r="B724" t="s">
        <v>305</v>
      </c>
      <c r="C724" t="s">
        <v>38</v>
      </c>
      <c r="D724">
        <v>-28476</v>
      </c>
      <c r="E724" t="s">
        <v>23</v>
      </c>
      <c r="F724" t="s">
        <v>32</v>
      </c>
      <c r="G724" t="s">
        <v>33</v>
      </c>
      <c r="H724" t="s">
        <v>26</v>
      </c>
      <c r="I724" t="s">
        <v>48</v>
      </c>
      <c r="J724" s="11">
        <v>45271</v>
      </c>
      <c r="K724" t="str">
        <f>TEXT(Transactions_Clean[[#This Row],[Date]],"MMM-YYYY")</f>
        <v>Dec-2023</v>
      </c>
      <c r="L724">
        <f>IF(Transactions_Clean[[#This Row],[Category]]="Revenue",Transactions_Clean[[#This Row],[Amount(₹)]],Transactions_Clean[[#This Row],[Amount(₹)]]/8)</f>
        <v>-3559.5</v>
      </c>
    </row>
    <row r="725" spans="1:12">
      <c r="A725" t="s">
        <v>1421</v>
      </c>
      <c r="B725" t="s">
        <v>174</v>
      </c>
      <c r="C725" t="s">
        <v>22</v>
      </c>
      <c r="D725">
        <v>-146901</v>
      </c>
      <c r="E725" t="s">
        <v>23</v>
      </c>
      <c r="F725" t="s">
        <v>24</v>
      </c>
      <c r="G725" t="s">
        <v>25</v>
      </c>
      <c r="H725" t="s">
        <v>26</v>
      </c>
      <c r="I725" t="s">
        <v>27</v>
      </c>
      <c r="J725" s="11">
        <v>45321</v>
      </c>
      <c r="K725" t="str">
        <f>TEXT(Transactions_Clean[[#This Row],[Date]],"MMM-YYYY")</f>
        <v>Jan-2024</v>
      </c>
      <c r="L725">
        <f>IF(Transactions_Clean[[#This Row],[Category]]="Revenue",Transactions_Clean[[#This Row],[Amount(₹)]],Transactions_Clean[[#This Row],[Amount(₹)]]/8)</f>
        <v>-18362.625</v>
      </c>
    </row>
    <row r="726" spans="1:12">
      <c r="A726" t="s">
        <v>1423</v>
      </c>
      <c r="B726" t="s">
        <v>4759</v>
      </c>
      <c r="C726" t="s">
        <v>31</v>
      </c>
      <c r="D726">
        <v>-8561</v>
      </c>
      <c r="E726" t="s">
        <v>23</v>
      </c>
      <c r="F726" t="s">
        <v>24</v>
      </c>
      <c r="G726" t="s">
        <v>33</v>
      </c>
      <c r="H726" t="s">
        <v>26</v>
      </c>
      <c r="I726" t="s">
        <v>48</v>
      </c>
      <c r="J726" s="11">
        <v>45280</v>
      </c>
      <c r="K726" t="str">
        <f>TEXT(Transactions_Clean[[#This Row],[Date]],"MMM-YYYY")</f>
        <v>Dec-2023</v>
      </c>
      <c r="L726">
        <f>IF(Transactions_Clean[[#This Row],[Category]]="Revenue",Transactions_Clean[[#This Row],[Amount(₹)]],Transactions_Clean[[#This Row],[Amount(₹)]]/8)</f>
        <v>-1070.125</v>
      </c>
    </row>
    <row r="727" spans="1:12">
      <c r="A727" t="s">
        <v>1424</v>
      </c>
      <c r="B727" t="s">
        <v>212</v>
      </c>
      <c r="C727" t="s">
        <v>73</v>
      </c>
      <c r="D727">
        <v>-25603</v>
      </c>
      <c r="E727" t="s">
        <v>74</v>
      </c>
      <c r="F727" t="s">
        <v>24</v>
      </c>
      <c r="G727" t="s">
        <v>25</v>
      </c>
      <c r="H727" t="s">
        <v>26</v>
      </c>
      <c r="I727" t="s">
        <v>48</v>
      </c>
      <c r="J727" s="11">
        <v>45221</v>
      </c>
      <c r="K727" t="str">
        <f>TEXT(Transactions_Clean[[#This Row],[Date]],"MMM-YYYY")</f>
        <v>Oct-2023</v>
      </c>
      <c r="L727">
        <f>IF(Transactions_Clean[[#This Row],[Category]]="Revenue",Transactions_Clean[[#This Row],[Amount(₹)]],Transactions_Clean[[#This Row],[Amount(₹)]]/8)</f>
        <v>-3200.375</v>
      </c>
    </row>
    <row r="728" spans="1:12">
      <c r="A728" t="s">
        <v>1425</v>
      </c>
      <c r="B728" t="s">
        <v>60</v>
      </c>
      <c r="C728" t="s">
        <v>61</v>
      </c>
      <c r="D728">
        <v>-38172</v>
      </c>
      <c r="E728" t="s">
        <v>62</v>
      </c>
      <c r="F728" t="s">
        <v>32</v>
      </c>
      <c r="G728" t="s">
        <v>63</v>
      </c>
      <c r="H728" t="s">
        <v>39</v>
      </c>
      <c r="I728" t="s">
        <v>48</v>
      </c>
      <c r="J728" s="11">
        <v>45973</v>
      </c>
      <c r="K728" t="str">
        <f>TEXT(Transactions_Clean[[#This Row],[Date]],"MMM-YYYY")</f>
        <v>Nov-2025</v>
      </c>
      <c r="L728">
        <f>IF(Transactions_Clean[[#This Row],[Category]]="Revenue",Transactions_Clean[[#This Row],[Amount(₹)]],Transactions_Clean[[#This Row],[Amount(₹)]]/8)</f>
        <v>-4771.5</v>
      </c>
    </row>
    <row r="729" spans="1:12">
      <c r="A729" t="s">
        <v>1427</v>
      </c>
      <c r="B729" t="s">
        <v>4758</v>
      </c>
      <c r="C729" t="s">
        <v>78</v>
      </c>
      <c r="D729">
        <v>-77391</v>
      </c>
      <c r="E729" t="s">
        <v>23</v>
      </c>
      <c r="F729" t="s">
        <v>24</v>
      </c>
      <c r="G729" t="s">
        <v>79</v>
      </c>
      <c r="H729" t="s">
        <v>39</v>
      </c>
      <c r="I729" t="s">
        <v>34</v>
      </c>
      <c r="J729" s="11">
        <v>45770</v>
      </c>
      <c r="K729" t="str">
        <f>TEXT(Transactions_Clean[[#This Row],[Date]],"MMM-YYYY")</f>
        <v>Apr-2025</v>
      </c>
      <c r="L729">
        <f>IF(Transactions_Clean[[#This Row],[Category]]="Revenue",Transactions_Clean[[#This Row],[Amount(₹)]],Transactions_Clean[[#This Row],[Amount(₹)]]/8)</f>
        <v>-9673.875</v>
      </c>
    </row>
    <row r="730" spans="1:12">
      <c r="A730" t="s">
        <v>1429</v>
      </c>
      <c r="B730" t="s">
        <v>60</v>
      </c>
      <c r="C730" t="s">
        <v>61</v>
      </c>
      <c r="D730">
        <v>-56897</v>
      </c>
      <c r="E730" t="s">
        <v>62</v>
      </c>
      <c r="F730" t="s">
        <v>32</v>
      </c>
      <c r="G730" t="s">
        <v>63</v>
      </c>
      <c r="H730" t="s">
        <v>39</v>
      </c>
      <c r="I730" t="s">
        <v>34</v>
      </c>
      <c r="J730" s="11">
        <v>45761</v>
      </c>
      <c r="K730" t="str">
        <f>TEXT(Transactions_Clean[[#This Row],[Date]],"MMM-YYYY")</f>
        <v>Apr-2025</v>
      </c>
      <c r="L730">
        <f>IF(Transactions_Clean[[#This Row],[Category]]="Revenue",Transactions_Clean[[#This Row],[Amount(₹)]],Transactions_Clean[[#This Row],[Amount(₹)]]/8)</f>
        <v>-7112.125</v>
      </c>
    </row>
    <row r="731" spans="1:12">
      <c r="A731" t="s">
        <v>1431</v>
      </c>
      <c r="B731" t="s">
        <v>51</v>
      </c>
      <c r="C731" t="s">
        <v>4750</v>
      </c>
      <c r="D731">
        <v>-34789</v>
      </c>
      <c r="E731" t="s">
        <v>23</v>
      </c>
      <c r="F731" t="s">
        <v>24</v>
      </c>
      <c r="G731" t="s">
        <v>33</v>
      </c>
      <c r="H731" t="s">
        <v>45</v>
      </c>
      <c r="I731" t="s">
        <v>48</v>
      </c>
      <c r="J731" s="11">
        <v>45621</v>
      </c>
      <c r="K731" t="str">
        <f>TEXT(Transactions_Clean[[#This Row],[Date]],"MMM-YYYY")</f>
        <v>Nov-2024</v>
      </c>
      <c r="L731">
        <f>IF(Transactions_Clean[[#This Row],[Category]]="Revenue",Transactions_Clean[[#This Row],[Amount(₹)]],Transactions_Clean[[#This Row],[Amount(₹)]]/8)</f>
        <v>-4348.625</v>
      </c>
    </row>
    <row r="732" spans="1:12">
      <c r="A732" t="s">
        <v>1432</v>
      </c>
      <c r="B732" t="s">
        <v>255</v>
      </c>
      <c r="C732" t="s">
        <v>22</v>
      </c>
      <c r="D732">
        <v>-135120</v>
      </c>
      <c r="E732" t="s">
        <v>23</v>
      </c>
      <c r="F732" t="s">
        <v>24</v>
      </c>
      <c r="G732" t="s">
        <v>25</v>
      </c>
      <c r="H732" t="s">
        <v>45</v>
      </c>
      <c r="I732" t="s">
        <v>40</v>
      </c>
      <c r="J732" s="11">
        <v>45526</v>
      </c>
      <c r="K732" t="str">
        <f>TEXT(Transactions_Clean[[#This Row],[Date]],"MMM-YYYY")</f>
        <v>Aug-2024</v>
      </c>
      <c r="L732">
        <f>IF(Transactions_Clean[[#This Row],[Category]]="Revenue",Transactions_Clean[[#This Row],[Amount(₹)]],Transactions_Clean[[#This Row],[Amount(₹)]]/8)</f>
        <v>-16890</v>
      </c>
    </row>
    <row r="733" spans="1:12">
      <c r="A733" t="s">
        <v>1434</v>
      </c>
      <c r="B733" t="s">
        <v>106</v>
      </c>
      <c r="C733" t="s">
        <v>31</v>
      </c>
      <c r="D733">
        <v>-24299</v>
      </c>
      <c r="E733" t="s">
        <v>23</v>
      </c>
      <c r="F733" t="s">
        <v>24</v>
      </c>
      <c r="G733" t="s">
        <v>33</v>
      </c>
      <c r="H733" t="s">
        <v>45</v>
      </c>
      <c r="I733" t="s">
        <v>48</v>
      </c>
      <c r="J733" s="11">
        <v>45633</v>
      </c>
      <c r="K733" t="str">
        <f>TEXT(Transactions_Clean[[#This Row],[Date]],"MMM-YYYY")</f>
        <v>Dec-2024</v>
      </c>
      <c r="L733">
        <f>IF(Transactions_Clean[[#This Row],[Category]]="Revenue",Transactions_Clean[[#This Row],[Amount(₹)]],Transactions_Clean[[#This Row],[Amount(₹)]]/8)</f>
        <v>-3037.375</v>
      </c>
    </row>
    <row r="734" spans="1:12">
      <c r="A734" t="s">
        <v>1436</v>
      </c>
      <c r="B734" t="s">
        <v>60</v>
      </c>
      <c r="C734" t="s">
        <v>61</v>
      </c>
      <c r="D734">
        <v>-46454</v>
      </c>
      <c r="E734" t="s">
        <v>62</v>
      </c>
      <c r="F734" t="s">
        <v>24</v>
      </c>
      <c r="G734" t="s">
        <v>63</v>
      </c>
      <c r="H734" t="s">
        <v>26</v>
      </c>
      <c r="I734" t="s">
        <v>48</v>
      </c>
      <c r="J734" s="11">
        <v>45256</v>
      </c>
      <c r="K734" t="str">
        <f>TEXT(Transactions_Clean[[#This Row],[Date]],"MMM-YYYY")</f>
        <v>Nov-2023</v>
      </c>
      <c r="L734">
        <f>IF(Transactions_Clean[[#This Row],[Category]]="Revenue",Transactions_Clean[[#This Row],[Amount(₹)]],Transactions_Clean[[#This Row],[Amount(₹)]]/8)</f>
        <v>-5806.75</v>
      </c>
    </row>
    <row r="735" spans="1:12">
      <c r="A735" t="s">
        <v>1438</v>
      </c>
      <c r="B735" t="s">
        <v>161</v>
      </c>
      <c r="C735" t="s">
        <v>22</v>
      </c>
      <c r="D735">
        <v>-127200</v>
      </c>
      <c r="E735" t="s">
        <v>23</v>
      </c>
      <c r="F735" t="s">
        <v>24</v>
      </c>
      <c r="G735" t="s">
        <v>25</v>
      </c>
      <c r="H735" t="s">
        <v>26</v>
      </c>
      <c r="I735" t="s">
        <v>48</v>
      </c>
      <c r="J735" s="11">
        <v>45230</v>
      </c>
      <c r="K735" t="str">
        <f>TEXT(Transactions_Clean[[#This Row],[Date]],"MMM-YYYY")</f>
        <v>Oct-2023</v>
      </c>
      <c r="L735">
        <f>IF(Transactions_Clean[[#This Row],[Category]]="Revenue",Transactions_Clean[[#This Row],[Amount(₹)]],Transactions_Clean[[#This Row],[Amount(₹)]]/8)</f>
        <v>-15900</v>
      </c>
    </row>
    <row r="736" spans="1:12">
      <c r="A736" t="s">
        <v>1440</v>
      </c>
      <c r="B736" t="s">
        <v>177</v>
      </c>
      <c r="C736" t="s">
        <v>78</v>
      </c>
      <c r="D736">
        <v>-118944</v>
      </c>
      <c r="E736" t="s">
        <v>23</v>
      </c>
      <c r="F736" t="s">
        <v>32</v>
      </c>
      <c r="G736" t="s">
        <v>79</v>
      </c>
      <c r="H736" t="s">
        <v>39</v>
      </c>
      <c r="I736" t="s">
        <v>40</v>
      </c>
      <c r="J736" s="11">
        <v>45893</v>
      </c>
      <c r="K736" t="str">
        <f>TEXT(Transactions_Clean[[#This Row],[Date]],"MMM-YYYY")</f>
        <v>Aug-2025</v>
      </c>
      <c r="L736">
        <f>IF(Transactions_Clean[[#This Row],[Category]]="Revenue",Transactions_Clean[[#This Row],[Amount(₹)]],Transactions_Clean[[#This Row],[Amount(₹)]]/8)</f>
        <v>-14868</v>
      </c>
    </row>
    <row r="737" spans="1:12">
      <c r="A737" t="s">
        <v>1442</v>
      </c>
      <c r="B737" t="s">
        <v>305</v>
      </c>
      <c r="C737" t="s">
        <v>38</v>
      </c>
      <c r="D737">
        <v>-27719</v>
      </c>
      <c r="E737" t="s">
        <v>23</v>
      </c>
      <c r="F737" t="s">
        <v>32</v>
      </c>
      <c r="G737" t="s">
        <v>33</v>
      </c>
      <c r="H737" t="s">
        <v>26</v>
      </c>
      <c r="I737" t="s">
        <v>27</v>
      </c>
      <c r="J737" s="11">
        <v>45325</v>
      </c>
      <c r="K737" t="str">
        <f>TEXT(Transactions_Clean[[#This Row],[Date]],"MMM-YYYY")</f>
        <v>Feb-2024</v>
      </c>
      <c r="L737">
        <f>IF(Transactions_Clean[[#This Row],[Category]]="Revenue",Transactions_Clean[[#This Row],[Amount(₹)]],Transactions_Clean[[#This Row],[Amount(₹)]]/8)</f>
        <v>-3464.875</v>
      </c>
    </row>
    <row r="738" spans="1:12">
      <c r="A738" t="s">
        <v>1444</v>
      </c>
      <c r="B738" t="s">
        <v>129</v>
      </c>
      <c r="C738" t="s">
        <v>38</v>
      </c>
      <c r="D738">
        <v>-32432</v>
      </c>
      <c r="E738" t="s">
        <v>23</v>
      </c>
      <c r="F738" t="s">
        <v>24</v>
      </c>
      <c r="G738" t="s">
        <v>33</v>
      </c>
      <c r="H738" t="s">
        <v>26</v>
      </c>
      <c r="I738" t="s">
        <v>27</v>
      </c>
      <c r="J738" s="11">
        <v>45303</v>
      </c>
      <c r="K738" t="str">
        <f>TEXT(Transactions_Clean[[#This Row],[Date]],"MMM-YYYY")</f>
        <v>Jan-2024</v>
      </c>
      <c r="L738">
        <f>IF(Transactions_Clean[[#This Row],[Category]]="Revenue",Transactions_Clean[[#This Row],[Amount(₹)]],Transactions_Clean[[#This Row],[Amount(₹)]]/8)</f>
        <v>-4054</v>
      </c>
    </row>
    <row r="739" spans="1:12">
      <c r="A739" t="s">
        <v>1445</v>
      </c>
      <c r="B739" t="s">
        <v>4771</v>
      </c>
      <c r="C739" t="s">
        <v>440</v>
      </c>
      <c r="D739">
        <v>-111828</v>
      </c>
      <c r="E739" t="s">
        <v>23</v>
      </c>
      <c r="F739" t="s">
        <v>24</v>
      </c>
      <c r="G739" t="s">
        <v>33</v>
      </c>
      <c r="H739" t="s">
        <v>39</v>
      </c>
      <c r="I739" t="s">
        <v>27</v>
      </c>
      <c r="J739" s="11">
        <v>46041</v>
      </c>
      <c r="K739" t="str">
        <f>TEXT(Transactions_Clean[[#This Row],[Date]],"MMM-YYYY")</f>
        <v>Jan-2026</v>
      </c>
      <c r="L739">
        <f>IF(Transactions_Clean[[#This Row],[Category]]="Revenue",Transactions_Clean[[#This Row],[Amount(₹)]],Transactions_Clean[[#This Row],[Amount(₹)]]/8)</f>
        <v>-13978.5</v>
      </c>
    </row>
    <row r="740" spans="1:12">
      <c r="A740" t="s">
        <v>1446</v>
      </c>
      <c r="B740" t="s">
        <v>51</v>
      </c>
      <c r="C740" t="s">
        <v>31</v>
      </c>
      <c r="D740">
        <v>-15492</v>
      </c>
      <c r="E740" t="s">
        <v>23</v>
      </c>
      <c r="F740" t="s">
        <v>32</v>
      </c>
      <c r="G740" t="s">
        <v>33</v>
      </c>
      <c r="H740" t="s">
        <v>26</v>
      </c>
      <c r="I740" t="s">
        <v>27</v>
      </c>
      <c r="J740" s="11">
        <v>45318</v>
      </c>
      <c r="K740" t="str">
        <f>TEXT(Transactions_Clean[[#This Row],[Date]],"MMM-YYYY")</f>
        <v>Jan-2024</v>
      </c>
      <c r="L740">
        <f>IF(Transactions_Clean[[#This Row],[Category]]="Revenue",Transactions_Clean[[#This Row],[Amount(₹)]],Transactions_Clean[[#This Row],[Amount(₹)]]/8)</f>
        <v>-1936.5</v>
      </c>
    </row>
    <row r="741" spans="1:12">
      <c r="A741" t="s">
        <v>1447</v>
      </c>
      <c r="B741" t="s">
        <v>72</v>
      </c>
      <c r="C741" t="s">
        <v>4750</v>
      </c>
      <c r="D741">
        <v>-45501</v>
      </c>
      <c r="E741" t="s">
        <v>74</v>
      </c>
      <c r="F741" t="s">
        <v>24</v>
      </c>
      <c r="G741" t="s">
        <v>25</v>
      </c>
      <c r="H741" t="s">
        <v>26</v>
      </c>
      <c r="I741" t="s">
        <v>34</v>
      </c>
      <c r="J741" s="11">
        <v>45089</v>
      </c>
      <c r="K741" t="str">
        <f>TEXT(Transactions_Clean[[#This Row],[Date]],"MMM-YYYY")</f>
        <v>Jun-2023</v>
      </c>
      <c r="L741">
        <f>IF(Transactions_Clean[[#This Row],[Category]]="Revenue",Transactions_Clean[[#This Row],[Amount(₹)]],Transactions_Clean[[#This Row],[Amount(₹)]]/8)</f>
        <v>-5687.625</v>
      </c>
    </row>
    <row r="742" spans="1:12">
      <c r="A742" t="s">
        <v>1448</v>
      </c>
      <c r="B742" t="s">
        <v>305</v>
      </c>
      <c r="C742" t="s">
        <v>38</v>
      </c>
      <c r="D742">
        <v>-46603</v>
      </c>
      <c r="E742" t="s">
        <v>23</v>
      </c>
      <c r="F742" t="s">
        <v>32</v>
      </c>
      <c r="G742" t="s">
        <v>33</v>
      </c>
      <c r="H742" t="s">
        <v>26</v>
      </c>
      <c r="I742" t="s">
        <v>48</v>
      </c>
      <c r="J742" s="11">
        <v>45225</v>
      </c>
      <c r="K742" t="str">
        <f>TEXT(Transactions_Clean[[#This Row],[Date]],"MMM-YYYY")</f>
        <v>Oct-2023</v>
      </c>
      <c r="L742">
        <f>IF(Transactions_Clean[[#This Row],[Category]]="Revenue",Transactions_Clean[[#This Row],[Amount(₹)]],Transactions_Clean[[#This Row],[Amount(₹)]]/8)</f>
        <v>-5825.375</v>
      </c>
    </row>
    <row r="743" spans="1:12">
      <c r="A743" t="s">
        <v>1449</v>
      </c>
      <c r="B743" t="s">
        <v>60</v>
      </c>
      <c r="C743" t="s">
        <v>61</v>
      </c>
      <c r="D743">
        <v>-29496</v>
      </c>
      <c r="E743" t="s">
        <v>62</v>
      </c>
      <c r="F743" t="s">
        <v>32</v>
      </c>
      <c r="G743" t="s">
        <v>63</v>
      </c>
      <c r="H743" t="s">
        <v>26</v>
      </c>
      <c r="I743" t="s">
        <v>48</v>
      </c>
      <c r="J743" s="11">
        <v>45224</v>
      </c>
      <c r="K743" t="str">
        <f>TEXT(Transactions_Clean[[#This Row],[Date]],"MMM-YYYY")</f>
        <v>Oct-2023</v>
      </c>
      <c r="L743">
        <f>IF(Transactions_Clean[[#This Row],[Category]]="Revenue",Transactions_Clean[[#This Row],[Amount(₹)]],Transactions_Clean[[#This Row],[Amount(₹)]]/8)</f>
        <v>-3687</v>
      </c>
    </row>
    <row r="744" spans="1:12">
      <c r="A744" t="s">
        <v>1451</v>
      </c>
      <c r="B744" t="s">
        <v>100</v>
      </c>
      <c r="C744" t="s">
        <v>31</v>
      </c>
      <c r="D744">
        <v>-37944</v>
      </c>
      <c r="E744" t="s">
        <v>23</v>
      </c>
      <c r="F744" t="s">
        <v>32</v>
      </c>
      <c r="G744" t="s">
        <v>33</v>
      </c>
      <c r="H744" t="s">
        <v>39</v>
      </c>
      <c r="I744" t="s">
        <v>34</v>
      </c>
      <c r="J744" s="11">
        <v>45753</v>
      </c>
      <c r="K744" t="str">
        <f>TEXT(Transactions_Clean[[#This Row],[Date]],"MMM-YYYY")</f>
        <v>Apr-2025</v>
      </c>
      <c r="L744">
        <f>IF(Transactions_Clean[[#This Row],[Category]]="Revenue",Transactions_Clean[[#This Row],[Amount(₹)]],Transactions_Clean[[#This Row],[Amount(₹)]]/8)</f>
        <v>-4743</v>
      </c>
    </row>
    <row r="745" spans="1:12">
      <c r="A745" t="s">
        <v>1453</v>
      </c>
      <c r="B745" t="s">
        <v>4752</v>
      </c>
      <c r="C745" t="s">
        <v>44</v>
      </c>
      <c r="D745">
        <v>-149500</v>
      </c>
      <c r="E745" t="s">
        <v>23</v>
      </c>
      <c r="F745" t="s">
        <v>32</v>
      </c>
      <c r="G745" t="s">
        <v>33</v>
      </c>
      <c r="H745" t="s">
        <v>45</v>
      </c>
      <c r="I745" t="s">
        <v>40</v>
      </c>
      <c r="J745" s="11">
        <v>45485</v>
      </c>
      <c r="K745" t="str">
        <f>TEXT(Transactions_Clean[[#This Row],[Date]],"MMM-YYYY")</f>
        <v>Jul-2024</v>
      </c>
      <c r="L745">
        <f>IF(Transactions_Clean[[#This Row],[Category]]="Revenue",Transactions_Clean[[#This Row],[Amount(₹)]],Transactions_Clean[[#This Row],[Amount(₹)]]/8)</f>
        <v>-18687.5</v>
      </c>
    </row>
    <row r="746" spans="1:12">
      <c r="A746" t="s">
        <v>1454</v>
      </c>
      <c r="B746" t="s">
        <v>180</v>
      </c>
      <c r="C746" t="s">
        <v>44</v>
      </c>
      <c r="D746">
        <v>-132437</v>
      </c>
      <c r="E746" t="s">
        <v>23</v>
      </c>
      <c r="F746" t="s">
        <v>24</v>
      </c>
      <c r="G746" t="s">
        <v>33</v>
      </c>
      <c r="H746" t="s">
        <v>39</v>
      </c>
      <c r="I746" t="s">
        <v>27</v>
      </c>
      <c r="J746" s="11">
        <v>46062</v>
      </c>
      <c r="K746" t="str">
        <f>TEXT(Transactions_Clean[[#This Row],[Date]],"MMM-YYYY")</f>
        <v>Feb-2026</v>
      </c>
      <c r="L746">
        <f>IF(Transactions_Clean[[#This Row],[Category]]="Revenue",Transactions_Clean[[#This Row],[Amount(₹)]],Transactions_Clean[[#This Row],[Amount(₹)]]/8)</f>
        <v>-16554.625</v>
      </c>
    </row>
    <row r="747" spans="1:12">
      <c r="A747" t="s">
        <v>1456</v>
      </c>
      <c r="B747" t="s">
        <v>30</v>
      </c>
      <c r="C747" t="s">
        <v>31</v>
      </c>
      <c r="D747">
        <v>-8519</v>
      </c>
      <c r="E747" t="s">
        <v>23</v>
      </c>
      <c r="F747" t="s">
        <v>24</v>
      </c>
      <c r="G747" t="s">
        <v>33</v>
      </c>
      <c r="H747" t="s">
        <v>26</v>
      </c>
      <c r="I747" t="s">
        <v>34</v>
      </c>
      <c r="J747" s="11">
        <v>45033</v>
      </c>
      <c r="K747" t="str">
        <f>TEXT(Transactions_Clean[[#This Row],[Date]],"MMM-YYYY")</f>
        <v>Apr-2023</v>
      </c>
      <c r="L747">
        <f>IF(Transactions_Clean[[#This Row],[Category]]="Revenue",Transactions_Clean[[#This Row],[Amount(₹)]],Transactions_Clean[[#This Row],[Amount(₹)]]/8)</f>
        <v>-1064.875</v>
      </c>
    </row>
    <row r="748" spans="1:12">
      <c r="A748" t="s">
        <v>1457</v>
      </c>
      <c r="B748" t="s">
        <v>161</v>
      </c>
      <c r="C748" t="s">
        <v>22</v>
      </c>
      <c r="D748">
        <v>-178035</v>
      </c>
      <c r="E748" t="s">
        <v>23</v>
      </c>
      <c r="F748" t="s">
        <v>24</v>
      </c>
      <c r="G748" t="s">
        <v>25</v>
      </c>
      <c r="H748" t="s">
        <v>26</v>
      </c>
      <c r="I748" t="s">
        <v>27</v>
      </c>
      <c r="J748" s="11">
        <v>45321</v>
      </c>
      <c r="K748" t="str">
        <f>TEXT(Transactions_Clean[[#This Row],[Date]],"MMM-YYYY")</f>
        <v>Jan-2024</v>
      </c>
      <c r="L748">
        <f>IF(Transactions_Clean[[#This Row],[Category]]="Revenue",Transactions_Clean[[#This Row],[Amount(₹)]],Transactions_Clean[[#This Row],[Amount(₹)]]/8)</f>
        <v>-22254.375</v>
      </c>
    </row>
    <row r="749" spans="1:12">
      <c r="A749" t="s">
        <v>1458</v>
      </c>
      <c r="B749" t="s">
        <v>4768</v>
      </c>
      <c r="C749" t="s">
        <v>157</v>
      </c>
      <c r="D749">
        <v>688463</v>
      </c>
      <c r="E749" t="s">
        <v>62</v>
      </c>
      <c r="F749" t="s">
        <v>32</v>
      </c>
      <c r="G749" t="s">
        <v>25</v>
      </c>
      <c r="H749" t="s">
        <v>39</v>
      </c>
      <c r="I749" t="s">
        <v>40</v>
      </c>
      <c r="J749" s="11">
        <v>45915</v>
      </c>
      <c r="K749" t="str">
        <f>TEXT(Transactions_Clean[[#This Row],[Date]],"MMM-YYYY")</f>
        <v>Sep-2025</v>
      </c>
      <c r="L749">
        <f>IF(Transactions_Clean[[#This Row],[Category]]="Revenue",Transactions_Clean[[#This Row],[Amount(₹)]],Transactions_Clean[[#This Row],[Amount(₹)]]/8)</f>
        <v>688463</v>
      </c>
    </row>
    <row r="750" spans="1:12">
      <c r="A750" t="s">
        <v>1460</v>
      </c>
      <c r="B750" t="s">
        <v>4767</v>
      </c>
      <c r="C750" t="s">
        <v>157</v>
      </c>
      <c r="D750">
        <v>693564</v>
      </c>
      <c r="E750" t="s">
        <v>62</v>
      </c>
      <c r="F750" t="s">
        <v>32</v>
      </c>
      <c r="G750" t="s">
        <v>25</v>
      </c>
      <c r="H750" t="s">
        <v>39</v>
      </c>
      <c r="I750" t="s">
        <v>27</v>
      </c>
      <c r="J750" s="11">
        <v>46095</v>
      </c>
      <c r="K750" t="str">
        <f>TEXT(Transactions_Clean[[#This Row],[Date]],"MMM-YYYY")</f>
        <v>Mar-2026</v>
      </c>
      <c r="L750">
        <f>IF(Transactions_Clean[[#This Row],[Category]]="Revenue",Transactions_Clean[[#This Row],[Amount(₹)]],Transactions_Clean[[#This Row],[Amount(₹)]]/8)</f>
        <v>693564</v>
      </c>
    </row>
    <row r="751" spans="1:12">
      <c r="A751" t="s">
        <v>1462</v>
      </c>
      <c r="B751" t="s">
        <v>169</v>
      </c>
      <c r="C751" t="s">
        <v>73</v>
      </c>
      <c r="D751">
        <v>-94991</v>
      </c>
      <c r="E751" t="s">
        <v>74</v>
      </c>
      <c r="F751" t="s">
        <v>24</v>
      </c>
      <c r="G751" t="s">
        <v>25</v>
      </c>
      <c r="H751" t="s">
        <v>26</v>
      </c>
      <c r="I751" t="s">
        <v>34</v>
      </c>
      <c r="J751" s="11">
        <v>45072</v>
      </c>
      <c r="K751" t="str">
        <f>TEXT(Transactions_Clean[[#This Row],[Date]],"MMM-YYYY")</f>
        <v>May-2023</v>
      </c>
      <c r="L751">
        <f>IF(Transactions_Clean[[#This Row],[Category]]="Revenue",Transactions_Clean[[#This Row],[Amount(₹)]],Transactions_Clean[[#This Row],[Amount(₹)]]/8)</f>
        <v>-11873.875</v>
      </c>
    </row>
    <row r="752" spans="1:12">
      <c r="A752" t="s">
        <v>1464</v>
      </c>
      <c r="B752" t="s">
        <v>4760</v>
      </c>
      <c r="C752" t="s">
        <v>73</v>
      </c>
      <c r="D752">
        <v>-78402</v>
      </c>
      <c r="E752" t="s">
        <v>74</v>
      </c>
      <c r="F752" t="s">
        <v>24</v>
      </c>
      <c r="G752" t="s">
        <v>25</v>
      </c>
      <c r="H752" t="s">
        <v>26</v>
      </c>
      <c r="I752" t="s">
        <v>27</v>
      </c>
      <c r="J752" s="11">
        <v>45323</v>
      </c>
      <c r="K752" t="str">
        <f>TEXT(Transactions_Clean[[#This Row],[Date]],"MMM-YYYY")</f>
        <v>Feb-2024</v>
      </c>
      <c r="L752">
        <f>IF(Transactions_Clean[[#This Row],[Category]]="Revenue",Transactions_Clean[[#This Row],[Amount(₹)]],Transactions_Clean[[#This Row],[Amount(₹)]]/8)</f>
        <v>-9800.25</v>
      </c>
    </row>
    <row r="753" spans="1:12">
      <c r="A753" t="s">
        <v>1465</v>
      </c>
      <c r="B753" t="s">
        <v>66</v>
      </c>
      <c r="C753" t="s">
        <v>61</v>
      </c>
      <c r="D753">
        <v>-30362</v>
      </c>
      <c r="E753" t="s">
        <v>62</v>
      </c>
      <c r="F753" t="s">
        <v>32</v>
      </c>
      <c r="G753" t="s">
        <v>63</v>
      </c>
      <c r="H753" t="s">
        <v>26</v>
      </c>
      <c r="I753" t="s">
        <v>48</v>
      </c>
      <c r="J753" s="11">
        <v>45268</v>
      </c>
      <c r="K753" t="str">
        <f>TEXT(Transactions_Clean[[#This Row],[Date]],"MMM-YYYY")</f>
        <v>Dec-2023</v>
      </c>
      <c r="L753">
        <f>IF(Transactions_Clean[[#This Row],[Category]]="Revenue",Transactions_Clean[[#This Row],[Amount(₹)]],Transactions_Clean[[#This Row],[Amount(₹)]]/8)</f>
        <v>-3795.25</v>
      </c>
    </row>
    <row r="754" spans="1:12">
      <c r="A754" t="s">
        <v>1466</v>
      </c>
      <c r="B754" t="s">
        <v>4763</v>
      </c>
      <c r="C754" t="s">
        <v>22</v>
      </c>
      <c r="D754">
        <v>-38834</v>
      </c>
      <c r="E754" t="s">
        <v>23</v>
      </c>
      <c r="F754" t="s">
        <v>24</v>
      </c>
      <c r="G754" t="s">
        <v>25</v>
      </c>
      <c r="H754" t="s">
        <v>26</v>
      </c>
      <c r="I754" t="s">
        <v>48</v>
      </c>
      <c r="J754" s="11">
        <v>45283</v>
      </c>
      <c r="K754" t="str">
        <f>TEXT(Transactions_Clean[[#This Row],[Date]],"MMM-YYYY")</f>
        <v>Dec-2023</v>
      </c>
      <c r="L754">
        <f>IF(Transactions_Clean[[#This Row],[Category]]="Revenue",Transactions_Clean[[#This Row],[Amount(₹)]],Transactions_Clean[[#This Row],[Amount(₹)]]/8)</f>
        <v>-4854.25</v>
      </c>
    </row>
    <row r="755" spans="1:12">
      <c r="A755" t="s">
        <v>1467</v>
      </c>
      <c r="B755" t="s">
        <v>4749</v>
      </c>
      <c r="C755" t="s">
        <v>44</v>
      </c>
      <c r="D755">
        <v>-155257</v>
      </c>
      <c r="E755" t="s">
        <v>23</v>
      </c>
      <c r="F755" t="s">
        <v>24</v>
      </c>
      <c r="G755" t="s">
        <v>33</v>
      </c>
      <c r="H755" t="s">
        <v>39</v>
      </c>
      <c r="I755" t="s">
        <v>34</v>
      </c>
      <c r="J755" s="11">
        <v>45764</v>
      </c>
      <c r="K755" t="str">
        <f>TEXT(Transactions_Clean[[#This Row],[Date]],"MMM-YYYY")</f>
        <v>Apr-2025</v>
      </c>
      <c r="L755">
        <f>IF(Transactions_Clean[[#This Row],[Category]]="Revenue",Transactions_Clean[[#This Row],[Amount(₹)]],Transactions_Clean[[#This Row],[Amount(₹)]]/8)</f>
        <v>-19407.125</v>
      </c>
    </row>
    <row r="756" spans="1:12">
      <c r="A756" t="s">
        <v>1469</v>
      </c>
      <c r="B756" t="s">
        <v>4776</v>
      </c>
      <c r="C756" t="s">
        <v>440</v>
      </c>
      <c r="D756">
        <v>-112824</v>
      </c>
      <c r="E756" t="s">
        <v>23</v>
      </c>
      <c r="F756" t="s">
        <v>32</v>
      </c>
      <c r="G756" t="s">
        <v>33</v>
      </c>
      <c r="H756" t="s">
        <v>26</v>
      </c>
      <c r="I756" t="s">
        <v>40</v>
      </c>
      <c r="J756" s="11">
        <v>45155</v>
      </c>
      <c r="K756" t="str">
        <f>TEXT(Transactions_Clean[[#This Row],[Date]],"MMM-YYYY")</f>
        <v>Aug-2023</v>
      </c>
      <c r="L756">
        <f>IF(Transactions_Clean[[#This Row],[Category]]="Revenue",Transactions_Clean[[#This Row],[Amount(₹)]],Transactions_Clean[[#This Row],[Amount(₹)]]/8)</f>
        <v>-14103</v>
      </c>
    </row>
    <row r="757" spans="1:12">
      <c r="A757" t="s">
        <v>1470</v>
      </c>
      <c r="B757" t="s">
        <v>4748</v>
      </c>
      <c r="C757" t="s">
        <v>22</v>
      </c>
      <c r="D757">
        <v>-40341</v>
      </c>
      <c r="E757" t="s">
        <v>23</v>
      </c>
      <c r="F757" t="s">
        <v>32</v>
      </c>
      <c r="G757" t="s">
        <v>25</v>
      </c>
      <c r="H757" t="s">
        <v>39</v>
      </c>
      <c r="I757" t="s">
        <v>34</v>
      </c>
      <c r="J757" s="11">
        <v>45752</v>
      </c>
      <c r="K757" t="str">
        <f>TEXT(Transactions_Clean[[#This Row],[Date]],"MMM-YYYY")</f>
        <v>Apr-2025</v>
      </c>
      <c r="L757">
        <f>IF(Transactions_Clean[[#This Row],[Category]]="Revenue",Transactions_Clean[[#This Row],[Amount(₹)]],Transactions_Clean[[#This Row],[Amount(₹)]]/8)</f>
        <v>-5042.625</v>
      </c>
    </row>
    <row r="758" spans="1:12">
      <c r="A758" t="s">
        <v>1471</v>
      </c>
      <c r="B758" t="s">
        <v>129</v>
      </c>
      <c r="C758" t="s">
        <v>38</v>
      </c>
      <c r="D758">
        <v>-46378</v>
      </c>
      <c r="E758" t="s">
        <v>23</v>
      </c>
      <c r="F758" t="s">
        <v>24</v>
      </c>
      <c r="G758" t="s">
        <v>33</v>
      </c>
      <c r="H758" t="s">
        <v>39</v>
      </c>
      <c r="I758" t="s">
        <v>27</v>
      </c>
      <c r="J758" s="11">
        <v>46066</v>
      </c>
      <c r="K758" t="str">
        <f>TEXT(Transactions_Clean[[#This Row],[Date]],"MMM-YYYY")</f>
        <v>Feb-2026</v>
      </c>
      <c r="L758">
        <f>IF(Transactions_Clean[[#This Row],[Category]]="Revenue",Transactions_Clean[[#This Row],[Amount(₹)]],Transactions_Clean[[#This Row],[Amount(₹)]]/8)</f>
        <v>-5797.25</v>
      </c>
    </row>
    <row r="759" spans="1:12">
      <c r="A759" t="s">
        <v>1473</v>
      </c>
      <c r="B759" t="s">
        <v>37</v>
      </c>
      <c r="C759" t="s">
        <v>38</v>
      </c>
      <c r="D759">
        <v>-49328</v>
      </c>
      <c r="E759" t="s">
        <v>23</v>
      </c>
      <c r="F759" t="s">
        <v>24</v>
      </c>
      <c r="G759" t="s">
        <v>33</v>
      </c>
      <c r="H759" t="s">
        <v>39</v>
      </c>
      <c r="I759" t="s">
        <v>40</v>
      </c>
      <c r="J759" s="11">
        <v>45897</v>
      </c>
      <c r="K759" t="str">
        <f>TEXT(Transactions_Clean[[#This Row],[Date]],"MMM-YYYY")</f>
        <v>Aug-2025</v>
      </c>
      <c r="L759">
        <f>IF(Transactions_Clean[[#This Row],[Category]]="Revenue",Transactions_Clean[[#This Row],[Amount(₹)]],Transactions_Clean[[#This Row],[Amount(₹)]]/8)</f>
        <v>-6166</v>
      </c>
    </row>
    <row r="760" spans="1:12">
      <c r="A760" t="s">
        <v>1475</v>
      </c>
      <c r="B760" t="s">
        <v>30</v>
      </c>
      <c r="C760" t="s">
        <v>31</v>
      </c>
      <c r="D760">
        <v>-41910</v>
      </c>
      <c r="E760" t="s">
        <v>23</v>
      </c>
      <c r="F760" t="s">
        <v>24</v>
      </c>
      <c r="G760" t="s">
        <v>33</v>
      </c>
      <c r="H760" t="s">
        <v>26</v>
      </c>
      <c r="I760" t="s">
        <v>34</v>
      </c>
      <c r="J760" s="11">
        <v>45096</v>
      </c>
      <c r="K760" t="str">
        <f>TEXT(Transactions_Clean[[#This Row],[Date]],"MMM-YYYY")</f>
        <v>Jun-2023</v>
      </c>
      <c r="L760">
        <f>IF(Transactions_Clean[[#This Row],[Category]]="Revenue",Transactions_Clean[[#This Row],[Amount(₹)]],Transactions_Clean[[#This Row],[Amount(₹)]]/8)</f>
        <v>-5238.75</v>
      </c>
    </row>
    <row r="761" spans="1:12">
      <c r="A761" t="s">
        <v>1477</v>
      </c>
      <c r="B761" t="s">
        <v>237</v>
      </c>
      <c r="C761" t="s">
        <v>22</v>
      </c>
      <c r="D761">
        <v>-154698</v>
      </c>
      <c r="E761" t="s">
        <v>23</v>
      </c>
      <c r="F761" t="s">
        <v>24</v>
      </c>
      <c r="G761" t="s">
        <v>25</v>
      </c>
      <c r="H761" t="s">
        <v>39</v>
      </c>
      <c r="I761" t="s">
        <v>40</v>
      </c>
      <c r="J761" s="11">
        <v>45877</v>
      </c>
      <c r="K761" t="str">
        <f>TEXT(Transactions_Clean[[#This Row],[Date]],"MMM-YYYY")</f>
        <v>Aug-2025</v>
      </c>
      <c r="L761">
        <f>IF(Transactions_Clean[[#This Row],[Category]]="Revenue",Transactions_Clean[[#This Row],[Amount(₹)]],Transactions_Clean[[#This Row],[Amount(₹)]]/8)</f>
        <v>-19337.25</v>
      </c>
    </row>
    <row r="762" spans="1:12">
      <c r="A762" t="s">
        <v>1479</v>
      </c>
      <c r="B762" t="s">
        <v>87</v>
      </c>
      <c r="C762" t="s">
        <v>22</v>
      </c>
      <c r="D762">
        <v>-67574</v>
      </c>
      <c r="E762" t="s">
        <v>23</v>
      </c>
      <c r="F762" t="s">
        <v>24</v>
      </c>
      <c r="G762" t="s">
        <v>25</v>
      </c>
      <c r="H762" t="s">
        <v>39</v>
      </c>
      <c r="I762" t="s">
        <v>27</v>
      </c>
      <c r="J762" s="11">
        <v>46043</v>
      </c>
      <c r="K762" t="str">
        <f>TEXT(Transactions_Clean[[#This Row],[Date]],"MMM-YYYY")</f>
        <v>Jan-2026</v>
      </c>
      <c r="L762">
        <f>IF(Transactions_Clean[[#This Row],[Category]]="Revenue",Transactions_Clean[[#This Row],[Amount(₹)]],Transactions_Clean[[#This Row],[Amount(₹)]]/8)</f>
        <v>-8446.75</v>
      </c>
    </row>
    <row r="763" spans="1:12">
      <c r="A763" t="s">
        <v>1482</v>
      </c>
      <c r="B763" t="s">
        <v>116</v>
      </c>
      <c r="C763" t="s">
        <v>73</v>
      </c>
      <c r="D763">
        <v>-54200</v>
      </c>
      <c r="E763" t="s">
        <v>74</v>
      </c>
      <c r="F763" t="s">
        <v>32</v>
      </c>
      <c r="G763" t="s">
        <v>25</v>
      </c>
      <c r="H763" t="s">
        <v>45</v>
      </c>
      <c r="I763" t="s">
        <v>27</v>
      </c>
      <c r="J763" s="11">
        <v>45727</v>
      </c>
      <c r="K763" t="str">
        <f>TEXT(Transactions_Clean[[#This Row],[Date]],"MMM-YYYY")</f>
        <v>Mar-2025</v>
      </c>
      <c r="L763">
        <f>IF(Transactions_Clean[[#This Row],[Category]]="Revenue",Transactions_Clean[[#This Row],[Amount(₹)]],Transactions_Clean[[#This Row],[Amount(₹)]]/8)</f>
        <v>-6775</v>
      </c>
    </row>
    <row r="764" spans="1:12">
      <c r="A764" t="s">
        <v>1484</v>
      </c>
      <c r="B764" t="s">
        <v>212</v>
      </c>
      <c r="C764" t="s">
        <v>73</v>
      </c>
      <c r="D764">
        <v>-51573</v>
      </c>
      <c r="E764" t="s">
        <v>74</v>
      </c>
      <c r="F764" t="s">
        <v>32</v>
      </c>
      <c r="G764" t="s">
        <v>25</v>
      </c>
      <c r="H764" t="s">
        <v>26</v>
      </c>
      <c r="I764" t="s">
        <v>34</v>
      </c>
      <c r="J764" s="11">
        <v>45064</v>
      </c>
      <c r="K764" t="str">
        <f>TEXT(Transactions_Clean[[#This Row],[Date]],"MMM-YYYY")</f>
        <v>May-2023</v>
      </c>
      <c r="L764">
        <f>IF(Transactions_Clean[[#This Row],[Category]]="Revenue",Transactions_Clean[[#This Row],[Amount(₹)]],Transactions_Clean[[#This Row],[Amount(₹)]]/8)</f>
        <v>-6446.625</v>
      </c>
    </row>
    <row r="765" spans="1:12">
      <c r="A765" t="s">
        <v>1485</v>
      </c>
      <c r="B765" t="s">
        <v>72</v>
      </c>
      <c r="C765" t="s">
        <v>73</v>
      </c>
      <c r="D765">
        <v>-56608</v>
      </c>
      <c r="E765" t="s">
        <v>74</v>
      </c>
      <c r="F765" t="s">
        <v>24</v>
      </c>
      <c r="G765" t="s">
        <v>25</v>
      </c>
      <c r="H765" t="s">
        <v>45</v>
      </c>
      <c r="I765" t="s">
        <v>48</v>
      </c>
      <c r="J765" s="11">
        <v>45615</v>
      </c>
      <c r="K765" t="str">
        <f>TEXT(Transactions_Clean[[#This Row],[Date]],"MMM-YYYY")</f>
        <v>Nov-2024</v>
      </c>
      <c r="L765">
        <f>IF(Transactions_Clean[[#This Row],[Category]]="Revenue",Transactions_Clean[[#This Row],[Amount(₹)]],Transactions_Clean[[#This Row],[Amount(₹)]]/8)</f>
        <v>-7076</v>
      </c>
    </row>
    <row r="766" spans="1:12">
      <c r="A766" t="s">
        <v>1486</v>
      </c>
      <c r="B766" t="s">
        <v>4751</v>
      </c>
      <c r="C766" t="s">
        <v>38</v>
      </c>
      <c r="D766">
        <v>-42245</v>
      </c>
      <c r="E766" t="s">
        <v>23</v>
      </c>
      <c r="F766" t="s">
        <v>24</v>
      </c>
      <c r="G766" t="s">
        <v>33</v>
      </c>
      <c r="H766" t="s">
        <v>26</v>
      </c>
      <c r="I766" t="s">
        <v>48</v>
      </c>
      <c r="J766" s="11">
        <v>45203</v>
      </c>
      <c r="K766" t="str">
        <f>TEXT(Transactions_Clean[[#This Row],[Date]],"MMM-YYYY")</f>
        <v>Oct-2023</v>
      </c>
      <c r="L766">
        <f>IF(Transactions_Clean[[#This Row],[Category]]="Revenue",Transactions_Clean[[#This Row],[Amount(₹)]],Transactions_Clean[[#This Row],[Amount(₹)]]/8)</f>
        <v>-5280.625</v>
      </c>
    </row>
    <row r="767" spans="1:12">
      <c r="A767" t="s">
        <v>1487</v>
      </c>
      <c r="B767" t="s">
        <v>4777</v>
      </c>
      <c r="C767" t="s">
        <v>136</v>
      </c>
      <c r="D767">
        <v>-10314245</v>
      </c>
      <c r="E767" t="s">
        <v>62</v>
      </c>
      <c r="F767" t="s">
        <v>32</v>
      </c>
      <c r="G767" t="s">
        <v>63</v>
      </c>
      <c r="H767" t="s">
        <v>45</v>
      </c>
      <c r="I767" t="s">
        <v>34</v>
      </c>
      <c r="J767" s="11">
        <v>45410</v>
      </c>
      <c r="K767" t="str">
        <f>TEXT(Transactions_Clean[[#This Row],[Date]],"MMM-YYYY")</f>
        <v>Apr-2024</v>
      </c>
      <c r="L767">
        <f>IF(Transactions_Clean[[#This Row],[Category]]="Revenue",Transactions_Clean[[#This Row],[Amount(₹)]],Transactions_Clean[[#This Row],[Amount(₹)]]/8)</f>
        <v>-1289280.625</v>
      </c>
    </row>
    <row r="768" spans="1:12">
      <c r="A768" t="s">
        <v>1490</v>
      </c>
      <c r="B768" t="s">
        <v>4768</v>
      </c>
      <c r="C768" t="s">
        <v>157</v>
      </c>
      <c r="D768">
        <v>566360</v>
      </c>
      <c r="E768" t="s">
        <v>62</v>
      </c>
      <c r="F768" t="s">
        <v>32</v>
      </c>
      <c r="G768" t="s">
        <v>25</v>
      </c>
      <c r="H768" t="s">
        <v>45</v>
      </c>
      <c r="I768" t="s">
        <v>34</v>
      </c>
      <c r="J768" s="11">
        <v>45402</v>
      </c>
      <c r="K768" t="str">
        <f>TEXT(Transactions_Clean[[#This Row],[Date]],"MMM-YYYY")</f>
        <v>Apr-2024</v>
      </c>
      <c r="L768">
        <f>IF(Transactions_Clean[[#This Row],[Category]]="Revenue",Transactions_Clean[[#This Row],[Amount(₹)]],Transactions_Clean[[#This Row],[Amount(₹)]]/8)</f>
        <v>566360</v>
      </c>
    </row>
    <row r="769" spans="1:12">
      <c r="A769" t="s">
        <v>1492</v>
      </c>
      <c r="B769" t="s">
        <v>4770</v>
      </c>
      <c r="C769" t="s">
        <v>440</v>
      </c>
      <c r="D769">
        <v>-139886</v>
      </c>
      <c r="E769" t="s">
        <v>23</v>
      </c>
      <c r="F769" t="s">
        <v>32</v>
      </c>
      <c r="G769" t="s">
        <v>33</v>
      </c>
      <c r="H769" t="s">
        <v>39</v>
      </c>
      <c r="I769" t="s">
        <v>34</v>
      </c>
      <c r="J769" s="11">
        <v>45792</v>
      </c>
      <c r="K769" t="str">
        <f>TEXT(Transactions_Clean[[#This Row],[Date]],"MMM-YYYY")</f>
        <v>May-2025</v>
      </c>
      <c r="L769">
        <f>IF(Transactions_Clean[[#This Row],[Category]]="Revenue",Transactions_Clean[[#This Row],[Amount(₹)]],Transactions_Clean[[#This Row],[Amount(₹)]]/8)</f>
        <v>-17485.75</v>
      </c>
    </row>
    <row r="770" spans="1:12">
      <c r="A770" t="s">
        <v>1494</v>
      </c>
      <c r="B770" t="s">
        <v>4749</v>
      </c>
      <c r="C770" t="s">
        <v>44</v>
      </c>
      <c r="D770">
        <v>-108498</v>
      </c>
      <c r="E770" t="s">
        <v>23</v>
      </c>
      <c r="F770" t="s">
        <v>32</v>
      </c>
      <c r="G770" t="s">
        <v>33</v>
      </c>
      <c r="H770" t="s">
        <v>26</v>
      </c>
      <c r="I770" t="s">
        <v>40</v>
      </c>
      <c r="J770" s="11">
        <v>45136</v>
      </c>
      <c r="K770" t="str">
        <f>TEXT(Transactions_Clean[[#This Row],[Date]],"MMM-YYYY")</f>
        <v>Jul-2023</v>
      </c>
      <c r="L770">
        <f>IF(Transactions_Clean[[#This Row],[Category]]="Revenue",Transactions_Clean[[#This Row],[Amount(₹)]],Transactions_Clean[[#This Row],[Amount(₹)]]/8)</f>
        <v>-13562.25</v>
      </c>
    </row>
    <row r="771" spans="1:12">
      <c r="A771" t="s">
        <v>1495</v>
      </c>
      <c r="B771" t="s">
        <v>224</v>
      </c>
      <c r="C771" t="s">
        <v>78</v>
      </c>
      <c r="D771">
        <v>-73783</v>
      </c>
      <c r="E771" t="s">
        <v>23</v>
      </c>
      <c r="F771" t="s">
        <v>32</v>
      </c>
      <c r="G771" t="s">
        <v>79</v>
      </c>
      <c r="H771" t="s">
        <v>45</v>
      </c>
      <c r="I771" t="s">
        <v>34</v>
      </c>
      <c r="J771" s="11">
        <v>45464</v>
      </c>
      <c r="K771" t="str">
        <f>TEXT(Transactions_Clean[[#This Row],[Date]],"MMM-YYYY")</f>
        <v>Jun-2024</v>
      </c>
      <c r="L771">
        <f>IF(Transactions_Clean[[#This Row],[Category]]="Revenue",Transactions_Clean[[#This Row],[Amount(₹)]],Transactions_Clean[[#This Row],[Amount(₹)]]/8)</f>
        <v>-9222.875</v>
      </c>
    </row>
    <row r="772" spans="1:12">
      <c r="A772" t="s">
        <v>1497</v>
      </c>
      <c r="B772" t="s">
        <v>60</v>
      </c>
      <c r="C772" t="s">
        <v>61</v>
      </c>
      <c r="D772">
        <v>-29090</v>
      </c>
      <c r="E772" t="s">
        <v>62</v>
      </c>
      <c r="F772" t="s">
        <v>24</v>
      </c>
      <c r="G772" t="s">
        <v>63</v>
      </c>
      <c r="H772" t="s">
        <v>26</v>
      </c>
      <c r="I772" t="s">
        <v>40</v>
      </c>
      <c r="J772" s="11">
        <v>45120</v>
      </c>
      <c r="K772" t="str">
        <f>TEXT(Transactions_Clean[[#This Row],[Date]],"MMM-YYYY")</f>
        <v>Jul-2023</v>
      </c>
      <c r="L772">
        <f>IF(Transactions_Clean[[#This Row],[Category]]="Revenue",Transactions_Clean[[#This Row],[Amount(₹)]],Transactions_Clean[[#This Row],[Amount(₹)]]/8)</f>
        <v>-3636.25</v>
      </c>
    </row>
    <row r="773" spans="1:12">
      <c r="A773" t="s">
        <v>1498</v>
      </c>
      <c r="B773" t="s">
        <v>106</v>
      </c>
      <c r="C773" t="s">
        <v>31</v>
      </c>
      <c r="D773">
        <v>-7765</v>
      </c>
      <c r="E773" t="s">
        <v>23</v>
      </c>
      <c r="F773" t="s">
        <v>32</v>
      </c>
      <c r="G773" t="s">
        <v>33</v>
      </c>
      <c r="H773" t="s">
        <v>26</v>
      </c>
      <c r="I773" t="s">
        <v>48</v>
      </c>
      <c r="J773" s="11">
        <v>45230</v>
      </c>
      <c r="K773" t="str">
        <f>TEXT(Transactions_Clean[[#This Row],[Date]],"MMM-YYYY")</f>
        <v>Oct-2023</v>
      </c>
      <c r="L773">
        <f>IF(Transactions_Clean[[#This Row],[Category]]="Revenue",Transactions_Clean[[#This Row],[Amount(₹)]],Transactions_Clean[[#This Row],[Amount(₹)]]/8)</f>
        <v>-970.625</v>
      </c>
    </row>
    <row r="774" spans="1:12">
      <c r="A774" t="s">
        <v>1500</v>
      </c>
      <c r="B774" t="s">
        <v>51</v>
      </c>
      <c r="C774" t="s">
        <v>31</v>
      </c>
      <c r="D774">
        <v>-13779</v>
      </c>
      <c r="E774" t="s">
        <v>23</v>
      </c>
      <c r="F774" t="s">
        <v>32</v>
      </c>
      <c r="G774" t="s">
        <v>33</v>
      </c>
      <c r="H774" t="s">
        <v>26</v>
      </c>
      <c r="I774" t="s">
        <v>48</v>
      </c>
      <c r="J774" s="11">
        <v>45275</v>
      </c>
      <c r="K774" t="str">
        <f>TEXT(Transactions_Clean[[#This Row],[Date]],"MMM-YYYY")</f>
        <v>Dec-2023</v>
      </c>
      <c r="L774">
        <f>IF(Transactions_Clean[[#This Row],[Category]]="Revenue",Transactions_Clean[[#This Row],[Amount(₹)]],Transactions_Clean[[#This Row],[Amount(₹)]]/8)</f>
        <v>-1722.375</v>
      </c>
    </row>
    <row r="775" spans="1:12">
      <c r="A775" t="s">
        <v>1501</v>
      </c>
      <c r="B775" t="s">
        <v>4760</v>
      </c>
      <c r="C775" t="s">
        <v>73</v>
      </c>
      <c r="D775">
        <v>-12887</v>
      </c>
      <c r="E775" t="s">
        <v>74</v>
      </c>
      <c r="F775" t="s">
        <v>32</v>
      </c>
      <c r="G775" t="s">
        <v>25</v>
      </c>
      <c r="H775" t="s">
        <v>39</v>
      </c>
      <c r="I775" t="s">
        <v>48</v>
      </c>
      <c r="J775" s="11">
        <v>45938</v>
      </c>
      <c r="K775" t="str">
        <f>TEXT(Transactions_Clean[[#This Row],[Date]],"MMM-YYYY")</f>
        <v>Oct-2025</v>
      </c>
      <c r="L775">
        <f>IF(Transactions_Clean[[#This Row],[Category]]="Revenue",Transactions_Clean[[#This Row],[Amount(₹)]],Transactions_Clean[[#This Row],[Amount(₹)]]/8)</f>
        <v>-1610.875</v>
      </c>
    </row>
    <row r="776" spans="1:12">
      <c r="A776" t="s">
        <v>1502</v>
      </c>
      <c r="B776" t="s">
        <v>4753</v>
      </c>
      <c r="C776" t="s">
        <v>38</v>
      </c>
      <c r="D776">
        <v>-38672</v>
      </c>
      <c r="E776" t="s">
        <v>23</v>
      </c>
      <c r="F776" t="s">
        <v>32</v>
      </c>
      <c r="G776" t="s">
        <v>33</v>
      </c>
      <c r="H776" t="s">
        <v>39</v>
      </c>
      <c r="I776" t="s">
        <v>40</v>
      </c>
      <c r="J776" s="11">
        <v>45901</v>
      </c>
      <c r="K776" t="str">
        <f>TEXT(Transactions_Clean[[#This Row],[Date]],"MMM-YYYY")</f>
        <v>Sep-2025</v>
      </c>
      <c r="L776">
        <f>IF(Transactions_Clean[[#This Row],[Category]]="Revenue",Transactions_Clean[[#This Row],[Amount(₹)]],Transactions_Clean[[#This Row],[Amount(₹)]]/8)</f>
        <v>-4834</v>
      </c>
    </row>
    <row r="777" spans="1:12">
      <c r="A777" t="s">
        <v>1503</v>
      </c>
      <c r="B777" t="s">
        <v>174</v>
      </c>
      <c r="C777" t="s">
        <v>22</v>
      </c>
      <c r="D777">
        <v>-182716</v>
      </c>
      <c r="E777" t="s">
        <v>23</v>
      </c>
      <c r="F777" t="s">
        <v>24</v>
      </c>
      <c r="G777" t="s">
        <v>25</v>
      </c>
      <c r="H777" t="s">
        <v>39</v>
      </c>
      <c r="I777" t="s">
        <v>27</v>
      </c>
      <c r="J777" s="11">
        <v>46174</v>
      </c>
      <c r="K777" t="str">
        <f>TEXT(Transactions_Clean[[#This Row],[Date]],"MMM-YYYY")</f>
        <v>Jun-2026</v>
      </c>
      <c r="L777">
        <f>IF(Transactions_Clean[[#This Row],[Category]]="Revenue",Transactions_Clean[[#This Row],[Amount(₹)]],Transactions_Clean[[#This Row],[Amount(₹)]]/8)</f>
        <v>-22839.5</v>
      </c>
    </row>
    <row r="778" spans="1:12">
      <c r="A778" t="s">
        <v>1504</v>
      </c>
      <c r="B778" t="s">
        <v>37</v>
      </c>
      <c r="C778" t="s">
        <v>38</v>
      </c>
      <c r="D778">
        <v>-24970</v>
      </c>
      <c r="E778" t="s">
        <v>23</v>
      </c>
      <c r="F778" t="s">
        <v>32</v>
      </c>
      <c r="G778" t="s">
        <v>33</v>
      </c>
      <c r="H778" t="s">
        <v>39</v>
      </c>
      <c r="I778" t="s">
        <v>48</v>
      </c>
      <c r="J778" s="11">
        <v>45952</v>
      </c>
      <c r="K778" t="str">
        <f>TEXT(Transactions_Clean[[#This Row],[Date]],"MMM-YYYY")</f>
        <v>Oct-2025</v>
      </c>
      <c r="L778">
        <f>IF(Transactions_Clean[[#This Row],[Category]]="Revenue",Transactions_Clean[[#This Row],[Amount(₹)]],Transactions_Clean[[#This Row],[Amount(₹)]]/8)</f>
        <v>-3121.25</v>
      </c>
    </row>
    <row r="779" spans="1:12">
      <c r="A779" t="s">
        <v>1505</v>
      </c>
      <c r="B779" t="s">
        <v>4764</v>
      </c>
      <c r="C779" t="s">
        <v>157</v>
      </c>
      <c r="D779">
        <v>598393</v>
      </c>
      <c r="E779" t="s">
        <v>62</v>
      </c>
      <c r="F779" t="s">
        <v>32</v>
      </c>
      <c r="G779" t="s">
        <v>25</v>
      </c>
      <c r="H779" t="s">
        <v>26</v>
      </c>
      <c r="I779" t="s">
        <v>48</v>
      </c>
      <c r="J779" s="11">
        <v>45216</v>
      </c>
      <c r="K779" t="str">
        <f>TEXT(Transactions_Clean[[#This Row],[Date]],"MMM-YYYY")</f>
        <v>Oct-2023</v>
      </c>
      <c r="L779">
        <f>IF(Transactions_Clean[[#This Row],[Category]]="Revenue",Transactions_Clean[[#This Row],[Amount(₹)]],Transactions_Clean[[#This Row],[Amount(₹)]]/8)</f>
        <v>598393</v>
      </c>
    </row>
    <row r="780" spans="1:12">
      <c r="A780" t="s">
        <v>1507</v>
      </c>
      <c r="B780" t="s">
        <v>60</v>
      </c>
      <c r="C780" t="s">
        <v>61</v>
      </c>
      <c r="D780">
        <v>-39070</v>
      </c>
      <c r="E780" t="s">
        <v>62</v>
      </c>
      <c r="F780" t="s">
        <v>32</v>
      </c>
      <c r="G780" t="s">
        <v>63</v>
      </c>
      <c r="H780" t="s">
        <v>45</v>
      </c>
      <c r="I780" t="s">
        <v>40</v>
      </c>
      <c r="J780" s="11">
        <v>45559</v>
      </c>
      <c r="K780" t="str">
        <f>TEXT(Transactions_Clean[[#This Row],[Date]],"MMM-YYYY")</f>
        <v>Sep-2024</v>
      </c>
      <c r="L780">
        <f>IF(Transactions_Clean[[#This Row],[Category]]="Revenue",Transactions_Clean[[#This Row],[Amount(₹)]],Transactions_Clean[[#This Row],[Amount(₹)]]/8)</f>
        <v>-4883.75</v>
      </c>
    </row>
    <row r="781" spans="1:12">
      <c r="A781" t="s">
        <v>1508</v>
      </c>
      <c r="B781" t="s">
        <v>87</v>
      </c>
      <c r="C781" t="s">
        <v>22</v>
      </c>
      <c r="D781">
        <v>-36610</v>
      </c>
      <c r="E781" t="s">
        <v>23</v>
      </c>
      <c r="F781" t="s">
        <v>32</v>
      </c>
      <c r="G781" t="s">
        <v>25</v>
      </c>
      <c r="H781" t="s">
        <v>26</v>
      </c>
      <c r="I781" t="s">
        <v>34</v>
      </c>
      <c r="J781" s="11">
        <v>45039</v>
      </c>
      <c r="K781" t="str">
        <f>TEXT(Transactions_Clean[[#This Row],[Date]],"MMM-YYYY")</f>
        <v>Apr-2023</v>
      </c>
      <c r="L781">
        <f>IF(Transactions_Clean[[#This Row],[Category]]="Revenue",Transactions_Clean[[#This Row],[Amount(₹)]],Transactions_Clean[[#This Row],[Amount(₹)]]/8)</f>
        <v>-4576.25</v>
      </c>
    </row>
    <row r="782" spans="1:12">
      <c r="A782" t="s">
        <v>1509</v>
      </c>
      <c r="B782" t="s">
        <v>4760</v>
      </c>
      <c r="C782" t="s">
        <v>73</v>
      </c>
      <c r="D782">
        <v>-48696</v>
      </c>
      <c r="E782" t="s">
        <v>74</v>
      </c>
      <c r="F782" t="s">
        <v>24</v>
      </c>
      <c r="G782" t="s">
        <v>25</v>
      </c>
      <c r="H782" t="s">
        <v>45</v>
      </c>
      <c r="I782" t="s">
        <v>48</v>
      </c>
      <c r="J782" s="11">
        <v>45567</v>
      </c>
      <c r="K782" t="str">
        <f>TEXT(Transactions_Clean[[#This Row],[Date]],"MMM-YYYY")</f>
        <v>Oct-2024</v>
      </c>
      <c r="L782">
        <f>IF(Transactions_Clean[[#This Row],[Category]]="Revenue",Transactions_Clean[[#This Row],[Amount(₹)]],Transactions_Clean[[#This Row],[Amount(₹)]]/8)</f>
        <v>-6087</v>
      </c>
    </row>
    <row r="783" spans="1:12">
      <c r="A783" t="s">
        <v>1511</v>
      </c>
      <c r="B783" t="s">
        <v>100</v>
      </c>
      <c r="C783" t="s">
        <v>31</v>
      </c>
      <c r="D783">
        <v>-15315</v>
      </c>
      <c r="E783" t="s">
        <v>23</v>
      </c>
      <c r="F783" t="s">
        <v>24</v>
      </c>
      <c r="G783" t="s">
        <v>33</v>
      </c>
      <c r="H783" t="s">
        <v>39</v>
      </c>
      <c r="I783" t="s">
        <v>48</v>
      </c>
      <c r="J783" s="11">
        <v>45936</v>
      </c>
      <c r="K783" t="str">
        <f>TEXT(Transactions_Clean[[#This Row],[Date]],"MMM-YYYY")</f>
        <v>Oct-2025</v>
      </c>
      <c r="L783">
        <f>IF(Transactions_Clean[[#This Row],[Category]]="Revenue",Transactions_Clean[[#This Row],[Amount(₹)]],Transactions_Clean[[#This Row],[Amount(₹)]]/8)</f>
        <v>-1914.375</v>
      </c>
    </row>
    <row r="784" spans="1:12">
      <c r="A784" t="s">
        <v>1512</v>
      </c>
      <c r="B784" t="s">
        <v>4755</v>
      </c>
      <c r="C784" t="s">
        <v>78</v>
      </c>
      <c r="D784">
        <v>-93532</v>
      </c>
      <c r="E784" t="s">
        <v>23</v>
      </c>
      <c r="F784" t="s">
        <v>32</v>
      </c>
      <c r="G784" t="s">
        <v>79</v>
      </c>
      <c r="H784" t="s">
        <v>45</v>
      </c>
      <c r="I784" t="s">
        <v>34</v>
      </c>
      <c r="J784" s="11">
        <v>45452</v>
      </c>
      <c r="K784" t="str">
        <f>TEXT(Transactions_Clean[[#This Row],[Date]],"MMM-YYYY")</f>
        <v>Jun-2024</v>
      </c>
      <c r="L784">
        <f>IF(Transactions_Clean[[#This Row],[Category]]="Revenue",Transactions_Clean[[#This Row],[Amount(₹)]],Transactions_Clean[[#This Row],[Amount(₹)]]/8)</f>
        <v>-11691.5</v>
      </c>
    </row>
    <row r="785" spans="1:12">
      <c r="A785" t="s">
        <v>1514</v>
      </c>
      <c r="B785" t="s">
        <v>4748</v>
      </c>
      <c r="C785" t="s">
        <v>22</v>
      </c>
      <c r="D785">
        <v>-100893</v>
      </c>
      <c r="E785" t="s">
        <v>23</v>
      </c>
      <c r="F785" t="s">
        <v>32</v>
      </c>
      <c r="G785" t="s">
        <v>25</v>
      </c>
      <c r="H785" t="s">
        <v>45</v>
      </c>
      <c r="I785" t="s">
        <v>27</v>
      </c>
      <c r="J785" s="11">
        <v>45677</v>
      </c>
      <c r="K785" t="str">
        <f>TEXT(Transactions_Clean[[#This Row],[Date]],"MMM-YYYY")</f>
        <v>Jan-2025</v>
      </c>
      <c r="L785">
        <f>IF(Transactions_Clean[[#This Row],[Category]]="Revenue",Transactions_Clean[[#This Row],[Amount(₹)]],Transactions_Clean[[#This Row],[Amount(₹)]]/8)</f>
        <v>-12611.625</v>
      </c>
    </row>
    <row r="786" spans="1:12">
      <c r="A786" t="s">
        <v>1515</v>
      </c>
      <c r="B786" t="s">
        <v>305</v>
      </c>
      <c r="C786" t="s">
        <v>38</v>
      </c>
      <c r="D786">
        <v>-12055</v>
      </c>
      <c r="E786" t="s">
        <v>23</v>
      </c>
      <c r="F786" t="s">
        <v>24</v>
      </c>
      <c r="G786" t="s">
        <v>33</v>
      </c>
      <c r="H786" t="s">
        <v>45</v>
      </c>
      <c r="I786" t="s">
        <v>34</v>
      </c>
      <c r="J786" s="11">
        <v>45431</v>
      </c>
      <c r="K786" t="str">
        <f>TEXT(Transactions_Clean[[#This Row],[Date]],"MMM-YYYY")</f>
        <v>May-2024</v>
      </c>
      <c r="L786">
        <f>IF(Transactions_Clean[[#This Row],[Category]]="Revenue",Transactions_Clean[[#This Row],[Amount(₹)]],Transactions_Clean[[#This Row],[Amount(₹)]]/8)</f>
        <v>-1506.875</v>
      </c>
    </row>
    <row r="787" spans="1:12">
      <c r="A787" t="s">
        <v>1517</v>
      </c>
      <c r="B787" t="s">
        <v>616</v>
      </c>
      <c r="C787" t="s">
        <v>22</v>
      </c>
      <c r="D787">
        <v>-90806</v>
      </c>
      <c r="E787" t="s">
        <v>23</v>
      </c>
      <c r="F787" t="s">
        <v>24</v>
      </c>
      <c r="G787" t="s">
        <v>25</v>
      </c>
      <c r="H787" t="s">
        <v>39</v>
      </c>
      <c r="I787" t="s">
        <v>27</v>
      </c>
      <c r="J787" s="11">
        <v>46036</v>
      </c>
      <c r="K787" t="str">
        <f>TEXT(Transactions_Clean[[#This Row],[Date]],"MMM-YYYY")</f>
        <v>Jan-2026</v>
      </c>
      <c r="L787">
        <f>IF(Transactions_Clean[[#This Row],[Category]]="Revenue",Transactions_Clean[[#This Row],[Amount(₹)]],Transactions_Clean[[#This Row],[Amount(₹)]]/8)</f>
        <v>-11350.75</v>
      </c>
    </row>
    <row r="788" spans="1:12">
      <c r="A788" t="s">
        <v>1518</v>
      </c>
      <c r="B788" t="s">
        <v>106</v>
      </c>
      <c r="C788" t="s">
        <v>31</v>
      </c>
      <c r="D788">
        <v>-41607</v>
      </c>
      <c r="E788" t="s">
        <v>23</v>
      </c>
      <c r="F788" t="s">
        <v>32</v>
      </c>
      <c r="G788" t="s">
        <v>33</v>
      </c>
      <c r="H788" t="s">
        <v>39</v>
      </c>
      <c r="I788" t="s">
        <v>34</v>
      </c>
      <c r="J788" s="11">
        <v>45819</v>
      </c>
      <c r="K788" t="str">
        <f>TEXT(Transactions_Clean[[#This Row],[Date]],"MMM-YYYY")</f>
        <v>Jun-2025</v>
      </c>
      <c r="L788">
        <f>IF(Transactions_Clean[[#This Row],[Category]]="Revenue",Transactions_Clean[[#This Row],[Amount(₹)]],Transactions_Clean[[#This Row],[Amount(₹)]]/8)</f>
        <v>-5200.875</v>
      </c>
    </row>
    <row r="789" spans="1:12">
      <c r="A789" t="s">
        <v>1520</v>
      </c>
      <c r="B789" t="s">
        <v>4765</v>
      </c>
      <c r="C789" t="s">
        <v>73</v>
      </c>
      <c r="D789">
        <v>-93834</v>
      </c>
      <c r="E789" t="s">
        <v>74</v>
      </c>
      <c r="F789" t="s">
        <v>24</v>
      </c>
      <c r="G789" t="s">
        <v>25</v>
      </c>
      <c r="H789" t="s">
        <v>39</v>
      </c>
      <c r="I789" t="s">
        <v>27</v>
      </c>
      <c r="J789" s="11">
        <v>46051</v>
      </c>
      <c r="K789" t="str">
        <f>TEXT(Transactions_Clean[[#This Row],[Date]],"MMM-YYYY")</f>
        <v>Jan-2026</v>
      </c>
      <c r="L789">
        <f>IF(Transactions_Clean[[#This Row],[Category]]="Revenue",Transactions_Clean[[#This Row],[Amount(₹)]],Transactions_Clean[[#This Row],[Amount(₹)]]/8)</f>
        <v>-11729.25</v>
      </c>
    </row>
    <row r="790" spans="1:12">
      <c r="A790" t="s">
        <v>1522</v>
      </c>
      <c r="B790" t="s">
        <v>51</v>
      </c>
      <c r="C790" t="s">
        <v>31</v>
      </c>
      <c r="D790">
        <v>-14891</v>
      </c>
      <c r="E790" t="s">
        <v>23</v>
      </c>
      <c r="F790" t="s">
        <v>24</v>
      </c>
      <c r="G790" t="s">
        <v>33</v>
      </c>
      <c r="H790" t="s">
        <v>39</v>
      </c>
      <c r="I790" t="s">
        <v>34</v>
      </c>
      <c r="J790" s="11">
        <v>45756</v>
      </c>
      <c r="K790" t="str">
        <f>TEXT(Transactions_Clean[[#This Row],[Date]],"MMM-YYYY")</f>
        <v>Apr-2025</v>
      </c>
      <c r="L790">
        <f>IF(Transactions_Clean[[#This Row],[Category]]="Revenue",Transactions_Clean[[#This Row],[Amount(₹)]],Transactions_Clean[[#This Row],[Amount(₹)]]/8)</f>
        <v>-1861.375</v>
      </c>
    </row>
    <row r="791" spans="1:12">
      <c r="A791" t="s">
        <v>1523</v>
      </c>
      <c r="B791" t="s">
        <v>283</v>
      </c>
      <c r="C791" t="s">
        <v>44</v>
      </c>
      <c r="D791">
        <v>-123127</v>
      </c>
      <c r="E791" t="s">
        <v>23</v>
      </c>
      <c r="F791" t="s">
        <v>24</v>
      </c>
      <c r="G791" t="s">
        <v>33</v>
      </c>
      <c r="H791" t="s">
        <v>45</v>
      </c>
      <c r="I791" t="s">
        <v>34</v>
      </c>
      <c r="J791" s="11">
        <v>45457</v>
      </c>
      <c r="K791" t="str">
        <f>TEXT(Transactions_Clean[[#This Row],[Date]],"MMM-YYYY")</f>
        <v>Jun-2024</v>
      </c>
      <c r="L791">
        <f>IF(Transactions_Clean[[#This Row],[Category]]="Revenue",Transactions_Clean[[#This Row],[Amount(₹)]],Transactions_Clean[[#This Row],[Amount(₹)]]/8)</f>
        <v>-15390.875</v>
      </c>
    </row>
    <row r="792" spans="1:12">
      <c r="A792" t="s">
        <v>1525</v>
      </c>
      <c r="B792" t="s">
        <v>60</v>
      </c>
      <c r="C792" t="s">
        <v>61</v>
      </c>
      <c r="D792">
        <v>-33969</v>
      </c>
      <c r="E792" t="s">
        <v>62</v>
      </c>
      <c r="F792" t="s">
        <v>24</v>
      </c>
      <c r="G792" t="s">
        <v>63</v>
      </c>
      <c r="H792" t="s">
        <v>39</v>
      </c>
      <c r="I792" t="s">
        <v>48</v>
      </c>
      <c r="J792" s="11">
        <v>45983</v>
      </c>
      <c r="K792" t="str">
        <f>TEXT(Transactions_Clean[[#This Row],[Date]],"MMM-YYYY")</f>
        <v>Nov-2025</v>
      </c>
      <c r="L792">
        <f>IF(Transactions_Clean[[#This Row],[Category]]="Revenue",Transactions_Clean[[#This Row],[Amount(₹)]],Transactions_Clean[[#This Row],[Amount(₹)]]/8)</f>
        <v>-4246.125</v>
      </c>
    </row>
    <row r="793" spans="1:12">
      <c r="A793" t="s">
        <v>1527</v>
      </c>
      <c r="B793" t="s">
        <v>687</v>
      </c>
      <c r="C793" t="s">
        <v>44</v>
      </c>
      <c r="D793">
        <v>-65846</v>
      </c>
      <c r="E793" t="s">
        <v>23</v>
      </c>
      <c r="F793" t="s">
        <v>32</v>
      </c>
      <c r="G793" t="s">
        <v>33</v>
      </c>
      <c r="H793" t="s">
        <v>45</v>
      </c>
      <c r="I793" t="s">
        <v>27</v>
      </c>
      <c r="J793" s="11">
        <v>45711</v>
      </c>
      <c r="K793" t="str">
        <f>TEXT(Transactions_Clean[[#This Row],[Date]],"MMM-YYYY")</f>
        <v>Feb-2025</v>
      </c>
      <c r="L793">
        <f>IF(Transactions_Clean[[#This Row],[Category]]="Revenue",Transactions_Clean[[#This Row],[Amount(₹)]],Transactions_Clean[[#This Row],[Amount(₹)]]/8)</f>
        <v>-8230.75</v>
      </c>
    </row>
    <row r="794" spans="1:12">
      <c r="A794" t="s">
        <v>1528</v>
      </c>
      <c r="B794" t="s">
        <v>60</v>
      </c>
      <c r="C794" t="s">
        <v>61</v>
      </c>
      <c r="D794">
        <v>-26282</v>
      </c>
      <c r="E794" t="s">
        <v>62</v>
      </c>
      <c r="F794" t="s">
        <v>32</v>
      </c>
      <c r="G794" t="s">
        <v>63</v>
      </c>
      <c r="H794" t="s">
        <v>45</v>
      </c>
      <c r="I794" t="s">
        <v>27</v>
      </c>
      <c r="J794" s="11">
        <v>45727</v>
      </c>
      <c r="K794" t="str">
        <f>TEXT(Transactions_Clean[[#This Row],[Date]],"MMM-YYYY")</f>
        <v>Mar-2025</v>
      </c>
      <c r="L794">
        <f>IF(Transactions_Clean[[#This Row],[Category]]="Revenue",Transactions_Clean[[#This Row],[Amount(₹)]],Transactions_Clean[[#This Row],[Amount(₹)]]/8)</f>
        <v>-3285.25</v>
      </c>
    </row>
    <row r="795" spans="1:12">
      <c r="A795" t="s">
        <v>1529</v>
      </c>
      <c r="B795" t="s">
        <v>4748</v>
      </c>
      <c r="C795" t="s">
        <v>22</v>
      </c>
      <c r="D795">
        <v>-98427</v>
      </c>
      <c r="E795" t="s">
        <v>23</v>
      </c>
      <c r="F795" t="s">
        <v>24</v>
      </c>
      <c r="G795" t="s">
        <v>25</v>
      </c>
      <c r="H795" t="s">
        <v>26</v>
      </c>
      <c r="I795" t="s">
        <v>40</v>
      </c>
      <c r="J795" s="11">
        <v>45113</v>
      </c>
      <c r="K795" t="str">
        <f>TEXT(Transactions_Clean[[#This Row],[Date]],"MMM-YYYY")</f>
        <v>Jul-2023</v>
      </c>
      <c r="L795">
        <f>IF(Transactions_Clean[[#This Row],[Category]]="Revenue",Transactions_Clean[[#This Row],[Amount(₹)]],Transactions_Clean[[#This Row],[Amount(₹)]]/8)</f>
        <v>-12303.375</v>
      </c>
    </row>
    <row r="796" spans="1:12">
      <c r="A796" t="s">
        <v>1531</v>
      </c>
      <c r="B796" t="s">
        <v>51</v>
      </c>
      <c r="C796" t="s">
        <v>31</v>
      </c>
      <c r="D796">
        <v>-39307</v>
      </c>
      <c r="E796" t="s">
        <v>23</v>
      </c>
      <c r="F796" t="s">
        <v>32</v>
      </c>
      <c r="G796" t="s">
        <v>33</v>
      </c>
      <c r="H796" t="s">
        <v>39</v>
      </c>
      <c r="I796" t="s">
        <v>27</v>
      </c>
      <c r="J796" s="11">
        <v>46073</v>
      </c>
      <c r="K796" t="str">
        <f>TEXT(Transactions_Clean[[#This Row],[Date]],"MMM-YYYY")</f>
        <v>Feb-2026</v>
      </c>
      <c r="L796">
        <f>IF(Transactions_Clean[[#This Row],[Category]]="Revenue",Transactions_Clean[[#This Row],[Amount(₹)]],Transactions_Clean[[#This Row],[Amount(₹)]]/8)</f>
        <v>-4913.375</v>
      </c>
    </row>
    <row r="797" spans="1:12">
      <c r="A797" t="s">
        <v>1533</v>
      </c>
      <c r="B797" t="s">
        <v>212</v>
      </c>
      <c r="C797" t="s">
        <v>73</v>
      </c>
      <c r="D797">
        <v>-85113</v>
      </c>
      <c r="E797" t="s">
        <v>74</v>
      </c>
      <c r="F797" t="s">
        <v>24</v>
      </c>
      <c r="G797" t="s">
        <v>25</v>
      </c>
      <c r="H797" t="s">
        <v>39</v>
      </c>
      <c r="I797" t="s">
        <v>40</v>
      </c>
      <c r="J797" s="11">
        <v>45882</v>
      </c>
      <c r="K797" t="str">
        <f>TEXT(Transactions_Clean[[#This Row],[Date]],"MMM-YYYY")</f>
        <v>Aug-2025</v>
      </c>
      <c r="L797">
        <f>IF(Transactions_Clean[[#This Row],[Category]]="Revenue",Transactions_Clean[[#This Row],[Amount(₹)]],Transactions_Clean[[#This Row],[Amount(₹)]]/8)</f>
        <v>-10639.125</v>
      </c>
    </row>
    <row r="798" spans="1:12">
      <c r="A798" t="s">
        <v>1535</v>
      </c>
      <c r="B798" t="s">
        <v>4756</v>
      </c>
      <c r="C798" t="s">
        <v>73</v>
      </c>
      <c r="D798">
        <v>-57808</v>
      </c>
      <c r="E798" t="s">
        <v>74</v>
      </c>
      <c r="F798" t="s">
        <v>32</v>
      </c>
      <c r="G798" t="s">
        <v>25</v>
      </c>
      <c r="H798" t="s">
        <v>26</v>
      </c>
      <c r="I798" t="s">
        <v>34</v>
      </c>
      <c r="J798" s="11">
        <v>45077</v>
      </c>
      <c r="K798" t="str">
        <f>TEXT(Transactions_Clean[[#This Row],[Date]],"MMM-YYYY")</f>
        <v>May-2023</v>
      </c>
      <c r="L798">
        <f>IF(Transactions_Clean[[#This Row],[Category]]="Revenue",Transactions_Clean[[#This Row],[Amount(₹)]],Transactions_Clean[[#This Row],[Amount(₹)]]/8)</f>
        <v>-7226</v>
      </c>
    </row>
    <row r="799" spans="1:12">
      <c r="A799" t="s">
        <v>1537</v>
      </c>
      <c r="B799" t="s">
        <v>4769</v>
      </c>
      <c r="C799" t="s">
        <v>44</v>
      </c>
      <c r="D799">
        <v>-154654</v>
      </c>
      <c r="E799" t="s">
        <v>23</v>
      </c>
      <c r="F799" t="s">
        <v>24</v>
      </c>
      <c r="G799" t="s">
        <v>33</v>
      </c>
      <c r="H799" t="s">
        <v>45</v>
      </c>
      <c r="I799" t="s">
        <v>48</v>
      </c>
      <c r="J799" s="11">
        <v>45584</v>
      </c>
      <c r="K799" t="str">
        <f>TEXT(Transactions_Clean[[#This Row],[Date]],"MMM-YYYY")</f>
        <v>Oct-2024</v>
      </c>
      <c r="L799">
        <f>IF(Transactions_Clean[[#This Row],[Category]]="Revenue",Transactions_Clean[[#This Row],[Amount(₹)]],Transactions_Clean[[#This Row],[Amount(₹)]]/8)</f>
        <v>-19331.75</v>
      </c>
    </row>
    <row r="800" spans="1:12">
      <c r="A800" t="s">
        <v>1538</v>
      </c>
      <c r="B800" t="s">
        <v>180</v>
      </c>
      <c r="C800" t="s">
        <v>44</v>
      </c>
      <c r="D800">
        <v>-67541</v>
      </c>
      <c r="E800" t="s">
        <v>23</v>
      </c>
      <c r="F800" t="s">
        <v>32</v>
      </c>
      <c r="G800" t="s">
        <v>33</v>
      </c>
      <c r="H800" t="s">
        <v>39</v>
      </c>
      <c r="I800" t="s">
        <v>34</v>
      </c>
      <c r="J800" s="11">
        <v>45779</v>
      </c>
      <c r="K800" t="str">
        <f>TEXT(Transactions_Clean[[#This Row],[Date]],"MMM-YYYY")</f>
        <v>May-2025</v>
      </c>
      <c r="L800">
        <f>IF(Transactions_Clean[[#This Row],[Category]]="Revenue",Transactions_Clean[[#This Row],[Amount(₹)]],Transactions_Clean[[#This Row],[Amount(₹)]]/8)</f>
        <v>-8442.625</v>
      </c>
    </row>
    <row r="801" spans="1:12">
      <c r="A801" t="s">
        <v>1540</v>
      </c>
      <c r="B801" t="s">
        <v>215</v>
      </c>
      <c r="C801" t="s">
        <v>61</v>
      </c>
      <c r="D801">
        <v>-56979</v>
      </c>
      <c r="E801" t="s">
        <v>62</v>
      </c>
      <c r="F801" t="s">
        <v>24</v>
      </c>
      <c r="G801" t="s">
        <v>63</v>
      </c>
      <c r="H801" t="s">
        <v>26</v>
      </c>
      <c r="I801" t="s">
        <v>48</v>
      </c>
      <c r="J801" s="11">
        <v>45255</v>
      </c>
      <c r="K801" t="str">
        <f>TEXT(Transactions_Clean[[#This Row],[Date]],"MMM-YYYY")</f>
        <v>Nov-2023</v>
      </c>
      <c r="L801">
        <f>IF(Transactions_Clean[[#This Row],[Category]]="Revenue",Transactions_Clean[[#This Row],[Amount(₹)]],Transactions_Clean[[#This Row],[Amount(₹)]]/8)</f>
        <v>-7122.375</v>
      </c>
    </row>
    <row r="802" spans="1:12">
      <c r="A802" t="s">
        <v>1541</v>
      </c>
      <c r="B802" t="s">
        <v>935</v>
      </c>
      <c r="C802" t="s">
        <v>22</v>
      </c>
      <c r="D802">
        <v>-166871</v>
      </c>
      <c r="E802" t="s">
        <v>23</v>
      </c>
      <c r="F802" t="s">
        <v>32</v>
      </c>
      <c r="G802" t="s">
        <v>25</v>
      </c>
      <c r="H802" t="s">
        <v>39</v>
      </c>
      <c r="I802" t="s">
        <v>40</v>
      </c>
      <c r="J802" s="11">
        <v>45888</v>
      </c>
      <c r="K802" t="str">
        <f>TEXT(Transactions_Clean[[#This Row],[Date]],"MMM-YYYY")</f>
        <v>Aug-2025</v>
      </c>
      <c r="L802">
        <f>IF(Transactions_Clean[[#This Row],[Category]]="Revenue",Transactions_Clean[[#This Row],[Amount(₹)]],Transactions_Clean[[#This Row],[Amount(₹)]]/8)</f>
        <v>-20858.875</v>
      </c>
    </row>
    <row r="803" spans="1:12">
      <c r="A803" t="s">
        <v>1543</v>
      </c>
      <c r="B803" t="s">
        <v>212</v>
      </c>
      <c r="C803" t="s">
        <v>73</v>
      </c>
      <c r="D803">
        <v>-33297</v>
      </c>
      <c r="E803" t="s">
        <v>74</v>
      </c>
      <c r="F803" t="s">
        <v>32</v>
      </c>
      <c r="G803" t="s">
        <v>25</v>
      </c>
      <c r="H803" t="s">
        <v>39</v>
      </c>
      <c r="I803" t="s">
        <v>48</v>
      </c>
      <c r="J803" s="11">
        <v>46008</v>
      </c>
      <c r="K803" t="str">
        <f>TEXT(Transactions_Clean[[#This Row],[Date]],"MMM-YYYY")</f>
        <v>Dec-2025</v>
      </c>
      <c r="L803">
        <f>IF(Transactions_Clean[[#This Row],[Category]]="Revenue",Transactions_Clean[[#This Row],[Amount(₹)]],Transactions_Clean[[#This Row],[Amount(₹)]]/8)</f>
        <v>-4162.125</v>
      </c>
    </row>
    <row r="804" spans="1:12">
      <c r="A804" t="s">
        <v>1544</v>
      </c>
      <c r="B804" t="s">
        <v>290</v>
      </c>
      <c r="C804" t="s">
        <v>4750</v>
      </c>
      <c r="D804">
        <v>-113243</v>
      </c>
      <c r="E804" t="s">
        <v>23</v>
      </c>
      <c r="F804" t="s">
        <v>32</v>
      </c>
      <c r="G804" t="s">
        <v>33</v>
      </c>
      <c r="H804" t="s">
        <v>45</v>
      </c>
      <c r="I804" t="s">
        <v>40</v>
      </c>
      <c r="J804" s="11">
        <v>45488</v>
      </c>
      <c r="K804" t="str">
        <f>TEXT(Transactions_Clean[[#This Row],[Date]],"MMM-YYYY")</f>
        <v>Jul-2024</v>
      </c>
      <c r="L804">
        <f>IF(Transactions_Clean[[#This Row],[Category]]="Revenue",Transactions_Clean[[#This Row],[Amount(₹)]],Transactions_Clean[[#This Row],[Amount(₹)]]/8)</f>
        <v>-14155.375</v>
      </c>
    </row>
    <row r="805" spans="1:12">
      <c r="A805" t="s">
        <v>1545</v>
      </c>
      <c r="B805" t="s">
        <v>30</v>
      </c>
      <c r="C805" t="s">
        <v>31</v>
      </c>
      <c r="D805">
        <v>-41201</v>
      </c>
      <c r="E805" t="s">
        <v>23</v>
      </c>
      <c r="F805" t="s">
        <v>24</v>
      </c>
      <c r="G805" t="s">
        <v>33</v>
      </c>
      <c r="H805" t="s">
        <v>26</v>
      </c>
      <c r="I805" t="s">
        <v>40</v>
      </c>
      <c r="J805" s="11">
        <v>45157</v>
      </c>
      <c r="K805" t="str">
        <f>TEXT(Transactions_Clean[[#This Row],[Date]],"MMM-YYYY")</f>
        <v>Aug-2023</v>
      </c>
      <c r="L805">
        <f>IF(Transactions_Clean[[#This Row],[Category]]="Revenue",Transactions_Clean[[#This Row],[Amount(₹)]],Transactions_Clean[[#This Row],[Amount(₹)]]/8)</f>
        <v>-5150.125</v>
      </c>
    </row>
    <row r="806" spans="1:12">
      <c r="A806" t="s">
        <v>1546</v>
      </c>
      <c r="B806" t="s">
        <v>4767</v>
      </c>
      <c r="C806" t="s">
        <v>157</v>
      </c>
      <c r="D806">
        <v>633192</v>
      </c>
      <c r="E806" t="s">
        <v>62</v>
      </c>
      <c r="F806" t="s">
        <v>32</v>
      </c>
      <c r="G806" t="s">
        <v>25</v>
      </c>
      <c r="H806" t="s">
        <v>45</v>
      </c>
      <c r="I806" t="s">
        <v>40</v>
      </c>
      <c r="J806" s="11">
        <v>45551</v>
      </c>
      <c r="K806" t="str">
        <f>TEXT(Transactions_Clean[[#This Row],[Date]],"MMM-YYYY")</f>
        <v>Sep-2024</v>
      </c>
      <c r="L806">
        <f>IF(Transactions_Clean[[#This Row],[Category]]="Revenue",Transactions_Clean[[#This Row],[Amount(₹)]],Transactions_Clean[[#This Row],[Amount(₹)]]/8)</f>
        <v>633192</v>
      </c>
    </row>
    <row r="807" spans="1:12">
      <c r="A807" t="s">
        <v>1547</v>
      </c>
      <c r="B807" t="s">
        <v>616</v>
      </c>
      <c r="C807" t="s">
        <v>22</v>
      </c>
      <c r="D807">
        <v>-20292</v>
      </c>
      <c r="E807" t="s">
        <v>23</v>
      </c>
      <c r="F807" t="s">
        <v>32</v>
      </c>
      <c r="G807" t="s">
        <v>25</v>
      </c>
      <c r="H807" t="s">
        <v>45</v>
      </c>
      <c r="I807" t="s">
        <v>27</v>
      </c>
      <c r="J807" s="11">
        <v>45964</v>
      </c>
      <c r="K807" t="str">
        <f>TEXT(Transactions_Clean[[#This Row],[Date]],"MMM-YYYY")</f>
        <v>Nov-2025</v>
      </c>
      <c r="L807">
        <f>IF(Transactions_Clean[[#This Row],[Category]]="Revenue",Transactions_Clean[[#This Row],[Amount(₹)]],Transactions_Clean[[#This Row],[Amount(₹)]]/8)</f>
        <v>-2536.5</v>
      </c>
    </row>
    <row r="808" spans="1:12">
      <c r="A808" t="s">
        <v>1549</v>
      </c>
      <c r="B808" t="s">
        <v>4766</v>
      </c>
      <c r="C808" t="s">
        <v>73</v>
      </c>
      <c r="D808">
        <v>-25046</v>
      </c>
      <c r="E808" t="s">
        <v>74</v>
      </c>
      <c r="F808" t="s">
        <v>32</v>
      </c>
      <c r="G808" t="s">
        <v>25</v>
      </c>
      <c r="H808" t="s">
        <v>39</v>
      </c>
      <c r="I808" t="s">
        <v>34</v>
      </c>
      <c r="J808" s="11">
        <v>45794</v>
      </c>
      <c r="K808" t="str">
        <f>TEXT(Transactions_Clean[[#This Row],[Date]],"MMM-YYYY")</f>
        <v>May-2025</v>
      </c>
      <c r="L808">
        <f>IF(Transactions_Clean[[#This Row],[Category]]="Revenue",Transactions_Clean[[#This Row],[Amount(₹)]],Transactions_Clean[[#This Row],[Amount(₹)]]/8)</f>
        <v>-3130.75</v>
      </c>
    </row>
    <row r="809" spans="1:12">
      <c r="A809" t="s">
        <v>1551</v>
      </c>
      <c r="B809" t="s">
        <v>4756</v>
      </c>
      <c r="C809" t="s">
        <v>4750</v>
      </c>
      <c r="D809">
        <v>-60621</v>
      </c>
      <c r="E809" t="s">
        <v>74</v>
      </c>
      <c r="F809" t="s">
        <v>32</v>
      </c>
      <c r="G809" t="s">
        <v>25</v>
      </c>
      <c r="H809" t="s">
        <v>39</v>
      </c>
      <c r="I809" t="s">
        <v>27</v>
      </c>
      <c r="J809" s="11">
        <v>46103</v>
      </c>
      <c r="K809" t="str">
        <f>TEXT(Transactions_Clean[[#This Row],[Date]],"MMM-YYYY")</f>
        <v>Mar-2026</v>
      </c>
      <c r="L809">
        <f>IF(Transactions_Clean[[#This Row],[Category]]="Revenue",Transactions_Clean[[#This Row],[Amount(₹)]],Transactions_Clean[[#This Row],[Amount(₹)]]/8)</f>
        <v>-7577.625</v>
      </c>
    </row>
    <row r="810" spans="1:12">
      <c r="A810" t="s">
        <v>1552</v>
      </c>
      <c r="B810" t="s">
        <v>4758</v>
      </c>
      <c r="C810" t="s">
        <v>78</v>
      </c>
      <c r="D810">
        <v>-117029</v>
      </c>
      <c r="E810" t="s">
        <v>23</v>
      </c>
      <c r="F810" t="s">
        <v>32</v>
      </c>
      <c r="G810" t="s">
        <v>79</v>
      </c>
      <c r="H810" t="s">
        <v>26</v>
      </c>
      <c r="I810" t="s">
        <v>34</v>
      </c>
      <c r="J810" s="11">
        <v>45030</v>
      </c>
      <c r="K810" t="str">
        <f>TEXT(Transactions_Clean[[#This Row],[Date]],"MMM-YYYY")</f>
        <v>Apr-2023</v>
      </c>
      <c r="L810">
        <f>IF(Transactions_Clean[[#This Row],[Category]]="Revenue",Transactions_Clean[[#This Row],[Amount(₹)]],Transactions_Clean[[#This Row],[Amount(₹)]]/8)</f>
        <v>-14628.625</v>
      </c>
    </row>
    <row r="811" spans="1:12">
      <c r="A811" t="s">
        <v>1554</v>
      </c>
      <c r="B811" t="s">
        <v>4751</v>
      </c>
      <c r="C811" t="s">
        <v>38</v>
      </c>
      <c r="D811">
        <v>-23382</v>
      </c>
      <c r="E811" t="s">
        <v>23</v>
      </c>
      <c r="F811" t="s">
        <v>24</v>
      </c>
      <c r="G811" t="s">
        <v>33</v>
      </c>
      <c r="H811" t="s">
        <v>45</v>
      </c>
      <c r="I811" t="s">
        <v>40</v>
      </c>
      <c r="J811" s="11">
        <v>45556</v>
      </c>
      <c r="K811" t="str">
        <f>TEXT(Transactions_Clean[[#This Row],[Date]],"MMM-YYYY")</f>
        <v>Sep-2024</v>
      </c>
      <c r="L811">
        <f>IF(Transactions_Clean[[#This Row],[Category]]="Revenue",Transactions_Clean[[#This Row],[Amount(₹)]],Transactions_Clean[[#This Row],[Amount(₹)]]/8)</f>
        <v>-2922.75</v>
      </c>
    </row>
    <row r="812" spans="1:12">
      <c r="A812" t="s">
        <v>1556</v>
      </c>
      <c r="B812" t="s">
        <v>72</v>
      </c>
      <c r="C812" t="s">
        <v>73</v>
      </c>
      <c r="D812">
        <v>-61967</v>
      </c>
      <c r="E812" t="s">
        <v>74</v>
      </c>
      <c r="F812" t="s">
        <v>24</v>
      </c>
      <c r="G812" t="s">
        <v>25</v>
      </c>
      <c r="H812" t="s">
        <v>26</v>
      </c>
      <c r="I812" t="s">
        <v>48</v>
      </c>
      <c r="J812" s="11">
        <v>45259</v>
      </c>
      <c r="K812" t="str">
        <f>TEXT(Transactions_Clean[[#This Row],[Date]],"MMM-YYYY")</f>
        <v>Nov-2023</v>
      </c>
      <c r="L812">
        <f>IF(Transactions_Clean[[#This Row],[Category]]="Revenue",Transactions_Clean[[#This Row],[Amount(₹)]],Transactions_Clean[[#This Row],[Amount(₹)]]/8)</f>
        <v>-7745.875</v>
      </c>
    </row>
    <row r="813" spans="1:12">
      <c r="A813" t="s">
        <v>1557</v>
      </c>
      <c r="B813" t="s">
        <v>4751</v>
      </c>
      <c r="C813" t="s">
        <v>38</v>
      </c>
      <c r="D813">
        <v>-43758</v>
      </c>
      <c r="E813" t="s">
        <v>23</v>
      </c>
      <c r="F813" t="s">
        <v>24</v>
      </c>
      <c r="G813" t="s">
        <v>33</v>
      </c>
      <c r="H813" t="s">
        <v>26</v>
      </c>
      <c r="I813" t="s">
        <v>40</v>
      </c>
      <c r="J813" s="11">
        <v>45113</v>
      </c>
      <c r="K813" t="str">
        <f>TEXT(Transactions_Clean[[#This Row],[Date]],"MMM-YYYY")</f>
        <v>Jul-2023</v>
      </c>
      <c r="L813">
        <f>IF(Transactions_Clean[[#This Row],[Category]]="Revenue",Transactions_Clean[[#This Row],[Amount(₹)]],Transactions_Clean[[#This Row],[Amount(₹)]]/8)</f>
        <v>-5469.75</v>
      </c>
    </row>
    <row r="814" spans="1:12">
      <c r="A814" t="s">
        <v>1558</v>
      </c>
      <c r="B814" t="s">
        <v>66</v>
      </c>
      <c r="C814" t="s">
        <v>61</v>
      </c>
      <c r="D814">
        <v>-38287</v>
      </c>
      <c r="E814" t="s">
        <v>62</v>
      </c>
      <c r="F814" t="s">
        <v>24</v>
      </c>
      <c r="G814" t="s">
        <v>63</v>
      </c>
      <c r="H814" t="s">
        <v>45</v>
      </c>
      <c r="I814" t="s">
        <v>48</v>
      </c>
      <c r="J814" s="11">
        <v>45614</v>
      </c>
      <c r="K814" t="str">
        <f>TEXT(Transactions_Clean[[#This Row],[Date]],"MMM-YYYY")</f>
        <v>Nov-2024</v>
      </c>
      <c r="L814">
        <f>IF(Transactions_Clean[[#This Row],[Category]]="Revenue",Transactions_Clean[[#This Row],[Amount(₹)]],Transactions_Clean[[#This Row],[Amount(₹)]]/8)</f>
        <v>-4785.875</v>
      </c>
    </row>
    <row r="815" spans="1:12">
      <c r="A815" t="s">
        <v>1559</v>
      </c>
      <c r="B815" t="s">
        <v>51</v>
      </c>
      <c r="C815" t="s">
        <v>31</v>
      </c>
      <c r="D815">
        <v>-21036</v>
      </c>
      <c r="E815" t="s">
        <v>23</v>
      </c>
      <c r="F815" t="s">
        <v>32</v>
      </c>
      <c r="G815" t="s">
        <v>33</v>
      </c>
      <c r="H815" t="s">
        <v>39</v>
      </c>
      <c r="I815" t="s">
        <v>48</v>
      </c>
      <c r="J815" s="11">
        <v>45941</v>
      </c>
      <c r="K815" t="str">
        <f>TEXT(Transactions_Clean[[#This Row],[Date]],"MMM-YYYY")</f>
        <v>Oct-2025</v>
      </c>
      <c r="L815">
        <f>IF(Transactions_Clean[[#This Row],[Category]]="Revenue",Transactions_Clean[[#This Row],[Amount(₹)]],Transactions_Clean[[#This Row],[Amount(₹)]]/8)</f>
        <v>-2629.5</v>
      </c>
    </row>
    <row r="816" spans="1:12">
      <c r="A816" t="s">
        <v>1561</v>
      </c>
      <c r="B816" t="s">
        <v>60</v>
      </c>
      <c r="C816" t="s">
        <v>61</v>
      </c>
      <c r="D816">
        <v>-14617</v>
      </c>
      <c r="E816" t="s">
        <v>62</v>
      </c>
      <c r="F816" t="s">
        <v>24</v>
      </c>
      <c r="G816" t="s">
        <v>63</v>
      </c>
      <c r="H816" t="s">
        <v>45</v>
      </c>
      <c r="I816" t="s">
        <v>27</v>
      </c>
      <c r="J816" s="11">
        <v>45745</v>
      </c>
      <c r="K816" t="str">
        <f>TEXT(Transactions_Clean[[#This Row],[Date]],"MMM-YYYY")</f>
        <v>Mar-2025</v>
      </c>
      <c r="L816">
        <f>IF(Transactions_Clean[[#This Row],[Category]]="Revenue",Transactions_Clean[[#This Row],[Amount(₹)]],Transactions_Clean[[#This Row],[Amount(₹)]]/8)</f>
        <v>-1827.125</v>
      </c>
    </row>
    <row r="817" spans="1:12">
      <c r="A817" t="s">
        <v>1563</v>
      </c>
      <c r="B817" t="s">
        <v>4753</v>
      </c>
      <c r="C817" t="s">
        <v>38</v>
      </c>
      <c r="D817">
        <v>-15880</v>
      </c>
      <c r="E817" t="s">
        <v>23</v>
      </c>
      <c r="F817" t="s">
        <v>24</v>
      </c>
      <c r="G817" t="s">
        <v>33</v>
      </c>
      <c r="H817" t="s">
        <v>39</v>
      </c>
      <c r="I817" t="s">
        <v>40</v>
      </c>
      <c r="J817" s="11">
        <v>45725</v>
      </c>
      <c r="K817" t="str">
        <f>TEXT(Transactions_Clean[[#This Row],[Date]],"MMM-YYYY")</f>
        <v>Mar-2025</v>
      </c>
      <c r="L817">
        <f>IF(Transactions_Clean[[#This Row],[Category]]="Revenue",Transactions_Clean[[#This Row],[Amount(₹)]],Transactions_Clean[[#This Row],[Amount(₹)]]/8)</f>
        <v>-1985</v>
      </c>
    </row>
    <row r="818" spans="1:12">
      <c r="A818" t="s">
        <v>1565</v>
      </c>
      <c r="B818" t="s">
        <v>177</v>
      </c>
      <c r="C818" t="s">
        <v>78</v>
      </c>
      <c r="D818">
        <v>-88351</v>
      </c>
      <c r="E818" t="s">
        <v>23</v>
      </c>
      <c r="F818" t="s">
        <v>24</v>
      </c>
      <c r="G818" t="s">
        <v>79</v>
      </c>
      <c r="H818" t="s">
        <v>26</v>
      </c>
      <c r="I818" t="s">
        <v>48</v>
      </c>
      <c r="J818" s="11">
        <v>45277</v>
      </c>
      <c r="K818" t="str">
        <f>TEXT(Transactions_Clean[[#This Row],[Date]],"MMM-YYYY")</f>
        <v>Dec-2023</v>
      </c>
      <c r="L818">
        <f>IF(Transactions_Clean[[#This Row],[Category]]="Revenue",Transactions_Clean[[#This Row],[Amount(₹)]],Transactions_Clean[[#This Row],[Amount(₹)]]/8)</f>
        <v>-11043.875</v>
      </c>
    </row>
    <row r="819" spans="1:12">
      <c r="A819" t="s">
        <v>1566</v>
      </c>
      <c r="B819" t="s">
        <v>215</v>
      </c>
      <c r="C819" t="s">
        <v>61</v>
      </c>
      <c r="D819">
        <v>-56872</v>
      </c>
      <c r="E819" t="s">
        <v>62</v>
      </c>
      <c r="F819" t="s">
        <v>32</v>
      </c>
      <c r="G819" t="s">
        <v>63</v>
      </c>
      <c r="H819" t="s">
        <v>26</v>
      </c>
      <c r="I819" t="s">
        <v>40</v>
      </c>
      <c r="J819" s="11">
        <v>45154</v>
      </c>
      <c r="K819" t="str">
        <f>TEXT(Transactions_Clean[[#This Row],[Date]],"MMM-YYYY")</f>
        <v>Aug-2023</v>
      </c>
      <c r="L819">
        <f>IF(Transactions_Clean[[#This Row],[Category]]="Revenue",Transactions_Clean[[#This Row],[Amount(₹)]],Transactions_Clean[[#This Row],[Amount(₹)]]/8)</f>
        <v>-7109</v>
      </c>
    </row>
    <row r="820" spans="1:12">
      <c r="A820" t="s">
        <v>1567</v>
      </c>
      <c r="B820" t="s">
        <v>4765</v>
      </c>
      <c r="C820" t="s">
        <v>4750</v>
      </c>
      <c r="D820">
        <v>-40088</v>
      </c>
      <c r="E820" t="s">
        <v>74</v>
      </c>
      <c r="F820" t="s">
        <v>32</v>
      </c>
      <c r="G820" t="s">
        <v>25</v>
      </c>
      <c r="H820" t="s">
        <v>45</v>
      </c>
      <c r="I820" t="s">
        <v>40</v>
      </c>
      <c r="J820" s="11">
        <v>45496</v>
      </c>
      <c r="K820" t="str">
        <f>TEXT(Transactions_Clean[[#This Row],[Date]],"MMM-YYYY")</f>
        <v>Jul-2024</v>
      </c>
      <c r="L820">
        <f>IF(Transactions_Clean[[#This Row],[Category]]="Revenue",Transactions_Clean[[#This Row],[Amount(₹)]],Transactions_Clean[[#This Row],[Amount(₹)]]/8)</f>
        <v>-5011</v>
      </c>
    </row>
    <row r="821" spans="1:12">
      <c r="A821" t="s">
        <v>1569</v>
      </c>
      <c r="B821" t="s">
        <v>66</v>
      </c>
      <c r="C821" t="s">
        <v>61</v>
      </c>
      <c r="D821">
        <v>-51031</v>
      </c>
      <c r="E821" t="s">
        <v>62</v>
      </c>
      <c r="F821" t="s">
        <v>32</v>
      </c>
      <c r="G821" t="s">
        <v>63</v>
      </c>
      <c r="H821" t="s">
        <v>39</v>
      </c>
      <c r="I821" t="s">
        <v>48</v>
      </c>
      <c r="J821" s="11">
        <v>46009</v>
      </c>
      <c r="K821" t="str">
        <f>TEXT(Transactions_Clean[[#This Row],[Date]],"MMM-YYYY")</f>
        <v>Dec-2025</v>
      </c>
      <c r="L821">
        <f>IF(Transactions_Clean[[#This Row],[Category]]="Revenue",Transactions_Clean[[#This Row],[Amount(₹)]],Transactions_Clean[[#This Row],[Amount(₹)]]/8)</f>
        <v>-6378.875</v>
      </c>
    </row>
    <row r="822" spans="1:12">
      <c r="A822" t="s">
        <v>1571</v>
      </c>
      <c r="B822" t="s">
        <v>935</v>
      </c>
      <c r="C822" t="s">
        <v>22</v>
      </c>
      <c r="D822">
        <v>-157083</v>
      </c>
      <c r="E822" t="s">
        <v>23</v>
      </c>
      <c r="F822" t="s">
        <v>32</v>
      </c>
      <c r="G822" t="s">
        <v>25</v>
      </c>
      <c r="H822" t="s">
        <v>45</v>
      </c>
      <c r="I822" t="s">
        <v>48</v>
      </c>
      <c r="J822" s="11">
        <v>45643</v>
      </c>
      <c r="K822" t="str">
        <f>TEXT(Transactions_Clean[[#This Row],[Date]],"MMM-YYYY")</f>
        <v>Dec-2024</v>
      </c>
      <c r="L822">
        <f>IF(Transactions_Clean[[#This Row],[Category]]="Revenue",Transactions_Clean[[#This Row],[Amount(₹)]],Transactions_Clean[[#This Row],[Amount(₹)]]/8)</f>
        <v>-19635.375</v>
      </c>
    </row>
    <row r="823" spans="1:12">
      <c r="A823" t="s">
        <v>1572</v>
      </c>
      <c r="B823" t="s">
        <v>255</v>
      </c>
      <c r="C823" t="s">
        <v>22</v>
      </c>
      <c r="D823">
        <v>-129501</v>
      </c>
      <c r="E823" t="s">
        <v>23</v>
      </c>
      <c r="F823" t="s">
        <v>32</v>
      </c>
      <c r="G823" t="s">
        <v>25</v>
      </c>
      <c r="H823" t="s">
        <v>45</v>
      </c>
      <c r="I823" t="s">
        <v>34</v>
      </c>
      <c r="J823" s="11">
        <v>45466</v>
      </c>
      <c r="K823" t="str">
        <f>TEXT(Transactions_Clean[[#This Row],[Date]],"MMM-YYYY")</f>
        <v>Jun-2024</v>
      </c>
      <c r="L823">
        <f>IF(Transactions_Clean[[#This Row],[Category]]="Revenue",Transactions_Clean[[#This Row],[Amount(₹)]],Transactions_Clean[[#This Row],[Amount(₹)]]/8)</f>
        <v>-16187.625</v>
      </c>
    </row>
    <row r="824" spans="1:12">
      <c r="A824" t="s">
        <v>1574</v>
      </c>
      <c r="B824" t="s">
        <v>215</v>
      </c>
      <c r="C824" t="s">
        <v>61</v>
      </c>
      <c r="D824">
        <v>-24690</v>
      </c>
      <c r="E824" t="s">
        <v>62</v>
      </c>
      <c r="F824" t="s">
        <v>32</v>
      </c>
      <c r="G824" t="s">
        <v>63</v>
      </c>
      <c r="H824" t="s">
        <v>45</v>
      </c>
      <c r="I824" t="s">
        <v>40</v>
      </c>
      <c r="J824" s="11">
        <v>45546</v>
      </c>
      <c r="K824" t="str">
        <f>TEXT(Transactions_Clean[[#This Row],[Date]],"MMM-YYYY")</f>
        <v>Sep-2024</v>
      </c>
      <c r="L824">
        <f>IF(Transactions_Clean[[#This Row],[Category]]="Revenue",Transactions_Clean[[#This Row],[Amount(₹)]],Transactions_Clean[[#This Row],[Amount(₹)]]/8)</f>
        <v>-3086.25</v>
      </c>
    </row>
    <row r="825" spans="1:12">
      <c r="A825" t="s">
        <v>1576</v>
      </c>
      <c r="B825" t="s">
        <v>215</v>
      </c>
      <c r="C825" t="s">
        <v>61</v>
      </c>
      <c r="D825">
        <v>-64973</v>
      </c>
      <c r="E825" t="s">
        <v>62</v>
      </c>
      <c r="F825" t="s">
        <v>32</v>
      </c>
      <c r="G825" t="s">
        <v>63</v>
      </c>
      <c r="H825" t="s">
        <v>26</v>
      </c>
      <c r="I825" t="s">
        <v>48</v>
      </c>
      <c r="J825" s="11">
        <v>45200</v>
      </c>
      <c r="K825" t="str">
        <f>TEXT(Transactions_Clean[[#This Row],[Date]],"MMM-YYYY")</f>
        <v>Oct-2023</v>
      </c>
      <c r="L825">
        <f>IF(Transactions_Clean[[#This Row],[Category]]="Revenue",Transactions_Clean[[#This Row],[Amount(₹)]],Transactions_Clean[[#This Row],[Amount(₹)]]/8)</f>
        <v>-8121.625</v>
      </c>
    </row>
    <row r="826" spans="1:12">
      <c r="A826" t="s">
        <v>1578</v>
      </c>
      <c r="B826" t="s">
        <v>100</v>
      </c>
      <c r="C826" t="s">
        <v>4750</v>
      </c>
      <c r="D826">
        <v>-6364</v>
      </c>
      <c r="E826" t="s">
        <v>23</v>
      </c>
      <c r="F826" t="s">
        <v>24</v>
      </c>
      <c r="G826" t="s">
        <v>33</v>
      </c>
      <c r="H826" t="s">
        <v>45</v>
      </c>
      <c r="I826" t="s">
        <v>40</v>
      </c>
      <c r="J826" s="11">
        <v>45563</v>
      </c>
      <c r="K826" t="str">
        <f>TEXT(Transactions_Clean[[#This Row],[Date]],"MMM-YYYY")</f>
        <v>Sep-2024</v>
      </c>
      <c r="L826">
        <f>IF(Transactions_Clean[[#This Row],[Category]]="Revenue",Transactions_Clean[[#This Row],[Amount(₹)]],Transactions_Clean[[#This Row],[Amount(₹)]]/8)</f>
        <v>-795.5</v>
      </c>
    </row>
    <row r="827" spans="1:12">
      <c r="A827" t="s">
        <v>1580</v>
      </c>
      <c r="B827" t="s">
        <v>215</v>
      </c>
      <c r="C827" t="s">
        <v>4750</v>
      </c>
      <c r="D827">
        <v>-54910</v>
      </c>
      <c r="E827" t="s">
        <v>62</v>
      </c>
      <c r="F827" t="s">
        <v>24</v>
      </c>
      <c r="G827" t="s">
        <v>63</v>
      </c>
      <c r="H827" t="s">
        <v>26</v>
      </c>
      <c r="I827" t="s">
        <v>48</v>
      </c>
      <c r="J827" s="11">
        <v>45291</v>
      </c>
      <c r="K827" t="str">
        <f>TEXT(Transactions_Clean[[#This Row],[Date]],"MMM-YYYY")</f>
        <v>Dec-2023</v>
      </c>
      <c r="L827">
        <f>IF(Transactions_Clean[[#This Row],[Category]]="Revenue",Transactions_Clean[[#This Row],[Amount(₹)]],Transactions_Clean[[#This Row],[Amount(₹)]]/8)</f>
        <v>-6863.75</v>
      </c>
    </row>
    <row r="828" spans="1:12">
      <c r="A828" t="s">
        <v>1582</v>
      </c>
      <c r="B828" t="s">
        <v>87</v>
      </c>
      <c r="C828" t="s">
        <v>22</v>
      </c>
      <c r="D828">
        <v>-177523</v>
      </c>
      <c r="E828" t="s">
        <v>23</v>
      </c>
      <c r="F828" t="s">
        <v>32</v>
      </c>
      <c r="G828" t="s">
        <v>25</v>
      </c>
      <c r="H828" t="s">
        <v>45</v>
      </c>
      <c r="I828" t="s">
        <v>34</v>
      </c>
      <c r="J828" s="11">
        <v>45442</v>
      </c>
      <c r="K828" t="str">
        <f>TEXT(Transactions_Clean[[#This Row],[Date]],"MMM-YYYY")</f>
        <v>May-2024</v>
      </c>
      <c r="L828">
        <f>IF(Transactions_Clean[[#This Row],[Category]]="Revenue",Transactions_Clean[[#This Row],[Amount(₹)]],Transactions_Clean[[#This Row],[Amount(₹)]]/8)</f>
        <v>-22190.375</v>
      </c>
    </row>
    <row r="829" spans="1:12">
      <c r="A829" t="s">
        <v>1584</v>
      </c>
      <c r="B829" t="s">
        <v>60</v>
      </c>
      <c r="C829" t="s">
        <v>61</v>
      </c>
      <c r="D829">
        <v>-15254</v>
      </c>
      <c r="E829" t="s">
        <v>62</v>
      </c>
      <c r="F829" t="s">
        <v>32</v>
      </c>
      <c r="G829" t="s">
        <v>63</v>
      </c>
      <c r="H829" t="s">
        <v>45</v>
      </c>
      <c r="I829" t="s">
        <v>40</v>
      </c>
      <c r="J829" s="11">
        <v>45530</v>
      </c>
      <c r="K829" t="str">
        <f>TEXT(Transactions_Clean[[#This Row],[Date]],"MMM-YYYY")</f>
        <v>Aug-2024</v>
      </c>
      <c r="L829">
        <f>IF(Transactions_Clean[[#This Row],[Category]]="Revenue",Transactions_Clean[[#This Row],[Amount(₹)]],Transactions_Clean[[#This Row],[Amount(₹)]]/8)</f>
        <v>-1906.75</v>
      </c>
    </row>
    <row r="830" spans="1:12">
      <c r="A830" t="s">
        <v>1585</v>
      </c>
      <c r="B830" t="s">
        <v>116</v>
      </c>
      <c r="C830" t="s">
        <v>73</v>
      </c>
      <c r="D830">
        <v>-79532</v>
      </c>
      <c r="E830" t="s">
        <v>74</v>
      </c>
      <c r="F830" t="s">
        <v>24</v>
      </c>
      <c r="G830" t="s">
        <v>25</v>
      </c>
      <c r="H830" t="s">
        <v>39</v>
      </c>
      <c r="I830" t="s">
        <v>40</v>
      </c>
      <c r="J830" s="11">
        <v>45869</v>
      </c>
      <c r="K830" t="str">
        <f>TEXT(Transactions_Clean[[#This Row],[Date]],"MMM-YYYY")</f>
        <v>Jul-2025</v>
      </c>
      <c r="L830">
        <f>IF(Transactions_Clean[[#This Row],[Category]]="Revenue",Transactions_Clean[[#This Row],[Amount(₹)]],Transactions_Clean[[#This Row],[Amount(₹)]]/8)</f>
        <v>-9941.5</v>
      </c>
    </row>
    <row r="831" spans="1:12">
      <c r="A831" t="s">
        <v>1587</v>
      </c>
      <c r="B831" t="s">
        <v>4766</v>
      </c>
      <c r="C831" t="s">
        <v>73</v>
      </c>
      <c r="D831">
        <v>-84454</v>
      </c>
      <c r="E831" t="s">
        <v>74</v>
      </c>
      <c r="F831" t="s">
        <v>24</v>
      </c>
      <c r="G831" t="s">
        <v>25</v>
      </c>
      <c r="H831" t="s">
        <v>39</v>
      </c>
      <c r="I831" t="s">
        <v>27</v>
      </c>
      <c r="J831" s="11">
        <v>46060</v>
      </c>
      <c r="K831" t="str">
        <f>TEXT(Transactions_Clean[[#This Row],[Date]],"MMM-YYYY")</f>
        <v>Feb-2026</v>
      </c>
      <c r="L831">
        <f>IF(Transactions_Clean[[#This Row],[Category]]="Revenue",Transactions_Clean[[#This Row],[Amount(₹)]],Transactions_Clean[[#This Row],[Amount(₹)]]/8)</f>
        <v>-10556.75</v>
      </c>
    </row>
    <row r="832" spans="1:12">
      <c r="A832" t="s">
        <v>1588</v>
      </c>
      <c r="B832" t="s">
        <v>935</v>
      </c>
      <c r="C832" t="s">
        <v>22</v>
      </c>
      <c r="D832">
        <v>-72454</v>
      </c>
      <c r="E832" t="s">
        <v>23</v>
      </c>
      <c r="F832" t="s">
        <v>32</v>
      </c>
      <c r="G832" t="s">
        <v>25</v>
      </c>
      <c r="H832" t="s">
        <v>39</v>
      </c>
      <c r="I832" t="s">
        <v>48</v>
      </c>
      <c r="J832" s="11">
        <v>45999</v>
      </c>
      <c r="K832" t="str">
        <f>TEXT(Transactions_Clean[[#This Row],[Date]],"MMM-YYYY")</f>
        <v>Dec-2025</v>
      </c>
      <c r="L832">
        <f>IF(Transactions_Clean[[#This Row],[Category]]="Revenue",Transactions_Clean[[#This Row],[Amount(₹)]],Transactions_Clean[[#This Row],[Amount(₹)]]/8)</f>
        <v>-9056.75</v>
      </c>
    </row>
    <row r="833" spans="1:12">
      <c r="A833" t="s">
        <v>1590</v>
      </c>
      <c r="B833" t="s">
        <v>4757</v>
      </c>
      <c r="C833" t="s">
        <v>73</v>
      </c>
      <c r="D833">
        <v>-63552</v>
      </c>
      <c r="E833" t="s">
        <v>74</v>
      </c>
      <c r="F833" t="s">
        <v>24</v>
      </c>
      <c r="G833" t="s">
        <v>25</v>
      </c>
      <c r="H833" t="s">
        <v>45</v>
      </c>
      <c r="I833" t="s">
        <v>40</v>
      </c>
      <c r="J833" s="11">
        <v>45554</v>
      </c>
      <c r="K833" t="str">
        <f>TEXT(Transactions_Clean[[#This Row],[Date]],"MMM-YYYY")</f>
        <v>Sep-2024</v>
      </c>
      <c r="L833">
        <f>IF(Transactions_Clean[[#This Row],[Category]]="Revenue",Transactions_Clean[[#This Row],[Amount(₹)]],Transactions_Clean[[#This Row],[Amount(₹)]]/8)</f>
        <v>-7944</v>
      </c>
    </row>
    <row r="834" spans="1:12">
      <c r="A834" t="s">
        <v>1591</v>
      </c>
      <c r="B834" t="s">
        <v>66</v>
      </c>
      <c r="C834" t="s">
        <v>4750</v>
      </c>
      <c r="D834">
        <v>-47818</v>
      </c>
      <c r="E834" t="s">
        <v>62</v>
      </c>
      <c r="F834" t="s">
        <v>24</v>
      </c>
      <c r="G834" t="s">
        <v>63</v>
      </c>
      <c r="H834" t="s">
        <v>39</v>
      </c>
      <c r="I834" t="s">
        <v>34</v>
      </c>
      <c r="J834" s="11">
        <v>45761</v>
      </c>
      <c r="K834" t="str">
        <f>TEXT(Transactions_Clean[[#This Row],[Date]],"MMM-YYYY")</f>
        <v>Apr-2025</v>
      </c>
      <c r="L834">
        <f>IF(Transactions_Clean[[#This Row],[Category]]="Revenue",Transactions_Clean[[#This Row],[Amount(₹)]],Transactions_Clean[[#This Row],[Amount(₹)]]/8)</f>
        <v>-5977.25</v>
      </c>
    </row>
    <row r="835" spans="1:12">
      <c r="A835" t="s">
        <v>1592</v>
      </c>
      <c r="B835" t="s">
        <v>212</v>
      </c>
      <c r="C835" t="s">
        <v>73</v>
      </c>
      <c r="D835">
        <v>-85251</v>
      </c>
      <c r="E835" t="s">
        <v>74</v>
      </c>
      <c r="F835" t="s">
        <v>24</v>
      </c>
      <c r="G835" t="s">
        <v>25</v>
      </c>
      <c r="H835" t="s">
        <v>26</v>
      </c>
      <c r="I835" t="s">
        <v>27</v>
      </c>
      <c r="J835" s="11">
        <v>45328</v>
      </c>
      <c r="K835" t="str">
        <f>TEXT(Transactions_Clean[[#This Row],[Date]],"MMM-YYYY")</f>
        <v>Feb-2024</v>
      </c>
      <c r="L835">
        <f>IF(Transactions_Clean[[#This Row],[Category]]="Revenue",Transactions_Clean[[#This Row],[Amount(₹)]],Transactions_Clean[[#This Row],[Amount(₹)]]/8)</f>
        <v>-10656.375</v>
      </c>
    </row>
    <row r="836" spans="1:12">
      <c r="A836" t="s">
        <v>1593</v>
      </c>
      <c r="B836" t="s">
        <v>177</v>
      </c>
      <c r="C836" t="s">
        <v>78</v>
      </c>
      <c r="D836">
        <v>-64394</v>
      </c>
      <c r="E836" t="s">
        <v>23</v>
      </c>
      <c r="F836" t="s">
        <v>24</v>
      </c>
      <c r="G836" t="s">
        <v>79</v>
      </c>
      <c r="H836" t="s">
        <v>45</v>
      </c>
      <c r="I836" t="s">
        <v>27</v>
      </c>
      <c r="J836" s="11">
        <v>45744</v>
      </c>
      <c r="K836" t="str">
        <f>TEXT(Transactions_Clean[[#This Row],[Date]],"MMM-YYYY")</f>
        <v>Mar-2025</v>
      </c>
      <c r="L836">
        <f>IF(Transactions_Clean[[#This Row],[Category]]="Revenue",Transactions_Clean[[#This Row],[Amount(₹)]],Transactions_Clean[[#This Row],[Amount(₹)]]/8)</f>
        <v>-8049.25</v>
      </c>
    </row>
    <row r="837" spans="1:12">
      <c r="A837" t="s">
        <v>1594</v>
      </c>
      <c r="B837" t="s">
        <v>161</v>
      </c>
      <c r="C837" t="s">
        <v>22</v>
      </c>
      <c r="D837">
        <v>-154773</v>
      </c>
      <c r="E837" t="s">
        <v>23</v>
      </c>
      <c r="F837" t="s">
        <v>32</v>
      </c>
      <c r="G837" t="s">
        <v>25</v>
      </c>
      <c r="H837" t="s">
        <v>45</v>
      </c>
      <c r="I837" t="s">
        <v>48</v>
      </c>
      <c r="J837" s="11">
        <v>45640</v>
      </c>
      <c r="K837" t="str">
        <f>TEXT(Transactions_Clean[[#This Row],[Date]],"MMM-YYYY")</f>
        <v>Dec-2024</v>
      </c>
      <c r="L837">
        <f>IF(Transactions_Clean[[#This Row],[Category]]="Revenue",Transactions_Clean[[#This Row],[Amount(₹)]],Transactions_Clean[[#This Row],[Amount(₹)]]/8)</f>
        <v>-19346.625</v>
      </c>
    </row>
    <row r="838" spans="1:12">
      <c r="A838" t="s">
        <v>1596</v>
      </c>
      <c r="B838" t="s">
        <v>215</v>
      </c>
      <c r="C838" t="s">
        <v>61</v>
      </c>
      <c r="D838">
        <v>-45248</v>
      </c>
      <c r="E838" t="s">
        <v>62</v>
      </c>
      <c r="F838" t="s">
        <v>24</v>
      </c>
      <c r="G838" t="s">
        <v>63</v>
      </c>
      <c r="H838" t="s">
        <v>26</v>
      </c>
      <c r="I838" t="s">
        <v>34</v>
      </c>
      <c r="J838" s="11">
        <v>44991</v>
      </c>
      <c r="K838" t="str">
        <f>TEXT(Transactions_Clean[[#This Row],[Date]],"MMM-YYYY")</f>
        <v>Mar-2023</v>
      </c>
      <c r="L838">
        <f>IF(Transactions_Clean[[#This Row],[Category]]="Revenue",Transactions_Clean[[#This Row],[Amount(₹)]],Transactions_Clean[[#This Row],[Amount(₹)]]/8)</f>
        <v>-5656</v>
      </c>
    </row>
    <row r="839" spans="1:12">
      <c r="A839" t="s">
        <v>1598</v>
      </c>
      <c r="B839" t="s">
        <v>180</v>
      </c>
      <c r="C839" t="s">
        <v>44</v>
      </c>
      <c r="D839">
        <v>-157058</v>
      </c>
      <c r="E839" t="s">
        <v>23</v>
      </c>
      <c r="F839" t="s">
        <v>24</v>
      </c>
      <c r="G839" t="s">
        <v>33</v>
      </c>
      <c r="H839" t="s">
        <v>39</v>
      </c>
      <c r="I839" t="s">
        <v>48</v>
      </c>
      <c r="J839" s="11">
        <v>45992</v>
      </c>
      <c r="K839" t="str">
        <f>TEXT(Transactions_Clean[[#This Row],[Date]],"MMM-YYYY")</f>
        <v>Dec-2025</v>
      </c>
      <c r="L839">
        <f>IF(Transactions_Clean[[#This Row],[Category]]="Revenue",Transactions_Clean[[#This Row],[Amount(₹)]],Transactions_Clean[[#This Row],[Amount(₹)]]/8)</f>
        <v>-19632.25</v>
      </c>
    </row>
    <row r="840" spans="1:12">
      <c r="A840" t="s">
        <v>1599</v>
      </c>
      <c r="B840" t="s">
        <v>215</v>
      </c>
      <c r="C840" t="s">
        <v>61</v>
      </c>
      <c r="D840">
        <v>-35026</v>
      </c>
      <c r="E840" t="s">
        <v>62</v>
      </c>
      <c r="F840" t="s">
        <v>24</v>
      </c>
      <c r="G840" t="s">
        <v>63</v>
      </c>
      <c r="H840" t="s">
        <v>26</v>
      </c>
      <c r="I840" t="s">
        <v>27</v>
      </c>
      <c r="J840" s="11">
        <v>45567</v>
      </c>
      <c r="K840" t="str">
        <f>TEXT(Transactions_Clean[[#This Row],[Date]],"MMM-YYYY")</f>
        <v>Oct-2024</v>
      </c>
      <c r="L840">
        <f>IF(Transactions_Clean[[#This Row],[Category]]="Revenue",Transactions_Clean[[#This Row],[Amount(₹)]],Transactions_Clean[[#This Row],[Amount(₹)]]/8)</f>
        <v>-4378.25</v>
      </c>
    </row>
    <row r="841" spans="1:12">
      <c r="A841" t="s">
        <v>1601</v>
      </c>
      <c r="B841" t="s">
        <v>4752</v>
      </c>
      <c r="C841" t="s">
        <v>44</v>
      </c>
      <c r="D841">
        <v>-43305</v>
      </c>
      <c r="E841" t="s">
        <v>23</v>
      </c>
      <c r="F841" t="s">
        <v>32</v>
      </c>
      <c r="G841" t="s">
        <v>33</v>
      </c>
      <c r="H841" t="s">
        <v>26</v>
      </c>
      <c r="I841" t="s">
        <v>40</v>
      </c>
      <c r="J841" s="11">
        <v>45110</v>
      </c>
      <c r="K841" t="str">
        <f>TEXT(Transactions_Clean[[#This Row],[Date]],"MMM-YYYY")</f>
        <v>Jul-2023</v>
      </c>
      <c r="L841">
        <f>IF(Transactions_Clean[[#This Row],[Category]]="Revenue",Transactions_Clean[[#This Row],[Amount(₹)]],Transactions_Clean[[#This Row],[Amount(₹)]]/8)</f>
        <v>-5413.125</v>
      </c>
    </row>
    <row r="842" spans="1:12">
      <c r="A842" t="s">
        <v>1602</v>
      </c>
      <c r="B842" t="s">
        <v>174</v>
      </c>
      <c r="C842" t="s">
        <v>22</v>
      </c>
      <c r="D842">
        <v>-193149</v>
      </c>
      <c r="E842" t="s">
        <v>23</v>
      </c>
      <c r="F842" t="s">
        <v>32</v>
      </c>
      <c r="G842" t="s">
        <v>25</v>
      </c>
      <c r="H842" t="s">
        <v>26</v>
      </c>
      <c r="I842" t="s">
        <v>40</v>
      </c>
      <c r="J842" s="11">
        <v>45181</v>
      </c>
      <c r="K842" t="str">
        <f>TEXT(Transactions_Clean[[#This Row],[Date]],"MMM-YYYY")</f>
        <v>Sep-2023</v>
      </c>
      <c r="L842">
        <f>IF(Transactions_Clean[[#This Row],[Category]]="Revenue",Transactions_Clean[[#This Row],[Amount(₹)]],Transactions_Clean[[#This Row],[Amount(₹)]]/8)</f>
        <v>-24143.625</v>
      </c>
    </row>
    <row r="843" spans="1:12">
      <c r="A843" t="s">
        <v>1604</v>
      </c>
      <c r="B843" t="s">
        <v>51</v>
      </c>
      <c r="C843" t="s">
        <v>31</v>
      </c>
      <c r="D843">
        <v>-17479</v>
      </c>
      <c r="E843" t="s">
        <v>23</v>
      </c>
      <c r="F843" t="s">
        <v>24</v>
      </c>
      <c r="G843" t="s">
        <v>33</v>
      </c>
      <c r="H843" t="s">
        <v>45</v>
      </c>
      <c r="I843" t="s">
        <v>34</v>
      </c>
      <c r="J843" s="11">
        <v>45392</v>
      </c>
      <c r="K843" t="str">
        <f>TEXT(Transactions_Clean[[#This Row],[Date]],"MMM-YYYY")</f>
        <v>Apr-2024</v>
      </c>
      <c r="L843">
        <f>IF(Transactions_Clean[[#This Row],[Category]]="Revenue",Transactions_Clean[[#This Row],[Amount(₹)]],Transactions_Clean[[#This Row],[Amount(₹)]]/8)</f>
        <v>-2184.875</v>
      </c>
    </row>
    <row r="844" spans="1:12">
      <c r="A844" t="s">
        <v>1605</v>
      </c>
      <c r="B844" t="s">
        <v>305</v>
      </c>
      <c r="C844" t="s">
        <v>38</v>
      </c>
      <c r="D844">
        <v>-9061</v>
      </c>
      <c r="E844" t="s">
        <v>23</v>
      </c>
      <c r="F844" t="s">
        <v>24</v>
      </c>
      <c r="G844" t="s">
        <v>33</v>
      </c>
      <c r="H844" t="s">
        <v>45</v>
      </c>
      <c r="I844" t="s">
        <v>48</v>
      </c>
      <c r="J844" s="11">
        <v>45615</v>
      </c>
      <c r="K844" t="str">
        <f>TEXT(Transactions_Clean[[#This Row],[Date]],"MMM-YYYY")</f>
        <v>Nov-2024</v>
      </c>
      <c r="L844">
        <f>IF(Transactions_Clean[[#This Row],[Category]]="Revenue",Transactions_Clean[[#This Row],[Amount(₹)]],Transactions_Clean[[#This Row],[Amount(₹)]]/8)</f>
        <v>-1132.625</v>
      </c>
    </row>
    <row r="845" spans="1:12">
      <c r="A845" t="s">
        <v>1606</v>
      </c>
      <c r="B845" t="s">
        <v>66</v>
      </c>
      <c r="C845" t="s">
        <v>61</v>
      </c>
      <c r="D845">
        <v>-59784</v>
      </c>
      <c r="E845" t="s">
        <v>62</v>
      </c>
      <c r="F845" t="s">
        <v>32</v>
      </c>
      <c r="G845" t="s">
        <v>63</v>
      </c>
      <c r="H845" t="s">
        <v>26</v>
      </c>
      <c r="I845" t="s">
        <v>34</v>
      </c>
      <c r="J845" s="11">
        <v>45024</v>
      </c>
      <c r="K845" t="str">
        <f>TEXT(Transactions_Clean[[#This Row],[Date]],"MMM-YYYY")</f>
        <v>Apr-2023</v>
      </c>
      <c r="L845">
        <f>IF(Transactions_Clean[[#This Row],[Category]]="Revenue",Transactions_Clean[[#This Row],[Amount(₹)]],Transactions_Clean[[#This Row],[Amount(₹)]]/8)</f>
        <v>-7473</v>
      </c>
    </row>
    <row r="846" spans="1:12">
      <c r="A846" t="s">
        <v>1607</v>
      </c>
      <c r="B846" t="s">
        <v>66</v>
      </c>
      <c r="C846" t="s">
        <v>61</v>
      </c>
      <c r="D846">
        <v>-22069</v>
      </c>
      <c r="E846" t="s">
        <v>62</v>
      </c>
      <c r="F846" t="s">
        <v>24</v>
      </c>
      <c r="G846" t="s">
        <v>63</v>
      </c>
      <c r="H846" t="s">
        <v>39</v>
      </c>
      <c r="I846" t="s">
        <v>48</v>
      </c>
      <c r="J846" s="11">
        <v>45989</v>
      </c>
      <c r="K846" t="str">
        <f>TEXT(Transactions_Clean[[#This Row],[Date]],"MMM-YYYY")</f>
        <v>Nov-2025</v>
      </c>
      <c r="L846">
        <f>IF(Transactions_Clean[[#This Row],[Category]]="Revenue",Transactions_Clean[[#This Row],[Amount(₹)]],Transactions_Clean[[#This Row],[Amount(₹)]]/8)</f>
        <v>-2758.625</v>
      </c>
    </row>
    <row r="847" spans="1:12">
      <c r="A847" t="s">
        <v>1609</v>
      </c>
      <c r="B847" t="s">
        <v>4769</v>
      </c>
      <c r="C847" t="s">
        <v>44</v>
      </c>
      <c r="D847">
        <v>-159054</v>
      </c>
      <c r="E847" t="s">
        <v>23</v>
      </c>
      <c r="F847" t="s">
        <v>24</v>
      </c>
      <c r="G847" t="s">
        <v>33</v>
      </c>
      <c r="H847" t="s">
        <v>45</v>
      </c>
      <c r="I847" t="s">
        <v>34</v>
      </c>
      <c r="J847" s="11">
        <v>45437</v>
      </c>
      <c r="K847" t="str">
        <f>TEXT(Transactions_Clean[[#This Row],[Date]],"MMM-YYYY")</f>
        <v>May-2024</v>
      </c>
      <c r="L847">
        <f>IF(Transactions_Clean[[#This Row],[Category]]="Revenue",Transactions_Clean[[#This Row],[Amount(₹)]],Transactions_Clean[[#This Row],[Amount(₹)]]/8)</f>
        <v>-19881.75</v>
      </c>
    </row>
    <row r="848" spans="1:12">
      <c r="A848" t="s">
        <v>1610</v>
      </c>
      <c r="B848" t="s">
        <v>4758</v>
      </c>
      <c r="C848" t="s">
        <v>78</v>
      </c>
      <c r="D848">
        <v>-54576</v>
      </c>
      <c r="E848" t="s">
        <v>23</v>
      </c>
      <c r="F848" t="s">
        <v>24</v>
      </c>
      <c r="G848" t="s">
        <v>79</v>
      </c>
      <c r="H848" t="s">
        <v>45</v>
      </c>
      <c r="I848" t="s">
        <v>40</v>
      </c>
      <c r="J848" s="11">
        <v>45502</v>
      </c>
      <c r="K848" t="str">
        <f>TEXT(Transactions_Clean[[#This Row],[Date]],"MMM-YYYY")</f>
        <v>Jul-2024</v>
      </c>
      <c r="L848">
        <f>IF(Transactions_Clean[[#This Row],[Category]]="Revenue",Transactions_Clean[[#This Row],[Amount(₹)]],Transactions_Clean[[#This Row],[Amount(₹)]]/8)</f>
        <v>-6822</v>
      </c>
    </row>
    <row r="849" spans="1:12">
      <c r="A849" t="s">
        <v>1611</v>
      </c>
      <c r="B849" t="s">
        <v>161</v>
      </c>
      <c r="C849" t="s">
        <v>4750</v>
      </c>
      <c r="D849">
        <v>-38178</v>
      </c>
      <c r="E849" t="s">
        <v>23</v>
      </c>
      <c r="F849" t="s">
        <v>32</v>
      </c>
      <c r="G849" t="s">
        <v>25</v>
      </c>
      <c r="H849" t="s">
        <v>39</v>
      </c>
      <c r="I849" t="s">
        <v>27</v>
      </c>
      <c r="J849" s="11">
        <v>46072</v>
      </c>
      <c r="K849" t="str">
        <f>TEXT(Transactions_Clean[[#This Row],[Date]],"MMM-YYYY")</f>
        <v>Feb-2026</v>
      </c>
      <c r="L849">
        <f>IF(Transactions_Clean[[#This Row],[Category]]="Revenue",Transactions_Clean[[#This Row],[Amount(₹)]],Transactions_Clean[[#This Row],[Amount(₹)]]/8)</f>
        <v>-4772.25</v>
      </c>
    </row>
    <row r="850" spans="1:12">
      <c r="A850" t="s">
        <v>1612</v>
      </c>
      <c r="B850" t="s">
        <v>290</v>
      </c>
      <c r="C850" t="s">
        <v>440</v>
      </c>
      <c r="D850">
        <v>-154911</v>
      </c>
      <c r="E850" t="s">
        <v>23</v>
      </c>
      <c r="F850" t="s">
        <v>32</v>
      </c>
      <c r="G850" t="s">
        <v>33</v>
      </c>
      <c r="H850" t="s">
        <v>45</v>
      </c>
      <c r="I850" t="s">
        <v>48</v>
      </c>
      <c r="J850" s="11">
        <v>45650</v>
      </c>
      <c r="K850" t="str">
        <f>TEXT(Transactions_Clean[[#This Row],[Date]],"MMM-YYYY")</f>
        <v>Dec-2024</v>
      </c>
      <c r="L850">
        <f>IF(Transactions_Clean[[#This Row],[Category]]="Revenue",Transactions_Clean[[#This Row],[Amount(₹)]],Transactions_Clean[[#This Row],[Amount(₹)]]/8)</f>
        <v>-19363.875</v>
      </c>
    </row>
    <row r="851" spans="1:12">
      <c r="A851" t="s">
        <v>1614</v>
      </c>
      <c r="B851" t="s">
        <v>169</v>
      </c>
      <c r="C851" t="s">
        <v>73</v>
      </c>
      <c r="D851">
        <v>-39369</v>
      </c>
      <c r="E851" t="s">
        <v>74</v>
      </c>
      <c r="F851" t="s">
        <v>24</v>
      </c>
      <c r="G851" t="s">
        <v>25</v>
      </c>
      <c r="H851" t="s">
        <v>26</v>
      </c>
      <c r="I851" t="s">
        <v>40</v>
      </c>
      <c r="J851" s="11">
        <v>45125</v>
      </c>
      <c r="K851" t="str">
        <f>TEXT(Transactions_Clean[[#This Row],[Date]],"MMM-YYYY")</f>
        <v>Jul-2023</v>
      </c>
      <c r="L851">
        <f>IF(Transactions_Clean[[#This Row],[Category]]="Revenue",Transactions_Clean[[#This Row],[Amount(₹)]],Transactions_Clean[[#This Row],[Amount(₹)]]/8)</f>
        <v>-4921.125</v>
      </c>
    </row>
    <row r="852" spans="1:12">
      <c r="A852" t="s">
        <v>1616</v>
      </c>
      <c r="B852" t="s">
        <v>4766</v>
      </c>
      <c r="C852" t="s">
        <v>73</v>
      </c>
      <c r="D852">
        <v>-27669</v>
      </c>
      <c r="E852" t="s">
        <v>74</v>
      </c>
      <c r="F852" t="s">
        <v>24</v>
      </c>
      <c r="G852" t="s">
        <v>25</v>
      </c>
      <c r="H852" t="s">
        <v>45</v>
      </c>
      <c r="I852" t="s">
        <v>40</v>
      </c>
      <c r="J852" s="11">
        <v>45565</v>
      </c>
      <c r="K852" t="str">
        <f>TEXT(Transactions_Clean[[#This Row],[Date]],"MMM-YYYY")</f>
        <v>Sep-2024</v>
      </c>
      <c r="L852">
        <f>IF(Transactions_Clean[[#This Row],[Category]]="Revenue",Transactions_Clean[[#This Row],[Amount(₹)]],Transactions_Clean[[#This Row],[Amount(₹)]]/8)</f>
        <v>-3458.625</v>
      </c>
    </row>
    <row r="853" spans="1:12">
      <c r="A853" t="s">
        <v>1618</v>
      </c>
      <c r="B853" t="s">
        <v>4763</v>
      </c>
      <c r="C853" t="s">
        <v>22</v>
      </c>
      <c r="D853">
        <v>-32558</v>
      </c>
      <c r="E853" t="s">
        <v>23</v>
      </c>
      <c r="F853" t="s">
        <v>24</v>
      </c>
      <c r="G853" t="s">
        <v>25</v>
      </c>
      <c r="H853" t="s">
        <v>26</v>
      </c>
      <c r="I853" t="s">
        <v>27</v>
      </c>
      <c r="J853" s="11">
        <v>45375</v>
      </c>
      <c r="K853" t="str">
        <f>TEXT(Transactions_Clean[[#This Row],[Date]],"MMM-YYYY")</f>
        <v>Mar-2024</v>
      </c>
      <c r="L853">
        <f>IF(Transactions_Clean[[#This Row],[Category]]="Revenue",Transactions_Clean[[#This Row],[Amount(₹)]],Transactions_Clean[[#This Row],[Amount(₹)]]/8)</f>
        <v>-4069.75</v>
      </c>
    </row>
    <row r="854" spans="1:12">
      <c r="A854" t="s">
        <v>1619</v>
      </c>
      <c r="B854" t="s">
        <v>202</v>
      </c>
      <c r="C854" t="s">
        <v>22</v>
      </c>
      <c r="D854">
        <v>-31699</v>
      </c>
      <c r="E854" t="s">
        <v>23</v>
      </c>
      <c r="F854" t="s">
        <v>24</v>
      </c>
      <c r="G854" t="s">
        <v>25</v>
      </c>
      <c r="H854" t="s">
        <v>45</v>
      </c>
      <c r="I854" t="s">
        <v>40</v>
      </c>
      <c r="J854" s="11">
        <v>45557</v>
      </c>
      <c r="K854" t="str">
        <f>TEXT(Transactions_Clean[[#This Row],[Date]],"MMM-YYYY")</f>
        <v>Sep-2024</v>
      </c>
      <c r="L854">
        <f>IF(Transactions_Clean[[#This Row],[Category]]="Revenue",Transactions_Clean[[#This Row],[Amount(₹)]],Transactions_Clean[[#This Row],[Amount(₹)]]/8)</f>
        <v>-3962.375</v>
      </c>
    </row>
    <row r="855" spans="1:12">
      <c r="A855" t="s">
        <v>1621</v>
      </c>
      <c r="B855" t="s">
        <v>4771</v>
      </c>
      <c r="C855" t="s">
        <v>440</v>
      </c>
      <c r="D855">
        <v>-95530</v>
      </c>
      <c r="E855" t="s">
        <v>23</v>
      </c>
      <c r="F855" t="s">
        <v>24</v>
      </c>
      <c r="G855" t="s">
        <v>33</v>
      </c>
      <c r="H855" t="s">
        <v>26</v>
      </c>
      <c r="I855" t="s">
        <v>34</v>
      </c>
      <c r="J855" s="11">
        <v>45065</v>
      </c>
      <c r="K855" t="str">
        <f>TEXT(Transactions_Clean[[#This Row],[Date]],"MMM-YYYY")</f>
        <v>May-2023</v>
      </c>
      <c r="L855">
        <f>IF(Transactions_Clean[[#This Row],[Category]]="Revenue",Transactions_Clean[[#This Row],[Amount(₹)]],Transactions_Clean[[#This Row],[Amount(₹)]]/8)</f>
        <v>-11941.25</v>
      </c>
    </row>
    <row r="856" spans="1:12">
      <c r="A856" t="s">
        <v>1622</v>
      </c>
      <c r="B856" t="s">
        <v>60</v>
      </c>
      <c r="C856" t="s">
        <v>61</v>
      </c>
      <c r="D856">
        <v>-33284</v>
      </c>
      <c r="E856" t="s">
        <v>62</v>
      </c>
      <c r="F856" t="s">
        <v>24</v>
      </c>
      <c r="G856" t="s">
        <v>63</v>
      </c>
      <c r="H856" t="s">
        <v>26</v>
      </c>
      <c r="I856" t="s">
        <v>34</v>
      </c>
      <c r="J856" s="11">
        <v>45083</v>
      </c>
      <c r="K856" t="str">
        <f>TEXT(Transactions_Clean[[#This Row],[Date]],"MMM-YYYY")</f>
        <v>Jun-2023</v>
      </c>
      <c r="L856">
        <f>IF(Transactions_Clean[[#This Row],[Category]]="Revenue",Transactions_Clean[[#This Row],[Amount(₹)]],Transactions_Clean[[#This Row],[Amount(₹)]]/8)</f>
        <v>-4160.5</v>
      </c>
    </row>
    <row r="857" spans="1:12">
      <c r="A857" t="s">
        <v>1624</v>
      </c>
      <c r="B857" t="s">
        <v>66</v>
      </c>
      <c r="C857" t="s">
        <v>61</v>
      </c>
      <c r="D857">
        <v>-36294</v>
      </c>
      <c r="E857" t="s">
        <v>62</v>
      </c>
      <c r="F857" t="s">
        <v>24</v>
      </c>
      <c r="G857" t="s">
        <v>63</v>
      </c>
      <c r="H857" t="s">
        <v>39</v>
      </c>
      <c r="I857" t="s">
        <v>48</v>
      </c>
      <c r="J857" s="11">
        <v>46006</v>
      </c>
      <c r="K857" t="str">
        <f>TEXT(Transactions_Clean[[#This Row],[Date]],"MMM-YYYY")</f>
        <v>Dec-2025</v>
      </c>
      <c r="L857">
        <f>IF(Transactions_Clean[[#This Row],[Category]]="Revenue",Transactions_Clean[[#This Row],[Amount(₹)]],Transactions_Clean[[#This Row],[Amount(₹)]]/8)</f>
        <v>-4536.75</v>
      </c>
    </row>
    <row r="858" spans="1:12">
      <c r="A858" t="s">
        <v>1626</v>
      </c>
      <c r="B858" t="s">
        <v>129</v>
      </c>
      <c r="C858" t="s">
        <v>38</v>
      </c>
      <c r="D858">
        <v>-30329</v>
      </c>
      <c r="E858" t="s">
        <v>23</v>
      </c>
      <c r="F858" t="s">
        <v>24</v>
      </c>
      <c r="G858" t="s">
        <v>33</v>
      </c>
      <c r="H858" t="s">
        <v>26</v>
      </c>
      <c r="I858" t="s">
        <v>48</v>
      </c>
      <c r="J858" s="11">
        <v>45267</v>
      </c>
      <c r="K858" t="str">
        <f>TEXT(Transactions_Clean[[#This Row],[Date]],"MMM-YYYY")</f>
        <v>Dec-2023</v>
      </c>
      <c r="L858">
        <f>IF(Transactions_Clean[[#This Row],[Category]]="Revenue",Transactions_Clean[[#This Row],[Amount(₹)]],Transactions_Clean[[#This Row],[Amount(₹)]]/8)</f>
        <v>-3791.125</v>
      </c>
    </row>
    <row r="859" spans="1:12">
      <c r="A859" t="s">
        <v>1628</v>
      </c>
      <c r="B859" t="s">
        <v>143</v>
      </c>
      <c r="C859" t="s">
        <v>78</v>
      </c>
      <c r="D859">
        <v>-22447</v>
      </c>
      <c r="E859" t="s">
        <v>23</v>
      </c>
      <c r="F859" t="s">
        <v>24</v>
      </c>
      <c r="G859" t="s">
        <v>79</v>
      </c>
      <c r="H859" t="s">
        <v>39</v>
      </c>
      <c r="I859" t="s">
        <v>27</v>
      </c>
      <c r="J859" s="11">
        <v>46102</v>
      </c>
      <c r="K859" t="str">
        <f>TEXT(Transactions_Clean[[#This Row],[Date]],"MMM-YYYY")</f>
        <v>Mar-2026</v>
      </c>
      <c r="L859">
        <f>IF(Transactions_Clean[[#This Row],[Category]]="Revenue",Transactions_Clean[[#This Row],[Amount(₹)]],Transactions_Clean[[#This Row],[Amount(₹)]]/8)</f>
        <v>-2805.875</v>
      </c>
    </row>
    <row r="860" spans="1:12">
      <c r="A860" t="s">
        <v>1629</v>
      </c>
      <c r="B860" t="s">
        <v>116</v>
      </c>
      <c r="C860" t="s">
        <v>73</v>
      </c>
      <c r="D860">
        <v>-65484</v>
      </c>
      <c r="E860" t="s">
        <v>74</v>
      </c>
      <c r="F860" t="s">
        <v>24</v>
      </c>
      <c r="G860" t="s">
        <v>25</v>
      </c>
      <c r="H860" t="s">
        <v>45</v>
      </c>
      <c r="I860" t="s">
        <v>34</v>
      </c>
      <c r="J860" s="11">
        <v>45465</v>
      </c>
      <c r="K860" t="str">
        <f>TEXT(Transactions_Clean[[#This Row],[Date]],"MMM-YYYY")</f>
        <v>Jun-2024</v>
      </c>
      <c r="L860">
        <f>IF(Transactions_Clean[[#This Row],[Category]]="Revenue",Transactions_Clean[[#This Row],[Amount(₹)]],Transactions_Clean[[#This Row],[Amount(₹)]]/8)</f>
        <v>-8185.5</v>
      </c>
    </row>
    <row r="861" spans="1:12">
      <c r="A861" t="s">
        <v>1631</v>
      </c>
      <c r="B861" t="s">
        <v>66</v>
      </c>
      <c r="C861" t="s">
        <v>61</v>
      </c>
      <c r="D861">
        <v>-40686</v>
      </c>
      <c r="E861" t="s">
        <v>62</v>
      </c>
      <c r="F861" t="s">
        <v>32</v>
      </c>
      <c r="G861" t="s">
        <v>63</v>
      </c>
      <c r="H861" t="s">
        <v>45</v>
      </c>
      <c r="I861" t="s">
        <v>34</v>
      </c>
      <c r="J861" s="11">
        <v>45417</v>
      </c>
      <c r="K861" t="str">
        <f>TEXT(Transactions_Clean[[#This Row],[Date]],"MMM-YYYY")</f>
        <v>May-2024</v>
      </c>
      <c r="L861">
        <f>IF(Transactions_Clean[[#This Row],[Category]]="Revenue",Transactions_Clean[[#This Row],[Amount(₹)]],Transactions_Clean[[#This Row],[Amount(₹)]]/8)</f>
        <v>-5085.75</v>
      </c>
    </row>
    <row r="862" spans="1:12">
      <c r="A862" t="s">
        <v>1633</v>
      </c>
      <c r="B862" t="s">
        <v>4766</v>
      </c>
      <c r="C862" t="s">
        <v>73</v>
      </c>
      <c r="D862">
        <v>-76612</v>
      </c>
      <c r="E862" t="s">
        <v>74</v>
      </c>
      <c r="F862" t="s">
        <v>32</v>
      </c>
      <c r="G862" t="s">
        <v>25</v>
      </c>
      <c r="H862" t="s">
        <v>45</v>
      </c>
      <c r="I862" t="s">
        <v>27</v>
      </c>
      <c r="J862" s="11">
        <v>45746</v>
      </c>
      <c r="K862" t="str">
        <f>TEXT(Transactions_Clean[[#This Row],[Date]],"MMM-YYYY")</f>
        <v>Mar-2025</v>
      </c>
      <c r="L862">
        <f>IF(Transactions_Clean[[#This Row],[Category]]="Revenue",Transactions_Clean[[#This Row],[Amount(₹)]],Transactions_Clean[[#This Row],[Amount(₹)]]/8)</f>
        <v>-9576.5</v>
      </c>
    </row>
    <row r="863" spans="1:12">
      <c r="A863" t="s">
        <v>1634</v>
      </c>
      <c r="B863" t="s">
        <v>4769</v>
      </c>
      <c r="C863" t="s">
        <v>44</v>
      </c>
      <c r="D863">
        <v>-121852</v>
      </c>
      <c r="E863" t="s">
        <v>23</v>
      </c>
      <c r="F863" t="s">
        <v>32</v>
      </c>
      <c r="G863" t="s">
        <v>33</v>
      </c>
      <c r="H863" t="s">
        <v>26</v>
      </c>
      <c r="I863" t="s">
        <v>40</v>
      </c>
      <c r="J863" s="11">
        <v>45181</v>
      </c>
      <c r="K863" t="str">
        <f>TEXT(Transactions_Clean[[#This Row],[Date]],"MMM-YYYY")</f>
        <v>Sep-2023</v>
      </c>
      <c r="L863">
        <f>IF(Transactions_Clean[[#This Row],[Category]]="Revenue",Transactions_Clean[[#This Row],[Amount(₹)]],Transactions_Clean[[#This Row],[Amount(₹)]]/8)</f>
        <v>-15231.5</v>
      </c>
    </row>
    <row r="864" spans="1:12">
      <c r="A864" t="s">
        <v>1635</v>
      </c>
      <c r="B864" t="s">
        <v>215</v>
      </c>
      <c r="C864" t="s">
        <v>4750</v>
      </c>
      <c r="D864">
        <v>-57700</v>
      </c>
      <c r="E864" t="s">
        <v>62</v>
      </c>
      <c r="F864" t="s">
        <v>24</v>
      </c>
      <c r="G864" t="s">
        <v>63</v>
      </c>
      <c r="H864" t="s">
        <v>39</v>
      </c>
      <c r="I864" t="s">
        <v>27</v>
      </c>
      <c r="J864" s="11">
        <v>46087</v>
      </c>
      <c r="K864" t="str">
        <f>TEXT(Transactions_Clean[[#This Row],[Date]],"MMM-YYYY")</f>
        <v>Mar-2026</v>
      </c>
      <c r="L864">
        <f>IF(Transactions_Clean[[#This Row],[Category]]="Revenue",Transactions_Clean[[#This Row],[Amount(₹)]],Transactions_Clean[[#This Row],[Amount(₹)]]/8)</f>
        <v>-7212.5</v>
      </c>
    </row>
    <row r="865" spans="1:12">
      <c r="A865" t="s">
        <v>1637</v>
      </c>
      <c r="B865" t="s">
        <v>255</v>
      </c>
      <c r="C865" t="s">
        <v>22</v>
      </c>
      <c r="D865">
        <v>-107085</v>
      </c>
      <c r="E865" t="s">
        <v>23</v>
      </c>
      <c r="F865" t="s">
        <v>32</v>
      </c>
      <c r="G865" t="s">
        <v>25</v>
      </c>
      <c r="H865" t="s">
        <v>45</v>
      </c>
      <c r="I865" t="s">
        <v>48</v>
      </c>
      <c r="J865" s="11">
        <v>45423</v>
      </c>
      <c r="K865" t="str">
        <f>TEXT(Transactions_Clean[[#This Row],[Date]],"MMM-YYYY")</f>
        <v>May-2024</v>
      </c>
      <c r="L865">
        <f>IF(Transactions_Clean[[#This Row],[Category]]="Revenue",Transactions_Clean[[#This Row],[Amount(₹)]],Transactions_Clean[[#This Row],[Amount(₹)]]/8)</f>
        <v>-13385.625</v>
      </c>
    </row>
    <row r="866" spans="1:12">
      <c r="A866" t="s">
        <v>1639</v>
      </c>
      <c r="B866" t="s">
        <v>4765</v>
      </c>
      <c r="C866" t="s">
        <v>73</v>
      </c>
      <c r="D866">
        <v>-29473</v>
      </c>
      <c r="E866" t="s">
        <v>74</v>
      </c>
      <c r="F866" t="s">
        <v>32</v>
      </c>
      <c r="G866" t="s">
        <v>25</v>
      </c>
      <c r="H866" t="s">
        <v>26</v>
      </c>
      <c r="I866" t="s">
        <v>40</v>
      </c>
      <c r="J866" s="11">
        <v>45154</v>
      </c>
      <c r="K866" t="str">
        <f>TEXT(Transactions_Clean[[#This Row],[Date]],"MMM-YYYY")</f>
        <v>Aug-2023</v>
      </c>
      <c r="L866">
        <f>IF(Transactions_Clean[[#This Row],[Category]]="Revenue",Transactions_Clean[[#This Row],[Amount(₹)]],Transactions_Clean[[#This Row],[Amount(₹)]]/8)</f>
        <v>-3684.125</v>
      </c>
    </row>
    <row r="867" spans="1:12">
      <c r="A867" t="s">
        <v>1640</v>
      </c>
      <c r="B867" t="s">
        <v>161</v>
      </c>
      <c r="C867" t="s">
        <v>22</v>
      </c>
      <c r="D867">
        <v>-154991</v>
      </c>
      <c r="E867" t="s">
        <v>23</v>
      </c>
      <c r="F867" t="s">
        <v>32</v>
      </c>
      <c r="G867" t="s">
        <v>25</v>
      </c>
      <c r="H867" t="s">
        <v>26</v>
      </c>
      <c r="I867" t="s">
        <v>40</v>
      </c>
      <c r="J867" s="11">
        <v>45183</v>
      </c>
      <c r="K867" t="str">
        <f>TEXT(Transactions_Clean[[#This Row],[Date]],"MMM-YYYY")</f>
        <v>Sep-2023</v>
      </c>
      <c r="L867">
        <f>IF(Transactions_Clean[[#This Row],[Category]]="Revenue",Transactions_Clean[[#This Row],[Amount(₹)]],Transactions_Clean[[#This Row],[Amount(₹)]]/8)</f>
        <v>-19373.875</v>
      </c>
    </row>
    <row r="868" spans="1:12">
      <c r="A868" t="s">
        <v>1642</v>
      </c>
      <c r="B868" t="s">
        <v>215</v>
      </c>
      <c r="C868" t="s">
        <v>61</v>
      </c>
      <c r="D868">
        <v>-18698</v>
      </c>
      <c r="E868" t="s">
        <v>62</v>
      </c>
      <c r="F868" t="s">
        <v>24</v>
      </c>
      <c r="G868" t="s">
        <v>63</v>
      </c>
      <c r="H868" t="s">
        <v>26</v>
      </c>
      <c r="I868" t="s">
        <v>34</v>
      </c>
      <c r="J868" s="11">
        <v>45019</v>
      </c>
      <c r="K868" t="str">
        <f>TEXT(Transactions_Clean[[#This Row],[Date]],"MMM-YYYY")</f>
        <v>Apr-2023</v>
      </c>
      <c r="L868">
        <f>IF(Transactions_Clean[[#This Row],[Category]]="Revenue",Transactions_Clean[[#This Row],[Amount(₹)]],Transactions_Clean[[#This Row],[Amount(₹)]]/8)</f>
        <v>-2337.25</v>
      </c>
    </row>
    <row r="869" spans="1:12">
      <c r="A869" t="s">
        <v>1643</v>
      </c>
      <c r="B869" t="s">
        <v>283</v>
      </c>
      <c r="C869" t="s">
        <v>44</v>
      </c>
      <c r="D869">
        <v>-127358</v>
      </c>
      <c r="E869" t="s">
        <v>23</v>
      </c>
      <c r="F869" t="s">
        <v>32</v>
      </c>
      <c r="G869" t="s">
        <v>33</v>
      </c>
      <c r="H869" t="s">
        <v>26</v>
      </c>
      <c r="I869" t="s">
        <v>34</v>
      </c>
      <c r="J869" s="11">
        <v>45054</v>
      </c>
      <c r="K869" t="str">
        <f>TEXT(Transactions_Clean[[#This Row],[Date]],"MMM-YYYY")</f>
        <v>May-2023</v>
      </c>
      <c r="L869">
        <f>IF(Transactions_Clean[[#This Row],[Category]]="Revenue",Transactions_Clean[[#This Row],[Amount(₹)]],Transactions_Clean[[#This Row],[Amount(₹)]]/8)</f>
        <v>-15919.75</v>
      </c>
    </row>
    <row r="870" spans="1:12">
      <c r="A870" t="s">
        <v>1644</v>
      </c>
      <c r="B870" t="s">
        <v>106</v>
      </c>
      <c r="C870" t="s">
        <v>31</v>
      </c>
      <c r="D870">
        <v>-40853</v>
      </c>
      <c r="E870" t="s">
        <v>23</v>
      </c>
      <c r="F870" t="s">
        <v>32</v>
      </c>
      <c r="G870" t="s">
        <v>33</v>
      </c>
      <c r="H870" t="s">
        <v>26</v>
      </c>
      <c r="I870" t="s">
        <v>40</v>
      </c>
      <c r="J870" s="11">
        <v>45176</v>
      </c>
      <c r="K870" t="str">
        <f>TEXT(Transactions_Clean[[#This Row],[Date]],"MMM-YYYY")</f>
        <v>Sep-2023</v>
      </c>
      <c r="L870">
        <f>IF(Transactions_Clean[[#This Row],[Category]]="Revenue",Transactions_Clean[[#This Row],[Amount(₹)]],Transactions_Clean[[#This Row],[Amount(₹)]]/8)</f>
        <v>-5106.625</v>
      </c>
    </row>
    <row r="871" spans="1:12">
      <c r="A871" t="s">
        <v>1646</v>
      </c>
      <c r="B871" t="s">
        <v>4760</v>
      </c>
      <c r="C871" t="s">
        <v>73</v>
      </c>
      <c r="D871">
        <v>-10919</v>
      </c>
      <c r="E871" t="s">
        <v>74</v>
      </c>
      <c r="F871" t="s">
        <v>32</v>
      </c>
      <c r="G871" t="s">
        <v>25</v>
      </c>
      <c r="H871" t="s">
        <v>39</v>
      </c>
      <c r="I871" t="s">
        <v>40</v>
      </c>
      <c r="J871" s="11">
        <v>45900</v>
      </c>
      <c r="K871" t="str">
        <f>TEXT(Transactions_Clean[[#This Row],[Date]],"MMM-YYYY")</f>
        <v>Aug-2025</v>
      </c>
      <c r="L871">
        <f>IF(Transactions_Clean[[#This Row],[Category]]="Revenue",Transactions_Clean[[#This Row],[Amount(₹)]],Transactions_Clean[[#This Row],[Amount(₹)]]/8)</f>
        <v>-1364.875</v>
      </c>
    </row>
    <row r="872" spans="1:12">
      <c r="A872" t="s">
        <v>1647</v>
      </c>
      <c r="B872" t="s">
        <v>4760</v>
      </c>
      <c r="C872" t="s">
        <v>73</v>
      </c>
      <c r="D872">
        <v>-33265</v>
      </c>
      <c r="E872" t="s">
        <v>74</v>
      </c>
      <c r="F872" t="s">
        <v>24</v>
      </c>
      <c r="G872" t="s">
        <v>25</v>
      </c>
      <c r="H872" t="s">
        <v>26</v>
      </c>
      <c r="I872" t="s">
        <v>40</v>
      </c>
      <c r="J872" s="11">
        <v>45198</v>
      </c>
      <c r="K872" t="str">
        <f>TEXT(Transactions_Clean[[#This Row],[Date]],"MMM-YYYY")</f>
        <v>Sep-2023</v>
      </c>
      <c r="L872">
        <f>IF(Transactions_Clean[[#This Row],[Category]]="Revenue",Transactions_Clean[[#This Row],[Amount(₹)]],Transactions_Clean[[#This Row],[Amount(₹)]]/8)</f>
        <v>-4158.125</v>
      </c>
    </row>
    <row r="873" spans="1:12">
      <c r="A873" t="s">
        <v>1648</v>
      </c>
      <c r="B873" t="s">
        <v>215</v>
      </c>
      <c r="C873" t="s">
        <v>61</v>
      </c>
      <c r="D873">
        <v>-59486</v>
      </c>
      <c r="E873" t="s">
        <v>62</v>
      </c>
      <c r="F873" t="s">
        <v>32</v>
      </c>
      <c r="G873" t="s">
        <v>63</v>
      </c>
      <c r="H873" t="s">
        <v>26</v>
      </c>
      <c r="I873" t="s">
        <v>34</v>
      </c>
      <c r="J873" s="11">
        <v>45065</v>
      </c>
      <c r="K873" t="str">
        <f>TEXT(Transactions_Clean[[#This Row],[Date]],"MMM-YYYY")</f>
        <v>May-2023</v>
      </c>
      <c r="L873">
        <f>IF(Transactions_Clean[[#This Row],[Category]]="Revenue",Transactions_Clean[[#This Row],[Amount(₹)]],Transactions_Clean[[#This Row],[Amount(₹)]]/8)</f>
        <v>-7435.75</v>
      </c>
    </row>
    <row r="874" spans="1:12">
      <c r="A874" t="s">
        <v>1649</v>
      </c>
      <c r="B874" t="s">
        <v>129</v>
      </c>
      <c r="C874" t="s">
        <v>38</v>
      </c>
      <c r="D874">
        <v>-31482</v>
      </c>
      <c r="E874" t="s">
        <v>23</v>
      </c>
      <c r="F874" t="s">
        <v>32</v>
      </c>
      <c r="G874" t="s">
        <v>33</v>
      </c>
      <c r="H874" t="s">
        <v>45</v>
      </c>
      <c r="I874" t="s">
        <v>48</v>
      </c>
      <c r="J874" s="11">
        <v>45628</v>
      </c>
      <c r="K874" t="str">
        <f>TEXT(Transactions_Clean[[#This Row],[Date]],"MMM-YYYY")</f>
        <v>Dec-2024</v>
      </c>
      <c r="L874">
        <f>IF(Transactions_Clean[[#This Row],[Category]]="Revenue",Transactions_Clean[[#This Row],[Amount(₹)]],Transactions_Clean[[#This Row],[Amount(₹)]]/8)</f>
        <v>-3935.25</v>
      </c>
    </row>
    <row r="875" spans="1:12">
      <c r="A875" t="s">
        <v>1651</v>
      </c>
      <c r="B875" t="s">
        <v>4768</v>
      </c>
      <c r="C875" t="s">
        <v>157</v>
      </c>
      <c r="D875">
        <v>558800</v>
      </c>
      <c r="E875" t="s">
        <v>62</v>
      </c>
      <c r="F875" t="s">
        <v>32</v>
      </c>
      <c r="G875" t="s">
        <v>25</v>
      </c>
      <c r="H875" t="s">
        <v>26</v>
      </c>
      <c r="I875" t="s">
        <v>27</v>
      </c>
      <c r="J875" s="11">
        <v>45292</v>
      </c>
      <c r="K875" t="str">
        <f>TEXT(Transactions_Clean[[#This Row],[Date]],"MMM-YYYY")</f>
        <v>Jan-2024</v>
      </c>
      <c r="L875">
        <f>IF(Transactions_Clean[[#This Row],[Category]]="Revenue",Transactions_Clean[[#This Row],[Amount(₹)]],Transactions_Clean[[#This Row],[Amount(₹)]]/8)</f>
        <v>558800</v>
      </c>
    </row>
    <row r="876" spans="1:12">
      <c r="A876" t="s">
        <v>1653</v>
      </c>
      <c r="B876" t="s">
        <v>4767</v>
      </c>
      <c r="C876" t="s">
        <v>157</v>
      </c>
      <c r="D876">
        <v>547699</v>
      </c>
      <c r="E876" t="s">
        <v>62</v>
      </c>
      <c r="F876" t="s">
        <v>32</v>
      </c>
      <c r="G876" t="s">
        <v>25</v>
      </c>
      <c r="H876" t="s">
        <v>26</v>
      </c>
      <c r="I876" t="s">
        <v>40</v>
      </c>
      <c r="J876" s="11">
        <v>45137</v>
      </c>
      <c r="K876" t="str">
        <f>TEXT(Transactions_Clean[[#This Row],[Date]],"MMM-YYYY")</f>
        <v>Jul-2023</v>
      </c>
      <c r="L876">
        <f>IF(Transactions_Clean[[#This Row],[Category]]="Revenue",Transactions_Clean[[#This Row],[Amount(₹)]],Transactions_Clean[[#This Row],[Amount(₹)]]/8)</f>
        <v>547699</v>
      </c>
    </row>
    <row r="877" spans="1:12">
      <c r="A877" t="s">
        <v>1654</v>
      </c>
      <c r="B877" t="s">
        <v>106</v>
      </c>
      <c r="C877" t="s">
        <v>31</v>
      </c>
      <c r="D877">
        <v>-39271</v>
      </c>
      <c r="E877" t="s">
        <v>23</v>
      </c>
      <c r="F877" t="s">
        <v>24</v>
      </c>
      <c r="G877" t="s">
        <v>33</v>
      </c>
      <c r="H877" t="s">
        <v>39</v>
      </c>
      <c r="I877" t="s">
        <v>27</v>
      </c>
      <c r="J877" s="11">
        <v>46050</v>
      </c>
      <c r="K877" t="str">
        <f>TEXT(Transactions_Clean[[#This Row],[Date]],"MMM-YYYY")</f>
        <v>Jan-2026</v>
      </c>
      <c r="L877">
        <f>IF(Transactions_Clean[[#This Row],[Category]]="Revenue",Transactions_Clean[[#This Row],[Amount(₹)]],Transactions_Clean[[#This Row],[Amount(₹)]]/8)</f>
        <v>-4908.875</v>
      </c>
    </row>
    <row r="878" spans="1:12">
      <c r="A878" t="s">
        <v>1656</v>
      </c>
      <c r="B878" t="s">
        <v>237</v>
      </c>
      <c r="C878" t="s">
        <v>22</v>
      </c>
      <c r="D878">
        <v>-86812</v>
      </c>
      <c r="E878" t="s">
        <v>23</v>
      </c>
      <c r="F878" t="s">
        <v>24</v>
      </c>
      <c r="G878" t="s">
        <v>25</v>
      </c>
      <c r="H878" t="s">
        <v>45</v>
      </c>
      <c r="I878" t="s">
        <v>48</v>
      </c>
      <c r="J878" s="11">
        <v>45621</v>
      </c>
      <c r="K878" t="str">
        <f>TEXT(Transactions_Clean[[#This Row],[Date]],"MMM-YYYY")</f>
        <v>Nov-2024</v>
      </c>
      <c r="L878">
        <f>IF(Transactions_Clean[[#This Row],[Category]]="Revenue",Transactions_Clean[[#This Row],[Amount(₹)]],Transactions_Clean[[#This Row],[Amount(₹)]]/8)</f>
        <v>-10851.5</v>
      </c>
    </row>
    <row r="879" spans="1:12">
      <c r="A879" t="s">
        <v>1657</v>
      </c>
      <c r="B879" t="s">
        <v>180</v>
      </c>
      <c r="C879" t="s">
        <v>44</v>
      </c>
      <c r="D879">
        <v>-108612</v>
      </c>
      <c r="E879" t="s">
        <v>23</v>
      </c>
      <c r="F879" t="s">
        <v>32</v>
      </c>
      <c r="G879" t="s">
        <v>33</v>
      </c>
      <c r="H879" t="s">
        <v>26</v>
      </c>
      <c r="I879" t="s">
        <v>48</v>
      </c>
      <c r="J879" s="11">
        <v>45206</v>
      </c>
      <c r="K879" t="str">
        <f>TEXT(Transactions_Clean[[#This Row],[Date]],"MMM-YYYY")</f>
        <v>Oct-2023</v>
      </c>
      <c r="L879">
        <f>IF(Transactions_Clean[[#This Row],[Category]]="Revenue",Transactions_Clean[[#This Row],[Amount(₹)]],Transactions_Clean[[#This Row],[Amount(₹)]]/8)</f>
        <v>-13576.5</v>
      </c>
    </row>
    <row r="880" spans="1:12">
      <c r="A880" t="s">
        <v>1659</v>
      </c>
      <c r="B880" t="s">
        <v>4760</v>
      </c>
      <c r="C880" t="s">
        <v>73</v>
      </c>
      <c r="D880">
        <v>-34082</v>
      </c>
      <c r="E880" t="s">
        <v>74</v>
      </c>
      <c r="F880" t="s">
        <v>24</v>
      </c>
      <c r="G880" t="s">
        <v>25</v>
      </c>
      <c r="H880" t="s">
        <v>45</v>
      </c>
      <c r="I880" t="s">
        <v>34</v>
      </c>
      <c r="J880" s="11">
        <v>45459</v>
      </c>
      <c r="K880" t="str">
        <f>TEXT(Transactions_Clean[[#This Row],[Date]],"MMM-YYYY")</f>
        <v>Jun-2024</v>
      </c>
      <c r="L880">
        <f>IF(Transactions_Clean[[#This Row],[Category]]="Revenue",Transactions_Clean[[#This Row],[Amount(₹)]],Transactions_Clean[[#This Row],[Amount(₹)]]/8)</f>
        <v>-4260.25</v>
      </c>
    </row>
    <row r="881" spans="1:12">
      <c r="A881" t="s">
        <v>1660</v>
      </c>
      <c r="B881" t="s">
        <v>212</v>
      </c>
      <c r="C881" t="s">
        <v>73</v>
      </c>
      <c r="D881">
        <v>-24637</v>
      </c>
      <c r="E881" t="s">
        <v>74</v>
      </c>
      <c r="F881" t="s">
        <v>32</v>
      </c>
      <c r="G881" t="s">
        <v>25</v>
      </c>
      <c r="H881" t="s">
        <v>26</v>
      </c>
      <c r="I881" t="s">
        <v>40</v>
      </c>
      <c r="J881" s="11">
        <v>45162</v>
      </c>
      <c r="K881" t="str">
        <f>TEXT(Transactions_Clean[[#This Row],[Date]],"MMM-YYYY")</f>
        <v>Aug-2023</v>
      </c>
      <c r="L881">
        <f>IF(Transactions_Clean[[#This Row],[Category]]="Revenue",Transactions_Clean[[#This Row],[Amount(₹)]],Transactions_Clean[[#This Row],[Amount(₹)]]/8)</f>
        <v>-3079.625</v>
      </c>
    </row>
    <row r="882" spans="1:12">
      <c r="A882" t="s">
        <v>1661</v>
      </c>
      <c r="B882" t="s">
        <v>4778</v>
      </c>
      <c r="C882" t="s">
        <v>136</v>
      </c>
      <c r="D882">
        <v>-10325241</v>
      </c>
      <c r="E882" t="s">
        <v>62</v>
      </c>
      <c r="F882" t="s">
        <v>32</v>
      </c>
      <c r="G882" t="s">
        <v>63</v>
      </c>
      <c r="H882" t="s">
        <v>39</v>
      </c>
      <c r="I882" t="s">
        <v>40</v>
      </c>
      <c r="J882" s="11">
        <v>45928</v>
      </c>
      <c r="K882" t="str">
        <f>TEXT(Transactions_Clean[[#This Row],[Date]],"MMM-YYYY")</f>
        <v>Sep-2025</v>
      </c>
      <c r="L882">
        <f>IF(Transactions_Clean[[#This Row],[Category]]="Revenue",Transactions_Clean[[#This Row],[Amount(₹)]],Transactions_Clean[[#This Row],[Amount(₹)]]/8)</f>
        <v>-1290655.125</v>
      </c>
    </row>
    <row r="883" spans="1:12">
      <c r="A883" t="s">
        <v>1664</v>
      </c>
      <c r="B883" t="s">
        <v>310</v>
      </c>
      <c r="C883" t="s">
        <v>22</v>
      </c>
      <c r="D883">
        <v>-142174</v>
      </c>
      <c r="E883" t="s">
        <v>23</v>
      </c>
      <c r="F883" t="s">
        <v>32</v>
      </c>
      <c r="G883" t="s">
        <v>25</v>
      </c>
      <c r="H883" t="s">
        <v>39</v>
      </c>
      <c r="I883" t="s">
        <v>27</v>
      </c>
      <c r="J883" s="11">
        <v>46070</v>
      </c>
      <c r="K883" t="str">
        <f>TEXT(Transactions_Clean[[#This Row],[Date]],"MMM-YYYY")</f>
        <v>Feb-2026</v>
      </c>
      <c r="L883">
        <f>IF(Transactions_Clean[[#This Row],[Category]]="Revenue",Transactions_Clean[[#This Row],[Amount(₹)]],Transactions_Clean[[#This Row],[Amount(₹)]]/8)</f>
        <v>-17771.75</v>
      </c>
    </row>
    <row r="884" spans="1:12">
      <c r="A884" t="s">
        <v>1666</v>
      </c>
      <c r="B884" t="s">
        <v>60</v>
      </c>
      <c r="C884" t="s">
        <v>61</v>
      </c>
      <c r="D884">
        <v>-38834</v>
      </c>
      <c r="E884" t="s">
        <v>62</v>
      </c>
      <c r="F884" t="s">
        <v>32</v>
      </c>
      <c r="G884" t="s">
        <v>63</v>
      </c>
      <c r="H884" t="s">
        <v>26</v>
      </c>
      <c r="I884" t="s">
        <v>27</v>
      </c>
      <c r="J884" s="11">
        <v>45343</v>
      </c>
      <c r="K884" t="str">
        <f>TEXT(Transactions_Clean[[#This Row],[Date]],"MMM-YYYY")</f>
        <v>Feb-2024</v>
      </c>
      <c r="L884">
        <f>IF(Transactions_Clean[[#This Row],[Category]]="Revenue",Transactions_Clean[[#This Row],[Amount(₹)]],Transactions_Clean[[#This Row],[Amount(₹)]]/8)</f>
        <v>-4854.25</v>
      </c>
    </row>
    <row r="885" spans="1:12">
      <c r="A885" t="s">
        <v>1668</v>
      </c>
      <c r="B885" t="s">
        <v>215</v>
      </c>
      <c r="C885" t="s">
        <v>61</v>
      </c>
      <c r="D885">
        <v>-43169</v>
      </c>
      <c r="E885" t="s">
        <v>62</v>
      </c>
      <c r="F885" t="s">
        <v>24</v>
      </c>
      <c r="G885" t="s">
        <v>63</v>
      </c>
      <c r="H885" t="s">
        <v>45</v>
      </c>
      <c r="I885" t="s">
        <v>48</v>
      </c>
      <c r="J885" s="11">
        <v>45626</v>
      </c>
      <c r="K885" t="str">
        <f>TEXT(Transactions_Clean[[#This Row],[Date]],"MMM-YYYY")</f>
        <v>Nov-2024</v>
      </c>
      <c r="L885">
        <f>IF(Transactions_Clean[[#This Row],[Category]]="Revenue",Transactions_Clean[[#This Row],[Amount(₹)]],Transactions_Clean[[#This Row],[Amount(₹)]]/8)</f>
        <v>-5396.125</v>
      </c>
    </row>
    <row r="886" spans="1:12">
      <c r="A886" t="s">
        <v>1669</v>
      </c>
      <c r="B886" t="s">
        <v>935</v>
      </c>
      <c r="C886" t="s">
        <v>22</v>
      </c>
      <c r="D886">
        <v>-83547</v>
      </c>
      <c r="E886" t="s">
        <v>23</v>
      </c>
      <c r="F886" t="s">
        <v>24</v>
      </c>
      <c r="G886" t="s">
        <v>25</v>
      </c>
      <c r="H886" t="s">
        <v>45</v>
      </c>
      <c r="I886" t="s">
        <v>27</v>
      </c>
      <c r="J886" s="11">
        <v>45669</v>
      </c>
      <c r="K886" t="str">
        <f>TEXT(Transactions_Clean[[#This Row],[Date]],"MMM-YYYY")</f>
        <v>Jan-2025</v>
      </c>
      <c r="L886">
        <f>IF(Transactions_Clean[[#This Row],[Category]]="Revenue",Transactions_Clean[[#This Row],[Amount(₹)]],Transactions_Clean[[#This Row],[Amount(₹)]]/8)</f>
        <v>-10443.375</v>
      </c>
    </row>
    <row r="887" spans="1:12">
      <c r="A887" t="s">
        <v>1671</v>
      </c>
      <c r="B887" t="s">
        <v>224</v>
      </c>
      <c r="C887" t="s">
        <v>78</v>
      </c>
      <c r="D887">
        <v>-25363</v>
      </c>
      <c r="E887" t="s">
        <v>23</v>
      </c>
      <c r="F887" t="s">
        <v>24</v>
      </c>
      <c r="G887" t="s">
        <v>79</v>
      </c>
      <c r="H887" t="s">
        <v>45</v>
      </c>
      <c r="I887" t="s">
        <v>40</v>
      </c>
      <c r="J887" s="11">
        <v>45559</v>
      </c>
      <c r="K887" t="str">
        <f>TEXT(Transactions_Clean[[#This Row],[Date]],"MMM-YYYY")</f>
        <v>Sep-2024</v>
      </c>
      <c r="L887">
        <f>IF(Transactions_Clean[[#This Row],[Category]]="Revenue",Transactions_Clean[[#This Row],[Amount(₹)]],Transactions_Clean[[#This Row],[Amount(₹)]]/8)</f>
        <v>-3170.375</v>
      </c>
    </row>
    <row r="888" spans="1:12">
      <c r="A888" t="s">
        <v>1672</v>
      </c>
      <c r="B888" t="s">
        <v>106</v>
      </c>
      <c r="C888" t="s">
        <v>31</v>
      </c>
      <c r="D888">
        <v>-11559</v>
      </c>
      <c r="E888" t="s">
        <v>23</v>
      </c>
      <c r="F888" t="s">
        <v>32</v>
      </c>
      <c r="G888" t="s">
        <v>33</v>
      </c>
      <c r="H888" t="s">
        <v>39</v>
      </c>
      <c r="I888" t="s">
        <v>34</v>
      </c>
      <c r="J888" s="11">
        <v>45773</v>
      </c>
      <c r="K888" t="str">
        <f>TEXT(Transactions_Clean[[#This Row],[Date]],"MMM-YYYY")</f>
        <v>Apr-2025</v>
      </c>
      <c r="L888">
        <f>IF(Transactions_Clean[[#This Row],[Category]]="Revenue",Transactions_Clean[[#This Row],[Amount(₹)]],Transactions_Clean[[#This Row],[Amount(₹)]]/8)</f>
        <v>-1444.875</v>
      </c>
    </row>
    <row r="889" spans="1:12">
      <c r="A889" t="s">
        <v>1674</v>
      </c>
      <c r="B889" t="s">
        <v>116</v>
      </c>
      <c r="C889" t="s">
        <v>73</v>
      </c>
      <c r="D889">
        <v>-47441</v>
      </c>
      <c r="E889" t="s">
        <v>74</v>
      </c>
      <c r="F889" t="s">
        <v>32</v>
      </c>
      <c r="G889" t="s">
        <v>25</v>
      </c>
      <c r="H889" t="s">
        <v>26</v>
      </c>
      <c r="I889" t="s">
        <v>27</v>
      </c>
      <c r="J889" s="11">
        <v>45376</v>
      </c>
      <c r="K889" t="str">
        <f>TEXT(Transactions_Clean[[#This Row],[Date]],"MMM-YYYY")</f>
        <v>Mar-2024</v>
      </c>
      <c r="L889">
        <f>IF(Transactions_Clean[[#This Row],[Category]]="Revenue",Transactions_Clean[[#This Row],[Amount(₹)]],Transactions_Clean[[#This Row],[Amount(₹)]]/8)</f>
        <v>-5930.125</v>
      </c>
    </row>
    <row r="890" spans="1:12">
      <c r="A890" t="s">
        <v>1677</v>
      </c>
      <c r="B890" t="s">
        <v>215</v>
      </c>
      <c r="C890" t="s">
        <v>61</v>
      </c>
      <c r="D890">
        <v>-59132</v>
      </c>
      <c r="E890" t="s">
        <v>62</v>
      </c>
      <c r="F890" t="s">
        <v>32</v>
      </c>
      <c r="G890" t="s">
        <v>63</v>
      </c>
      <c r="H890" t="s">
        <v>39</v>
      </c>
      <c r="I890" t="s">
        <v>40</v>
      </c>
      <c r="J890" s="11">
        <v>45887</v>
      </c>
      <c r="K890" t="str">
        <f>TEXT(Transactions_Clean[[#This Row],[Date]],"MMM-YYYY")</f>
        <v>Aug-2025</v>
      </c>
      <c r="L890">
        <f>IF(Transactions_Clean[[#This Row],[Category]]="Revenue",Transactions_Clean[[#This Row],[Amount(₹)]],Transactions_Clean[[#This Row],[Amount(₹)]]/8)</f>
        <v>-7391.5</v>
      </c>
    </row>
    <row r="891" spans="1:12">
      <c r="A891" t="s">
        <v>1678</v>
      </c>
      <c r="B891" t="s">
        <v>169</v>
      </c>
      <c r="C891" t="s">
        <v>73</v>
      </c>
      <c r="D891">
        <v>-61612</v>
      </c>
      <c r="E891" t="s">
        <v>74</v>
      </c>
      <c r="F891" t="s">
        <v>24</v>
      </c>
      <c r="G891" t="s">
        <v>25</v>
      </c>
      <c r="H891" t="s">
        <v>45</v>
      </c>
      <c r="I891" t="s">
        <v>40</v>
      </c>
      <c r="J891" s="11">
        <v>45501</v>
      </c>
      <c r="K891" t="str">
        <f>TEXT(Transactions_Clean[[#This Row],[Date]],"MMM-YYYY")</f>
        <v>Jul-2024</v>
      </c>
      <c r="L891">
        <f>IF(Transactions_Clean[[#This Row],[Category]]="Revenue",Transactions_Clean[[#This Row],[Amount(₹)]],Transactions_Clean[[#This Row],[Amount(₹)]]/8)</f>
        <v>-7701.5</v>
      </c>
    </row>
    <row r="892" spans="1:12">
      <c r="A892" t="s">
        <v>1680</v>
      </c>
      <c r="B892" t="s">
        <v>116</v>
      </c>
      <c r="C892" t="s">
        <v>4750</v>
      </c>
      <c r="D892">
        <v>-20989</v>
      </c>
      <c r="E892" t="s">
        <v>74</v>
      </c>
      <c r="F892" t="s">
        <v>24</v>
      </c>
      <c r="G892" t="s">
        <v>25</v>
      </c>
      <c r="H892" t="s">
        <v>26</v>
      </c>
      <c r="I892" t="s">
        <v>27</v>
      </c>
      <c r="J892" s="11">
        <v>45349</v>
      </c>
      <c r="K892" t="str">
        <f>TEXT(Transactions_Clean[[#This Row],[Date]],"MMM-YYYY")</f>
        <v>Feb-2024</v>
      </c>
      <c r="L892">
        <f>IF(Transactions_Clean[[#This Row],[Category]]="Revenue",Transactions_Clean[[#This Row],[Amount(₹)]],Transactions_Clean[[#This Row],[Amount(₹)]]/8)</f>
        <v>-2623.625</v>
      </c>
    </row>
    <row r="893" spans="1:12">
      <c r="A893" t="s">
        <v>1682</v>
      </c>
      <c r="B893" t="s">
        <v>4774</v>
      </c>
      <c r="C893" t="s">
        <v>440</v>
      </c>
      <c r="D893">
        <v>-145901</v>
      </c>
      <c r="E893" t="s">
        <v>23</v>
      </c>
      <c r="F893" t="s">
        <v>24</v>
      </c>
      <c r="G893" t="s">
        <v>33</v>
      </c>
      <c r="H893" t="s">
        <v>45</v>
      </c>
      <c r="I893" t="s">
        <v>34</v>
      </c>
      <c r="J893" s="11">
        <v>45438</v>
      </c>
      <c r="K893" t="str">
        <f>TEXT(Transactions_Clean[[#This Row],[Date]],"MMM-YYYY")</f>
        <v>May-2024</v>
      </c>
      <c r="L893">
        <f>IF(Transactions_Clean[[#This Row],[Category]]="Revenue",Transactions_Clean[[#This Row],[Amount(₹)]],Transactions_Clean[[#This Row],[Amount(₹)]]/8)</f>
        <v>-18237.625</v>
      </c>
    </row>
    <row r="894" spans="1:12">
      <c r="A894" t="s">
        <v>1684</v>
      </c>
      <c r="B894" t="s">
        <v>72</v>
      </c>
      <c r="C894" t="s">
        <v>73</v>
      </c>
      <c r="D894">
        <v>-42814</v>
      </c>
      <c r="E894" t="s">
        <v>74</v>
      </c>
      <c r="F894" t="s">
        <v>32</v>
      </c>
      <c r="G894" t="s">
        <v>25</v>
      </c>
      <c r="H894" t="s">
        <v>26</v>
      </c>
      <c r="I894" t="s">
        <v>34</v>
      </c>
      <c r="J894" s="11">
        <v>45029</v>
      </c>
      <c r="K894" t="str">
        <f>TEXT(Transactions_Clean[[#This Row],[Date]],"MMM-YYYY")</f>
        <v>Apr-2023</v>
      </c>
      <c r="L894">
        <f>IF(Transactions_Clean[[#This Row],[Category]]="Revenue",Transactions_Clean[[#This Row],[Amount(₹)]],Transactions_Clean[[#This Row],[Amount(₹)]]/8)</f>
        <v>-5351.75</v>
      </c>
    </row>
    <row r="895" spans="1:12">
      <c r="A895" t="s">
        <v>1685</v>
      </c>
      <c r="B895" t="s">
        <v>106</v>
      </c>
      <c r="C895" t="s">
        <v>31</v>
      </c>
      <c r="D895">
        <v>-23647</v>
      </c>
      <c r="E895" t="s">
        <v>23</v>
      </c>
      <c r="F895" t="s">
        <v>24</v>
      </c>
      <c r="G895" t="s">
        <v>33</v>
      </c>
      <c r="H895" t="s">
        <v>26</v>
      </c>
      <c r="I895" t="s">
        <v>34</v>
      </c>
      <c r="J895" s="11">
        <v>45093</v>
      </c>
      <c r="K895" t="str">
        <f>TEXT(Transactions_Clean[[#This Row],[Date]],"MMM-YYYY")</f>
        <v>Jun-2023</v>
      </c>
      <c r="L895">
        <f>IF(Transactions_Clean[[#This Row],[Category]]="Revenue",Transactions_Clean[[#This Row],[Amount(₹)]],Transactions_Clean[[#This Row],[Amount(₹)]]/8)</f>
        <v>-2955.875</v>
      </c>
    </row>
    <row r="896" spans="1:12">
      <c r="A896" t="s">
        <v>1686</v>
      </c>
      <c r="B896" t="s">
        <v>100</v>
      </c>
      <c r="C896" t="s">
        <v>31</v>
      </c>
      <c r="D896">
        <v>-37944</v>
      </c>
      <c r="E896" t="s">
        <v>23</v>
      </c>
      <c r="F896" t="s">
        <v>32</v>
      </c>
      <c r="G896" t="s">
        <v>33</v>
      </c>
      <c r="H896" t="s">
        <v>39</v>
      </c>
      <c r="I896" t="s">
        <v>34</v>
      </c>
      <c r="J896" s="11">
        <v>45752</v>
      </c>
      <c r="K896" t="str">
        <f>TEXT(Transactions_Clean[[#This Row],[Date]],"MMM-YYYY")</f>
        <v>Apr-2025</v>
      </c>
      <c r="L896">
        <f>IF(Transactions_Clean[[#This Row],[Category]]="Revenue",Transactions_Clean[[#This Row],[Amount(₹)]],Transactions_Clean[[#This Row],[Amount(₹)]]/8)</f>
        <v>-4743</v>
      </c>
    </row>
    <row r="897" spans="1:12">
      <c r="A897" t="s">
        <v>1687</v>
      </c>
      <c r="B897" t="s">
        <v>283</v>
      </c>
      <c r="C897" t="s">
        <v>44</v>
      </c>
      <c r="D897">
        <v>-148946</v>
      </c>
      <c r="E897" t="s">
        <v>23</v>
      </c>
      <c r="F897" t="s">
        <v>32</v>
      </c>
      <c r="G897" t="s">
        <v>33</v>
      </c>
      <c r="H897" t="s">
        <v>26</v>
      </c>
      <c r="I897" t="s">
        <v>27</v>
      </c>
      <c r="J897" s="11">
        <v>45536</v>
      </c>
      <c r="K897" t="str">
        <f>TEXT(Transactions_Clean[[#This Row],[Date]],"MMM-YYYY")</f>
        <v>Sep-2024</v>
      </c>
      <c r="L897">
        <f>IF(Transactions_Clean[[#This Row],[Category]]="Revenue",Transactions_Clean[[#This Row],[Amount(₹)]],Transactions_Clean[[#This Row],[Amount(₹)]]/8)</f>
        <v>-18618.25</v>
      </c>
    </row>
    <row r="898" spans="1:12">
      <c r="A898" t="s">
        <v>1689</v>
      </c>
      <c r="B898" t="s">
        <v>4752</v>
      </c>
      <c r="C898" t="s">
        <v>44</v>
      </c>
      <c r="D898">
        <v>-132646</v>
      </c>
      <c r="E898" t="s">
        <v>23</v>
      </c>
      <c r="F898" t="s">
        <v>24</v>
      </c>
      <c r="G898" t="s">
        <v>33</v>
      </c>
      <c r="H898" t="s">
        <v>26</v>
      </c>
      <c r="I898" t="s">
        <v>40</v>
      </c>
      <c r="J898" s="11">
        <v>45153</v>
      </c>
      <c r="K898" t="str">
        <f>TEXT(Transactions_Clean[[#This Row],[Date]],"MMM-YYYY")</f>
        <v>Aug-2023</v>
      </c>
      <c r="L898">
        <f>IF(Transactions_Clean[[#This Row],[Category]]="Revenue",Transactions_Clean[[#This Row],[Amount(₹)]],Transactions_Clean[[#This Row],[Amount(₹)]]/8)</f>
        <v>-16580.75</v>
      </c>
    </row>
    <row r="899" spans="1:12">
      <c r="A899" t="s">
        <v>1690</v>
      </c>
      <c r="B899" t="s">
        <v>87</v>
      </c>
      <c r="C899" t="s">
        <v>22</v>
      </c>
      <c r="D899">
        <v>-108868</v>
      </c>
      <c r="E899" t="s">
        <v>23</v>
      </c>
      <c r="F899" t="s">
        <v>32</v>
      </c>
      <c r="G899" t="s">
        <v>25</v>
      </c>
      <c r="H899" t="s">
        <v>45</v>
      </c>
      <c r="I899" t="s">
        <v>40</v>
      </c>
      <c r="J899" s="11">
        <v>45564</v>
      </c>
      <c r="K899" t="str">
        <f>TEXT(Transactions_Clean[[#This Row],[Date]],"MMM-YYYY")</f>
        <v>Sep-2024</v>
      </c>
      <c r="L899">
        <f>IF(Transactions_Clean[[#This Row],[Category]]="Revenue",Transactions_Clean[[#This Row],[Amount(₹)]],Transactions_Clean[[#This Row],[Amount(₹)]]/8)</f>
        <v>-13608.5</v>
      </c>
    </row>
    <row r="900" spans="1:12">
      <c r="A900" t="s">
        <v>1692</v>
      </c>
      <c r="B900" t="s">
        <v>345</v>
      </c>
      <c r="C900" t="s">
        <v>22</v>
      </c>
      <c r="D900">
        <v>-136637</v>
      </c>
      <c r="E900" t="s">
        <v>23</v>
      </c>
      <c r="F900" t="s">
        <v>32</v>
      </c>
      <c r="G900" t="s">
        <v>25</v>
      </c>
      <c r="H900" t="s">
        <v>45</v>
      </c>
      <c r="I900" t="s">
        <v>48</v>
      </c>
      <c r="J900" s="11">
        <v>45640</v>
      </c>
      <c r="K900" t="str">
        <f>TEXT(Transactions_Clean[[#This Row],[Date]],"MMM-YYYY")</f>
        <v>Dec-2024</v>
      </c>
      <c r="L900">
        <f>IF(Transactions_Clean[[#This Row],[Category]]="Revenue",Transactions_Clean[[#This Row],[Amount(₹)]],Transactions_Clean[[#This Row],[Amount(₹)]]/8)</f>
        <v>-17079.625</v>
      </c>
    </row>
    <row r="901" spans="1:12">
      <c r="A901" t="s">
        <v>1693</v>
      </c>
      <c r="B901" t="s">
        <v>60</v>
      </c>
      <c r="C901" t="s">
        <v>61</v>
      </c>
      <c r="D901">
        <v>-25754</v>
      </c>
      <c r="E901" t="s">
        <v>62</v>
      </c>
      <c r="F901" t="s">
        <v>24</v>
      </c>
      <c r="G901" t="s">
        <v>63</v>
      </c>
      <c r="H901" t="s">
        <v>26</v>
      </c>
      <c r="I901" t="s">
        <v>40</v>
      </c>
      <c r="J901" s="11">
        <v>45164</v>
      </c>
      <c r="K901" t="str">
        <f>TEXT(Transactions_Clean[[#This Row],[Date]],"MMM-YYYY")</f>
        <v>Aug-2023</v>
      </c>
      <c r="L901">
        <f>IF(Transactions_Clean[[#This Row],[Category]]="Revenue",Transactions_Clean[[#This Row],[Amount(₹)]],Transactions_Clean[[#This Row],[Amount(₹)]]/8)</f>
        <v>-3219.25</v>
      </c>
    </row>
    <row r="902" spans="1:12">
      <c r="A902" t="s">
        <v>1694</v>
      </c>
      <c r="B902" t="s">
        <v>4757</v>
      </c>
      <c r="C902" t="s">
        <v>73</v>
      </c>
      <c r="D902">
        <v>-31356</v>
      </c>
      <c r="E902" t="s">
        <v>74</v>
      </c>
      <c r="F902" t="s">
        <v>24</v>
      </c>
      <c r="G902" t="s">
        <v>25</v>
      </c>
      <c r="H902" t="s">
        <v>39</v>
      </c>
      <c r="I902" t="s">
        <v>48</v>
      </c>
      <c r="J902" s="11">
        <v>45985</v>
      </c>
      <c r="K902" t="str">
        <f>TEXT(Transactions_Clean[[#This Row],[Date]],"MMM-YYYY")</f>
        <v>Nov-2025</v>
      </c>
      <c r="L902">
        <f>IF(Transactions_Clean[[#This Row],[Category]]="Revenue",Transactions_Clean[[#This Row],[Amount(₹)]],Transactions_Clean[[#This Row],[Amount(₹)]]/8)</f>
        <v>-3919.5</v>
      </c>
    </row>
    <row r="903" spans="1:12">
      <c r="A903" t="s">
        <v>1696</v>
      </c>
      <c r="B903" t="s">
        <v>215</v>
      </c>
      <c r="C903" t="s">
        <v>61</v>
      </c>
      <c r="D903">
        <v>-35528</v>
      </c>
      <c r="E903" t="s">
        <v>62</v>
      </c>
      <c r="F903" t="s">
        <v>32</v>
      </c>
      <c r="G903" t="s">
        <v>63</v>
      </c>
      <c r="H903" t="s">
        <v>39</v>
      </c>
      <c r="I903" t="s">
        <v>40</v>
      </c>
      <c r="J903" s="11">
        <v>45856</v>
      </c>
      <c r="K903" t="str">
        <f>TEXT(Transactions_Clean[[#This Row],[Date]],"MMM-YYYY")</f>
        <v>Jul-2025</v>
      </c>
      <c r="L903">
        <f>IF(Transactions_Clean[[#This Row],[Category]]="Revenue",Transactions_Clean[[#This Row],[Amount(₹)]],Transactions_Clean[[#This Row],[Amount(₹)]]/8)</f>
        <v>-4441</v>
      </c>
    </row>
    <row r="904" spans="1:12">
      <c r="A904" t="s">
        <v>1697</v>
      </c>
      <c r="B904" t="s">
        <v>66</v>
      </c>
      <c r="C904" t="s">
        <v>61</v>
      </c>
      <c r="D904">
        <v>-45340</v>
      </c>
      <c r="E904" t="s">
        <v>62</v>
      </c>
      <c r="F904" t="s">
        <v>32</v>
      </c>
      <c r="G904" t="s">
        <v>63</v>
      </c>
      <c r="H904" t="s">
        <v>26</v>
      </c>
      <c r="I904" t="s">
        <v>27</v>
      </c>
      <c r="J904" s="11">
        <v>45378</v>
      </c>
      <c r="K904" t="str">
        <f>TEXT(Transactions_Clean[[#This Row],[Date]],"MMM-YYYY")</f>
        <v>Mar-2024</v>
      </c>
      <c r="L904">
        <f>IF(Transactions_Clean[[#This Row],[Category]]="Revenue",Transactions_Clean[[#This Row],[Amount(₹)]],Transactions_Clean[[#This Row],[Amount(₹)]]/8)</f>
        <v>-5667.5</v>
      </c>
    </row>
    <row r="905" spans="1:12">
      <c r="A905" t="s">
        <v>1699</v>
      </c>
      <c r="B905" t="s">
        <v>116</v>
      </c>
      <c r="C905" t="s">
        <v>73</v>
      </c>
      <c r="D905">
        <v>-86638</v>
      </c>
      <c r="E905" t="s">
        <v>74</v>
      </c>
      <c r="F905" t="s">
        <v>32</v>
      </c>
      <c r="G905" t="s">
        <v>25</v>
      </c>
      <c r="H905" t="s">
        <v>45</v>
      </c>
      <c r="I905" t="s">
        <v>34</v>
      </c>
      <c r="J905" s="11">
        <v>45402</v>
      </c>
      <c r="K905" t="str">
        <f>TEXT(Transactions_Clean[[#This Row],[Date]],"MMM-YYYY")</f>
        <v>Apr-2024</v>
      </c>
      <c r="L905">
        <f>IF(Transactions_Clean[[#This Row],[Category]]="Revenue",Transactions_Clean[[#This Row],[Amount(₹)]],Transactions_Clean[[#This Row],[Amount(₹)]]/8)</f>
        <v>-10829.75</v>
      </c>
    </row>
    <row r="906" spans="1:12">
      <c r="A906" t="s">
        <v>1700</v>
      </c>
      <c r="B906" t="s">
        <v>255</v>
      </c>
      <c r="C906" t="s">
        <v>22</v>
      </c>
      <c r="D906">
        <v>-172609</v>
      </c>
      <c r="E906" t="s">
        <v>23</v>
      </c>
      <c r="F906" t="s">
        <v>32</v>
      </c>
      <c r="G906" t="s">
        <v>25</v>
      </c>
      <c r="H906" t="s">
        <v>26</v>
      </c>
      <c r="I906" t="s">
        <v>34</v>
      </c>
      <c r="J906" s="11">
        <v>45068</v>
      </c>
      <c r="K906" t="str">
        <f>TEXT(Transactions_Clean[[#This Row],[Date]],"MMM-YYYY")</f>
        <v>May-2023</v>
      </c>
      <c r="L906">
        <f>IF(Transactions_Clean[[#This Row],[Category]]="Revenue",Transactions_Clean[[#This Row],[Amount(₹)]],Transactions_Clean[[#This Row],[Amount(₹)]]/8)</f>
        <v>-21576.125</v>
      </c>
    </row>
    <row r="907" spans="1:12">
      <c r="A907" t="s">
        <v>1702</v>
      </c>
      <c r="B907" t="s">
        <v>4760</v>
      </c>
      <c r="C907" t="s">
        <v>73</v>
      </c>
      <c r="D907">
        <v>-38803</v>
      </c>
      <c r="E907" t="s">
        <v>74</v>
      </c>
      <c r="F907" t="s">
        <v>32</v>
      </c>
      <c r="G907" t="s">
        <v>25</v>
      </c>
      <c r="H907" t="s">
        <v>39</v>
      </c>
      <c r="I907" t="s">
        <v>34</v>
      </c>
      <c r="J907" s="11">
        <v>45836</v>
      </c>
      <c r="K907" t="str">
        <f>TEXT(Transactions_Clean[[#This Row],[Date]],"MMM-YYYY")</f>
        <v>Jun-2025</v>
      </c>
      <c r="L907">
        <f>IF(Transactions_Clean[[#This Row],[Category]]="Revenue",Transactions_Clean[[#This Row],[Amount(₹)]],Transactions_Clean[[#This Row],[Amount(₹)]]/8)</f>
        <v>-4850.375</v>
      </c>
    </row>
    <row r="908" spans="1:12">
      <c r="A908" t="s">
        <v>1704</v>
      </c>
      <c r="B908" t="s">
        <v>177</v>
      </c>
      <c r="C908" t="s">
        <v>78</v>
      </c>
      <c r="D908">
        <v>-86668</v>
      </c>
      <c r="E908" t="s">
        <v>23</v>
      </c>
      <c r="F908" t="s">
        <v>24</v>
      </c>
      <c r="G908" t="s">
        <v>79</v>
      </c>
      <c r="H908" t="s">
        <v>39</v>
      </c>
      <c r="I908" t="s">
        <v>27</v>
      </c>
      <c r="J908" s="11">
        <v>46086</v>
      </c>
      <c r="K908" t="str">
        <f>TEXT(Transactions_Clean[[#This Row],[Date]],"MMM-YYYY")</f>
        <v>Mar-2026</v>
      </c>
      <c r="L908">
        <f>IF(Transactions_Clean[[#This Row],[Category]]="Revenue",Transactions_Clean[[#This Row],[Amount(₹)]],Transactions_Clean[[#This Row],[Amount(₹)]]/8)</f>
        <v>-10833.5</v>
      </c>
    </row>
    <row r="909" spans="1:12">
      <c r="A909" t="s">
        <v>1705</v>
      </c>
      <c r="B909" t="s">
        <v>4768</v>
      </c>
      <c r="C909" t="s">
        <v>157</v>
      </c>
      <c r="D909">
        <v>587579</v>
      </c>
      <c r="E909" t="s">
        <v>62</v>
      </c>
      <c r="F909" t="s">
        <v>32</v>
      </c>
      <c r="G909" t="s">
        <v>25</v>
      </c>
      <c r="H909" t="s">
        <v>45</v>
      </c>
      <c r="I909" t="s">
        <v>40</v>
      </c>
      <c r="J909" s="11">
        <v>45503</v>
      </c>
      <c r="K909" t="str">
        <f>TEXT(Transactions_Clean[[#This Row],[Date]],"MMM-YYYY")</f>
        <v>Jul-2024</v>
      </c>
      <c r="L909">
        <f>IF(Transactions_Clean[[#This Row],[Category]]="Revenue",Transactions_Clean[[#This Row],[Amount(₹)]],Transactions_Clean[[#This Row],[Amount(₹)]]/8)</f>
        <v>587579</v>
      </c>
    </row>
    <row r="910" spans="1:12">
      <c r="A910" t="s">
        <v>1706</v>
      </c>
      <c r="B910" t="s">
        <v>116</v>
      </c>
      <c r="C910" t="s">
        <v>73</v>
      </c>
      <c r="D910">
        <v>-74445</v>
      </c>
      <c r="E910" t="s">
        <v>74</v>
      </c>
      <c r="F910" t="s">
        <v>24</v>
      </c>
      <c r="G910" t="s">
        <v>25</v>
      </c>
      <c r="H910" t="s">
        <v>45</v>
      </c>
      <c r="I910" t="s">
        <v>40</v>
      </c>
      <c r="J910" s="11">
        <v>45550</v>
      </c>
      <c r="K910" t="str">
        <f>TEXT(Transactions_Clean[[#This Row],[Date]],"MMM-YYYY")</f>
        <v>Sep-2024</v>
      </c>
      <c r="L910">
        <f>IF(Transactions_Clean[[#This Row],[Category]]="Revenue",Transactions_Clean[[#This Row],[Amount(₹)]],Transactions_Clean[[#This Row],[Amount(₹)]]/8)</f>
        <v>-9305.625</v>
      </c>
    </row>
    <row r="911" spans="1:12">
      <c r="A911" t="s">
        <v>1708</v>
      </c>
      <c r="B911" t="s">
        <v>30</v>
      </c>
      <c r="C911" t="s">
        <v>4750</v>
      </c>
      <c r="D911">
        <v>-7142</v>
      </c>
      <c r="E911" t="s">
        <v>23</v>
      </c>
      <c r="F911" t="s">
        <v>24</v>
      </c>
      <c r="G911" t="s">
        <v>33</v>
      </c>
      <c r="H911" t="s">
        <v>45</v>
      </c>
      <c r="I911" t="s">
        <v>48</v>
      </c>
      <c r="J911" s="11">
        <v>45644</v>
      </c>
      <c r="K911" t="str">
        <f>TEXT(Transactions_Clean[[#This Row],[Date]],"MMM-YYYY")</f>
        <v>Dec-2024</v>
      </c>
      <c r="L911">
        <f>IF(Transactions_Clean[[#This Row],[Category]]="Revenue",Transactions_Clean[[#This Row],[Amount(₹)]],Transactions_Clean[[#This Row],[Amount(₹)]]/8)</f>
        <v>-892.75</v>
      </c>
    </row>
    <row r="912" spans="1:12">
      <c r="A912" t="s">
        <v>1710</v>
      </c>
      <c r="B912" t="s">
        <v>4760</v>
      </c>
      <c r="C912" t="s">
        <v>73</v>
      </c>
      <c r="D912">
        <v>-53745</v>
      </c>
      <c r="E912" t="s">
        <v>74</v>
      </c>
      <c r="F912" t="s">
        <v>24</v>
      </c>
      <c r="G912" t="s">
        <v>25</v>
      </c>
      <c r="H912" t="s">
        <v>26</v>
      </c>
      <c r="I912" t="s">
        <v>34</v>
      </c>
      <c r="J912" s="11">
        <v>45045</v>
      </c>
      <c r="K912" t="str">
        <f>TEXT(Transactions_Clean[[#This Row],[Date]],"MMM-YYYY")</f>
        <v>Apr-2023</v>
      </c>
      <c r="L912">
        <f>IF(Transactions_Clean[[#This Row],[Category]]="Revenue",Transactions_Clean[[#This Row],[Amount(₹)]],Transactions_Clean[[#This Row],[Amount(₹)]]/8)</f>
        <v>-6718.125</v>
      </c>
    </row>
    <row r="913" spans="1:12">
      <c r="A913" t="s">
        <v>1711</v>
      </c>
      <c r="B913" t="s">
        <v>4758</v>
      </c>
      <c r="C913" t="s">
        <v>78</v>
      </c>
      <c r="D913">
        <v>-83755</v>
      </c>
      <c r="E913" t="s">
        <v>23</v>
      </c>
      <c r="F913" t="s">
        <v>24</v>
      </c>
      <c r="G913" t="s">
        <v>79</v>
      </c>
      <c r="H913" t="s">
        <v>45</v>
      </c>
      <c r="I913" t="s">
        <v>27</v>
      </c>
      <c r="J913" s="11">
        <v>45710</v>
      </c>
      <c r="K913" t="str">
        <f>TEXT(Transactions_Clean[[#This Row],[Date]],"MMM-YYYY")</f>
        <v>Feb-2025</v>
      </c>
      <c r="L913">
        <f>IF(Transactions_Clean[[#This Row],[Category]]="Revenue",Transactions_Clean[[#This Row],[Amount(₹)]],Transactions_Clean[[#This Row],[Amount(₹)]]/8)</f>
        <v>-10469.375</v>
      </c>
    </row>
    <row r="914" spans="1:12">
      <c r="A914" t="s">
        <v>1712</v>
      </c>
      <c r="B914" t="s">
        <v>4760</v>
      </c>
      <c r="C914" t="s">
        <v>73</v>
      </c>
      <c r="D914">
        <v>-17547</v>
      </c>
      <c r="E914" t="s">
        <v>74</v>
      </c>
      <c r="F914" t="s">
        <v>24</v>
      </c>
      <c r="G914" t="s">
        <v>25</v>
      </c>
      <c r="H914" t="s">
        <v>39</v>
      </c>
      <c r="I914" t="s">
        <v>40</v>
      </c>
      <c r="J914" s="11">
        <v>45895</v>
      </c>
      <c r="K914" t="str">
        <f>TEXT(Transactions_Clean[[#This Row],[Date]],"MMM-YYYY")</f>
        <v>Aug-2025</v>
      </c>
      <c r="L914">
        <f>IF(Transactions_Clean[[#This Row],[Category]]="Revenue",Transactions_Clean[[#This Row],[Amount(₹)]],Transactions_Clean[[#This Row],[Amount(₹)]]/8)</f>
        <v>-2193.375</v>
      </c>
    </row>
    <row r="915" spans="1:12">
      <c r="A915" t="s">
        <v>1713</v>
      </c>
      <c r="B915" t="s">
        <v>129</v>
      </c>
      <c r="C915" t="s">
        <v>38</v>
      </c>
      <c r="D915">
        <v>-9930</v>
      </c>
      <c r="E915" t="s">
        <v>23</v>
      </c>
      <c r="F915" t="s">
        <v>32</v>
      </c>
      <c r="G915" t="s">
        <v>33</v>
      </c>
      <c r="H915" t="s">
        <v>39</v>
      </c>
      <c r="I915" t="s">
        <v>34</v>
      </c>
      <c r="J915" s="11">
        <v>45804</v>
      </c>
      <c r="K915" t="str">
        <f>TEXT(Transactions_Clean[[#This Row],[Date]],"MMM-YYYY")</f>
        <v>May-2025</v>
      </c>
      <c r="L915">
        <f>IF(Transactions_Clean[[#This Row],[Category]]="Revenue",Transactions_Clean[[#This Row],[Amount(₹)]],Transactions_Clean[[#This Row],[Amount(₹)]]/8)</f>
        <v>-1241.25</v>
      </c>
    </row>
    <row r="916" spans="1:12">
      <c r="A916" t="s">
        <v>1714</v>
      </c>
      <c r="B916" t="s">
        <v>305</v>
      </c>
      <c r="C916" t="s">
        <v>38</v>
      </c>
      <c r="D916">
        <v>-19168</v>
      </c>
      <c r="E916" t="s">
        <v>23</v>
      </c>
      <c r="F916" t="s">
        <v>24</v>
      </c>
      <c r="G916" t="s">
        <v>33</v>
      </c>
      <c r="H916" t="s">
        <v>45</v>
      </c>
      <c r="I916" t="s">
        <v>40</v>
      </c>
      <c r="J916" s="11">
        <v>45504</v>
      </c>
      <c r="K916" t="str">
        <f>TEXT(Transactions_Clean[[#This Row],[Date]],"MMM-YYYY")</f>
        <v>Jul-2024</v>
      </c>
      <c r="L916">
        <f>IF(Transactions_Clean[[#This Row],[Category]]="Revenue",Transactions_Clean[[#This Row],[Amount(₹)]],Transactions_Clean[[#This Row],[Amount(₹)]]/8)</f>
        <v>-2396</v>
      </c>
    </row>
    <row r="917" spans="1:12">
      <c r="A917" t="s">
        <v>1715</v>
      </c>
      <c r="B917" t="s">
        <v>4776</v>
      </c>
      <c r="C917" t="s">
        <v>440</v>
      </c>
      <c r="D917">
        <v>-112450</v>
      </c>
      <c r="E917" t="s">
        <v>23</v>
      </c>
      <c r="F917" t="s">
        <v>32</v>
      </c>
      <c r="G917" t="s">
        <v>33</v>
      </c>
      <c r="H917" t="s">
        <v>39</v>
      </c>
      <c r="I917" t="s">
        <v>40</v>
      </c>
      <c r="J917" s="11">
        <v>45875</v>
      </c>
      <c r="K917" t="str">
        <f>TEXT(Transactions_Clean[[#This Row],[Date]],"MMM-YYYY")</f>
        <v>Aug-2025</v>
      </c>
      <c r="L917">
        <f>IF(Transactions_Clean[[#This Row],[Category]]="Revenue",Transactions_Clean[[#This Row],[Amount(₹)]],Transactions_Clean[[#This Row],[Amount(₹)]]/8)</f>
        <v>-14056.25</v>
      </c>
    </row>
    <row r="918" spans="1:12">
      <c r="A918" t="s">
        <v>1716</v>
      </c>
      <c r="B918" t="s">
        <v>4762</v>
      </c>
      <c r="C918" t="s">
        <v>157</v>
      </c>
      <c r="D918">
        <v>493197</v>
      </c>
      <c r="E918" t="s">
        <v>62</v>
      </c>
      <c r="F918" t="s">
        <v>32</v>
      </c>
      <c r="G918" t="s">
        <v>25</v>
      </c>
      <c r="H918" t="s">
        <v>26</v>
      </c>
      <c r="I918" t="s">
        <v>34</v>
      </c>
      <c r="J918" s="11">
        <v>45035</v>
      </c>
      <c r="K918" t="str">
        <f>TEXT(Transactions_Clean[[#This Row],[Date]],"MMM-YYYY")</f>
        <v>Apr-2023</v>
      </c>
      <c r="L918">
        <f>IF(Transactions_Clean[[#This Row],[Category]]="Revenue",Transactions_Clean[[#This Row],[Amount(₹)]],Transactions_Clean[[#This Row],[Amount(₹)]]/8)</f>
        <v>493197</v>
      </c>
    </row>
    <row r="919" spans="1:12">
      <c r="A919" t="s">
        <v>1718</v>
      </c>
      <c r="B919" t="s">
        <v>4753</v>
      </c>
      <c r="C919" t="s">
        <v>38</v>
      </c>
      <c r="D919">
        <v>-10962</v>
      </c>
      <c r="E919" t="s">
        <v>23</v>
      </c>
      <c r="F919" t="s">
        <v>24</v>
      </c>
      <c r="G919" t="s">
        <v>33</v>
      </c>
      <c r="H919" t="s">
        <v>39</v>
      </c>
      <c r="I919" t="s">
        <v>34</v>
      </c>
      <c r="J919" s="11">
        <v>45771</v>
      </c>
      <c r="K919" t="str">
        <f>TEXT(Transactions_Clean[[#This Row],[Date]],"MMM-YYYY")</f>
        <v>Apr-2025</v>
      </c>
      <c r="L919">
        <f>IF(Transactions_Clean[[#This Row],[Category]]="Revenue",Transactions_Clean[[#This Row],[Amount(₹)]],Transactions_Clean[[#This Row],[Amount(₹)]]/8)</f>
        <v>-1370.25</v>
      </c>
    </row>
    <row r="920" spans="1:12">
      <c r="A920" t="s">
        <v>1719</v>
      </c>
      <c r="B920" t="s">
        <v>100</v>
      </c>
      <c r="C920" t="s">
        <v>31</v>
      </c>
      <c r="D920">
        <v>-13223</v>
      </c>
      <c r="E920" t="s">
        <v>23</v>
      </c>
      <c r="F920" t="s">
        <v>32</v>
      </c>
      <c r="G920" t="s">
        <v>33</v>
      </c>
      <c r="H920" t="s">
        <v>45</v>
      </c>
      <c r="I920" t="s">
        <v>48</v>
      </c>
      <c r="J920" s="11">
        <v>45624</v>
      </c>
      <c r="K920" t="str">
        <f>TEXT(Transactions_Clean[[#This Row],[Date]],"MMM-YYYY")</f>
        <v>Nov-2024</v>
      </c>
      <c r="L920">
        <f>IF(Transactions_Clean[[#This Row],[Category]]="Revenue",Transactions_Clean[[#This Row],[Amount(₹)]],Transactions_Clean[[#This Row],[Amount(₹)]]/8)</f>
        <v>-1652.875</v>
      </c>
    </row>
    <row r="921" spans="1:12">
      <c r="A921" t="s">
        <v>1720</v>
      </c>
      <c r="B921" t="s">
        <v>60</v>
      </c>
      <c r="C921" t="s">
        <v>61</v>
      </c>
      <c r="D921">
        <v>-34801</v>
      </c>
      <c r="E921" t="s">
        <v>62</v>
      </c>
      <c r="F921" t="s">
        <v>24</v>
      </c>
      <c r="G921" t="s">
        <v>63</v>
      </c>
      <c r="H921" t="s">
        <v>26</v>
      </c>
      <c r="I921" t="s">
        <v>40</v>
      </c>
      <c r="J921" s="11">
        <v>45150</v>
      </c>
      <c r="K921" t="str">
        <f>TEXT(Transactions_Clean[[#This Row],[Date]],"MMM-YYYY")</f>
        <v>Aug-2023</v>
      </c>
      <c r="L921">
        <f>IF(Transactions_Clean[[#This Row],[Category]]="Revenue",Transactions_Clean[[#This Row],[Amount(₹)]],Transactions_Clean[[#This Row],[Amount(₹)]]/8)</f>
        <v>-4350.125</v>
      </c>
    </row>
    <row r="922" spans="1:12">
      <c r="A922" t="s">
        <v>1721</v>
      </c>
      <c r="B922" t="s">
        <v>224</v>
      </c>
      <c r="C922" t="s">
        <v>4750</v>
      </c>
      <c r="D922">
        <v>-117089</v>
      </c>
      <c r="E922" t="s">
        <v>23</v>
      </c>
      <c r="F922" t="s">
        <v>24</v>
      </c>
      <c r="G922" t="s">
        <v>79</v>
      </c>
      <c r="H922" t="s">
        <v>39</v>
      </c>
      <c r="I922" t="s">
        <v>27</v>
      </c>
      <c r="J922" s="11">
        <v>46112</v>
      </c>
      <c r="K922" t="str">
        <f>TEXT(Transactions_Clean[[#This Row],[Date]],"MMM-YYYY")</f>
        <v>Mar-2026</v>
      </c>
      <c r="L922">
        <f>IF(Transactions_Clean[[#This Row],[Category]]="Revenue",Transactions_Clean[[#This Row],[Amount(₹)]],Transactions_Clean[[#This Row],[Amount(₹)]]/8)</f>
        <v>-14636.125</v>
      </c>
    </row>
    <row r="923" spans="1:12">
      <c r="A923" t="s">
        <v>1722</v>
      </c>
      <c r="B923" t="s">
        <v>116</v>
      </c>
      <c r="C923" t="s">
        <v>73</v>
      </c>
      <c r="D923">
        <v>-26135</v>
      </c>
      <c r="E923" t="s">
        <v>74</v>
      </c>
      <c r="F923" t="s">
        <v>32</v>
      </c>
      <c r="G923" t="s">
        <v>25</v>
      </c>
      <c r="H923" t="s">
        <v>39</v>
      </c>
      <c r="I923" t="s">
        <v>48</v>
      </c>
      <c r="J923" s="11">
        <v>45972</v>
      </c>
      <c r="K923" t="str">
        <f>TEXT(Transactions_Clean[[#This Row],[Date]],"MMM-YYYY")</f>
        <v>Nov-2025</v>
      </c>
      <c r="L923">
        <f>IF(Transactions_Clean[[#This Row],[Category]]="Revenue",Transactions_Clean[[#This Row],[Amount(₹)]],Transactions_Clean[[#This Row],[Amount(₹)]]/8)</f>
        <v>-3266.875</v>
      </c>
    </row>
    <row r="924" spans="1:12">
      <c r="A924" t="s">
        <v>1723</v>
      </c>
      <c r="B924" t="s">
        <v>345</v>
      </c>
      <c r="C924" t="s">
        <v>22</v>
      </c>
      <c r="D924">
        <v>-139043</v>
      </c>
      <c r="E924" t="s">
        <v>23</v>
      </c>
      <c r="F924" t="s">
        <v>32</v>
      </c>
      <c r="G924" t="s">
        <v>25</v>
      </c>
      <c r="H924" t="s">
        <v>39</v>
      </c>
      <c r="I924" t="s">
        <v>40</v>
      </c>
      <c r="J924" s="11">
        <v>45852</v>
      </c>
      <c r="K924" t="str">
        <f>TEXT(Transactions_Clean[[#This Row],[Date]],"MMM-YYYY")</f>
        <v>Jul-2025</v>
      </c>
      <c r="L924">
        <f>IF(Transactions_Clean[[#This Row],[Category]]="Revenue",Transactions_Clean[[#This Row],[Amount(₹)]],Transactions_Clean[[#This Row],[Amount(₹)]]/8)</f>
        <v>-17380.375</v>
      </c>
    </row>
    <row r="925" spans="1:12">
      <c r="A925" t="s">
        <v>1724</v>
      </c>
      <c r="B925" t="s">
        <v>116</v>
      </c>
      <c r="C925" t="s">
        <v>73</v>
      </c>
      <c r="D925">
        <v>-64010</v>
      </c>
      <c r="E925" t="s">
        <v>74</v>
      </c>
      <c r="F925" t="s">
        <v>24</v>
      </c>
      <c r="G925" t="s">
        <v>25</v>
      </c>
      <c r="H925" t="s">
        <v>26</v>
      </c>
      <c r="I925" t="s">
        <v>48</v>
      </c>
      <c r="J925" s="11">
        <v>45287</v>
      </c>
      <c r="K925" t="str">
        <f>TEXT(Transactions_Clean[[#This Row],[Date]],"MMM-YYYY")</f>
        <v>Dec-2023</v>
      </c>
      <c r="L925">
        <f>IF(Transactions_Clean[[#This Row],[Category]]="Revenue",Transactions_Clean[[#This Row],[Amount(₹)]],Transactions_Clean[[#This Row],[Amount(₹)]]/8)</f>
        <v>-8001.25</v>
      </c>
    </row>
    <row r="926" spans="1:12">
      <c r="A926" t="s">
        <v>1726</v>
      </c>
      <c r="B926" t="s">
        <v>4769</v>
      </c>
      <c r="C926" t="s">
        <v>44</v>
      </c>
      <c r="D926">
        <v>-114591</v>
      </c>
      <c r="E926" t="s">
        <v>23</v>
      </c>
      <c r="F926" t="s">
        <v>24</v>
      </c>
      <c r="G926" t="s">
        <v>33</v>
      </c>
      <c r="H926" t="s">
        <v>45</v>
      </c>
      <c r="I926" t="s">
        <v>48</v>
      </c>
      <c r="J926" s="11">
        <v>45608</v>
      </c>
      <c r="K926" t="str">
        <f>TEXT(Transactions_Clean[[#This Row],[Date]],"MMM-YYYY")</f>
        <v>Nov-2024</v>
      </c>
      <c r="L926">
        <f>IF(Transactions_Clean[[#This Row],[Category]]="Revenue",Transactions_Clean[[#This Row],[Amount(₹)]],Transactions_Clean[[#This Row],[Amount(₹)]]/8)</f>
        <v>-14323.875</v>
      </c>
    </row>
    <row r="927" spans="1:12">
      <c r="A927" t="s">
        <v>1727</v>
      </c>
      <c r="B927" t="s">
        <v>100</v>
      </c>
      <c r="C927" t="s">
        <v>31</v>
      </c>
      <c r="D927">
        <v>-34566</v>
      </c>
      <c r="E927" t="s">
        <v>23</v>
      </c>
      <c r="F927" t="s">
        <v>32</v>
      </c>
      <c r="G927" t="s">
        <v>33</v>
      </c>
      <c r="H927" t="s">
        <v>39</v>
      </c>
      <c r="I927" t="s">
        <v>27</v>
      </c>
      <c r="J927" s="11">
        <v>46111</v>
      </c>
      <c r="K927" t="str">
        <f>TEXT(Transactions_Clean[[#This Row],[Date]],"MMM-YYYY")</f>
        <v>Mar-2026</v>
      </c>
      <c r="L927">
        <f>IF(Transactions_Clean[[#This Row],[Category]]="Revenue",Transactions_Clean[[#This Row],[Amount(₹)]],Transactions_Clean[[#This Row],[Amount(₹)]]/8)</f>
        <v>-4320.75</v>
      </c>
    </row>
    <row r="928" spans="1:12">
      <c r="A928" t="s">
        <v>1728</v>
      </c>
      <c r="B928" t="s">
        <v>66</v>
      </c>
      <c r="C928" t="s">
        <v>61</v>
      </c>
      <c r="D928">
        <v>-59287</v>
      </c>
      <c r="E928" t="s">
        <v>62</v>
      </c>
      <c r="F928" t="s">
        <v>24</v>
      </c>
      <c r="G928" t="s">
        <v>63</v>
      </c>
      <c r="H928" t="s">
        <v>39</v>
      </c>
      <c r="I928" t="s">
        <v>40</v>
      </c>
      <c r="J928" s="11">
        <v>45869</v>
      </c>
      <c r="K928" t="str">
        <f>TEXT(Transactions_Clean[[#This Row],[Date]],"MMM-YYYY")</f>
        <v>Jul-2025</v>
      </c>
      <c r="L928">
        <f>IF(Transactions_Clean[[#This Row],[Category]]="Revenue",Transactions_Clean[[#This Row],[Amount(₹)]],Transactions_Clean[[#This Row],[Amount(₹)]]/8)</f>
        <v>-7410.875</v>
      </c>
    </row>
    <row r="929" spans="1:12">
      <c r="A929" t="s">
        <v>1729</v>
      </c>
      <c r="B929" t="s">
        <v>60</v>
      </c>
      <c r="C929" t="s">
        <v>61</v>
      </c>
      <c r="D929">
        <v>-42274</v>
      </c>
      <c r="E929" t="s">
        <v>62</v>
      </c>
      <c r="F929" t="s">
        <v>24</v>
      </c>
      <c r="G929" t="s">
        <v>63</v>
      </c>
      <c r="H929" t="s">
        <v>45</v>
      </c>
      <c r="I929" t="s">
        <v>48</v>
      </c>
      <c r="J929" s="11">
        <v>45624</v>
      </c>
      <c r="K929" t="str">
        <f>TEXT(Transactions_Clean[[#This Row],[Date]],"MMM-YYYY")</f>
        <v>Nov-2024</v>
      </c>
      <c r="L929">
        <f>IF(Transactions_Clean[[#This Row],[Category]]="Revenue",Transactions_Clean[[#This Row],[Amount(₹)]],Transactions_Clean[[#This Row],[Amount(₹)]]/8)</f>
        <v>-5284.25</v>
      </c>
    </row>
    <row r="930" spans="1:12">
      <c r="A930" t="s">
        <v>1730</v>
      </c>
      <c r="B930" t="s">
        <v>116</v>
      </c>
      <c r="C930" t="s">
        <v>73</v>
      </c>
      <c r="D930">
        <v>-50830</v>
      </c>
      <c r="E930" t="s">
        <v>74</v>
      </c>
      <c r="F930" t="s">
        <v>32</v>
      </c>
      <c r="G930" t="s">
        <v>25</v>
      </c>
      <c r="H930" t="s">
        <v>39</v>
      </c>
      <c r="I930" t="s">
        <v>34</v>
      </c>
      <c r="J930" s="11">
        <v>45835</v>
      </c>
      <c r="K930" t="str">
        <f>TEXT(Transactions_Clean[[#This Row],[Date]],"MMM-YYYY")</f>
        <v>Jun-2025</v>
      </c>
      <c r="L930">
        <f>IF(Transactions_Clean[[#This Row],[Category]]="Revenue",Transactions_Clean[[#This Row],[Amount(₹)]],Transactions_Clean[[#This Row],[Amount(₹)]]/8)</f>
        <v>-6353.75</v>
      </c>
    </row>
    <row r="931" spans="1:12">
      <c r="A931" t="s">
        <v>1732</v>
      </c>
      <c r="B931" t="s">
        <v>237</v>
      </c>
      <c r="C931" t="s">
        <v>22</v>
      </c>
      <c r="D931">
        <v>-173561</v>
      </c>
      <c r="E931" t="s">
        <v>23</v>
      </c>
      <c r="F931" t="s">
        <v>32</v>
      </c>
      <c r="G931" t="s">
        <v>25</v>
      </c>
      <c r="H931" t="s">
        <v>39</v>
      </c>
      <c r="I931" t="s">
        <v>40</v>
      </c>
      <c r="J931" s="11">
        <v>45924</v>
      </c>
      <c r="K931" t="str">
        <f>TEXT(Transactions_Clean[[#This Row],[Date]],"MMM-YYYY")</f>
        <v>Sep-2025</v>
      </c>
      <c r="L931">
        <f>IF(Transactions_Clean[[#This Row],[Category]]="Revenue",Transactions_Clean[[#This Row],[Amount(₹)]],Transactions_Clean[[#This Row],[Amount(₹)]]/8)</f>
        <v>-21695.125</v>
      </c>
    </row>
    <row r="932" spans="1:12">
      <c r="A932" t="s">
        <v>1734</v>
      </c>
      <c r="B932" t="s">
        <v>66</v>
      </c>
      <c r="C932" t="s">
        <v>4750</v>
      </c>
      <c r="D932">
        <v>-57793</v>
      </c>
      <c r="E932" t="s">
        <v>62</v>
      </c>
      <c r="F932" t="s">
        <v>32</v>
      </c>
      <c r="G932" t="s">
        <v>63</v>
      </c>
      <c r="H932" t="s">
        <v>26</v>
      </c>
      <c r="I932" t="s">
        <v>48</v>
      </c>
      <c r="J932" s="11">
        <v>45282</v>
      </c>
      <c r="K932" t="str">
        <f>TEXT(Transactions_Clean[[#This Row],[Date]],"MMM-YYYY")</f>
        <v>Dec-2023</v>
      </c>
      <c r="L932">
        <f>IF(Transactions_Clean[[#This Row],[Category]]="Revenue",Transactions_Clean[[#This Row],[Amount(₹)]],Transactions_Clean[[#This Row],[Amount(₹)]]/8)</f>
        <v>-7224.125</v>
      </c>
    </row>
    <row r="933" spans="1:12">
      <c r="A933" t="s">
        <v>1736</v>
      </c>
      <c r="B933" t="s">
        <v>4755</v>
      </c>
      <c r="C933" t="s">
        <v>78</v>
      </c>
      <c r="D933">
        <v>-108276</v>
      </c>
      <c r="E933" t="s">
        <v>23</v>
      </c>
      <c r="F933" t="s">
        <v>24</v>
      </c>
      <c r="G933" t="s">
        <v>79</v>
      </c>
      <c r="H933" t="s">
        <v>26</v>
      </c>
      <c r="I933" t="s">
        <v>27</v>
      </c>
      <c r="J933" s="11">
        <v>45365</v>
      </c>
      <c r="K933" t="str">
        <f>TEXT(Transactions_Clean[[#This Row],[Date]],"MMM-YYYY")</f>
        <v>Mar-2024</v>
      </c>
      <c r="L933">
        <f>IF(Transactions_Clean[[#This Row],[Category]]="Revenue",Transactions_Clean[[#This Row],[Amount(₹)]],Transactions_Clean[[#This Row],[Amount(₹)]]/8)</f>
        <v>-13534.5</v>
      </c>
    </row>
    <row r="934" spans="1:12">
      <c r="A934" t="s">
        <v>1737</v>
      </c>
      <c r="B934" t="s">
        <v>4756</v>
      </c>
      <c r="C934" t="s">
        <v>73</v>
      </c>
      <c r="D934">
        <v>-86025</v>
      </c>
      <c r="E934" t="s">
        <v>74</v>
      </c>
      <c r="F934" t="s">
        <v>24</v>
      </c>
      <c r="G934" t="s">
        <v>25</v>
      </c>
      <c r="H934" t="s">
        <v>39</v>
      </c>
      <c r="I934" t="s">
        <v>48</v>
      </c>
      <c r="J934" s="11">
        <v>45976</v>
      </c>
      <c r="K934" t="str">
        <f>TEXT(Transactions_Clean[[#This Row],[Date]],"MMM-YYYY")</f>
        <v>Nov-2025</v>
      </c>
      <c r="L934">
        <f>IF(Transactions_Clean[[#This Row],[Category]]="Revenue",Transactions_Clean[[#This Row],[Amount(₹)]],Transactions_Clean[[#This Row],[Amount(₹)]]/8)</f>
        <v>-10753.125</v>
      </c>
    </row>
    <row r="935" spans="1:12">
      <c r="A935" t="s">
        <v>1739</v>
      </c>
      <c r="B935" t="s">
        <v>4765</v>
      </c>
      <c r="C935" t="s">
        <v>73</v>
      </c>
      <c r="D935">
        <v>-71897</v>
      </c>
      <c r="E935" t="s">
        <v>74</v>
      </c>
      <c r="F935" t="s">
        <v>24</v>
      </c>
      <c r="G935" t="s">
        <v>25</v>
      </c>
      <c r="H935" t="s">
        <v>26</v>
      </c>
      <c r="I935" t="s">
        <v>27</v>
      </c>
      <c r="J935" s="11">
        <v>45364</v>
      </c>
      <c r="K935" t="str">
        <f>TEXT(Transactions_Clean[[#This Row],[Date]],"MMM-YYYY")</f>
        <v>Mar-2024</v>
      </c>
      <c r="L935">
        <f>IF(Transactions_Clean[[#This Row],[Category]]="Revenue",Transactions_Clean[[#This Row],[Amount(₹)]],Transactions_Clean[[#This Row],[Amount(₹)]]/8)</f>
        <v>-8987.125</v>
      </c>
    </row>
    <row r="936" spans="1:12">
      <c r="A936" t="s">
        <v>1740</v>
      </c>
      <c r="B936" t="s">
        <v>4756</v>
      </c>
      <c r="C936" t="s">
        <v>73</v>
      </c>
      <c r="D936">
        <v>-26000</v>
      </c>
      <c r="E936" t="s">
        <v>74</v>
      </c>
      <c r="F936" t="s">
        <v>24</v>
      </c>
      <c r="G936" t="s">
        <v>25</v>
      </c>
      <c r="H936" t="s">
        <v>26</v>
      </c>
      <c r="I936" t="s">
        <v>27</v>
      </c>
      <c r="J936" s="11">
        <v>45302</v>
      </c>
      <c r="K936" t="str">
        <f>TEXT(Transactions_Clean[[#This Row],[Date]],"MMM-YYYY")</f>
        <v>Jan-2024</v>
      </c>
      <c r="L936">
        <f>IF(Transactions_Clean[[#This Row],[Category]]="Revenue",Transactions_Clean[[#This Row],[Amount(₹)]],Transactions_Clean[[#This Row],[Amount(₹)]]/8)</f>
        <v>-3250</v>
      </c>
    </row>
    <row r="937" spans="1:12">
      <c r="A937" t="s">
        <v>1741</v>
      </c>
      <c r="B937" t="s">
        <v>180</v>
      </c>
      <c r="C937" t="s">
        <v>4750</v>
      </c>
      <c r="D937">
        <v>-130885</v>
      </c>
      <c r="E937" t="s">
        <v>23</v>
      </c>
      <c r="F937" t="s">
        <v>24</v>
      </c>
      <c r="G937" t="s">
        <v>33</v>
      </c>
      <c r="H937" t="s">
        <v>26</v>
      </c>
      <c r="I937" t="s">
        <v>34</v>
      </c>
      <c r="J937" s="11">
        <v>45049</v>
      </c>
      <c r="K937" t="str">
        <f>TEXT(Transactions_Clean[[#This Row],[Date]],"MMM-YYYY")</f>
        <v>May-2023</v>
      </c>
      <c r="L937">
        <f>IF(Transactions_Clean[[#This Row],[Category]]="Revenue",Transactions_Clean[[#This Row],[Amount(₹)]],Transactions_Clean[[#This Row],[Amount(₹)]]/8)</f>
        <v>-16360.625</v>
      </c>
    </row>
    <row r="938" spans="1:12">
      <c r="A938" t="s">
        <v>1743</v>
      </c>
      <c r="B938" t="s">
        <v>100</v>
      </c>
      <c r="C938" t="s">
        <v>31</v>
      </c>
      <c r="D938">
        <v>-23213</v>
      </c>
      <c r="E938" t="s">
        <v>23</v>
      </c>
      <c r="F938" t="s">
        <v>24</v>
      </c>
      <c r="G938" t="s">
        <v>33</v>
      </c>
      <c r="H938" t="s">
        <v>26</v>
      </c>
      <c r="I938" t="s">
        <v>27</v>
      </c>
      <c r="J938" s="11">
        <v>45305</v>
      </c>
      <c r="K938" t="str">
        <f>TEXT(Transactions_Clean[[#This Row],[Date]],"MMM-YYYY")</f>
        <v>Jan-2024</v>
      </c>
      <c r="L938">
        <f>IF(Transactions_Clean[[#This Row],[Category]]="Revenue",Transactions_Clean[[#This Row],[Amount(₹)]],Transactions_Clean[[#This Row],[Amount(₹)]]/8)</f>
        <v>-2901.625</v>
      </c>
    </row>
    <row r="939" spans="1:12">
      <c r="A939" t="s">
        <v>1744</v>
      </c>
      <c r="B939" t="s">
        <v>202</v>
      </c>
      <c r="C939" t="s">
        <v>22</v>
      </c>
      <c r="D939">
        <v>-139209</v>
      </c>
      <c r="E939" t="s">
        <v>23</v>
      </c>
      <c r="F939" t="s">
        <v>32</v>
      </c>
      <c r="G939" t="s">
        <v>25</v>
      </c>
      <c r="H939" t="s">
        <v>26</v>
      </c>
      <c r="I939" t="s">
        <v>40</v>
      </c>
      <c r="J939" s="11">
        <v>45129</v>
      </c>
      <c r="K939" t="str">
        <f>TEXT(Transactions_Clean[[#This Row],[Date]],"MMM-YYYY")</f>
        <v>Jul-2023</v>
      </c>
      <c r="L939">
        <f>IF(Transactions_Clean[[#This Row],[Category]]="Revenue",Transactions_Clean[[#This Row],[Amount(₹)]],Transactions_Clean[[#This Row],[Amount(₹)]]/8)</f>
        <v>-17401.125</v>
      </c>
    </row>
    <row r="940" spans="1:12">
      <c r="A940" t="s">
        <v>1745</v>
      </c>
      <c r="B940" t="s">
        <v>4752</v>
      </c>
      <c r="C940" t="s">
        <v>44</v>
      </c>
      <c r="D940">
        <v>-82279</v>
      </c>
      <c r="E940" t="s">
        <v>23</v>
      </c>
      <c r="F940" t="s">
        <v>32</v>
      </c>
      <c r="G940" t="s">
        <v>33</v>
      </c>
      <c r="H940" t="s">
        <v>26</v>
      </c>
      <c r="I940" t="s">
        <v>40</v>
      </c>
      <c r="J940" s="11">
        <v>45194</v>
      </c>
      <c r="K940" t="str">
        <f>TEXT(Transactions_Clean[[#This Row],[Date]],"MMM-YYYY")</f>
        <v>Sep-2023</v>
      </c>
      <c r="L940">
        <f>IF(Transactions_Clean[[#This Row],[Category]]="Revenue",Transactions_Clean[[#This Row],[Amount(₹)]],Transactions_Clean[[#This Row],[Amount(₹)]]/8)</f>
        <v>-10284.875</v>
      </c>
    </row>
    <row r="941" spans="1:12">
      <c r="A941" t="s">
        <v>1747</v>
      </c>
      <c r="B941" t="s">
        <v>174</v>
      </c>
      <c r="C941" t="s">
        <v>22</v>
      </c>
      <c r="D941">
        <v>-77539</v>
      </c>
      <c r="E941" t="s">
        <v>23</v>
      </c>
      <c r="F941" t="s">
        <v>24</v>
      </c>
      <c r="G941" t="s">
        <v>25</v>
      </c>
      <c r="H941" t="s">
        <v>45</v>
      </c>
      <c r="I941" t="s">
        <v>48</v>
      </c>
      <c r="J941" s="11">
        <v>45641</v>
      </c>
      <c r="K941" t="str">
        <f>TEXT(Transactions_Clean[[#This Row],[Date]],"MMM-YYYY")</f>
        <v>Dec-2024</v>
      </c>
      <c r="L941">
        <f>IF(Transactions_Clean[[#This Row],[Category]]="Revenue",Transactions_Clean[[#This Row],[Amount(₹)]],Transactions_Clean[[#This Row],[Amount(₹)]]/8)</f>
        <v>-9692.375</v>
      </c>
    </row>
    <row r="942" spans="1:12">
      <c r="A942" t="s">
        <v>1749</v>
      </c>
      <c r="B942" t="s">
        <v>180</v>
      </c>
      <c r="C942" t="s">
        <v>44</v>
      </c>
      <c r="D942">
        <v>-87598</v>
      </c>
      <c r="E942" t="s">
        <v>23</v>
      </c>
      <c r="F942" t="s">
        <v>24</v>
      </c>
      <c r="G942" t="s">
        <v>33</v>
      </c>
      <c r="H942" t="s">
        <v>26</v>
      </c>
      <c r="I942" t="s">
        <v>27</v>
      </c>
      <c r="J942" s="11">
        <v>45334</v>
      </c>
      <c r="K942" t="str">
        <f>TEXT(Transactions_Clean[[#This Row],[Date]],"MMM-YYYY")</f>
        <v>Feb-2024</v>
      </c>
      <c r="L942">
        <f>IF(Transactions_Clean[[#This Row],[Category]]="Revenue",Transactions_Clean[[#This Row],[Amount(₹)]],Transactions_Clean[[#This Row],[Amount(₹)]]/8)</f>
        <v>-10949.75</v>
      </c>
    </row>
    <row r="943" spans="1:12">
      <c r="A943" t="s">
        <v>1751</v>
      </c>
      <c r="B943" t="s">
        <v>4760</v>
      </c>
      <c r="C943" t="s">
        <v>73</v>
      </c>
      <c r="D943">
        <v>-72351</v>
      </c>
      <c r="E943" t="s">
        <v>74</v>
      </c>
      <c r="F943" t="s">
        <v>32</v>
      </c>
      <c r="G943" t="s">
        <v>25</v>
      </c>
      <c r="H943" t="s">
        <v>39</v>
      </c>
      <c r="I943" t="s">
        <v>48</v>
      </c>
      <c r="J943" s="11">
        <v>45995</v>
      </c>
      <c r="K943" t="str">
        <f>TEXT(Transactions_Clean[[#This Row],[Date]],"MMM-YYYY")</f>
        <v>Dec-2025</v>
      </c>
      <c r="L943">
        <f>IF(Transactions_Clean[[#This Row],[Category]]="Revenue",Transactions_Clean[[#This Row],[Amount(₹)]],Transactions_Clean[[#This Row],[Amount(₹)]]/8)</f>
        <v>-9043.875</v>
      </c>
    </row>
    <row r="944" spans="1:12">
      <c r="A944" t="s">
        <v>1754</v>
      </c>
      <c r="B944" t="s">
        <v>129</v>
      </c>
      <c r="C944" t="s">
        <v>38</v>
      </c>
      <c r="D944">
        <v>-29421</v>
      </c>
      <c r="E944" t="s">
        <v>23</v>
      </c>
      <c r="F944" t="s">
        <v>24</v>
      </c>
      <c r="G944" t="s">
        <v>33</v>
      </c>
      <c r="H944" t="s">
        <v>45</v>
      </c>
      <c r="I944" t="s">
        <v>48</v>
      </c>
      <c r="J944" s="11">
        <v>45639</v>
      </c>
      <c r="K944" t="str">
        <f>TEXT(Transactions_Clean[[#This Row],[Date]],"MMM-YYYY")</f>
        <v>Dec-2024</v>
      </c>
      <c r="L944">
        <f>IF(Transactions_Clean[[#This Row],[Category]]="Revenue",Transactions_Clean[[#This Row],[Amount(₹)]],Transactions_Clean[[#This Row],[Amount(₹)]]/8)</f>
        <v>-3677.625</v>
      </c>
    </row>
    <row r="945" spans="1:12">
      <c r="A945" t="s">
        <v>1755</v>
      </c>
      <c r="B945" t="s">
        <v>212</v>
      </c>
      <c r="C945" t="s">
        <v>73</v>
      </c>
      <c r="D945">
        <v>-49480</v>
      </c>
      <c r="E945" t="s">
        <v>74</v>
      </c>
      <c r="F945" t="s">
        <v>32</v>
      </c>
      <c r="G945" t="s">
        <v>25</v>
      </c>
      <c r="H945" t="s">
        <v>26</v>
      </c>
      <c r="I945" t="s">
        <v>40</v>
      </c>
      <c r="J945" s="11">
        <v>45143</v>
      </c>
      <c r="K945" t="str">
        <f>TEXT(Transactions_Clean[[#This Row],[Date]],"MMM-YYYY")</f>
        <v>Aug-2023</v>
      </c>
      <c r="L945">
        <f>IF(Transactions_Clean[[#This Row],[Category]]="Revenue",Transactions_Clean[[#This Row],[Amount(₹)]],Transactions_Clean[[#This Row],[Amount(₹)]]/8)</f>
        <v>-6185</v>
      </c>
    </row>
    <row r="946" spans="1:12">
      <c r="A946" t="s">
        <v>1756</v>
      </c>
      <c r="B946" t="s">
        <v>215</v>
      </c>
      <c r="C946" t="s">
        <v>61</v>
      </c>
      <c r="D946">
        <v>-22672</v>
      </c>
      <c r="E946" t="s">
        <v>62</v>
      </c>
      <c r="F946" t="s">
        <v>32</v>
      </c>
      <c r="G946" t="s">
        <v>63</v>
      </c>
      <c r="H946" t="s">
        <v>26</v>
      </c>
      <c r="I946" t="s">
        <v>27</v>
      </c>
      <c r="J946" s="11">
        <v>45341</v>
      </c>
      <c r="K946" t="str">
        <f>TEXT(Transactions_Clean[[#This Row],[Date]],"MMM-YYYY")</f>
        <v>Feb-2024</v>
      </c>
      <c r="L946">
        <f>IF(Transactions_Clean[[#This Row],[Category]]="Revenue",Transactions_Clean[[#This Row],[Amount(₹)]],Transactions_Clean[[#This Row],[Amount(₹)]]/8)</f>
        <v>-2834</v>
      </c>
    </row>
    <row r="947" spans="1:12">
      <c r="A947" t="s">
        <v>1757</v>
      </c>
      <c r="B947" t="s">
        <v>51</v>
      </c>
      <c r="C947" t="s">
        <v>31</v>
      </c>
      <c r="D947">
        <v>-21156</v>
      </c>
      <c r="E947" t="s">
        <v>23</v>
      </c>
      <c r="F947" t="s">
        <v>24</v>
      </c>
      <c r="G947" t="s">
        <v>33</v>
      </c>
      <c r="H947" t="s">
        <v>26</v>
      </c>
      <c r="I947" t="s">
        <v>27</v>
      </c>
      <c r="J947" s="11">
        <v>45345</v>
      </c>
      <c r="K947" t="str">
        <f>TEXT(Transactions_Clean[[#This Row],[Date]],"MMM-YYYY")</f>
        <v>Feb-2024</v>
      </c>
      <c r="L947">
        <f>IF(Transactions_Clean[[#This Row],[Category]]="Revenue",Transactions_Clean[[#This Row],[Amount(₹)]],Transactions_Clean[[#This Row],[Amount(₹)]]/8)</f>
        <v>-2644.5</v>
      </c>
    </row>
    <row r="948" spans="1:12">
      <c r="A948" t="s">
        <v>1759</v>
      </c>
      <c r="B948" t="s">
        <v>4779</v>
      </c>
      <c r="C948" t="s">
        <v>136</v>
      </c>
      <c r="D948">
        <v>-10602215</v>
      </c>
      <c r="E948" t="s">
        <v>62</v>
      </c>
      <c r="F948" t="s">
        <v>32</v>
      </c>
      <c r="G948" t="s">
        <v>63</v>
      </c>
      <c r="H948" t="s">
        <v>39</v>
      </c>
      <c r="I948" t="s">
        <v>40</v>
      </c>
      <c r="J948" s="11">
        <v>45866</v>
      </c>
      <c r="K948" t="str">
        <f>TEXT(Transactions_Clean[[#This Row],[Date]],"MMM-YYYY")</f>
        <v>Jul-2025</v>
      </c>
      <c r="L948">
        <f>IF(Transactions_Clean[[#This Row],[Category]]="Revenue",Transactions_Clean[[#This Row],[Amount(₹)]],Transactions_Clean[[#This Row],[Amount(₹)]]/8)</f>
        <v>-1325276.875</v>
      </c>
    </row>
    <row r="949" spans="1:12">
      <c r="A949" t="s">
        <v>1762</v>
      </c>
      <c r="B949" t="s">
        <v>4762</v>
      </c>
      <c r="C949" t="s">
        <v>157</v>
      </c>
      <c r="D949">
        <v>550663</v>
      </c>
      <c r="E949" t="s">
        <v>62</v>
      </c>
      <c r="F949" t="s">
        <v>32</v>
      </c>
      <c r="G949" t="s">
        <v>25</v>
      </c>
      <c r="H949" t="s">
        <v>26</v>
      </c>
      <c r="I949" t="s">
        <v>40</v>
      </c>
      <c r="J949" s="11">
        <v>45197</v>
      </c>
      <c r="K949" t="str">
        <f>TEXT(Transactions_Clean[[#This Row],[Date]],"MMM-YYYY")</f>
        <v>Sep-2023</v>
      </c>
      <c r="L949">
        <f>IF(Transactions_Clean[[#This Row],[Category]]="Revenue",Transactions_Clean[[#This Row],[Amount(₹)]],Transactions_Clean[[#This Row],[Amount(₹)]]/8)</f>
        <v>550663</v>
      </c>
    </row>
    <row r="950" spans="1:12">
      <c r="A950" t="s">
        <v>1764</v>
      </c>
      <c r="B950" t="s">
        <v>60</v>
      </c>
      <c r="C950" t="s">
        <v>61</v>
      </c>
      <c r="D950">
        <v>-29865</v>
      </c>
      <c r="E950" t="s">
        <v>62</v>
      </c>
      <c r="F950" t="s">
        <v>32</v>
      </c>
      <c r="G950" t="s">
        <v>63</v>
      </c>
      <c r="H950" t="s">
        <v>39</v>
      </c>
      <c r="I950" t="s">
        <v>48</v>
      </c>
      <c r="J950" s="11">
        <v>45980</v>
      </c>
      <c r="K950" t="str">
        <f>TEXT(Transactions_Clean[[#This Row],[Date]],"MMM-YYYY")</f>
        <v>Nov-2025</v>
      </c>
      <c r="L950">
        <f>IF(Transactions_Clean[[#This Row],[Category]]="Revenue",Transactions_Clean[[#This Row],[Amount(₹)]],Transactions_Clean[[#This Row],[Amount(₹)]]/8)</f>
        <v>-3733.125</v>
      </c>
    </row>
    <row r="951" spans="1:12">
      <c r="A951" t="s">
        <v>1765</v>
      </c>
      <c r="B951" t="s">
        <v>305</v>
      </c>
      <c r="C951" t="s">
        <v>38</v>
      </c>
      <c r="D951">
        <v>-40317</v>
      </c>
      <c r="E951" t="s">
        <v>23</v>
      </c>
      <c r="F951" t="s">
        <v>24</v>
      </c>
      <c r="G951" t="s">
        <v>33</v>
      </c>
      <c r="H951" t="s">
        <v>26</v>
      </c>
      <c r="I951" t="s">
        <v>40</v>
      </c>
      <c r="J951" s="11">
        <v>45112</v>
      </c>
      <c r="K951" t="str">
        <f>TEXT(Transactions_Clean[[#This Row],[Date]],"MMM-YYYY")</f>
        <v>Jul-2023</v>
      </c>
      <c r="L951">
        <f>IF(Transactions_Clean[[#This Row],[Category]]="Revenue",Transactions_Clean[[#This Row],[Amount(₹)]],Transactions_Clean[[#This Row],[Amount(₹)]]/8)</f>
        <v>-5039.625</v>
      </c>
    </row>
    <row r="952" spans="1:12">
      <c r="A952" t="s">
        <v>1766</v>
      </c>
      <c r="B952" t="s">
        <v>66</v>
      </c>
      <c r="C952" t="s">
        <v>61</v>
      </c>
      <c r="D952">
        <v>-35062</v>
      </c>
      <c r="E952" t="s">
        <v>62</v>
      </c>
      <c r="F952" t="s">
        <v>24</v>
      </c>
      <c r="G952" t="s">
        <v>63</v>
      </c>
      <c r="H952" t="s">
        <v>26</v>
      </c>
      <c r="I952" t="s">
        <v>48</v>
      </c>
      <c r="J952" s="11">
        <v>45272</v>
      </c>
      <c r="K952" t="str">
        <f>TEXT(Transactions_Clean[[#This Row],[Date]],"MMM-YYYY")</f>
        <v>Dec-2023</v>
      </c>
      <c r="L952">
        <f>IF(Transactions_Clean[[#This Row],[Category]]="Revenue",Transactions_Clean[[#This Row],[Amount(₹)]],Transactions_Clean[[#This Row],[Amount(₹)]]/8)</f>
        <v>-4382.75</v>
      </c>
    </row>
    <row r="953" spans="1:12">
      <c r="A953" t="s">
        <v>1768</v>
      </c>
      <c r="B953" t="s">
        <v>202</v>
      </c>
      <c r="C953" t="s">
        <v>22</v>
      </c>
      <c r="D953">
        <v>-83608</v>
      </c>
      <c r="E953" t="s">
        <v>23</v>
      </c>
      <c r="F953" t="s">
        <v>32</v>
      </c>
      <c r="G953" t="s">
        <v>25</v>
      </c>
      <c r="H953" t="s">
        <v>39</v>
      </c>
      <c r="I953" t="s">
        <v>34</v>
      </c>
      <c r="J953" s="11">
        <v>45771</v>
      </c>
      <c r="K953" t="str">
        <f>TEXT(Transactions_Clean[[#This Row],[Date]],"MMM-YYYY")</f>
        <v>Apr-2025</v>
      </c>
      <c r="L953">
        <f>IF(Transactions_Clean[[#This Row],[Category]]="Revenue",Transactions_Clean[[#This Row],[Amount(₹)]],Transactions_Clean[[#This Row],[Amount(₹)]]/8)</f>
        <v>-10451</v>
      </c>
    </row>
    <row r="954" spans="1:12">
      <c r="A954" t="s">
        <v>1769</v>
      </c>
      <c r="B954" t="s">
        <v>100</v>
      </c>
      <c r="C954" t="s">
        <v>31</v>
      </c>
      <c r="D954">
        <v>-37638</v>
      </c>
      <c r="E954" t="s">
        <v>23</v>
      </c>
      <c r="F954" t="s">
        <v>24</v>
      </c>
      <c r="G954" t="s">
        <v>33</v>
      </c>
      <c r="H954" t="s">
        <v>26</v>
      </c>
      <c r="I954" t="s">
        <v>48</v>
      </c>
      <c r="J954" s="11">
        <v>45230</v>
      </c>
      <c r="K954" t="str">
        <f>TEXT(Transactions_Clean[[#This Row],[Date]],"MMM-YYYY")</f>
        <v>Oct-2023</v>
      </c>
      <c r="L954">
        <f>IF(Transactions_Clean[[#This Row],[Category]]="Revenue",Transactions_Clean[[#This Row],[Amount(₹)]],Transactions_Clean[[#This Row],[Amount(₹)]]/8)</f>
        <v>-4704.75</v>
      </c>
    </row>
    <row r="955" spans="1:12">
      <c r="A955" t="s">
        <v>1770</v>
      </c>
      <c r="B955" t="s">
        <v>4776</v>
      </c>
      <c r="C955" t="s">
        <v>440</v>
      </c>
      <c r="D955">
        <v>-127841</v>
      </c>
      <c r="E955" t="s">
        <v>23</v>
      </c>
      <c r="F955" t="s">
        <v>32</v>
      </c>
      <c r="G955" t="s">
        <v>33</v>
      </c>
      <c r="H955" t="s">
        <v>26</v>
      </c>
      <c r="I955" t="s">
        <v>48</v>
      </c>
      <c r="J955" s="11">
        <v>45216</v>
      </c>
      <c r="K955" t="str">
        <f>TEXT(Transactions_Clean[[#This Row],[Date]],"MMM-YYYY")</f>
        <v>Oct-2023</v>
      </c>
      <c r="L955">
        <f>IF(Transactions_Clean[[#This Row],[Category]]="Revenue",Transactions_Clean[[#This Row],[Amount(₹)]],Transactions_Clean[[#This Row],[Amount(₹)]]/8)</f>
        <v>-15980.125</v>
      </c>
    </row>
    <row r="956" spans="1:12">
      <c r="A956" t="s">
        <v>1772</v>
      </c>
      <c r="B956" t="s">
        <v>310</v>
      </c>
      <c r="C956" t="s">
        <v>22</v>
      </c>
      <c r="D956">
        <v>-77441</v>
      </c>
      <c r="E956" t="s">
        <v>23</v>
      </c>
      <c r="F956" t="s">
        <v>24</v>
      </c>
      <c r="G956" t="s">
        <v>25</v>
      </c>
      <c r="H956" t="s">
        <v>39</v>
      </c>
      <c r="I956" t="s">
        <v>34</v>
      </c>
      <c r="J956" s="11">
        <v>45774</v>
      </c>
      <c r="K956" t="str">
        <f>TEXT(Transactions_Clean[[#This Row],[Date]],"MMM-YYYY")</f>
        <v>Apr-2025</v>
      </c>
      <c r="L956">
        <f>IF(Transactions_Clean[[#This Row],[Category]]="Revenue",Transactions_Clean[[#This Row],[Amount(₹)]],Transactions_Clean[[#This Row],[Amount(₹)]]/8)</f>
        <v>-9680.125</v>
      </c>
    </row>
    <row r="957" spans="1:12">
      <c r="A957" t="s">
        <v>1774</v>
      </c>
      <c r="B957" t="s">
        <v>4763</v>
      </c>
      <c r="C957" t="s">
        <v>4750</v>
      </c>
      <c r="D957">
        <v>-186434</v>
      </c>
      <c r="E957" t="s">
        <v>23</v>
      </c>
      <c r="F957" t="s">
        <v>24</v>
      </c>
      <c r="G957" t="s">
        <v>25</v>
      </c>
      <c r="H957" t="s">
        <v>39</v>
      </c>
      <c r="I957" t="s">
        <v>34</v>
      </c>
      <c r="J957" s="11">
        <v>45995</v>
      </c>
      <c r="K957" t="str">
        <f>TEXT(Transactions_Clean[[#This Row],[Date]],"MMM-YYYY")</f>
        <v>Dec-2025</v>
      </c>
      <c r="L957">
        <f>IF(Transactions_Clean[[#This Row],[Category]]="Revenue",Transactions_Clean[[#This Row],[Amount(₹)]],Transactions_Clean[[#This Row],[Amount(₹)]]/8)</f>
        <v>-23304.25</v>
      </c>
    </row>
    <row r="958" spans="1:12">
      <c r="A958" t="s">
        <v>1776</v>
      </c>
      <c r="B958" t="s">
        <v>616</v>
      </c>
      <c r="C958" t="s">
        <v>22</v>
      </c>
      <c r="D958">
        <v>-141987</v>
      </c>
      <c r="E958" t="s">
        <v>23</v>
      </c>
      <c r="F958" t="s">
        <v>24</v>
      </c>
      <c r="G958" t="s">
        <v>25</v>
      </c>
      <c r="H958" t="s">
        <v>26</v>
      </c>
      <c r="I958" t="s">
        <v>34</v>
      </c>
      <c r="J958" s="11">
        <v>45042</v>
      </c>
      <c r="K958" t="str">
        <f>TEXT(Transactions_Clean[[#This Row],[Date]],"MMM-YYYY")</f>
        <v>Apr-2023</v>
      </c>
      <c r="L958">
        <f>IF(Transactions_Clean[[#This Row],[Category]]="Revenue",Transactions_Clean[[#This Row],[Amount(₹)]],Transactions_Clean[[#This Row],[Amount(₹)]]/8)</f>
        <v>-17748.375</v>
      </c>
    </row>
    <row r="959" spans="1:12">
      <c r="A959" t="s">
        <v>1778</v>
      </c>
      <c r="B959" t="s">
        <v>72</v>
      </c>
      <c r="C959" t="s">
        <v>73</v>
      </c>
      <c r="D959">
        <v>-70616</v>
      </c>
      <c r="E959" t="s">
        <v>74</v>
      </c>
      <c r="F959" t="s">
        <v>32</v>
      </c>
      <c r="G959" t="s">
        <v>25</v>
      </c>
      <c r="H959" t="s">
        <v>45</v>
      </c>
      <c r="I959" t="s">
        <v>34</v>
      </c>
      <c r="J959" s="11">
        <v>45327</v>
      </c>
      <c r="K959" t="str">
        <f>TEXT(Transactions_Clean[[#This Row],[Date]],"MMM-YYYY")</f>
        <v>Feb-2024</v>
      </c>
      <c r="L959">
        <f>IF(Transactions_Clean[[#This Row],[Category]]="Revenue",Transactions_Clean[[#This Row],[Amount(₹)]],Transactions_Clean[[#This Row],[Amount(₹)]]/8)</f>
        <v>-8827</v>
      </c>
    </row>
    <row r="960" spans="1:12">
      <c r="A960" t="s">
        <v>1780</v>
      </c>
      <c r="B960" t="s">
        <v>4760</v>
      </c>
      <c r="C960" t="s">
        <v>73</v>
      </c>
      <c r="D960">
        <v>-25675</v>
      </c>
      <c r="E960" t="s">
        <v>74</v>
      </c>
      <c r="F960" t="s">
        <v>32</v>
      </c>
      <c r="G960" t="s">
        <v>25</v>
      </c>
      <c r="H960" t="s">
        <v>26</v>
      </c>
      <c r="I960" t="s">
        <v>34</v>
      </c>
      <c r="J960" s="11">
        <v>45080</v>
      </c>
      <c r="K960" t="str">
        <f>TEXT(Transactions_Clean[[#This Row],[Date]],"MMM-YYYY")</f>
        <v>Jun-2023</v>
      </c>
      <c r="L960">
        <f>IF(Transactions_Clean[[#This Row],[Category]]="Revenue",Transactions_Clean[[#This Row],[Amount(₹)]],Transactions_Clean[[#This Row],[Amount(₹)]]/8)</f>
        <v>-3209.375</v>
      </c>
    </row>
    <row r="961" spans="1:12">
      <c r="A961" t="s">
        <v>1782</v>
      </c>
      <c r="B961" t="s">
        <v>4771</v>
      </c>
      <c r="C961" t="s">
        <v>440</v>
      </c>
      <c r="D961">
        <v>-143099</v>
      </c>
      <c r="E961" t="s">
        <v>23</v>
      </c>
      <c r="F961" t="s">
        <v>32</v>
      </c>
      <c r="G961" t="s">
        <v>33</v>
      </c>
      <c r="H961" t="s">
        <v>45</v>
      </c>
      <c r="I961" t="s">
        <v>34</v>
      </c>
      <c r="J961" s="11">
        <v>45426</v>
      </c>
      <c r="K961" t="str">
        <f>TEXT(Transactions_Clean[[#This Row],[Date]],"MMM-YYYY")</f>
        <v>May-2024</v>
      </c>
      <c r="L961">
        <f>IF(Transactions_Clean[[#This Row],[Category]]="Revenue",Transactions_Clean[[#This Row],[Amount(₹)]],Transactions_Clean[[#This Row],[Amount(₹)]]/8)</f>
        <v>-17887.375</v>
      </c>
    </row>
    <row r="962" spans="1:12">
      <c r="A962" t="s">
        <v>1784</v>
      </c>
      <c r="B962" t="s">
        <v>87</v>
      </c>
      <c r="C962" t="s">
        <v>22</v>
      </c>
      <c r="D962">
        <v>-153493</v>
      </c>
      <c r="E962" t="s">
        <v>23</v>
      </c>
      <c r="F962" t="s">
        <v>24</v>
      </c>
      <c r="G962" t="s">
        <v>25</v>
      </c>
      <c r="H962" t="s">
        <v>26</v>
      </c>
      <c r="I962" t="s">
        <v>48</v>
      </c>
      <c r="J962" s="11">
        <v>45226</v>
      </c>
      <c r="K962" t="str">
        <f>TEXT(Transactions_Clean[[#This Row],[Date]],"MMM-YYYY")</f>
        <v>Oct-2023</v>
      </c>
      <c r="L962">
        <f>IF(Transactions_Clean[[#This Row],[Category]]="Revenue",Transactions_Clean[[#This Row],[Amount(₹)]],Transactions_Clean[[#This Row],[Amount(₹)]]/8)</f>
        <v>-19186.625</v>
      </c>
    </row>
    <row r="963" spans="1:12">
      <c r="A963" t="s">
        <v>1786</v>
      </c>
      <c r="B963" t="s">
        <v>283</v>
      </c>
      <c r="C963" t="s">
        <v>44</v>
      </c>
      <c r="D963">
        <v>-148694</v>
      </c>
      <c r="E963" t="s">
        <v>23</v>
      </c>
      <c r="F963" t="s">
        <v>32</v>
      </c>
      <c r="G963" t="s">
        <v>33</v>
      </c>
      <c r="H963" t="s">
        <v>26</v>
      </c>
      <c r="I963" t="s">
        <v>40</v>
      </c>
      <c r="J963" s="11">
        <v>45190</v>
      </c>
      <c r="K963" t="str">
        <f>TEXT(Transactions_Clean[[#This Row],[Date]],"MMM-YYYY")</f>
        <v>Sep-2023</v>
      </c>
      <c r="L963">
        <f>IF(Transactions_Clean[[#This Row],[Category]]="Revenue",Transactions_Clean[[#This Row],[Amount(₹)]],Transactions_Clean[[#This Row],[Amount(₹)]]/8)</f>
        <v>-18586.75</v>
      </c>
    </row>
    <row r="964" spans="1:12">
      <c r="A964" t="s">
        <v>1787</v>
      </c>
      <c r="B964" t="s">
        <v>4758</v>
      </c>
      <c r="C964" t="s">
        <v>78</v>
      </c>
      <c r="D964">
        <v>-15004</v>
      </c>
      <c r="E964" t="s">
        <v>23</v>
      </c>
      <c r="F964" t="s">
        <v>24</v>
      </c>
      <c r="G964" t="s">
        <v>79</v>
      </c>
      <c r="H964" t="s">
        <v>45</v>
      </c>
      <c r="I964" t="s">
        <v>40</v>
      </c>
      <c r="J964" s="11">
        <v>45509</v>
      </c>
      <c r="K964" t="str">
        <f>TEXT(Transactions_Clean[[#This Row],[Date]],"MMM-YYYY")</f>
        <v>Aug-2024</v>
      </c>
      <c r="L964">
        <f>IF(Transactions_Clean[[#This Row],[Category]]="Revenue",Transactions_Clean[[#This Row],[Amount(₹)]],Transactions_Clean[[#This Row],[Amount(₹)]]/8)</f>
        <v>-1875.5</v>
      </c>
    </row>
    <row r="965" spans="1:12">
      <c r="A965" t="s">
        <v>1789</v>
      </c>
      <c r="B965" t="s">
        <v>4754</v>
      </c>
      <c r="C965" t="s">
        <v>4750</v>
      </c>
      <c r="D965">
        <v>-55749</v>
      </c>
      <c r="E965" t="s">
        <v>23</v>
      </c>
      <c r="F965" t="s">
        <v>32</v>
      </c>
      <c r="G965" t="s">
        <v>79</v>
      </c>
      <c r="H965" t="s">
        <v>45</v>
      </c>
      <c r="I965" t="s">
        <v>40</v>
      </c>
      <c r="J965" s="11">
        <v>45528</v>
      </c>
      <c r="K965" t="str">
        <f>TEXT(Transactions_Clean[[#This Row],[Date]],"MMM-YYYY")</f>
        <v>Aug-2024</v>
      </c>
      <c r="L965">
        <f>IF(Transactions_Clean[[#This Row],[Category]]="Revenue",Transactions_Clean[[#This Row],[Amount(₹)]],Transactions_Clean[[#This Row],[Amount(₹)]]/8)</f>
        <v>-6968.625</v>
      </c>
    </row>
    <row r="966" spans="1:12">
      <c r="A966" t="s">
        <v>1790</v>
      </c>
      <c r="B966" t="s">
        <v>4773</v>
      </c>
      <c r="C966" t="s">
        <v>157</v>
      </c>
      <c r="D966">
        <v>720416</v>
      </c>
      <c r="E966" t="s">
        <v>62</v>
      </c>
      <c r="F966" t="s">
        <v>32</v>
      </c>
      <c r="G966" t="s">
        <v>25</v>
      </c>
      <c r="H966" t="s">
        <v>39</v>
      </c>
      <c r="I966" t="s">
        <v>48</v>
      </c>
      <c r="J966" s="11">
        <v>45955</v>
      </c>
      <c r="K966" t="str">
        <f>TEXT(Transactions_Clean[[#This Row],[Date]],"MMM-YYYY")</f>
        <v>Oct-2025</v>
      </c>
      <c r="L966">
        <f>IF(Transactions_Clean[[#This Row],[Category]]="Revenue",Transactions_Clean[[#This Row],[Amount(₹)]],Transactions_Clean[[#This Row],[Amount(₹)]]/8)</f>
        <v>720416</v>
      </c>
    </row>
    <row r="967" spans="1:12">
      <c r="A967" t="s">
        <v>1792</v>
      </c>
      <c r="B967" t="s">
        <v>4765</v>
      </c>
      <c r="C967" t="s">
        <v>73</v>
      </c>
      <c r="D967">
        <v>-18917</v>
      </c>
      <c r="E967" t="s">
        <v>74</v>
      </c>
      <c r="F967" t="s">
        <v>24</v>
      </c>
      <c r="G967" t="s">
        <v>25</v>
      </c>
      <c r="H967" t="s">
        <v>26</v>
      </c>
      <c r="I967" t="s">
        <v>27</v>
      </c>
      <c r="J967" s="11">
        <v>45365</v>
      </c>
      <c r="K967" t="str">
        <f>TEXT(Transactions_Clean[[#This Row],[Date]],"MMM-YYYY")</f>
        <v>Mar-2024</v>
      </c>
      <c r="L967">
        <f>IF(Transactions_Clean[[#This Row],[Category]]="Revenue",Transactions_Clean[[#This Row],[Amount(₹)]],Transactions_Clean[[#This Row],[Amount(₹)]]/8)</f>
        <v>-2364.625</v>
      </c>
    </row>
    <row r="968" spans="1:12">
      <c r="A968" t="s">
        <v>1793</v>
      </c>
      <c r="B968" t="s">
        <v>4748</v>
      </c>
      <c r="C968" t="s">
        <v>22</v>
      </c>
      <c r="D968">
        <v>-144040</v>
      </c>
      <c r="E968" t="s">
        <v>23</v>
      </c>
      <c r="F968" t="s">
        <v>32</v>
      </c>
      <c r="G968" t="s">
        <v>25</v>
      </c>
      <c r="H968" t="s">
        <v>45</v>
      </c>
      <c r="I968" t="s">
        <v>48</v>
      </c>
      <c r="J968" s="11">
        <v>45623</v>
      </c>
      <c r="K968" t="str">
        <f>TEXT(Transactions_Clean[[#This Row],[Date]],"MMM-YYYY")</f>
        <v>Nov-2024</v>
      </c>
      <c r="L968">
        <f>IF(Transactions_Clean[[#This Row],[Category]]="Revenue",Transactions_Clean[[#This Row],[Amount(₹)]],Transactions_Clean[[#This Row],[Amount(₹)]]/8)</f>
        <v>-18005</v>
      </c>
    </row>
    <row r="969" spans="1:12">
      <c r="A969" t="s">
        <v>1794</v>
      </c>
      <c r="B969" t="s">
        <v>30</v>
      </c>
      <c r="C969" t="s">
        <v>31</v>
      </c>
      <c r="D969">
        <v>-34205</v>
      </c>
      <c r="E969" t="s">
        <v>23</v>
      </c>
      <c r="F969" t="s">
        <v>32</v>
      </c>
      <c r="G969" t="s">
        <v>33</v>
      </c>
      <c r="H969" t="s">
        <v>39</v>
      </c>
      <c r="I969" t="s">
        <v>34</v>
      </c>
      <c r="J969" s="11">
        <v>45753</v>
      </c>
      <c r="K969" t="str">
        <f>TEXT(Transactions_Clean[[#This Row],[Date]],"MMM-YYYY")</f>
        <v>Apr-2025</v>
      </c>
      <c r="L969">
        <f>IF(Transactions_Clean[[#This Row],[Category]]="Revenue",Transactions_Clean[[#This Row],[Amount(₹)]],Transactions_Clean[[#This Row],[Amount(₹)]]/8)</f>
        <v>-4275.625</v>
      </c>
    </row>
    <row r="970" spans="1:12">
      <c r="A970" t="s">
        <v>1795</v>
      </c>
      <c r="B970" t="s">
        <v>215</v>
      </c>
      <c r="C970" t="s">
        <v>61</v>
      </c>
      <c r="D970">
        <v>-23755</v>
      </c>
      <c r="E970" t="s">
        <v>62</v>
      </c>
      <c r="F970" t="s">
        <v>24</v>
      </c>
      <c r="G970" t="s">
        <v>63</v>
      </c>
      <c r="H970" t="s">
        <v>26</v>
      </c>
      <c r="I970" t="s">
        <v>27</v>
      </c>
      <c r="J970" s="11">
        <v>45338</v>
      </c>
      <c r="K970" t="str">
        <f>TEXT(Transactions_Clean[[#This Row],[Date]],"MMM-YYYY")</f>
        <v>Feb-2024</v>
      </c>
      <c r="L970">
        <f>IF(Transactions_Clean[[#This Row],[Category]]="Revenue",Transactions_Clean[[#This Row],[Amount(₹)]],Transactions_Clean[[#This Row],[Amount(₹)]]/8)</f>
        <v>-2969.375</v>
      </c>
    </row>
    <row r="971" spans="1:12">
      <c r="A971" t="s">
        <v>1797</v>
      </c>
      <c r="B971" t="s">
        <v>51</v>
      </c>
      <c r="C971" t="s">
        <v>31</v>
      </c>
      <c r="D971">
        <v>-23017</v>
      </c>
      <c r="E971" t="s">
        <v>23</v>
      </c>
      <c r="F971" t="s">
        <v>32</v>
      </c>
      <c r="G971" t="s">
        <v>33</v>
      </c>
      <c r="H971" t="s">
        <v>45</v>
      </c>
      <c r="I971" t="s">
        <v>40</v>
      </c>
      <c r="J971" s="11">
        <v>45561</v>
      </c>
      <c r="K971" t="str">
        <f>TEXT(Transactions_Clean[[#This Row],[Date]],"MMM-YYYY")</f>
        <v>Sep-2024</v>
      </c>
      <c r="L971">
        <f>IF(Transactions_Clean[[#This Row],[Category]]="Revenue",Transactions_Clean[[#This Row],[Amount(₹)]],Transactions_Clean[[#This Row],[Amount(₹)]]/8)</f>
        <v>-2877.125</v>
      </c>
    </row>
    <row r="972" spans="1:12">
      <c r="A972" t="s">
        <v>1799</v>
      </c>
      <c r="B972" t="s">
        <v>4748</v>
      </c>
      <c r="C972" t="s">
        <v>22</v>
      </c>
      <c r="D972">
        <v>-22941</v>
      </c>
      <c r="E972" t="s">
        <v>23</v>
      </c>
      <c r="F972" t="s">
        <v>24</v>
      </c>
      <c r="G972" t="s">
        <v>25</v>
      </c>
      <c r="H972" t="s">
        <v>45</v>
      </c>
      <c r="I972" t="s">
        <v>40</v>
      </c>
      <c r="J972" s="11">
        <v>45563</v>
      </c>
      <c r="K972" t="str">
        <f>TEXT(Transactions_Clean[[#This Row],[Date]],"MMM-YYYY")</f>
        <v>Sep-2024</v>
      </c>
      <c r="L972">
        <f>IF(Transactions_Clean[[#This Row],[Category]]="Revenue",Transactions_Clean[[#This Row],[Amount(₹)]],Transactions_Clean[[#This Row],[Amount(₹)]]/8)</f>
        <v>-2867.625</v>
      </c>
    </row>
    <row r="973" spans="1:12">
      <c r="A973" t="s">
        <v>1800</v>
      </c>
      <c r="B973" t="s">
        <v>66</v>
      </c>
      <c r="C973" t="s">
        <v>61</v>
      </c>
      <c r="D973">
        <v>-54277</v>
      </c>
      <c r="E973" t="s">
        <v>62</v>
      </c>
      <c r="F973" t="s">
        <v>32</v>
      </c>
      <c r="G973" t="s">
        <v>63</v>
      </c>
      <c r="H973" t="s">
        <v>45</v>
      </c>
      <c r="I973" t="s">
        <v>40</v>
      </c>
      <c r="J973" s="11">
        <v>45535</v>
      </c>
      <c r="K973" t="str">
        <f>TEXT(Transactions_Clean[[#This Row],[Date]],"MMM-YYYY")</f>
        <v>Aug-2024</v>
      </c>
      <c r="L973">
        <f>IF(Transactions_Clean[[#This Row],[Category]]="Revenue",Transactions_Clean[[#This Row],[Amount(₹)]],Transactions_Clean[[#This Row],[Amount(₹)]]/8)</f>
        <v>-6784.625</v>
      </c>
    </row>
    <row r="974" spans="1:12">
      <c r="A974" t="s">
        <v>1802</v>
      </c>
      <c r="B974" t="s">
        <v>4754</v>
      </c>
      <c r="C974" t="s">
        <v>78</v>
      </c>
      <c r="D974">
        <v>-81757</v>
      </c>
      <c r="E974" t="s">
        <v>23</v>
      </c>
      <c r="F974" t="s">
        <v>32</v>
      </c>
      <c r="G974" t="s">
        <v>79</v>
      </c>
      <c r="H974" t="s">
        <v>39</v>
      </c>
      <c r="I974" t="s">
        <v>48</v>
      </c>
      <c r="J974" s="11">
        <v>46007</v>
      </c>
      <c r="K974" t="str">
        <f>TEXT(Transactions_Clean[[#This Row],[Date]],"MMM-YYYY")</f>
        <v>Dec-2025</v>
      </c>
      <c r="L974">
        <f>IF(Transactions_Clean[[#This Row],[Category]]="Revenue",Transactions_Clean[[#This Row],[Amount(₹)]],Transactions_Clean[[#This Row],[Amount(₹)]]/8)</f>
        <v>-10219.625</v>
      </c>
    </row>
    <row r="975" spans="1:12">
      <c r="A975" t="s">
        <v>1804</v>
      </c>
      <c r="B975" t="s">
        <v>4753</v>
      </c>
      <c r="C975" t="s">
        <v>38</v>
      </c>
      <c r="D975">
        <v>-24793</v>
      </c>
      <c r="E975" t="s">
        <v>23</v>
      </c>
      <c r="F975" t="s">
        <v>32</v>
      </c>
      <c r="G975" t="s">
        <v>33</v>
      </c>
      <c r="H975" t="s">
        <v>26</v>
      </c>
      <c r="I975" t="s">
        <v>48</v>
      </c>
      <c r="J975" s="11">
        <v>45256</v>
      </c>
      <c r="K975" t="str">
        <f>TEXT(Transactions_Clean[[#This Row],[Date]],"MMM-YYYY")</f>
        <v>Nov-2023</v>
      </c>
      <c r="L975">
        <f>IF(Transactions_Clean[[#This Row],[Category]]="Revenue",Transactions_Clean[[#This Row],[Amount(₹)]],Transactions_Clean[[#This Row],[Amount(₹)]]/8)</f>
        <v>-3099.125</v>
      </c>
    </row>
    <row r="976" spans="1:12">
      <c r="A976" t="s">
        <v>1805</v>
      </c>
      <c r="B976" t="s">
        <v>51</v>
      </c>
      <c r="C976" t="s">
        <v>31</v>
      </c>
      <c r="D976">
        <v>-9836</v>
      </c>
      <c r="E976" t="s">
        <v>23</v>
      </c>
      <c r="F976" t="s">
        <v>24</v>
      </c>
      <c r="G976" t="s">
        <v>33</v>
      </c>
      <c r="H976" t="s">
        <v>26</v>
      </c>
      <c r="I976" t="s">
        <v>27</v>
      </c>
      <c r="J976" s="11">
        <v>45628</v>
      </c>
      <c r="K976" t="str">
        <f>TEXT(Transactions_Clean[[#This Row],[Date]],"MMM-YYYY")</f>
        <v>Dec-2024</v>
      </c>
      <c r="L976">
        <f>IF(Transactions_Clean[[#This Row],[Category]]="Revenue",Transactions_Clean[[#This Row],[Amount(₹)]],Transactions_Clean[[#This Row],[Amount(₹)]]/8)</f>
        <v>-1229.5</v>
      </c>
    </row>
    <row r="977" spans="1:12">
      <c r="A977" t="s">
        <v>1807</v>
      </c>
      <c r="B977" t="s">
        <v>4759</v>
      </c>
      <c r="C977" t="s">
        <v>31</v>
      </c>
      <c r="D977">
        <v>-23601</v>
      </c>
      <c r="E977" t="s">
        <v>23</v>
      </c>
      <c r="F977" t="s">
        <v>24</v>
      </c>
      <c r="G977" t="s">
        <v>33</v>
      </c>
      <c r="H977" t="s">
        <v>45</v>
      </c>
      <c r="I977" t="s">
        <v>34</v>
      </c>
      <c r="J977" s="11">
        <v>45439</v>
      </c>
      <c r="K977" t="str">
        <f>TEXT(Transactions_Clean[[#This Row],[Date]],"MMM-YYYY")</f>
        <v>May-2024</v>
      </c>
      <c r="L977">
        <f>IF(Transactions_Clean[[#This Row],[Category]]="Revenue",Transactions_Clean[[#This Row],[Amount(₹)]],Transactions_Clean[[#This Row],[Amount(₹)]]/8)</f>
        <v>-2950.125</v>
      </c>
    </row>
    <row r="978" spans="1:12">
      <c r="A978" t="s">
        <v>1809</v>
      </c>
      <c r="B978" t="s">
        <v>4758</v>
      </c>
      <c r="C978" t="s">
        <v>78</v>
      </c>
      <c r="D978">
        <v>-78198</v>
      </c>
      <c r="E978" t="s">
        <v>23</v>
      </c>
      <c r="F978" t="s">
        <v>32</v>
      </c>
      <c r="G978" t="s">
        <v>79</v>
      </c>
      <c r="H978" t="s">
        <v>45</v>
      </c>
      <c r="I978" t="s">
        <v>34</v>
      </c>
      <c r="J978" s="11">
        <v>45434</v>
      </c>
      <c r="K978" t="str">
        <f>TEXT(Transactions_Clean[[#This Row],[Date]],"MMM-YYYY")</f>
        <v>May-2024</v>
      </c>
      <c r="L978">
        <f>IF(Transactions_Clean[[#This Row],[Category]]="Revenue",Transactions_Clean[[#This Row],[Amount(₹)]],Transactions_Clean[[#This Row],[Amount(₹)]]/8)</f>
        <v>-9774.75</v>
      </c>
    </row>
    <row r="979" spans="1:12">
      <c r="A979" t="s">
        <v>1810</v>
      </c>
      <c r="B979" t="s">
        <v>4760</v>
      </c>
      <c r="C979" t="s">
        <v>73</v>
      </c>
      <c r="D979">
        <v>-53003</v>
      </c>
      <c r="E979" t="s">
        <v>74</v>
      </c>
      <c r="F979" t="s">
        <v>32</v>
      </c>
      <c r="G979" t="s">
        <v>25</v>
      </c>
      <c r="H979" t="s">
        <v>39</v>
      </c>
      <c r="I979" t="s">
        <v>34</v>
      </c>
      <c r="J979" s="11">
        <v>45821</v>
      </c>
      <c r="K979" t="str">
        <f>TEXT(Transactions_Clean[[#This Row],[Date]],"MMM-YYYY")</f>
        <v>Jun-2025</v>
      </c>
      <c r="L979">
        <f>IF(Transactions_Clean[[#This Row],[Category]]="Revenue",Transactions_Clean[[#This Row],[Amount(₹)]],Transactions_Clean[[#This Row],[Amount(₹)]]/8)</f>
        <v>-6625.375</v>
      </c>
    </row>
    <row r="980" spans="1:12">
      <c r="A980" t="s">
        <v>1811</v>
      </c>
      <c r="B980" t="s">
        <v>30</v>
      </c>
      <c r="C980" t="s">
        <v>31</v>
      </c>
      <c r="D980">
        <v>-26801</v>
      </c>
      <c r="E980" t="s">
        <v>23</v>
      </c>
      <c r="F980" t="s">
        <v>32</v>
      </c>
      <c r="G980" t="s">
        <v>33</v>
      </c>
      <c r="H980" t="s">
        <v>26</v>
      </c>
      <c r="I980" t="s">
        <v>48</v>
      </c>
      <c r="J980" s="11">
        <v>45259</v>
      </c>
      <c r="K980" t="str">
        <f>TEXT(Transactions_Clean[[#This Row],[Date]],"MMM-YYYY")</f>
        <v>Nov-2023</v>
      </c>
      <c r="L980">
        <f>IF(Transactions_Clean[[#This Row],[Category]]="Revenue",Transactions_Clean[[#This Row],[Amount(₹)]],Transactions_Clean[[#This Row],[Amount(₹)]]/8)</f>
        <v>-3350.125</v>
      </c>
    </row>
    <row r="981" spans="1:12">
      <c r="A981" t="s">
        <v>1812</v>
      </c>
      <c r="B981" t="s">
        <v>4756</v>
      </c>
      <c r="C981" t="s">
        <v>73</v>
      </c>
      <c r="D981">
        <v>-25814</v>
      </c>
      <c r="E981" t="s">
        <v>74</v>
      </c>
      <c r="F981" t="s">
        <v>24</v>
      </c>
      <c r="G981" t="s">
        <v>25</v>
      </c>
      <c r="H981" t="s">
        <v>26</v>
      </c>
      <c r="I981" t="s">
        <v>27</v>
      </c>
      <c r="J981" s="11">
        <v>45338</v>
      </c>
      <c r="K981" t="str">
        <f>TEXT(Transactions_Clean[[#This Row],[Date]],"MMM-YYYY")</f>
        <v>Feb-2024</v>
      </c>
      <c r="L981">
        <f>IF(Transactions_Clean[[#This Row],[Category]]="Revenue",Transactions_Clean[[#This Row],[Amount(₹)]],Transactions_Clean[[#This Row],[Amount(₹)]]/8)</f>
        <v>-3226.75</v>
      </c>
    </row>
    <row r="982" spans="1:12">
      <c r="A982" t="s">
        <v>1813</v>
      </c>
      <c r="B982" t="s">
        <v>202</v>
      </c>
      <c r="C982" t="s">
        <v>22</v>
      </c>
      <c r="D982">
        <v>-90233</v>
      </c>
      <c r="E982" t="s">
        <v>23</v>
      </c>
      <c r="F982" t="s">
        <v>32</v>
      </c>
      <c r="G982" t="s">
        <v>25</v>
      </c>
      <c r="H982" t="s">
        <v>39</v>
      </c>
      <c r="I982" t="s">
        <v>40</v>
      </c>
      <c r="J982" s="11">
        <v>45854</v>
      </c>
      <c r="K982" t="str">
        <f>TEXT(Transactions_Clean[[#This Row],[Date]],"MMM-YYYY")</f>
        <v>Jul-2025</v>
      </c>
      <c r="L982">
        <f>IF(Transactions_Clean[[#This Row],[Category]]="Revenue",Transactions_Clean[[#This Row],[Amount(₹)]],Transactions_Clean[[#This Row],[Amount(₹)]]/8)</f>
        <v>-11279.125</v>
      </c>
    </row>
    <row r="983" spans="1:12">
      <c r="A983" t="s">
        <v>1814</v>
      </c>
      <c r="B983" t="s">
        <v>212</v>
      </c>
      <c r="C983" t="s">
        <v>73</v>
      </c>
      <c r="D983">
        <v>-70105</v>
      </c>
      <c r="E983" t="s">
        <v>74</v>
      </c>
      <c r="F983" t="s">
        <v>24</v>
      </c>
      <c r="G983" t="s">
        <v>25</v>
      </c>
      <c r="H983" t="s">
        <v>45</v>
      </c>
      <c r="I983" t="s">
        <v>40</v>
      </c>
      <c r="J983" s="11">
        <v>45523</v>
      </c>
      <c r="K983" t="str">
        <f>TEXT(Transactions_Clean[[#This Row],[Date]],"MMM-YYYY")</f>
        <v>Aug-2024</v>
      </c>
      <c r="L983">
        <f>IF(Transactions_Clean[[#This Row],[Category]]="Revenue",Transactions_Clean[[#This Row],[Amount(₹)]],Transactions_Clean[[#This Row],[Amount(₹)]]/8)</f>
        <v>-8763.125</v>
      </c>
    </row>
    <row r="984" spans="1:12">
      <c r="A984" t="s">
        <v>1816</v>
      </c>
      <c r="B984" t="s">
        <v>66</v>
      </c>
      <c r="C984" t="s">
        <v>61</v>
      </c>
      <c r="D984">
        <v>-36498</v>
      </c>
      <c r="E984" t="s">
        <v>62</v>
      </c>
      <c r="F984" t="s">
        <v>32</v>
      </c>
      <c r="G984" t="s">
        <v>63</v>
      </c>
      <c r="H984" t="s">
        <v>26</v>
      </c>
      <c r="I984" t="s">
        <v>48</v>
      </c>
      <c r="J984" s="11">
        <v>45265</v>
      </c>
      <c r="K984" t="str">
        <f>TEXT(Transactions_Clean[[#This Row],[Date]],"MMM-YYYY")</f>
        <v>Dec-2023</v>
      </c>
      <c r="L984">
        <f>IF(Transactions_Clean[[#This Row],[Category]]="Revenue",Transactions_Clean[[#This Row],[Amount(₹)]],Transactions_Clean[[#This Row],[Amount(₹)]]/8)</f>
        <v>-4562.25</v>
      </c>
    </row>
    <row r="985" spans="1:12">
      <c r="A985" t="s">
        <v>1818</v>
      </c>
      <c r="B985" t="s">
        <v>4760</v>
      </c>
      <c r="C985" t="s">
        <v>73</v>
      </c>
      <c r="D985">
        <v>-84049</v>
      </c>
      <c r="E985" t="s">
        <v>74</v>
      </c>
      <c r="F985" t="s">
        <v>24</v>
      </c>
      <c r="G985" t="s">
        <v>25</v>
      </c>
      <c r="H985" t="s">
        <v>45</v>
      </c>
      <c r="I985" t="s">
        <v>27</v>
      </c>
      <c r="J985" s="11">
        <v>45701</v>
      </c>
      <c r="K985" t="str">
        <f>TEXT(Transactions_Clean[[#This Row],[Date]],"MMM-YYYY")</f>
        <v>Feb-2025</v>
      </c>
      <c r="L985">
        <f>IF(Transactions_Clean[[#This Row],[Category]]="Revenue",Transactions_Clean[[#This Row],[Amount(₹)]],Transactions_Clean[[#This Row],[Amount(₹)]]/8)</f>
        <v>-10506.125</v>
      </c>
    </row>
    <row r="986" spans="1:12">
      <c r="A986" t="s">
        <v>1820</v>
      </c>
      <c r="B986" t="s">
        <v>4757</v>
      </c>
      <c r="C986" t="s">
        <v>73</v>
      </c>
      <c r="D986">
        <v>-64807</v>
      </c>
      <c r="E986" t="s">
        <v>74</v>
      </c>
      <c r="F986" t="s">
        <v>32</v>
      </c>
      <c r="G986" t="s">
        <v>25</v>
      </c>
      <c r="H986" t="s">
        <v>45</v>
      </c>
      <c r="I986" t="s">
        <v>27</v>
      </c>
      <c r="J986" s="11">
        <v>45741</v>
      </c>
      <c r="K986" t="str">
        <f>TEXT(Transactions_Clean[[#This Row],[Date]],"MMM-YYYY")</f>
        <v>Mar-2025</v>
      </c>
      <c r="L986">
        <f>IF(Transactions_Clean[[#This Row],[Category]]="Revenue",Transactions_Clean[[#This Row],[Amount(₹)]],Transactions_Clean[[#This Row],[Amount(₹)]]/8)</f>
        <v>-8100.875</v>
      </c>
    </row>
    <row r="987" spans="1:12">
      <c r="A987" t="s">
        <v>1822</v>
      </c>
      <c r="B987" t="s">
        <v>4767</v>
      </c>
      <c r="C987" t="s">
        <v>157</v>
      </c>
      <c r="D987">
        <v>554693</v>
      </c>
      <c r="E987" t="s">
        <v>62</v>
      </c>
      <c r="F987" t="s">
        <v>32</v>
      </c>
      <c r="G987" t="s">
        <v>25</v>
      </c>
      <c r="H987" t="s">
        <v>26</v>
      </c>
      <c r="I987" t="s">
        <v>40</v>
      </c>
      <c r="J987" s="11">
        <v>45160</v>
      </c>
      <c r="K987" t="str">
        <f>TEXT(Transactions_Clean[[#This Row],[Date]],"MMM-YYYY")</f>
        <v>Aug-2023</v>
      </c>
      <c r="L987">
        <f>IF(Transactions_Clean[[#This Row],[Category]]="Revenue",Transactions_Clean[[#This Row],[Amount(₹)]],Transactions_Clean[[#This Row],[Amount(₹)]]/8)</f>
        <v>554693</v>
      </c>
    </row>
    <row r="988" spans="1:12">
      <c r="A988" t="s">
        <v>1824</v>
      </c>
      <c r="B988" t="s">
        <v>215</v>
      </c>
      <c r="C988" t="s">
        <v>61</v>
      </c>
      <c r="D988">
        <v>-14865</v>
      </c>
      <c r="E988" t="s">
        <v>62</v>
      </c>
      <c r="F988" t="s">
        <v>24</v>
      </c>
      <c r="G988" t="s">
        <v>63</v>
      </c>
      <c r="H988" t="s">
        <v>45</v>
      </c>
      <c r="I988" t="s">
        <v>40</v>
      </c>
      <c r="J988" s="11">
        <v>45546</v>
      </c>
      <c r="K988" t="str">
        <f>TEXT(Transactions_Clean[[#This Row],[Date]],"MMM-YYYY")</f>
        <v>Sep-2024</v>
      </c>
      <c r="L988">
        <f>IF(Transactions_Clean[[#This Row],[Category]]="Revenue",Transactions_Clean[[#This Row],[Amount(₹)]],Transactions_Clean[[#This Row],[Amount(₹)]]/8)</f>
        <v>-1858.125</v>
      </c>
    </row>
    <row r="989" spans="1:12">
      <c r="A989" t="s">
        <v>1825</v>
      </c>
      <c r="B989" t="s">
        <v>4776</v>
      </c>
      <c r="C989" t="s">
        <v>440</v>
      </c>
      <c r="D989">
        <v>-132481</v>
      </c>
      <c r="E989" t="s">
        <v>23</v>
      </c>
      <c r="F989" t="s">
        <v>24</v>
      </c>
      <c r="G989" t="s">
        <v>33</v>
      </c>
      <c r="H989" t="s">
        <v>26</v>
      </c>
      <c r="I989" t="s">
        <v>34</v>
      </c>
      <c r="J989" s="11">
        <v>45058</v>
      </c>
      <c r="K989" t="str">
        <f>TEXT(Transactions_Clean[[#This Row],[Date]],"MMM-YYYY")</f>
        <v>May-2023</v>
      </c>
      <c r="L989">
        <f>IF(Transactions_Clean[[#This Row],[Category]]="Revenue",Transactions_Clean[[#This Row],[Amount(₹)]],Transactions_Clean[[#This Row],[Amount(₹)]]/8)</f>
        <v>-16560.125</v>
      </c>
    </row>
    <row r="990" spans="1:12">
      <c r="A990" t="s">
        <v>1827</v>
      </c>
      <c r="B990" t="s">
        <v>4763</v>
      </c>
      <c r="C990" t="s">
        <v>22</v>
      </c>
      <c r="D990">
        <v>-172753</v>
      </c>
      <c r="E990" t="s">
        <v>23</v>
      </c>
      <c r="F990" t="s">
        <v>24</v>
      </c>
      <c r="G990" t="s">
        <v>25</v>
      </c>
      <c r="H990" t="s">
        <v>26</v>
      </c>
      <c r="I990" t="s">
        <v>27</v>
      </c>
      <c r="J990" s="11">
        <v>45381</v>
      </c>
      <c r="K990" t="str">
        <f>TEXT(Transactions_Clean[[#This Row],[Date]],"MMM-YYYY")</f>
        <v>Mar-2024</v>
      </c>
      <c r="L990">
        <f>IF(Transactions_Clean[[#This Row],[Category]]="Revenue",Transactions_Clean[[#This Row],[Amount(₹)]],Transactions_Clean[[#This Row],[Amount(₹)]]/8)</f>
        <v>-21594.125</v>
      </c>
    </row>
    <row r="991" spans="1:12">
      <c r="A991" t="s">
        <v>1829</v>
      </c>
      <c r="B991" t="s">
        <v>4753</v>
      </c>
      <c r="C991" t="s">
        <v>38</v>
      </c>
      <c r="D991">
        <v>-25201</v>
      </c>
      <c r="E991" t="s">
        <v>23</v>
      </c>
      <c r="F991" t="s">
        <v>24</v>
      </c>
      <c r="G991" t="s">
        <v>33</v>
      </c>
      <c r="H991" t="s">
        <v>45</v>
      </c>
      <c r="I991" t="s">
        <v>27</v>
      </c>
      <c r="J991" s="11">
        <v>45702</v>
      </c>
      <c r="K991" t="str">
        <f>TEXT(Transactions_Clean[[#This Row],[Date]],"MMM-YYYY")</f>
        <v>Feb-2025</v>
      </c>
      <c r="L991">
        <f>IF(Transactions_Clean[[#This Row],[Category]]="Revenue",Transactions_Clean[[#This Row],[Amount(₹)]],Transactions_Clean[[#This Row],[Amount(₹)]]/8)</f>
        <v>-3150.125</v>
      </c>
    </row>
    <row r="992" spans="1:12">
      <c r="A992" t="s">
        <v>1831</v>
      </c>
      <c r="B992" t="s">
        <v>180</v>
      </c>
      <c r="C992" t="s">
        <v>44</v>
      </c>
      <c r="D992">
        <v>-143077</v>
      </c>
      <c r="E992" t="s">
        <v>23</v>
      </c>
      <c r="F992" t="s">
        <v>32</v>
      </c>
      <c r="G992" t="s">
        <v>33</v>
      </c>
      <c r="H992" t="s">
        <v>45</v>
      </c>
      <c r="I992" t="s">
        <v>27</v>
      </c>
      <c r="J992" s="11">
        <v>45674</v>
      </c>
      <c r="K992" t="str">
        <f>TEXT(Transactions_Clean[[#This Row],[Date]],"MMM-YYYY")</f>
        <v>Jan-2025</v>
      </c>
      <c r="L992">
        <f>IF(Transactions_Clean[[#This Row],[Category]]="Revenue",Transactions_Clean[[#This Row],[Amount(₹)]],Transactions_Clean[[#This Row],[Amount(₹)]]/8)</f>
        <v>-17884.625</v>
      </c>
    </row>
    <row r="993" spans="1:12">
      <c r="A993" t="s">
        <v>1833</v>
      </c>
      <c r="B993" t="s">
        <v>290</v>
      </c>
      <c r="C993" t="s">
        <v>440</v>
      </c>
      <c r="D993">
        <v>-157762</v>
      </c>
      <c r="E993" t="s">
        <v>23</v>
      </c>
      <c r="F993" t="s">
        <v>32</v>
      </c>
      <c r="G993" t="s">
        <v>33</v>
      </c>
      <c r="H993" t="s">
        <v>45</v>
      </c>
      <c r="I993" t="s">
        <v>34</v>
      </c>
      <c r="J993" s="11">
        <v>45447</v>
      </c>
      <c r="K993" t="str">
        <f>TEXT(Transactions_Clean[[#This Row],[Date]],"MMM-YYYY")</f>
        <v>Jun-2024</v>
      </c>
      <c r="L993">
        <f>IF(Transactions_Clean[[#This Row],[Category]]="Revenue",Transactions_Clean[[#This Row],[Amount(₹)]],Transactions_Clean[[#This Row],[Amount(₹)]]/8)</f>
        <v>-19720.25</v>
      </c>
    </row>
    <row r="994" spans="1:12">
      <c r="A994" t="s">
        <v>1834</v>
      </c>
      <c r="B994" t="s">
        <v>4770</v>
      </c>
      <c r="C994" t="s">
        <v>440</v>
      </c>
      <c r="D994">
        <v>-142270</v>
      </c>
      <c r="E994" t="s">
        <v>23</v>
      </c>
      <c r="F994" t="s">
        <v>24</v>
      </c>
      <c r="G994" t="s">
        <v>33</v>
      </c>
      <c r="H994" t="s">
        <v>26</v>
      </c>
      <c r="I994" t="s">
        <v>40</v>
      </c>
      <c r="J994" s="11">
        <v>45170</v>
      </c>
      <c r="K994" t="str">
        <f>TEXT(Transactions_Clean[[#This Row],[Date]],"MMM-YYYY")</f>
        <v>Sep-2023</v>
      </c>
      <c r="L994">
        <f>IF(Transactions_Clean[[#This Row],[Category]]="Revenue",Transactions_Clean[[#This Row],[Amount(₹)]],Transactions_Clean[[#This Row],[Amount(₹)]]/8)</f>
        <v>-17783.75</v>
      </c>
    </row>
    <row r="995" spans="1:12">
      <c r="A995" t="s">
        <v>1835</v>
      </c>
      <c r="B995" t="s">
        <v>290</v>
      </c>
      <c r="C995" t="s">
        <v>440</v>
      </c>
      <c r="D995">
        <v>-120111</v>
      </c>
      <c r="E995" t="s">
        <v>23</v>
      </c>
      <c r="F995" t="s">
        <v>24</v>
      </c>
      <c r="G995" t="s">
        <v>33</v>
      </c>
      <c r="H995" t="s">
        <v>39</v>
      </c>
      <c r="I995" t="s">
        <v>40</v>
      </c>
      <c r="J995" s="11">
        <v>45878</v>
      </c>
      <c r="K995" t="str">
        <f>TEXT(Transactions_Clean[[#This Row],[Date]],"MMM-YYYY")</f>
        <v>Aug-2025</v>
      </c>
      <c r="L995">
        <f>IF(Transactions_Clean[[#This Row],[Category]]="Revenue",Transactions_Clean[[#This Row],[Amount(₹)]],Transactions_Clean[[#This Row],[Amount(₹)]]/8)</f>
        <v>-15013.875</v>
      </c>
    </row>
    <row r="996" spans="1:12">
      <c r="A996" t="s">
        <v>1837</v>
      </c>
      <c r="B996" t="s">
        <v>255</v>
      </c>
      <c r="C996" t="s">
        <v>22</v>
      </c>
      <c r="D996">
        <v>-129207</v>
      </c>
      <c r="E996" t="s">
        <v>23</v>
      </c>
      <c r="F996" t="s">
        <v>24</v>
      </c>
      <c r="G996" t="s">
        <v>25</v>
      </c>
      <c r="H996" t="s">
        <v>45</v>
      </c>
      <c r="I996" t="s">
        <v>40</v>
      </c>
      <c r="J996" s="11">
        <v>45480</v>
      </c>
      <c r="K996" t="str">
        <f>TEXT(Transactions_Clean[[#This Row],[Date]],"MMM-YYYY")</f>
        <v>Jul-2024</v>
      </c>
      <c r="L996">
        <f>IF(Transactions_Clean[[#This Row],[Category]]="Revenue",Transactions_Clean[[#This Row],[Amount(₹)]],Transactions_Clean[[#This Row],[Amount(₹)]]/8)</f>
        <v>-16150.875</v>
      </c>
    </row>
    <row r="997" spans="1:12">
      <c r="A997" t="s">
        <v>1839</v>
      </c>
      <c r="B997" t="s">
        <v>180</v>
      </c>
      <c r="C997" t="s">
        <v>44</v>
      </c>
      <c r="D997">
        <v>-81960</v>
      </c>
      <c r="E997" t="s">
        <v>23</v>
      </c>
      <c r="F997" t="s">
        <v>32</v>
      </c>
      <c r="G997" t="s">
        <v>33</v>
      </c>
      <c r="H997" t="s">
        <v>39</v>
      </c>
      <c r="I997" t="s">
        <v>48</v>
      </c>
      <c r="J997" s="11">
        <v>45970</v>
      </c>
      <c r="K997" t="str">
        <f>TEXT(Transactions_Clean[[#This Row],[Date]],"MMM-YYYY")</f>
        <v>Nov-2025</v>
      </c>
      <c r="L997">
        <f>IF(Transactions_Clean[[#This Row],[Category]]="Revenue",Transactions_Clean[[#This Row],[Amount(₹)]],Transactions_Clean[[#This Row],[Amount(₹)]]/8)</f>
        <v>-10245</v>
      </c>
    </row>
    <row r="998" spans="1:12">
      <c r="A998" t="s">
        <v>1841</v>
      </c>
      <c r="B998" t="s">
        <v>4760</v>
      </c>
      <c r="C998" t="s">
        <v>73</v>
      </c>
      <c r="D998">
        <v>-57535</v>
      </c>
      <c r="E998" t="s">
        <v>74</v>
      </c>
      <c r="F998" t="s">
        <v>32</v>
      </c>
      <c r="G998" t="s">
        <v>25</v>
      </c>
      <c r="H998" t="s">
        <v>45</v>
      </c>
      <c r="I998" t="s">
        <v>27</v>
      </c>
      <c r="J998" s="11">
        <v>45727</v>
      </c>
      <c r="K998" t="str">
        <f>TEXT(Transactions_Clean[[#This Row],[Date]],"MMM-YYYY")</f>
        <v>Mar-2025</v>
      </c>
      <c r="L998">
        <f>IF(Transactions_Clean[[#This Row],[Category]]="Revenue",Transactions_Clean[[#This Row],[Amount(₹)]],Transactions_Clean[[#This Row],[Amount(₹)]]/8)</f>
        <v>-7191.875</v>
      </c>
    </row>
    <row r="999" spans="1:12">
      <c r="A999" t="s">
        <v>1842</v>
      </c>
      <c r="B999" t="s">
        <v>100</v>
      </c>
      <c r="C999" t="s">
        <v>31</v>
      </c>
      <c r="D999">
        <v>-20243</v>
      </c>
      <c r="E999" t="s">
        <v>23</v>
      </c>
      <c r="F999" t="s">
        <v>32</v>
      </c>
      <c r="G999" t="s">
        <v>33</v>
      </c>
      <c r="H999" t="s">
        <v>26</v>
      </c>
      <c r="I999" t="s">
        <v>40</v>
      </c>
      <c r="J999" s="11">
        <v>45160</v>
      </c>
      <c r="K999" t="str">
        <f>TEXT(Transactions_Clean[[#This Row],[Date]],"MMM-YYYY")</f>
        <v>Aug-2023</v>
      </c>
      <c r="L999">
        <f>IF(Transactions_Clean[[#This Row],[Category]]="Revenue",Transactions_Clean[[#This Row],[Amount(₹)]],Transactions_Clean[[#This Row],[Amount(₹)]]/8)</f>
        <v>-2530.375</v>
      </c>
    </row>
    <row r="1000" spans="1:12">
      <c r="A1000" t="s">
        <v>1843</v>
      </c>
      <c r="B1000" t="s">
        <v>4755</v>
      </c>
      <c r="C1000" t="s">
        <v>78</v>
      </c>
      <c r="D1000">
        <v>-71489</v>
      </c>
      <c r="E1000" t="s">
        <v>23</v>
      </c>
      <c r="F1000" t="s">
        <v>32</v>
      </c>
      <c r="G1000" t="s">
        <v>79</v>
      </c>
      <c r="H1000" t="s">
        <v>26</v>
      </c>
      <c r="I1000" t="s">
        <v>40</v>
      </c>
      <c r="J1000" s="11">
        <v>45122</v>
      </c>
      <c r="K1000" t="str">
        <f>TEXT(Transactions_Clean[[#This Row],[Date]],"MMM-YYYY")</f>
        <v>Jul-2023</v>
      </c>
      <c r="L1000">
        <f>IF(Transactions_Clean[[#This Row],[Category]]="Revenue",Transactions_Clean[[#This Row],[Amount(₹)]],Transactions_Clean[[#This Row],[Amount(₹)]]/8)</f>
        <v>-8936.125</v>
      </c>
    </row>
    <row r="1001" spans="1:12">
      <c r="A1001" t="s">
        <v>1844</v>
      </c>
      <c r="B1001" t="s">
        <v>66</v>
      </c>
      <c r="C1001" t="s">
        <v>61</v>
      </c>
      <c r="D1001">
        <v>-53529</v>
      </c>
      <c r="E1001" t="s">
        <v>62</v>
      </c>
      <c r="F1001" t="s">
        <v>24</v>
      </c>
      <c r="G1001" t="s">
        <v>63</v>
      </c>
      <c r="H1001" t="s">
        <v>26</v>
      </c>
      <c r="I1001" t="s">
        <v>27</v>
      </c>
      <c r="J1001" s="11">
        <v>45309</v>
      </c>
      <c r="K1001" t="str">
        <f>TEXT(Transactions_Clean[[#This Row],[Date]],"MMM-YYYY")</f>
        <v>Jan-2024</v>
      </c>
      <c r="L1001">
        <f>IF(Transactions_Clean[[#This Row],[Category]]="Revenue",Transactions_Clean[[#This Row],[Amount(₹)]],Transactions_Clean[[#This Row],[Amount(₹)]]/8)</f>
        <v>-6691.125</v>
      </c>
    </row>
    <row r="1002" spans="1:12">
      <c r="A1002" t="s">
        <v>1846</v>
      </c>
      <c r="B1002" t="s">
        <v>4753</v>
      </c>
      <c r="C1002" t="s">
        <v>38</v>
      </c>
      <c r="D1002">
        <v>-25332</v>
      </c>
      <c r="E1002" t="s">
        <v>23</v>
      </c>
      <c r="F1002" t="s">
        <v>32</v>
      </c>
      <c r="G1002" t="s">
        <v>33</v>
      </c>
      <c r="H1002" t="s">
        <v>26</v>
      </c>
      <c r="I1002" t="s">
        <v>34</v>
      </c>
      <c r="J1002" s="11">
        <v>45101</v>
      </c>
      <c r="K1002" t="str">
        <f>TEXT(Transactions_Clean[[#This Row],[Date]],"MMM-YYYY")</f>
        <v>Jun-2023</v>
      </c>
      <c r="L1002">
        <f>IF(Transactions_Clean[[#This Row],[Category]]="Revenue",Transactions_Clean[[#This Row],[Amount(₹)]],Transactions_Clean[[#This Row],[Amount(₹)]]/8)</f>
        <v>-3166.5</v>
      </c>
    </row>
    <row r="1003" spans="1:12">
      <c r="A1003" t="s">
        <v>1848</v>
      </c>
      <c r="B1003" t="s">
        <v>72</v>
      </c>
      <c r="C1003" t="s">
        <v>73</v>
      </c>
      <c r="D1003">
        <v>-91616</v>
      </c>
      <c r="E1003" t="s">
        <v>74</v>
      </c>
      <c r="F1003" t="s">
        <v>32</v>
      </c>
      <c r="G1003" t="s">
        <v>25</v>
      </c>
      <c r="H1003" t="s">
        <v>45</v>
      </c>
      <c r="I1003" t="s">
        <v>48</v>
      </c>
      <c r="J1003" s="11">
        <v>45577</v>
      </c>
      <c r="K1003" t="str">
        <f>TEXT(Transactions_Clean[[#This Row],[Date]],"MMM-YYYY")</f>
        <v>Oct-2024</v>
      </c>
      <c r="L1003">
        <f>IF(Transactions_Clean[[#This Row],[Category]]="Revenue",Transactions_Clean[[#This Row],[Amount(₹)]],Transactions_Clean[[#This Row],[Amount(₹)]]/8)</f>
        <v>-11452</v>
      </c>
    </row>
    <row r="1004" spans="1:12">
      <c r="A1004" t="s">
        <v>1850</v>
      </c>
      <c r="B1004" t="s">
        <v>4774</v>
      </c>
      <c r="C1004" t="s">
        <v>440</v>
      </c>
      <c r="D1004">
        <v>-97750</v>
      </c>
      <c r="E1004" t="s">
        <v>23</v>
      </c>
      <c r="F1004" t="s">
        <v>24</v>
      </c>
      <c r="G1004" t="s">
        <v>33</v>
      </c>
      <c r="H1004" t="s">
        <v>26</v>
      </c>
      <c r="I1004" t="s">
        <v>27</v>
      </c>
      <c r="J1004" s="11">
        <v>45368</v>
      </c>
      <c r="K1004" t="str">
        <f>TEXT(Transactions_Clean[[#This Row],[Date]],"MMM-YYYY")</f>
        <v>Mar-2024</v>
      </c>
      <c r="L1004">
        <f>IF(Transactions_Clean[[#This Row],[Category]]="Revenue",Transactions_Clean[[#This Row],[Amount(₹)]],Transactions_Clean[[#This Row],[Amount(₹)]]/8)</f>
        <v>-12218.75</v>
      </c>
    </row>
    <row r="1005" spans="1:12">
      <c r="A1005" t="s">
        <v>1851</v>
      </c>
      <c r="B1005" t="s">
        <v>51</v>
      </c>
      <c r="C1005" t="s">
        <v>31</v>
      </c>
      <c r="D1005">
        <v>-20423</v>
      </c>
      <c r="E1005" t="s">
        <v>23</v>
      </c>
      <c r="F1005" t="s">
        <v>32</v>
      </c>
      <c r="G1005" t="s">
        <v>33</v>
      </c>
      <c r="H1005" t="s">
        <v>45</v>
      </c>
      <c r="I1005" t="s">
        <v>27</v>
      </c>
      <c r="J1005" s="11">
        <v>45730</v>
      </c>
      <c r="K1005" t="str">
        <f>TEXT(Transactions_Clean[[#This Row],[Date]],"MMM-YYYY")</f>
        <v>Mar-2025</v>
      </c>
      <c r="L1005">
        <f>IF(Transactions_Clean[[#This Row],[Category]]="Revenue",Transactions_Clean[[#This Row],[Amount(₹)]],Transactions_Clean[[#This Row],[Amount(₹)]]/8)</f>
        <v>-2552.875</v>
      </c>
    </row>
    <row r="1006" spans="1:12">
      <c r="A1006" t="s">
        <v>1853</v>
      </c>
      <c r="B1006" t="s">
        <v>4780</v>
      </c>
      <c r="C1006" t="s">
        <v>136</v>
      </c>
      <c r="D1006">
        <v>-10469726</v>
      </c>
      <c r="E1006" t="s">
        <v>62</v>
      </c>
      <c r="F1006" t="s">
        <v>32</v>
      </c>
      <c r="G1006" t="s">
        <v>63</v>
      </c>
      <c r="H1006" t="s">
        <v>45</v>
      </c>
      <c r="I1006" t="s">
        <v>48</v>
      </c>
      <c r="J1006" s="11">
        <v>45593</v>
      </c>
      <c r="K1006" t="str">
        <f>TEXT(Transactions_Clean[[#This Row],[Date]],"MMM-YYYY")</f>
        <v>Oct-2024</v>
      </c>
      <c r="L1006">
        <f>IF(Transactions_Clean[[#This Row],[Category]]="Revenue",Transactions_Clean[[#This Row],[Amount(₹)]],Transactions_Clean[[#This Row],[Amount(₹)]]/8)</f>
        <v>-1308715.75</v>
      </c>
    </row>
    <row r="1007" spans="1:12">
      <c r="A1007" t="s">
        <v>1856</v>
      </c>
      <c r="B1007" t="s">
        <v>100</v>
      </c>
      <c r="C1007" t="s">
        <v>31</v>
      </c>
      <c r="D1007">
        <v>-37990</v>
      </c>
      <c r="E1007" t="s">
        <v>23</v>
      </c>
      <c r="F1007" t="s">
        <v>24</v>
      </c>
      <c r="G1007" t="s">
        <v>33</v>
      </c>
      <c r="H1007" t="s">
        <v>45</v>
      </c>
      <c r="I1007" t="s">
        <v>40</v>
      </c>
      <c r="J1007" s="11">
        <v>45542</v>
      </c>
      <c r="K1007" t="str">
        <f>TEXT(Transactions_Clean[[#This Row],[Date]],"MMM-YYYY")</f>
        <v>Sep-2024</v>
      </c>
      <c r="L1007">
        <f>IF(Transactions_Clean[[#This Row],[Category]]="Revenue",Transactions_Clean[[#This Row],[Amount(₹)]],Transactions_Clean[[#This Row],[Amount(₹)]]/8)</f>
        <v>-4748.75</v>
      </c>
    </row>
    <row r="1008" spans="1:12">
      <c r="A1008" t="s">
        <v>1858</v>
      </c>
      <c r="B1008" t="s">
        <v>116</v>
      </c>
      <c r="C1008" t="s">
        <v>73</v>
      </c>
      <c r="D1008">
        <v>-43381</v>
      </c>
      <c r="E1008" t="s">
        <v>74</v>
      </c>
      <c r="F1008" t="s">
        <v>32</v>
      </c>
      <c r="G1008" t="s">
        <v>25</v>
      </c>
      <c r="H1008" t="s">
        <v>45</v>
      </c>
      <c r="I1008" t="s">
        <v>40</v>
      </c>
      <c r="J1008" s="11">
        <v>45526</v>
      </c>
      <c r="K1008" t="str">
        <f>TEXT(Transactions_Clean[[#This Row],[Date]],"MMM-YYYY")</f>
        <v>Aug-2024</v>
      </c>
      <c r="L1008">
        <f>IF(Transactions_Clean[[#This Row],[Category]]="Revenue",Transactions_Clean[[#This Row],[Amount(₹)]],Transactions_Clean[[#This Row],[Amount(₹)]]/8)</f>
        <v>-5422.625</v>
      </c>
    </row>
    <row r="1009" spans="1:12">
      <c r="A1009" t="s">
        <v>1859</v>
      </c>
      <c r="B1009" t="s">
        <v>4760</v>
      </c>
      <c r="C1009" t="s">
        <v>73</v>
      </c>
      <c r="D1009">
        <v>-22674</v>
      </c>
      <c r="E1009" t="s">
        <v>74</v>
      </c>
      <c r="F1009" t="s">
        <v>24</v>
      </c>
      <c r="G1009" t="s">
        <v>25</v>
      </c>
      <c r="H1009" t="s">
        <v>39</v>
      </c>
      <c r="I1009" t="s">
        <v>40</v>
      </c>
      <c r="J1009" s="11">
        <v>45841</v>
      </c>
      <c r="K1009" t="str">
        <f>TEXT(Transactions_Clean[[#This Row],[Date]],"MMM-YYYY")</f>
        <v>Jul-2025</v>
      </c>
      <c r="L1009">
        <f>IF(Transactions_Clean[[#This Row],[Category]]="Revenue",Transactions_Clean[[#This Row],[Amount(₹)]],Transactions_Clean[[#This Row],[Amount(₹)]]/8)</f>
        <v>-2834.25</v>
      </c>
    </row>
    <row r="1010" spans="1:12">
      <c r="A1010" t="s">
        <v>1860</v>
      </c>
      <c r="B1010" t="s">
        <v>87</v>
      </c>
      <c r="C1010" t="s">
        <v>22</v>
      </c>
      <c r="D1010">
        <v>-20510</v>
      </c>
      <c r="E1010" t="s">
        <v>23</v>
      </c>
      <c r="F1010" t="s">
        <v>24</v>
      </c>
      <c r="G1010" t="s">
        <v>25</v>
      </c>
      <c r="H1010" t="s">
        <v>45</v>
      </c>
      <c r="I1010" t="s">
        <v>34</v>
      </c>
      <c r="J1010" s="11">
        <v>45404</v>
      </c>
      <c r="K1010" t="str">
        <f>TEXT(Transactions_Clean[[#This Row],[Date]],"MMM-YYYY")</f>
        <v>Apr-2024</v>
      </c>
      <c r="L1010">
        <f>IF(Transactions_Clean[[#This Row],[Category]]="Revenue",Transactions_Clean[[#This Row],[Amount(₹)]],Transactions_Clean[[#This Row],[Amount(₹)]]/8)</f>
        <v>-2563.75</v>
      </c>
    </row>
    <row r="1011" spans="1:12">
      <c r="A1011" t="s">
        <v>1862</v>
      </c>
      <c r="B1011" t="s">
        <v>4757</v>
      </c>
      <c r="C1011" t="s">
        <v>73</v>
      </c>
      <c r="D1011">
        <v>-90712</v>
      </c>
      <c r="E1011" t="s">
        <v>74</v>
      </c>
      <c r="F1011" t="s">
        <v>24</v>
      </c>
      <c r="G1011" t="s">
        <v>25</v>
      </c>
      <c r="H1011" t="s">
        <v>26</v>
      </c>
      <c r="I1011" t="s">
        <v>48</v>
      </c>
      <c r="J1011" s="11">
        <v>45254</v>
      </c>
      <c r="K1011" t="str">
        <f>TEXT(Transactions_Clean[[#This Row],[Date]],"MMM-YYYY")</f>
        <v>Nov-2023</v>
      </c>
      <c r="L1011">
        <f>IF(Transactions_Clean[[#This Row],[Category]]="Revenue",Transactions_Clean[[#This Row],[Amount(₹)]],Transactions_Clean[[#This Row],[Amount(₹)]]/8)</f>
        <v>-11339</v>
      </c>
    </row>
    <row r="1012" spans="1:12">
      <c r="A1012" t="s">
        <v>1864</v>
      </c>
      <c r="B1012" t="s">
        <v>60</v>
      </c>
      <c r="C1012" t="s">
        <v>61</v>
      </c>
      <c r="D1012">
        <v>-19416</v>
      </c>
      <c r="E1012" t="s">
        <v>62</v>
      </c>
      <c r="F1012" t="s">
        <v>24</v>
      </c>
      <c r="G1012" t="s">
        <v>63</v>
      </c>
      <c r="H1012" t="s">
        <v>45</v>
      </c>
      <c r="I1012" t="s">
        <v>40</v>
      </c>
      <c r="J1012" s="11">
        <v>45492</v>
      </c>
      <c r="K1012" t="str">
        <f>TEXT(Transactions_Clean[[#This Row],[Date]],"MMM-YYYY")</f>
        <v>Jul-2024</v>
      </c>
      <c r="L1012">
        <f>IF(Transactions_Clean[[#This Row],[Category]]="Revenue",Transactions_Clean[[#This Row],[Amount(₹)]],Transactions_Clean[[#This Row],[Amount(₹)]]/8)</f>
        <v>-2427</v>
      </c>
    </row>
    <row r="1013" spans="1:12">
      <c r="A1013" t="s">
        <v>1866</v>
      </c>
      <c r="B1013" t="s">
        <v>4752</v>
      </c>
      <c r="C1013" t="s">
        <v>44</v>
      </c>
      <c r="D1013">
        <v>-140889</v>
      </c>
      <c r="E1013" t="s">
        <v>23</v>
      </c>
      <c r="F1013" t="s">
        <v>24</v>
      </c>
      <c r="G1013" t="s">
        <v>33</v>
      </c>
      <c r="H1013" t="s">
        <v>26</v>
      </c>
      <c r="I1013" t="s">
        <v>27</v>
      </c>
      <c r="J1013" s="11">
        <v>45366</v>
      </c>
      <c r="K1013" t="str">
        <f>TEXT(Transactions_Clean[[#This Row],[Date]],"MMM-YYYY")</f>
        <v>Mar-2024</v>
      </c>
      <c r="L1013">
        <f>IF(Transactions_Clean[[#This Row],[Category]]="Revenue",Transactions_Clean[[#This Row],[Amount(₹)]],Transactions_Clean[[#This Row],[Amount(₹)]]/8)</f>
        <v>-17611.125</v>
      </c>
    </row>
    <row r="1014" spans="1:12">
      <c r="A1014" t="s">
        <v>1868</v>
      </c>
      <c r="B1014" t="s">
        <v>143</v>
      </c>
      <c r="C1014" t="s">
        <v>78</v>
      </c>
      <c r="D1014">
        <v>-82143</v>
      </c>
      <c r="E1014" t="s">
        <v>23</v>
      </c>
      <c r="F1014" t="s">
        <v>24</v>
      </c>
      <c r="G1014" t="s">
        <v>79</v>
      </c>
      <c r="H1014" t="s">
        <v>45</v>
      </c>
      <c r="I1014" t="s">
        <v>34</v>
      </c>
      <c r="J1014" s="11">
        <v>45402</v>
      </c>
      <c r="K1014" t="str">
        <f>TEXT(Transactions_Clean[[#This Row],[Date]],"MMM-YYYY")</f>
        <v>Apr-2024</v>
      </c>
      <c r="L1014">
        <f>IF(Transactions_Clean[[#This Row],[Category]]="Revenue",Transactions_Clean[[#This Row],[Amount(₹)]],Transactions_Clean[[#This Row],[Amount(₹)]]/8)</f>
        <v>-10267.875</v>
      </c>
    </row>
    <row r="1015" spans="1:12">
      <c r="A1015" t="s">
        <v>1869</v>
      </c>
      <c r="B1015" t="s">
        <v>30</v>
      </c>
      <c r="C1015" t="s">
        <v>31</v>
      </c>
      <c r="D1015">
        <v>-24314</v>
      </c>
      <c r="E1015" t="s">
        <v>23</v>
      </c>
      <c r="F1015" t="s">
        <v>32</v>
      </c>
      <c r="G1015" t="s">
        <v>33</v>
      </c>
      <c r="H1015" t="s">
        <v>45</v>
      </c>
      <c r="I1015" t="s">
        <v>48</v>
      </c>
      <c r="J1015" s="11">
        <v>45623</v>
      </c>
      <c r="K1015" t="str">
        <f>TEXT(Transactions_Clean[[#This Row],[Date]],"MMM-YYYY")</f>
        <v>Nov-2024</v>
      </c>
      <c r="L1015">
        <f>IF(Transactions_Clean[[#This Row],[Category]]="Revenue",Transactions_Clean[[#This Row],[Amount(₹)]],Transactions_Clean[[#This Row],[Amount(₹)]]/8)</f>
        <v>-3039.25</v>
      </c>
    </row>
    <row r="1016" spans="1:12">
      <c r="A1016" t="s">
        <v>1870</v>
      </c>
      <c r="B1016" t="s">
        <v>169</v>
      </c>
      <c r="C1016" t="s">
        <v>73</v>
      </c>
      <c r="D1016">
        <v>-69621</v>
      </c>
      <c r="E1016" t="s">
        <v>74</v>
      </c>
      <c r="F1016" t="s">
        <v>32</v>
      </c>
      <c r="G1016" t="s">
        <v>25</v>
      </c>
      <c r="H1016" t="s">
        <v>26</v>
      </c>
      <c r="I1016" t="s">
        <v>34</v>
      </c>
      <c r="J1016" s="11">
        <v>44963</v>
      </c>
      <c r="K1016" t="str">
        <f>TEXT(Transactions_Clean[[#This Row],[Date]],"MMM-YYYY")</f>
        <v>Feb-2023</v>
      </c>
      <c r="L1016">
        <f>IF(Transactions_Clean[[#This Row],[Category]]="Revenue",Transactions_Clean[[#This Row],[Amount(₹)]],Transactions_Clean[[#This Row],[Amount(₹)]]/8)</f>
        <v>-8702.625</v>
      </c>
    </row>
    <row r="1017" spans="1:12">
      <c r="A1017" t="s">
        <v>1871</v>
      </c>
      <c r="B1017" t="s">
        <v>4754</v>
      </c>
      <c r="C1017" t="s">
        <v>78</v>
      </c>
      <c r="D1017">
        <v>-24634</v>
      </c>
      <c r="E1017" t="s">
        <v>23</v>
      </c>
      <c r="F1017" t="s">
        <v>24</v>
      </c>
      <c r="G1017" t="s">
        <v>79</v>
      </c>
      <c r="H1017" t="s">
        <v>26</v>
      </c>
      <c r="I1017" t="s">
        <v>40</v>
      </c>
      <c r="J1017" s="11">
        <v>45110</v>
      </c>
      <c r="K1017" t="str">
        <f>TEXT(Transactions_Clean[[#This Row],[Date]],"MMM-YYYY")</f>
        <v>Jul-2023</v>
      </c>
      <c r="L1017">
        <f>IF(Transactions_Clean[[#This Row],[Category]]="Revenue",Transactions_Clean[[#This Row],[Amount(₹)]],Transactions_Clean[[#This Row],[Amount(₹)]]/8)</f>
        <v>-3079.25</v>
      </c>
    </row>
    <row r="1018" spans="1:12">
      <c r="A1018" t="s">
        <v>1872</v>
      </c>
      <c r="B1018" t="s">
        <v>4763</v>
      </c>
      <c r="C1018" t="s">
        <v>22</v>
      </c>
      <c r="D1018">
        <v>-63513</v>
      </c>
      <c r="E1018" t="s">
        <v>23</v>
      </c>
      <c r="F1018" t="s">
        <v>32</v>
      </c>
      <c r="G1018" t="s">
        <v>25</v>
      </c>
      <c r="H1018" t="s">
        <v>45</v>
      </c>
      <c r="I1018" t="s">
        <v>34</v>
      </c>
      <c r="J1018" s="11">
        <v>45413</v>
      </c>
      <c r="K1018" t="str">
        <f>TEXT(Transactions_Clean[[#This Row],[Date]],"MMM-YYYY")</f>
        <v>May-2024</v>
      </c>
      <c r="L1018">
        <f>IF(Transactions_Clean[[#This Row],[Category]]="Revenue",Transactions_Clean[[#This Row],[Amount(₹)]],Transactions_Clean[[#This Row],[Amount(₹)]]/8)</f>
        <v>-7939.125</v>
      </c>
    </row>
    <row r="1019" spans="1:12">
      <c r="A1019" t="s">
        <v>1873</v>
      </c>
      <c r="B1019" t="s">
        <v>66</v>
      </c>
      <c r="C1019" t="s">
        <v>61</v>
      </c>
      <c r="D1019">
        <v>-37123</v>
      </c>
      <c r="E1019" t="s">
        <v>62</v>
      </c>
      <c r="F1019" t="s">
        <v>24</v>
      </c>
      <c r="G1019" t="s">
        <v>63</v>
      </c>
      <c r="H1019" t="s">
        <v>39</v>
      </c>
      <c r="I1019" t="s">
        <v>27</v>
      </c>
      <c r="J1019" s="11">
        <v>46054</v>
      </c>
      <c r="K1019" t="str">
        <f>TEXT(Transactions_Clean[[#This Row],[Date]],"MMM-YYYY")</f>
        <v>Feb-2026</v>
      </c>
      <c r="L1019">
        <f>IF(Transactions_Clean[[#This Row],[Category]]="Revenue",Transactions_Clean[[#This Row],[Amount(₹)]],Transactions_Clean[[#This Row],[Amount(₹)]]/8)</f>
        <v>-4640.375</v>
      </c>
    </row>
    <row r="1020" spans="1:12">
      <c r="A1020" t="s">
        <v>1874</v>
      </c>
      <c r="B1020" t="s">
        <v>106</v>
      </c>
      <c r="C1020" t="s">
        <v>31</v>
      </c>
      <c r="D1020">
        <v>-36174</v>
      </c>
      <c r="E1020" t="s">
        <v>23</v>
      </c>
      <c r="F1020" t="s">
        <v>24</v>
      </c>
      <c r="G1020" t="s">
        <v>33</v>
      </c>
      <c r="H1020" t="s">
        <v>45</v>
      </c>
      <c r="I1020" t="s">
        <v>27</v>
      </c>
      <c r="J1020" s="11">
        <v>45672</v>
      </c>
      <c r="K1020" t="str">
        <f>TEXT(Transactions_Clean[[#This Row],[Date]],"MMM-YYYY")</f>
        <v>Jan-2025</v>
      </c>
      <c r="L1020">
        <f>IF(Transactions_Clean[[#This Row],[Category]]="Revenue",Transactions_Clean[[#This Row],[Amount(₹)]],Transactions_Clean[[#This Row],[Amount(₹)]]/8)</f>
        <v>-4521.75</v>
      </c>
    </row>
    <row r="1021" spans="1:12">
      <c r="A1021" t="s">
        <v>1876</v>
      </c>
      <c r="B1021" t="s">
        <v>215</v>
      </c>
      <c r="C1021" t="s">
        <v>61</v>
      </c>
      <c r="D1021">
        <v>-64789</v>
      </c>
      <c r="E1021" t="s">
        <v>62</v>
      </c>
      <c r="F1021" t="s">
        <v>32</v>
      </c>
      <c r="G1021" t="s">
        <v>63</v>
      </c>
      <c r="H1021" t="s">
        <v>39</v>
      </c>
      <c r="I1021" t="s">
        <v>27</v>
      </c>
      <c r="J1021" s="11">
        <v>46062</v>
      </c>
      <c r="K1021" t="str">
        <f>TEXT(Transactions_Clean[[#This Row],[Date]],"MMM-YYYY")</f>
        <v>Feb-2026</v>
      </c>
      <c r="L1021">
        <f>IF(Transactions_Clean[[#This Row],[Category]]="Revenue",Transactions_Clean[[#This Row],[Amount(₹)]],Transactions_Clean[[#This Row],[Amount(₹)]]/8)</f>
        <v>-8098.625</v>
      </c>
    </row>
    <row r="1022" spans="1:12">
      <c r="A1022" t="s">
        <v>1877</v>
      </c>
      <c r="B1022" t="s">
        <v>4754</v>
      </c>
      <c r="C1022" t="s">
        <v>78</v>
      </c>
      <c r="D1022">
        <v>-63147</v>
      </c>
      <c r="E1022" t="s">
        <v>23</v>
      </c>
      <c r="F1022" t="s">
        <v>32</v>
      </c>
      <c r="G1022" t="s">
        <v>79</v>
      </c>
      <c r="H1022" t="s">
        <v>26</v>
      </c>
      <c r="I1022" t="s">
        <v>34</v>
      </c>
      <c r="J1022" s="11">
        <v>45064</v>
      </c>
      <c r="K1022" t="str">
        <f>TEXT(Transactions_Clean[[#This Row],[Date]],"MMM-YYYY")</f>
        <v>May-2023</v>
      </c>
      <c r="L1022">
        <f>IF(Transactions_Clean[[#This Row],[Category]]="Revenue",Transactions_Clean[[#This Row],[Amount(₹)]],Transactions_Clean[[#This Row],[Amount(₹)]]/8)</f>
        <v>-7893.375</v>
      </c>
    </row>
    <row r="1023" spans="1:12">
      <c r="A1023" t="s">
        <v>1878</v>
      </c>
      <c r="B1023" t="s">
        <v>224</v>
      </c>
      <c r="C1023" t="s">
        <v>78</v>
      </c>
      <c r="D1023">
        <v>-23006</v>
      </c>
      <c r="E1023" t="s">
        <v>23</v>
      </c>
      <c r="F1023" t="s">
        <v>24</v>
      </c>
      <c r="G1023" t="s">
        <v>79</v>
      </c>
      <c r="H1023" t="s">
        <v>39</v>
      </c>
      <c r="I1023" t="s">
        <v>27</v>
      </c>
      <c r="J1023" s="11">
        <v>46060</v>
      </c>
      <c r="K1023" t="str">
        <f>TEXT(Transactions_Clean[[#This Row],[Date]],"MMM-YYYY")</f>
        <v>Feb-2026</v>
      </c>
      <c r="L1023">
        <f>IF(Transactions_Clean[[#This Row],[Category]]="Revenue",Transactions_Clean[[#This Row],[Amount(₹)]],Transactions_Clean[[#This Row],[Amount(₹)]]/8)</f>
        <v>-2875.75</v>
      </c>
    </row>
    <row r="1024" spans="1:12">
      <c r="A1024" t="s">
        <v>1879</v>
      </c>
      <c r="B1024" t="s">
        <v>202</v>
      </c>
      <c r="C1024" t="s">
        <v>22</v>
      </c>
      <c r="D1024">
        <v>-215167</v>
      </c>
      <c r="E1024" t="s">
        <v>23</v>
      </c>
      <c r="F1024" t="s">
        <v>32</v>
      </c>
      <c r="G1024" t="s">
        <v>25</v>
      </c>
      <c r="H1024" t="s">
        <v>26</v>
      </c>
      <c r="I1024" t="s">
        <v>48</v>
      </c>
      <c r="J1024" s="11">
        <v>45220</v>
      </c>
      <c r="K1024" t="str">
        <f>TEXT(Transactions_Clean[[#This Row],[Date]],"MMM-YYYY")</f>
        <v>Oct-2023</v>
      </c>
      <c r="L1024">
        <f>IF(Transactions_Clean[[#This Row],[Category]]="Revenue",Transactions_Clean[[#This Row],[Amount(₹)]],Transactions_Clean[[#This Row],[Amount(₹)]]/8)</f>
        <v>-26895.875</v>
      </c>
    </row>
    <row r="1025" spans="1:12">
      <c r="A1025" t="s">
        <v>1881</v>
      </c>
      <c r="B1025" t="s">
        <v>129</v>
      </c>
      <c r="C1025" t="s">
        <v>38</v>
      </c>
      <c r="D1025">
        <v>-18932</v>
      </c>
      <c r="E1025" t="s">
        <v>23</v>
      </c>
      <c r="F1025" t="s">
        <v>32</v>
      </c>
      <c r="G1025" t="s">
        <v>33</v>
      </c>
      <c r="H1025" t="s">
        <v>26</v>
      </c>
      <c r="I1025" t="s">
        <v>48</v>
      </c>
      <c r="J1025" s="11">
        <v>45256</v>
      </c>
      <c r="K1025" t="str">
        <f>TEXT(Transactions_Clean[[#This Row],[Date]],"MMM-YYYY")</f>
        <v>Nov-2023</v>
      </c>
      <c r="L1025">
        <f>IF(Transactions_Clean[[#This Row],[Category]]="Revenue",Transactions_Clean[[#This Row],[Amount(₹)]],Transactions_Clean[[#This Row],[Amount(₹)]]/8)</f>
        <v>-2366.5</v>
      </c>
    </row>
    <row r="1026" spans="1:12">
      <c r="A1026" t="s">
        <v>1882</v>
      </c>
      <c r="B1026" t="s">
        <v>30</v>
      </c>
      <c r="C1026" t="s">
        <v>31</v>
      </c>
      <c r="D1026">
        <v>-32640</v>
      </c>
      <c r="E1026" t="s">
        <v>23</v>
      </c>
      <c r="F1026" t="s">
        <v>24</v>
      </c>
      <c r="G1026" t="s">
        <v>33</v>
      </c>
      <c r="H1026" t="s">
        <v>26</v>
      </c>
      <c r="I1026" t="s">
        <v>27</v>
      </c>
      <c r="J1026" s="11">
        <v>45357</v>
      </c>
      <c r="K1026" t="str">
        <f>TEXT(Transactions_Clean[[#This Row],[Date]],"MMM-YYYY")</f>
        <v>Mar-2024</v>
      </c>
      <c r="L1026">
        <f>IF(Transactions_Clean[[#This Row],[Category]]="Revenue",Transactions_Clean[[#This Row],[Amount(₹)]],Transactions_Clean[[#This Row],[Amount(₹)]]/8)</f>
        <v>-4080</v>
      </c>
    </row>
    <row r="1027" spans="1:12">
      <c r="A1027" t="s">
        <v>1884</v>
      </c>
      <c r="B1027" t="s">
        <v>4768</v>
      </c>
      <c r="C1027" t="s">
        <v>157</v>
      </c>
      <c r="D1027">
        <v>690349</v>
      </c>
      <c r="E1027" t="s">
        <v>62</v>
      </c>
      <c r="F1027" t="s">
        <v>32</v>
      </c>
      <c r="G1027" t="s">
        <v>25</v>
      </c>
      <c r="H1027" t="s">
        <v>39</v>
      </c>
      <c r="I1027" t="s">
        <v>27</v>
      </c>
      <c r="J1027" s="11">
        <v>46072</v>
      </c>
      <c r="K1027" t="str">
        <f>TEXT(Transactions_Clean[[#This Row],[Date]],"MMM-YYYY")</f>
        <v>Feb-2026</v>
      </c>
      <c r="L1027">
        <f>IF(Transactions_Clean[[#This Row],[Category]]="Revenue",Transactions_Clean[[#This Row],[Amount(₹)]],Transactions_Clean[[#This Row],[Amount(₹)]]/8)</f>
        <v>690349</v>
      </c>
    </row>
    <row r="1028" spans="1:12">
      <c r="A1028" t="s">
        <v>1885</v>
      </c>
      <c r="B1028" t="s">
        <v>215</v>
      </c>
      <c r="C1028" t="s">
        <v>61</v>
      </c>
      <c r="D1028">
        <v>-50889</v>
      </c>
      <c r="E1028" t="s">
        <v>62</v>
      </c>
      <c r="F1028" t="s">
        <v>32</v>
      </c>
      <c r="G1028" t="s">
        <v>63</v>
      </c>
      <c r="H1028" t="s">
        <v>45</v>
      </c>
      <c r="I1028" t="s">
        <v>48</v>
      </c>
      <c r="J1028" s="11">
        <v>45573</v>
      </c>
      <c r="K1028" t="str">
        <f>TEXT(Transactions_Clean[[#This Row],[Date]],"MMM-YYYY")</f>
        <v>Oct-2024</v>
      </c>
      <c r="L1028">
        <f>IF(Transactions_Clean[[#This Row],[Category]]="Revenue",Transactions_Clean[[#This Row],[Amount(₹)]],Transactions_Clean[[#This Row],[Amount(₹)]]/8)</f>
        <v>-6361.125</v>
      </c>
    </row>
    <row r="1029" spans="1:12">
      <c r="A1029" t="s">
        <v>1886</v>
      </c>
      <c r="B1029" t="s">
        <v>177</v>
      </c>
      <c r="C1029" t="s">
        <v>78</v>
      </c>
      <c r="D1029">
        <v>-93386</v>
      </c>
      <c r="E1029" t="s">
        <v>23</v>
      </c>
      <c r="F1029" t="s">
        <v>32</v>
      </c>
      <c r="G1029" t="s">
        <v>79</v>
      </c>
      <c r="H1029" t="s">
        <v>26</v>
      </c>
      <c r="I1029" t="s">
        <v>40</v>
      </c>
      <c r="J1029" s="11">
        <v>45133</v>
      </c>
      <c r="K1029" t="str">
        <f>TEXT(Transactions_Clean[[#This Row],[Date]],"MMM-YYYY")</f>
        <v>Jul-2023</v>
      </c>
      <c r="L1029">
        <f>IF(Transactions_Clean[[#This Row],[Category]]="Revenue",Transactions_Clean[[#This Row],[Amount(₹)]],Transactions_Clean[[#This Row],[Amount(₹)]]/8)</f>
        <v>-11673.25</v>
      </c>
    </row>
    <row r="1030" spans="1:12">
      <c r="A1030" t="s">
        <v>1888</v>
      </c>
      <c r="B1030" t="s">
        <v>4759</v>
      </c>
      <c r="C1030" t="s">
        <v>31</v>
      </c>
      <c r="D1030">
        <v>-23103</v>
      </c>
      <c r="E1030" t="s">
        <v>23</v>
      </c>
      <c r="F1030" t="s">
        <v>32</v>
      </c>
      <c r="G1030" t="s">
        <v>33</v>
      </c>
      <c r="H1030" t="s">
        <v>45</v>
      </c>
      <c r="I1030" t="s">
        <v>34</v>
      </c>
      <c r="J1030" s="11">
        <v>45435</v>
      </c>
      <c r="K1030" t="str">
        <f>TEXT(Transactions_Clean[[#This Row],[Date]],"MMM-YYYY")</f>
        <v>May-2024</v>
      </c>
      <c r="L1030">
        <f>IF(Transactions_Clean[[#This Row],[Category]]="Revenue",Transactions_Clean[[#This Row],[Amount(₹)]],Transactions_Clean[[#This Row],[Amount(₹)]]/8)</f>
        <v>-2887.875</v>
      </c>
    </row>
    <row r="1031" spans="1:12">
      <c r="A1031" t="s">
        <v>1889</v>
      </c>
      <c r="B1031" t="s">
        <v>4776</v>
      </c>
      <c r="C1031" t="s">
        <v>440</v>
      </c>
      <c r="D1031">
        <v>-102305</v>
      </c>
      <c r="E1031" t="s">
        <v>23</v>
      </c>
      <c r="F1031" t="s">
        <v>24</v>
      </c>
      <c r="G1031" t="s">
        <v>33</v>
      </c>
      <c r="H1031" t="s">
        <v>45</v>
      </c>
      <c r="I1031" t="s">
        <v>48</v>
      </c>
      <c r="J1031" s="11">
        <v>45621</v>
      </c>
      <c r="K1031" t="str">
        <f>TEXT(Transactions_Clean[[#This Row],[Date]],"MMM-YYYY")</f>
        <v>Nov-2024</v>
      </c>
      <c r="L1031">
        <f>IF(Transactions_Clean[[#This Row],[Category]]="Revenue",Transactions_Clean[[#This Row],[Amount(₹)]],Transactions_Clean[[#This Row],[Amount(₹)]]/8)</f>
        <v>-12788.125</v>
      </c>
    </row>
    <row r="1032" spans="1:12">
      <c r="A1032" t="s">
        <v>1890</v>
      </c>
      <c r="B1032" t="s">
        <v>177</v>
      </c>
      <c r="C1032" t="s">
        <v>78</v>
      </c>
      <c r="D1032">
        <v>-56144</v>
      </c>
      <c r="E1032" t="s">
        <v>23</v>
      </c>
      <c r="F1032" t="s">
        <v>32</v>
      </c>
      <c r="G1032" t="s">
        <v>79</v>
      </c>
      <c r="H1032" t="s">
        <v>39</v>
      </c>
      <c r="I1032" t="s">
        <v>40</v>
      </c>
      <c r="J1032" s="11">
        <v>45891</v>
      </c>
      <c r="K1032" t="str">
        <f>TEXT(Transactions_Clean[[#This Row],[Date]],"MMM-YYYY")</f>
        <v>Aug-2025</v>
      </c>
      <c r="L1032">
        <f>IF(Transactions_Clean[[#This Row],[Category]]="Revenue",Transactions_Clean[[#This Row],[Amount(₹)]],Transactions_Clean[[#This Row],[Amount(₹)]]/8)</f>
        <v>-7018</v>
      </c>
    </row>
    <row r="1033" spans="1:12">
      <c r="A1033" t="s">
        <v>1891</v>
      </c>
      <c r="B1033" t="s">
        <v>4754</v>
      </c>
      <c r="C1033" t="s">
        <v>78</v>
      </c>
      <c r="D1033">
        <v>-110417</v>
      </c>
      <c r="E1033" t="s">
        <v>23</v>
      </c>
      <c r="F1033" t="s">
        <v>24</v>
      </c>
      <c r="G1033" t="s">
        <v>79</v>
      </c>
      <c r="H1033" t="s">
        <v>26</v>
      </c>
      <c r="I1033" t="s">
        <v>48</v>
      </c>
      <c r="J1033" s="11">
        <v>45221</v>
      </c>
      <c r="K1033" t="str">
        <f>TEXT(Transactions_Clean[[#This Row],[Date]],"MMM-YYYY")</f>
        <v>Oct-2023</v>
      </c>
      <c r="L1033">
        <f>IF(Transactions_Clean[[#This Row],[Category]]="Revenue",Transactions_Clean[[#This Row],[Amount(₹)]],Transactions_Clean[[#This Row],[Amount(₹)]]/8)</f>
        <v>-13802.125</v>
      </c>
    </row>
    <row r="1034" spans="1:12">
      <c r="A1034" t="s">
        <v>1892</v>
      </c>
      <c r="B1034" t="s">
        <v>4764</v>
      </c>
      <c r="C1034" t="s">
        <v>157</v>
      </c>
      <c r="D1034">
        <v>552239</v>
      </c>
      <c r="E1034" t="s">
        <v>62</v>
      </c>
      <c r="F1034" t="s">
        <v>32</v>
      </c>
      <c r="G1034" t="s">
        <v>25</v>
      </c>
      <c r="H1034" t="s">
        <v>26</v>
      </c>
      <c r="I1034" t="s">
        <v>27</v>
      </c>
      <c r="J1034" s="11">
        <v>45382</v>
      </c>
      <c r="K1034" t="str">
        <f>TEXT(Transactions_Clean[[#This Row],[Date]],"MMM-YYYY")</f>
        <v>Mar-2024</v>
      </c>
      <c r="L1034">
        <f>IF(Transactions_Clean[[#This Row],[Category]]="Revenue",Transactions_Clean[[#This Row],[Amount(₹)]],Transactions_Clean[[#This Row],[Amount(₹)]]/8)</f>
        <v>552239</v>
      </c>
    </row>
    <row r="1035" spans="1:12">
      <c r="A1035" t="s">
        <v>1894</v>
      </c>
      <c r="B1035" t="s">
        <v>4758</v>
      </c>
      <c r="C1035" t="s">
        <v>78</v>
      </c>
      <c r="D1035">
        <v>-28606</v>
      </c>
      <c r="E1035" t="s">
        <v>23</v>
      </c>
      <c r="F1035" t="s">
        <v>32</v>
      </c>
      <c r="G1035" t="s">
        <v>79</v>
      </c>
      <c r="H1035" t="s">
        <v>45</v>
      </c>
      <c r="I1035" t="s">
        <v>40</v>
      </c>
      <c r="J1035" s="11">
        <v>45476</v>
      </c>
      <c r="K1035" t="str">
        <f>TEXT(Transactions_Clean[[#This Row],[Date]],"MMM-YYYY")</f>
        <v>Jul-2024</v>
      </c>
      <c r="L1035">
        <f>IF(Transactions_Clean[[#This Row],[Category]]="Revenue",Transactions_Clean[[#This Row],[Amount(₹)]],Transactions_Clean[[#This Row],[Amount(₹)]]/8)</f>
        <v>-3575.75</v>
      </c>
    </row>
    <row r="1036" spans="1:12">
      <c r="A1036" t="s">
        <v>1896</v>
      </c>
      <c r="B1036" t="s">
        <v>687</v>
      </c>
      <c r="C1036" t="s">
        <v>44</v>
      </c>
      <c r="D1036">
        <v>-140290</v>
      </c>
      <c r="E1036" t="s">
        <v>23</v>
      </c>
      <c r="F1036" t="s">
        <v>32</v>
      </c>
      <c r="G1036" t="s">
        <v>33</v>
      </c>
      <c r="H1036" t="s">
        <v>26</v>
      </c>
      <c r="I1036" t="s">
        <v>27</v>
      </c>
      <c r="J1036" s="11">
        <v>45376</v>
      </c>
      <c r="K1036" t="str">
        <f>TEXT(Transactions_Clean[[#This Row],[Date]],"MMM-YYYY")</f>
        <v>Mar-2024</v>
      </c>
      <c r="L1036">
        <f>IF(Transactions_Clean[[#This Row],[Category]]="Revenue",Transactions_Clean[[#This Row],[Amount(₹)]],Transactions_Clean[[#This Row],[Amount(₹)]]/8)</f>
        <v>-17536.25</v>
      </c>
    </row>
    <row r="1037" spans="1:12">
      <c r="A1037" t="s">
        <v>1897</v>
      </c>
      <c r="B1037" t="s">
        <v>174</v>
      </c>
      <c r="C1037" t="s">
        <v>22</v>
      </c>
      <c r="D1037">
        <v>-126643</v>
      </c>
      <c r="E1037" t="s">
        <v>23</v>
      </c>
      <c r="F1037" t="s">
        <v>24</v>
      </c>
      <c r="G1037" t="s">
        <v>25</v>
      </c>
      <c r="H1037" t="s">
        <v>26</v>
      </c>
      <c r="I1037" t="s">
        <v>40</v>
      </c>
      <c r="J1037" s="11">
        <v>45174</v>
      </c>
      <c r="K1037" t="str">
        <f>TEXT(Transactions_Clean[[#This Row],[Date]],"MMM-YYYY")</f>
        <v>Sep-2023</v>
      </c>
      <c r="L1037">
        <f>IF(Transactions_Clean[[#This Row],[Category]]="Revenue",Transactions_Clean[[#This Row],[Amount(₹)]],Transactions_Clean[[#This Row],[Amount(₹)]]/8)</f>
        <v>-15830.375</v>
      </c>
    </row>
    <row r="1038" spans="1:12">
      <c r="A1038" t="s">
        <v>1898</v>
      </c>
      <c r="B1038" t="s">
        <v>4752</v>
      </c>
      <c r="C1038" t="s">
        <v>44</v>
      </c>
      <c r="D1038">
        <v>-69448</v>
      </c>
      <c r="E1038" t="s">
        <v>23</v>
      </c>
      <c r="F1038" t="s">
        <v>24</v>
      </c>
      <c r="G1038" t="s">
        <v>33</v>
      </c>
      <c r="H1038" t="s">
        <v>26</v>
      </c>
      <c r="I1038" t="s">
        <v>34</v>
      </c>
      <c r="J1038" s="11">
        <v>45049</v>
      </c>
      <c r="K1038" t="str">
        <f>TEXT(Transactions_Clean[[#This Row],[Date]],"MMM-YYYY")</f>
        <v>May-2023</v>
      </c>
      <c r="L1038">
        <f>IF(Transactions_Clean[[#This Row],[Category]]="Revenue",Transactions_Clean[[#This Row],[Amount(₹)]],Transactions_Clean[[#This Row],[Amount(₹)]]/8)</f>
        <v>-8681</v>
      </c>
    </row>
    <row r="1039" spans="1:12">
      <c r="A1039" t="s">
        <v>1899</v>
      </c>
      <c r="B1039" t="s">
        <v>935</v>
      </c>
      <c r="C1039" t="s">
        <v>22</v>
      </c>
      <c r="D1039">
        <v>-19702</v>
      </c>
      <c r="E1039" t="s">
        <v>23</v>
      </c>
      <c r="F1039" t="s">
        <v>24</v>
      </c>
      <c r="G1039" t="s">
        <v>25</v>
      </c>
      <c r="H1039" t="s">
        <v>39</v>
      </c>
      <c r="I1039" t="s">
        <v>40</v>
      </c>
      <c r="J1039" s="11">
        <v>45910</v>
      </c>
      <c r="K1039" t="str">
        <f>TEXT(Transactions_Clean[[#This Row],[Date]],"MMM-YYYY")</f>
        <v>Sep-2025</v>
      </c>
      <c r="L1039">
        <f>IF(Transactions_Clean[[#This Row],[Category]]="Revenue",Transactions_Clean[[#This Row],[Amount(₹)]],Transactions_Clean[[#This Row],[Amount(₹)]]/8)</f>
        <v>-2462.75</v>
      </c>
    </row>
    <row r="1040" spans="1:12">
      <c r="A1040" t="s">
        <v>1900</v>
      </c>
      <c r="B1040" t="s">
        <v>180</v>
      </c>
      <c r="C1040" t="s">
        <v>44</v>
      </c>
      <c r="D1040">
        <v>-44862</v>
      </c>
      <c r="E1040" t="s">
        <v>23</v>
      </c>
      <c r="F1040" t="s">
        <v>24</v>
      </c>
      <c r="G1040" t="s">
        <v>33</v>
      </c>
      <c r="H1040" t="s">
        <v>26</v>
      </c>
      <c r="I1040" t="s">
        <v>27</v>
      </c>
      <c r="J1040" s="11">
        <v>45311</v>
      </c>
      <c r="K1040" t="str">
        <f>TEXT(Transactions_Clean[[#This Row],[Date]],"MMM-YYYY")</f>
        <v>Jan-2024</v>
      </c>
      <c r="L1040">
        <f>IF(Transactions_Clean[[#This Row],[Category]]="Revenue",Transactions_Clean[[#This Row],[Amount(₹)]],Transactions_Clean[[#This Row],[Amount(₹)]]/8)</f>
        <v>-5607.75</v>
      </c>
    </row>
    <row r="1041" spans="1:12">
      <c r="A1041" t="s">
        <v>1902</v>
      </c>
      <c r="B1041" t="s">
        <v>290</v>
      </c>
      <c r="C1041" t="s">
        <v>440</v>
      </c>
      <c r="D1041">
        <v>-131149</v>
      </c>
      <c r="E1041" t="s">
        <v>23</v>
      </c>
      <c r="F1041" t="s">
        <v>32</v>
      </c>
      <c r="G1041" t="s">
        <v>33</v>
      </c>
      <c r="H1041" t="s">
        <v>26</v>
      </c>
      <c r="I1041" t="s">
        <v>48</v>
      </c>
      <c r="J1041" s="11">
        <v>45208</v>
      </c>
      <c r="K1041" t="str">
        <f>TEXT(Transactions_Clean[[#This Row],[Date]],"MMM-YYYY")</f>
        <v>Oct-2023</v>
      </c>
      <c r="L1041">
        <f>IF(Transactions_Clean[[#This Row],[Category]]="Revenue",Transactions_Clean[[#This Row],[Amount(₹)]],Transactions_Clean[[#This Row],[Amount(₹)]]/8)</f>
        <v>-16393.625</v>
      </c>
    </row>
    <row r="1042" spans="1:12">
      <c r="A1042" t="s">
        <v>1904</v>
      </c>
      <c r="B1042" t="s">
        <v>212</v>
      </c>
      <c r="C1042" t="s">
        <v>73</v>
      </c>
      <c r="D1042">
        <v>-77081</v>
      </c>
      <c r="E1042" t="s">
        <v>74</v>
      </c>
      <c r="F1042" t="s">
        <v>32</v>
      </c>
      <c r="G1042" t="s">
        <v>25</v>
      </c>
      <c r="H1042" t="s">
        <v>26</v>
      </c>
      <c r="I1042" t="s">
        <v>48</v>
      </c>
      <c r="J1042" s="11">
        <v>45274</v>
      </c>
      <c r="K1042" t="str">
        <f>TEXT(Transactions_Clean[[#This Row],[Date]],"MMM-YYYY")</f>
        <v>Dec-2023</v>
      </c>
      <c r="L1042">
        <f>IF(Transactions_Clean[[#This Row],[Category]]="Revenue",Transactions_Clean[[#This Row],[Amount(₹)]],Transactions_Clean[[#This Row],[Amount(₹)]]/8)</f>
        <v>-9635.125</v>
      </c>
    </row>
    <row r="1043" spans="1:12">
      <c r="A1043" t="s">
        <v>1906</v>
      </c>
      <c r="B1043" t="s">
        <v>4751</v>
      </c>
      <c r="C1043" t="s">
        <v>38</v>
      </c>
      <c r="D1043">
        <v>-43895</v>
      </c>
      <c r="E1043" t="s">
        <v>23</v>
      </c>
      <c r="F1043" t="s">
        <v>32</v>
      </c>
      <c r="G1043" t="s">
        <v>33</v>
      </c>
      <c r="H1043" t="s">
        <v>26</v>
      </c>
      <c r="I1043" t="s">
        <v>27</v>
      </c>
      <c r="J1043" s="11">
        <v>45346</v>
      </c>
      <c r="K1043" t="str">
        <f>TEXT(Transactions_Clean[[#This Row],[Date]],"MMM-YYYY")</f>
        <v>Feb-2024</v>
      </c>
      <c r="L1043">
        <f>IF(Transactions_Clean[[#This Row],[Category]]="Revenue",Transactions_Clean[[#This Row],[Amount(₹)]],Transactions_Clean[[#This Row],[Amount(₹)]]/8)</f>
        <v>-5486.875</v>
      </c>
    </row>
    <row r="1044" spans="1:12">
      <c r="A1044" t="s">
        <v>1907</v>
      </c>
      <c r="B1044" t="s">
        <v>4752</v>
      </c>
      <c r="C1044" t="s">
        <v>44</v>
      </c>
      <c r="D1044">
        <v>-70256</v>
      </c>
      <c r="E1044" t="s">
        <v>23</v>
      </c>
      <c r="F1044" t="s">
        <v>32</v>
      </c>
      <c r="G1044" t="s">
        <v>33</v>
      </c>
      <c r="H1044" t="s">
        <v>45</v>
      </c>
      <c r="I1044" t="s">
        <v>48</v>
      </c>
      <c r="J1044" s="11">
        <v>45637</v>
      </c>
      <c r="K1044" t="str">
        <f>TEXT(Transactions_Clean[[#This Row],[Date]],"MMM-YYYY")</f>
        <v>Dec-2024</v>
      </c>
      <c r="L1044">
        <f>IF(Transactions_Clean[[#This Row],[Category]]="Revenue",Transactions_Clean[[#This Row],[Amount(₹)]],Transactions_Clean[[#This Row],[Amount(₹)]]/8)</f>
        <v>-8782</v>
      </c>
    </row>
    <row r="1045" spans="1:12">
      <c r="A1045" t="s">
        <v>1909</v>
      </c>
      <c r="B1045" t="s">
        <v>345</v>
      </c>
      <c r="C1045" t="s">
        <v>22</v>
      </c>
      <c r="D1045">
        <v>-165602</v>
      </c>
      <c r="E1045" t="s">
        <v>23</v>
      </c>
      <c r="F1045" t="s">
        <v>24</v>
      </c>
      <c r="G1045" t="s">
        <v>25</v>
      </c>
      <c r="H1045" t="s">
        <v>26</v>
      </c>
      <c r="I1045" t="s">
        <v>27</v>
      </c>
      <c r="J1045" s="11">
        <v>45371</v>
      </c>
      <c r="K1045" t="str">
        <f>TEXT(Transactions_Clean[[#This Row],[Date]],"MMM-YYYY")</f>
        <v>Mar-2024</v>
      </c>
      <c r="L1045">
        <f>IF(Transactions_Clean[[#This Row],[Category]]="Revenue",Transactions_Clean[[#This Row],[Amount(₹)]],Transactions_Clean[[#This Row],[Amount(₹)]]/8)</f>
        <v>-20700.25</v>
      </c>
    </row>
    <row r="1046" spans="1:12">
      <c r="A1046" t="s">
        <v>1910</v>
      </c>
      <c r="B1046" t="s">
        <v>4765</v>
      </c>
      <c r="C1046" t="s">
        <v>73</v>
      </c>
      <c r="D1046">
        <v>-57465</v>
      </c>
      <c r="E1046" t="s">
        <v>74</v>
      </c>
      <c r="F1046" t="s">
        <v>24</v>
      </c>
      <c r="G1046" t="s">
        <v>25</v>
      </c>
      <c r="H1046" t="s">
        <v>45</v>
      </c>
      <c r="I1046" t="s">
        <v>34</v>
      </c>
      <c r="J1046" s="11">
        <v>45600</v>
      </c>
      <c r="K1046" t="str">
        <f>TEXT(Transactions_Clean[[#This Row],[Date]],"MMM-YYYY")</f>
        <v>Nov-2024</v>
      </c>
      <c r="L1046">
        <f>IF(Transactions_Clean[[#This Row],[Category]]="Revenue",Transactions_Clean[[#This Row],[Amount(₹)]],Transactions_Clean[[#This Row],[Amount(₹)]]/8)</f>
        <v>-7183.125</v>
      </c>
    </row>
    <row r="1047" spans="1:12">
      <c r="A1047" t="s">
        <v>1912</v>
      </c>
      <c r="B1047" t="s">
        <v>169</v>
      </c>
      <c r="C1047" t="s">
        <v>73</v>
      </c>
      <c r="D1047">
        <v>-18714</v>
      </c>
      <c r="E1047" t="s">
        <v>74</v>
      </c>
      <c r="F1047" t="s">
        <v>32</v>
      </c>
      <c r="G1047" t="s">
        <v>25</v>
      </c>
      <c r="H1047" t="s">
        <v>45</v>
      </c>
      <c r="I1047" t="s">
        <v>27</v>
      </c>
      <c r="J1047" s="11">
        <v>45715</v>
      </c>
      <c r="K1047" t="str">
        <f>TEXT(Transactions_Clean[[#This Row],[Date]],"MMM-YYYY")</f>
        <v>Feb-2025</v>
      </c>
      <c r="L1047">
        <f>IF(Transactions_Clean[[#This Row],[Category]]="Revenue",Transactions_Clean[[#This Row],[Amount(₹)]],Transactions_Clean[[#This Row],[Amount(₹)]]/8)</f>
        <v>-2339.25</v>
      </c>
    </row>
    <row r="1048" spans="1:12">
      <c r="A1048" t="s">
        <v>1914</v>
      </c>
      <c r="B1048" t="s">
        <v>935</v>
      </c>
      <c r="C1048" t="s">
        <v>22</v>
      </c>
      <c r="D1048">
        <v>-163878</v>
      </c>
      <c r="E1048" t="s">
        <v>23</v>
      </c>
      <c r="F1048" t="s">
        <v>32</v>
      </c>
      <c r="G1048" t="s">
        <v>25</v>
      </c>
      <c r="H1048" t="s">
        <v>39</v>
      </c>
      <c r="I1048" t="s">
        <v>40</v>
      </c>
      <c r="J1048" s="11">
        <v>45926</v>
      </c>
      <c r="K1048" t="str">
        <f>TEXT(Transactions_Clean[[#This Row],[Date]],"MMM-YYYY")</f>
        <v>Sep-2025</v>
      </c>
      <c r="L1048">
        <f>IF(Transactions_Clean[[#This Row],[Category]]="Revenue",Transactions_Clean[[#This Row],[Amount(₹)]],Transactions_Clean[[#This Row],[Amount(₹)]]/8)</f>
        <v>-20484.75</v>
      </c>
    </row>
    <row r="1049" spans="1:12">
      <c r="A1049" t="s">
        <v>1915</v>
      </c>
      <c r="B1049" t="s">
        <v>4748</v>
      </c>
      <c r="C1049" t="s">
        <v>22</v>
      </c>
      <c r="D1049">
        <v>-176011</v>
      </c>
      <c r="E1049" t="s">
        <v>23</v>
      </c>
      <c r="F1049" t="s">
        <v>24</v>
      </c>
      <c r="G1049" t="s">
        <v>25</v>
      </c>
      <c r="H1049" t="s">
        <v>39</v>
      </c>
      <c r="I1049" t="s">
        <v>40</v>
      </c>
      <c r="J1049" s="11">
        <v>45889</v>
      </c>
      <c r="K1049" t="str">
        <f>TEXT(Transactions_Clean[[#This Row],[Date]],"MMM-YYYY")</f>
        <v>Aug-2025</v>
      </c>
      <c r="L1049">
        <f>IF(Transactions_Clean[[#This Row],[Category]]="Revenue",Transactions_Clean[[#This Row],[Amount(₹)]],Transactions_Clean[[#This Row],[Amount(₹)]]/8)</f>
        <v>-22001.375</v>
      </c>
    </row>
    <row r="1050" spans="1:12">
      <c r="A1050" t="s">
        <v>1917</v>
      </c>
      <c r="B1050" t="s">
        <v>224</v>
      </c>
      <c r="C1050" t="s">
        <v>78</v>
      </c>
      <c r="D1050">
        <v>-103037</v>
      </c>
      <c r="E1050" t="s">
        <v>23</v>
      </c>
      <c r="F1050" t="s">
        <v>32</v>
      </c>
      <c r="G1050" t="s">
        <v>79</v>
      </c>
      <c r="H1050" t="s">
        <v>26</v>
      </c>
      <c r="I1050" t="s">
        <v>27</v>
      </c>
      <c r="J1050" s="11">
        <v>45344</v>
      </c>
      <c r="K1050" t="str">
        <f>TEXT(Transactions_Clean[[#This Row],[Date]],"MMM-YYYY")</f>
        <v>Feb-2024</v>
      </c>
      <c r="L1050">
        <f>IF(Transactions_Clean[[#This Row],[Category]]="Revenue",Transactions_Clean[[#This Row],[Amount(₹)]],Transactions_Clean[[#This Row],[Amount(₹)]]/8)</f>
        <v>-12879.625</v>
      </c>
    </row>
    <row r="1051" spans="1:12">
      <c r="A1051" t="s">
        <v>1918</v>
      </c>
      <c r="B1051" t="s">
        <v>72</v>
      </c>
      <c r="C1051" t="s">
        <v>73</v>
      </c>
      <c r="D1051">
        <v>-37771</v>
      </c>
      <c r="E1051" t="s">
        <v>74</v>
      </c>
      <c r="F1051" t="s">
        <v>24</v>
      </c>
      <c r="G1051" t="s">
        <v>25</v>
      </c>
      <c r="H1051" t="s">
        <v>39</v>
      </c>
      <c r="I1051" t="s">
        <v>48</v>
      </c>
      <c r="J1051" s="11">
        <v>45967</v>
      </c>
      <c r="K1051" t="str">
        <f>TEXT(Transactions_Clean[[#This Row],[Date]],"MMM-YYYY")</f>
        <v>Nov-2025</v>
      </c>
      <c r="L1051">
        <f>IF(Transactions_Clean[[#This Row],[Category]]="Revenue",Transactions_Clean[[#This Row],[Amount(₹)]],Transactions_Clean[[#This Row],[Amount(₹)]]/8)</f>
        <v>-4721.375</v>
      </c>
    </row>
    <row r="1052" spans="1:12">
      <c r="A1052" t="s">
        <v>1920</v>
      </c>
      <c r="B1052" t="s">
        <v>4781</v>
      </c>
      <c r="C1052" t="s">
        <v>136</v>
      </c>
      <c r="D1052">
        <v>-10667430</v>
      </c>
      <c r="E1052" t="s">
        <v>62</v>
      </c>
      <c r="F1052" t="s">
        <v>32</v>
      </c>
      <c r="G1052" t="s">
        <v>63</v>
      </c>
      <c r="H1052" t="s">
        <v>26</v>
      </c>
      <c r="I1052" t="s">
        <v>48</v>
      </c>
      <c r="J1052" s="11">
        <v>45258</v>
      </c>
      <c r="K1052" t="str">
        <f>TEXT(Transactions_Clean[[#This Row],[Date]],"MMM-YYYY")</f>
        <v>Nov-2023</v>
      </c>
      <c r="L1052">
        <f>IF(Transactions_Clean[[#This Row],[Category]]="Revenue",Transactions_Clean[[#This Row],[Amount(₹)]],Transactions_Clean[[#This Row],[Amount(₹)]]/8)</f>
        <v>-1333428.75</v>
      </c>
    </row>
    <row r="1053" spans="1:12">
      <c r="A1053" t="s">
        <v>1923</v>
      </c>
      <c r="B1053" t="s">
        <v>4754</v>
      </c>
      <c r="C1053" t="s">
        <v>78</v>
      </c>
      <c r="D1053">
        <v>-117952</v>
      </c>
      <c r="E1053" t="s">
        <v>23</v>
      </c>
      <c r="F1053" t="s">
        <v>32</v>
      </c>
      <c r="G1053" t="s">
        <v>79</v>
      </c>
      <c r="H1053" t="s">
        <v>39</v>
      </c>
      <c r="I1053" t="s">
        <v>48</v>
      </c>
      <c r="J1053" s="11">
        <v>45972</v>
      </c>
      <c r="K1053" t="str">
        <f>TEXT(Transactions_Clean[[#This Row],[Date]],"MMM-YYYY")</f>
        <v>Nov-2025</v>
      </c>
      <c r="L1053">
        <f>IF(Transactions_Clean[[#This Row],[Category]]="Revenue",Transactions_Clean[[#This Row],[Amount(₹)]],Transactions_Clean[[#This Row],[Amount(₹)]]/8)</f>
        <v>-14744</v>
      </c>
    </row>
    <row r="1054" spans="1:12">
      <c r="A1054" t="s">
        <v>1924</v>
      </c>
      <c r="B1054" t="s">
        <v>237</v>
      </c>
      <c r="C1054" t="s">
        <v>22</v>
      </c>
      <c r="D1054">
        <v>-31864</v>
      </c>
      <c r="E1054" t="s">
        <v>23</v>
      </c>
      <c r="F1054" t="s">
        <v>24</v>
      </c>
      <c r="G1054" t="s">
        <v>25</v>
      </c>
      <c r="H1054" t="s">
        <v>26</v>
      </c>
      <c r="I1054" t="s">
        <v>27</v>
      </c>
      <c r="J1054" s="11">
        <v>45537</v>
      </c>
      <c r="K1054" t="str">
        <f>TEXT(Transactions_Clean[[#This Row],[Date]],"MMM-YYYY")</f>
        <v>Sep-2024</v>
      </c>
      <c r="L1054">
        <f>IF(Transactions_Clean[[#This Row],[Category]]="Revenue",Transactions_Clean[[#This Row],[Amount(₹)]],Transactions_Clean[[#This Row],[Amount(₹)]]/8)</f>
        <v>-3983</v>
      </c>
    </row>
    <row r="1055" spans="1:12">
      <c r="A1055" t="s">
        <v>1926</v>
      </c>
      <c r="B1055" t="s">
        <v>60</v>
      </c>
      <c r="C1055" t="s">
        <v>61</v>
      </c>
      <c r="D1055">
        <v>-47347</v>
      </c>
      <c r="E1055" t="s">
        <v>62</v>
      </c>
      <c r="F1055" t="s">
        <v>24</v>
      </c>
      <c r="G1055" t="s">
        <v>63</v>
      </c>
      <c r="H1055" t="s">
        <v>39</v>
      </c>
      <c r="I1055" t="s">
        <v>34</v>
      </c>
      <c r="J1055" s="11">
        <v>45816</v>
      </c>
      <c r="K1055" t="str">
        <f>TEXT(Transactions_Clean[[#This Row],[Date]],"MMM-YYYY")</f>
        <v>Jun-2025</v>
      </c>
      <c r="L1055">
        <f>IF(Transactions_Clean[[#This Row],[Category]]="Revenue",Transactions_Clean[[#This Row],[Amount(₹)]],Transactions_Clean[[#This Row],[Amount(₹)]]/8)</f>
        <v>-5918.375</v>
      </c>
    </row>
    <row r="1056" spans="1:12">
      <c r="A1056" t="s">
        <v>1928</v>
      </c>
      <c r="B1056" t="s">
        <v>4754</v>
      </c>
      <c r="C1056" t="s">
        <v>78</v>
      </c>
      <c r="D1056">
        <v>-24720</v>
      </c>
      <c r="E1056" t="s">
        <v>23</v>
      </c>
      <c r="F1056" t="s">
        <v>32</v>
      </c>
      <c r="G1056" t="s">
        <v>79</v>
      </c>
      <c r="H1056" t="s">
        <v>26</v>
      </c>
      <c r="I1056" t="s">
        <v>34</v>
      </c>
      <c r="J1056" s="11">
        <v>45092</v>
      </c>
      <c r="K1056" t="str">
        <f>TEXT(Transactions_Clean[[#This Row],[Date]],"MMM-YYYY")</f>
        <v>Jun-2023</v>
      </c>
      <c r="L1056">
        <f>IF(Transactions_Clean[[#This Row],[Category]]="Revenue",Transactions_Clean[[#This Row],[Amount(₹)]],Transactions_Clean[[#This Row],[Amount(₹)]]/8)</f>
        <v>-3090</v>
      </c>
    </row>
    <row r="1057" spans="1:12">
      <c r="A1057" t="s">
        <v>1929</v>
      </c>
      <c r="B1057" t="s">
        <v>180</v>
      </c>
      <c r="C1057" t="s">
        <v>44</v>
      </c>
      <c r="D1057">
        <v>-142638</v>
      </c>
      <c r="E1057" t="s">
        <v>23</v>
      </c>
      <c r="F1057" t="s">
        <v>24</v>
      </c>
      <c r="G1057" t="s">
        <v>33</v>
      </c>
      <c r="H1057" t="s">
        <v>45</v>
      </c>
      <c r="I1057" t="s">
        <v>27</v>
      </c>
      <c r="J1057" s="11">
        <v>45749</v>
      </c>
      <c r="K1057" t="str">
        <f>TEXT(Transactions_Clean[[#This Row],[Date]],"MMM-YYYY")</f>
        <v>Apr-2025</v>
      </c>
      <c r="L1057">
        <f>IF(Transactions_Clean[[#This Row],[Category]]="Revenue",Transactions_Clean[[#This Row],[Amount(₹)]],Transactions_Clean[[#This Row],[Amount(₹)]]/8)</f>
        <v>-17829.75</v>
      </c>
    </row>
    <row r="1058" spans="1:12">
      <c r="A1058" t="s">
        <v>1931</v>
      </c>
      <c r="B1058" t="s">
        <v>4773</v>
      </c>
      <c r="C1058" t="s">
        <v>157</v>
      </c>
      <c r="D1058">
        <v>629239</v>
      </c>
      <c r="E1058" t="s">
        <v>62</v>
      </c>
      <c r="F1058" t="s">
        <v>32</v>
      </c>
      <c r="G1058" t="s">
        <v>25</v>
      </c>
      <c r="H1058" t="s">
        <v>45</v>
      </c>
      <c r="I1058" t="s">
        <v>40</v>
      </c>
      <c r="J1058" s="11">
        <v>45518</v>
      </c>
      <c r="K1058" t="str">
        <f>TEXT(Transactions_Clean[[#This Row],[Date]],"MMM-YYYY")</f>
        <v>Aug-2024</v>
      </c>
      <c r="L1058">
        <f>IF(Transactions_Clean[[#This Row],[Category]]="Revenue",Transactions_Clean[[#This Row],[Amount(₹)]],Transactions_Clean[[#This Row],[Amount(₹)]]/8)</f>
        <v>629239</v>
      </c>
    </row>
    <row r="1059" spans="1:12">
      <c r="A1059" t="s">
        <v>1932</v>
      </c>
      <c r="B1059" t="s">
        <v>174</v>
      </c>
      <c r="C1059" t="s">
        <v>22</v>
      </c>
      <c r="D1059">
        <v>-114132</v>
      </c>
      <c r="E1059" t="s">
        <v>23</v>
      </c>
      <c r="F1059" t="s">
        <v>24</v>
      </c>
      <c r="G1059" t="s">
        <v>25</v>
      </c>
      <c r="H1059" t="s">
        <v>39</v>
      </c>
      <c r="I1059" t="s">
        <v>48</v>
      </c>
      <c r="J1059" s="11">
        <v>46012</v>
      </c>
      <c r="K1059" t="str">
        <f>TEXT(Transactions_Clean[[#This Row],[Date]],"MMM-YYYY")</f>
        <v>Dec-2025</v>
      </c>
      <c r="L1059">
        <f>IF(Transactions_Clean[[#This Row],[Category]]="Revenue",Transactions_Clean[[#This Row],[Amount(₹)]],Transactions_Clean[[#This Row],[Amount(₹)]]/8)</f>
        <v>-14266.5</v>
      </c>
    </row>
    <row r="1060" spans="1:12">
      <c r="A1060" t="s">
        <v>1934</v>
      </c>
      <c r="B1060" t="s">
        <v>215</v>
      </c>
      <c r="C1060" t="s">
        <v>61</v>
      </c>
      <c r="D1060">
        <v>-49318</v>
      </c>
      <c r="E1060" t="s">
        <v>62</v>
      </c>
      <c r="F1060" t="s">
        <v>32</v>
      </c>
      <c r="G1060" t="s">
        <v>63</v>
      </c>
      <c r="H1060" t="s">
        <v>39</v>
      </c>
      <c r="I1060" t="s">
        <v>34</v>
      </c>
      <c r="J1060" s="11">
        <v>45813</v>
      </c>
      <c r="K1060" t="str">
        <f>TEXT(Transactions_Clean[[#This Row],[Date]],"MMM-YYYY")</f>
        <v>Jun-2025</v>
      </c>
      <c r="L1060">
        <f>IF(Transactions_Clean[[#This Row],[Category]]="Revenue",Transactions_Clean[[#This Row],[Amount(₹)]],Transactions_Clean[[#This Row],[Amount(₹)]]/8)</f>
        <v>-6164.75</v>
      </c>
    </row>
    <row r="1061" spans="1:12">
      <c r="A1061" t="s">
        <v>1935</v>
      </c>
      <c r="B1061" t="s">
        <v>4765</v>
      </c>
      <c r="C1061" t="s">
        <v>73</v>
      </c>
      <c r="D1061">
        <v>-91147</v>
      </c>
      <c r="E1061" t="s">
        <v>74</v>
      </c>
      <c r="F1061" t="s">
        <v>32</v>
      </c>
      <c r="G1061" t="s">
        <v>25</v>
      </c>
      <c r="H1061" t="s">
        <v>45</v>
      </c>
      <c r="I1061" t="s">
        <v>34</v>
      </c>
      <c r="J1061" s="11">
        <v>45417</v>
      </c>
      <c r="K1061" t="str">
        <f>TEXT(Transactions_Clean[[#This Row],[Date]],"MMM-YYYY")</f>
        <v>May-2024</v>
      </c>
      <c r="L1061">
        <f>IF(Transactions_Clean[[#This Row],[Category]]="Revenue",Transactions_Clean[[#This Row],[Amount(₹)]],Transactions_Clean[[#This Row],[Amount(₹)]]/8)</f>
        <v>-11393.375</v>
      </c>
    </row>
    <row r="1062" spans="1:12">
      <c r="A1062" t="s">
        <v>1936</v>
      </c>
      <c r="B1062" t="s">
        <v>4754</v>
      </c>
      <c r="C1062" t="s">
        <v>78</v>
      </c>
      <c r="D1062">
        <v>-32765</v>
      </c>
      <c r="E1062" t="s">
        <v>23</v>
      </c>
      <c r="F1062" t="s">
        <v>32</v>
      </c>
      <c r="G1062" t="s">
        <v>79</v>
      </c>
      <c r="H1062" t="s">
        <v>39</v>
      </c>
      <c r="I1062" t="s">
        <v>48</v>
      </c>
      <c r="J1062" s="11">
        <v>45994</v>
      </c>
      <c r="K1062" t="str">
        <f>TEXT(Transactions_Clean[[#This Row],[Date]],"MMM-YYYY")</f>
        <v>Dec-2025</v>
      </c>
      <c r="L1062">
        <f>IF(Transactions_Clean[[#This Row],[Category]]="Revenue",Transactions_Clean[[#This Row],[Amount(₹)]],Transactions_Clean[[#This Row],[Amount(₹)]]/8)</f>
        <v>-4095.625</v>
      </c>
    </row>
    <row r="1063" spans="1:12">
      <c r="A1063" t="s">
        <v>1938</v>
      </c>
      <c r="B1063" t="s">
        <v>4755</v>
      </c>
      <c r="C1063" t="s">
        <v>78</v>
      </c>
      <c r="D1063">
        <v>-94365</v>
      </c>
      <c r="E1063" t="s">
        <v>23</v>
      </c>
      <c r="F1063" t="s">
        <v>32</v>
      </c>
      <c r="G1063" t="s">
        <v>79</v>
      </c>
      <c r="H1063" t="s">
        <v>26</v>
      </c>
      <c r="I1063" t="s">
        <v>48</v>
      </c>
      <c r="J1063" s="11">
        <v>45203</v>
      </c>
      <c r="K1063" t="str">
        <f>TEXT(Transactions_Clean[[#This Row],[Date]],"MMM-YYYY")</f>
        <v>Oct-2023</v>
      </c>
      <c r="L1063">
        <f>IF(Transactions_Clean[[#This Row],[Category]]="Revenue",Transactions_Clean[[#This Row],[Amount(₹)]],Transactions_Clean[[#This Row],[Amount(₹)]]/8)</f>
        <v>-11795.625</v>
      </c>
    </row>
    <row r="1064" spans="1:12">
      <c r="A1064" t="s">
        <v>1939</v>
      </c>
      <c r="B1064" t="s">
        <v>30</v>
      </c>
      <c r="C1064" t="s">
        <v>31</v>
      </c>
      <c r="D1064">
        <v>-7868</v>
      </c>
      <c r="E1064" t="s">
        <v>23</v>
      </c>
      <c r="F1064" t="s">
        <v>24</v>
      </c>
      <c r="G1064" t="s">
        <v>33</v>
      </c>
      <c r="H1064" t="s">
        <v>45</v>
      </c>
      <c r="I1064" t="s">
        <v>27</v>
      </c>
      <c r="J1064" s="11">
        <v>45673</v>
      </c>
      <c r="K1064" t="str">
        <f>TEXT(Transactions_Clean[[#This Row],[Date]],"MMM-YYYY")</f>
        <v>Jan-2025</v>
      </c>
      <c r="L1064">
        <f>IF(Transactions_Clean[[#This Row],[Category]]="Revenue",Transactions_Clean[[#This Row],[Amount(₹)]],Transactions_Clean[[#This Row],[Amount(₹)]]/8)</f>
        <v>-983.5</v>
      </c>
    </row>
    <row r="1065" spans="1:12">
      <c r="A1065" t="s">
        <v>1941</v>
      </c>
      <c r="B1065" t="s">
        <v>283</v>
      </c>
      <c r="C1065" t="s">
        <v>44</v>
      </c>
      <c r="D1065">
        <v>-122332</v>
      </c>
      <c r="E1065" t="s">
        <v>23</v>
      </c>
      <c r="F1065" t="s">
        <v>24</v>
      </c>
      <c r="G1065" t="s">
        <v>33</v>
      </c>
      <c r="H1065" t="s">
        <v>45</v>
      </c>
      <c r="I1065" t="s">
        <v>48</v>
      </c>
      <c r="J1065" s="11">
        <v>45591</v>
      </c>
      <c r="K1065" t="str">
        <f>TEXT(Transactions_Clean[[#This Row],[Date]],"MMM-YYYY")</f>
        <v>Oct-2024</v>
      </c>
      <c r="L1065">
        <f>IF(Transactions_Clean[[#This Row],[Category]]="Revenue",Transactions_Clean[[#This Row],[Amount(₹)]],Transactions_Clean[[#This Row],[Amount(₹)]]/8)</f>
        <v>-15291.5</v>
      </c>
    </row>
    <row r="1066" spans="1:12">
      <c r="A1066" t="s">
        <v>1942</v>
      </c>
      <c r="B1066" t="s">
        <v>4776</v>
      </c>
      <c r="C1066" t="s">
        <v>440</v>
      </c>
      <c r="D1066">
        <v>-132489</v>
      </c>
      <c r="E1066" t="s">
        <v>23</v>
      </c>
      <c r="F1066" t="s">
        <v>32</v>
      </c>
      <c r="G1066" t="s">
        <v>33</v>
      </c>
      <c r="H1066" t="s">
        <v>39</v>
      </c>
      <c r="I1066" t="s">
        <v>34</v>
      </c>
      <c r="J1066" s="11">
        <v>45781</v>
      </c>
      <c r="K1066" t="str">
        <f>TEXT(Transactions_Clean[[#This Row],[Date]],"MMM-YYYY")</f>
        <v>May-2025</v>
      </c>
      <c r="L1066">
        <f>IF(Transactions_Clean[[#This Row],[Category]]="Revenue",Transactions_Clean[[#This Row],[Amount(₹)]],Transactions_Clean[[#This Row],[Amount(₹)]]/8)</f>
        <v>-16561.125</v>
      </c>
    </row>
    <row r="1067" spans="1:12">
      <c r="A1067" t="s">
        <v>1944</v>
      </c>
      <c r="B1067" t="s">
        <v>935</v>
      </c>
      <c r="C1067" t="s">
        <v>22</v>
      </c>
      <c r="D1067">
        <v>-142683</v>
      </c>
      <c r="E1067" t="s">
        <v>23</v>
      </c>
      <c r="F1067" t="s">
        <v>24</v>
      </c>
      <c r="G1067" t="s">
        <v>25</v>
      </c>
      <c r="H1067" t="s">
        <v>26</v>
      </c>
      <c r="I1067" t="s">
        <v>34</v>
      </c>
      <c r="J1067" s="11">
        <v>45094</v>
      </c>
      <c r="K1067" t="str">
        <f>TEXT(Transactions_Clean[[#This Row],[Date]],"MMM-YYYY")</f>
        <v>Jun-2023</v>
      </c>
      <c r="L1067">
        <f>IF(Transactions_Clean[[#This Row],[Category]]="Revenue",Transactions_Clean[[#This Row],[Amount(₹)]],Transactions_Clean[[#This Row],[Amount(₹)]]/8)</f>
        <v>-17835.375</v>
      </c>
    </row>
    <row r="1068" spans="1:12">
      <c r="A1068" t="s">
        <v>1945</v>
      </c>
      <c r="B1068" t="s">
        <v>4766</v>
      </c>
      <c r="C1068" t="s">
        <v>73</v>
      </c>
      <c r="D1068">
        <v>-55027</v>
      </c>
      <c r="E1068" t="s">
        <v>74</v>
      </c>
      <c r="F1068" t="s">
        <v>32</v>
      </c>
      <c r="G1068" t="s">
        <v>25</v>
      </c>
      <c r="H1068" t="s">
        <v>39</v>
      </c>
      <c r="I1068" t="s">
        <v>27</v>
      </c>
      <c r="J1068" s="11">
        <v>46106</v>
      </c>
      <c r="K1068" t="str">
        <f>TEXT(Transactions_Clean[[#This Row],[Date]],"MMM-YYYY")</f>
        <v>Mar-2026</v>
      </c>
      <c r="L1068">
        <f>IF(Transactions_Clean[[#This Row],[Category]]="Revenue",Transactions_Clean[[#This Row],[Amount(₹)]],Transactions_Clean[[#This Row],[Amount(₹)]]/8)</f>
        <v>-6878.375</v>
      </c>
    </row>
    <row r="1069" spans="1:12">
      <c r="A1069" t="s">
        <v>1946</v>
      </c>
      <c r="B1069" t="s">
        <v>687</v>
      </c>
      <c r="C1069" t="s">
        <v>44</v>
      </c>
      <c r="D1069">
        <v>-132904</v>
      </c>
      <c r="E1069" t="s">
        <v>23</v>
      </c>
      <c r="F1069" t="s">
        <v>32</v>
      </c>
      <c r="G1069" t="s">
        <v>33</v>
      </c>
      <c r="H1069" t="s">
        <v>45</v>
      </c>
      <c r="I1069" t="s">
        <v>48</v>
      </c>
      <c r="J1069" s="11">
        <v>45597</v>
      </c>
      <c r="K1069" t="str">
        <f>TEXT(Transactions_Clean[[#This Row],[Date]],"MMM-YYYY")</f>
        <v>Nov-2024</v>
      </c>
      <c r="L1069">
        <f>IF(Transactions_Clean[[#This Row],[Category]]="Revenue",Transactions_Clean[[#This Row],[Amount(₹)]],Transactions_Clean[[#This Row],[Amount(₹)]]/8)</f>
        <v>-16613</v>
      </c>
    </row>
    <row r="1070" spans="1:12">
      <c r="A1070" t="s">
        <v>1948</v>
      </c>
      <c r="B1070" t="s">
        <v>116</v>
      </c>
      <c r="C1070" t="s">
        <v>4750</v>
      </c>
      <c r="D1070">
        <v>-20362</v>
      </c>
      <c r="E1070" t="s">
        <v>74</v>
      </c>
      <c r="F1070" t="s">
        <v>32</v>
      </c>
      <c r="G1070" t="s">
        <v>25</v>
      </c>
      <c r="H1070" t="s">
        <v>39</v>
      </c>
      <c r="I1070" t="s">
        <v>34</v>
      </c>
      <c r="J1070" s="11">
        <v>45766</v>
      </c>
      <c r="K1070" t="str">
        <f>TEXT(Transactions_Clean[[#This Row],[Date]],"MMM-YYYY")</f>
        <v>Apr-2025</v>
      </c>
      <c r="L1070">
        <f>IF(Transactions_Clean[[#This Row],[Category]]="Revenue",Transactions_Clean[[#This Row],[Amount(₹)]],Transactions_Clean[[#This Row],[Amount(₹)]]/8)</f>
        <v>-2545.25</v>
      </c>
    </row>
    <row r="1071" spans="1:12">
      <c r="A1071" t="s">
        <v>1949</v>
      </c>
      <c r="B1071" t="s">
        <v>4782</v>
      </c>
      <c r="C1071" t="s">
        <v>136</v>
      </c>
      <c r="D1071">
        <v>-10642481</v>
      </c>
      <c r="E1071" t="s">
        <v>62</v>
      </c>
      <c r="F1071" t="s">
        <v>32</v>
      </c>
      <c r="G1071" t="s">
        <v>63</v>
      </c>
      <c r="H1071" t="s">
        <v>45</v>
      </c>
      <c r="I1071" t="s">
        <v>40</v>
      </c>
      <c r="J1071" s="11">
        <v>45563</v>
      </c>
      <c r="K1071" t="str">
        <f>TEXT(Transactions_Clean[[#This Row],[Date]],"MMM-YYYY")</f>
        <v>Sep-2024</v>
      </c>
      <c r="L1071">
        <f>IF(Transactions_Clean[[#This Row],[Category]]="Revenue",Transactions_Clean[[#This Row],[Amount(₹)]],Transactions_Clean[[#This Row],[Amount(₹)]]/8)</f>
        <v>-1330310.125</v>
      </c>
    </row>
    <row r="1072" spans="1:12">
      <c r="A1072" t="s">
        <v>1951</v>
      </c>
      <c r="B1072" t="s">
        <v>4755</v>
      </c>
      <c r="C1072" t="s">
        <v>78</v>
      </c>
      <c r="D1072">
        <v>-38697</v>
      </c>
      <c r="E1072" t="s">
        <v>23</v>
      </c>
      <c r="F1072" t="s">
        <v>24</v>
      </c>
      <c r="G1072" t="s">
        <v>79</v>
      </c>
      <c r="H1072" t="s">
        <v>39</v>
      </c>
      <c r="I1072" t="s">
        <v>48</v>
      </c>
      <c r="J1072" s="11">
        <v>45965</v>
      </c>
      <c r="K1072" t="str">
        <f>TEXT(Transactions_Clean[[#This Row],[Date]],"MMM-YYYY")</f>
        <v>Nov-2025</v>
      </c>
      <c r="L1072">
        <f>IF(Transactions_Clean[[#This Row],[Category]]="Revenue",Transactions_Clean[[#This Row],[Amount(₹)]],Transactions_Clean[[#This Row],[Amount(₹)]]/8)</f>
        <v>-4837.125</v>
      </c>
    </row>
    <row r="1073" spans="1:12">
      <c r="A1073" t="s">
        <v>1952</v>
      </c>
      <c r="B1073" t="s">
        <v>4753</v>
      </c>
      <c r="C1073" t="s">
        <v>38</v>
      </c>
      <c r="D1073">
        <v>-29127</v>
      </c>
      <c r="E1073" t="s">
        <v>23</v>
      </c>
      <c r="F1073" t="s">
        <v>24</v>
      </c>
      <c r="G1073" t="s">
        <v>33</v>
      </c>
      <c r="H1073" t="s">
        <v>45</v>
      </c>
      <c r="I1073" t="s">
        <v>48</v>
      </c>
      <c r="J1073" s="11">
        <v>45610</v>
      </c>
      <c r="K1073" t="str">
        <f>TEXT(Transactions_Clean[[#This Row],[Date]],"MMM-YYYY")</f>
        <v>Nov-2024</v>
      </c>
      <c r="L1073">
        <f>IF(Transactions_Clean[[#This Row],[Category]]="Revenue",Transactions_Clean[[#This Row],[Amount(₹)]],Transactions_Clean[[#This Row],[Amount(₹)]]/8)</f>
        <v>-3640.875</v>
      </c>
    </row>
    <row r="1074" spans="1:12">
      <c r="A1074" t="s">
        <v>1953</v>
      </c>
      <c r="B1074" t="s">
        <v>4752</v>
      </c>
      <c r="C1074" t="s">
        <v>44</v>
      </c>
      <c r="D1074">
        <v>-170325</v>
      </c>
      <c r="E1074" t="s">
        <v>23</v>
      </c>
      <c r="F1074" t="s">
        <v>24</v>
      </c>
      <c r="G1074" t="s">
        <v>33</v>
      </c>
      <c r="H1074" t="s">
        <v>26</v>
      </c>
      <c r="I1074" t="s">
        <v>27</v>
      </c>
      <c r="J1074" s="11">
        <v>45350</v>
      </c>
      <c r="K1074" t="str">
        <f>TEXT(Transactions_Clean[[#This Row],[Date]],"MMM-YYYY")</f>
        <v>Feb-2024</v>
      </c>
      <c r="L1074">
        <f>IF(Transactions_Clean[[#This Row],[Category]]="Revenue",Transactions_Clean[[#This Row],[Amount(₹)]],Transactions_Clean[[#This Row],[Amount(₹)]]/8)</f>
        <v>-21290.625</v>
      </c>
    </row>
    <row r="1075" spans="1:12">
      <c r="A1075" t="s">
        <v>1955</v>
      </c>
      <c r="B1075" t="s">
        <v>51</v>
      </c>
      <c r="C1075" t="s">
        <v>31</v>
      </c>
      <c r="D1075">
        <v>-4833</v>
      </c>
      <c r="E1075" t="s">
        <v>23</v>
      </c>
      <c r="F1075" t="s">
        <v>24</v>
      </c>
      <c r="G1075" t="s">
        <v>33</v>
      </c>
      <c r="H1075" t="s">
        <v>39</v>
      </c>
      <c r="I1075" t="s">
        <v>27</v>
      </c>
      <c r="J1075" s="11">
        <v>46056</v>
      </c>
      <c r="K1075" t="str">
        <f>TEXT(Transactions_Clean[[#This Row],[Date]],"MMM-YYYY")</f>
        <v>Feb-2026</v>
      </c>
      <c r="L1075">
        <f>IF(Transactions_Clean[[#This Row],[Category]]="Revenue",Transactions_Clean[[#This Row],[Amount(₹)]],Transactions_Clean[[#This Row],[Amount(₹)]]/8)</f>
        <v>-604.125</v>
      </c>
    </row>
    <row r="1076" spans="1:12">
      <c r="A1076" t="s">
        <v>1957</v>
      </c>
      <c r="B1076" t="s">
        <v>4759</v>
      </c>
      <c r="C1076" t="s">
        <v>31</v>
      </c>
      <c r="D1076">
        <v>-30435</v>
      </c>
      <c r="E1076" t="s">
        <v>23</v>
      </c>
      <c r="F1076" t="s">
        <v>32</v>
      </c>
      <c r="G1076" t="s">
        <v>33</v>
      </c>
      <c r="H1076" t="s">
        <v>45</v>
      </c>
      <c r="I1076" t="s">
        <v>34</v>
      </c>
      <c r="J1076" s="11">
        <v>45407</v>
      </c>
      <c r="K1076" t="str">
        <f>TEXT(Transactions_Clean[[#This Row],[Date]],"MMM-YYYY")</f>
        <v>Apr-2024</v>
      </c>
      <c r="L1076">
        <f>IF(Transactions_Clean[[#This Row],[Category]]="Revenue",Transactions_Clean[[#This Row],[Amount(₹)]],Transactions_Clean[[#This Row],[Amount(₹)]]/8)</f>
        <v>-3804.375</v>
      </c>
    </row>
    <row r="1077" spans="1:12">
      <c r="A1077" t="s">
        <v>1959</v>
      </c>
      <c r="B1077" t="s">
        <v>60</v>
      </c>
      <c r="C1077" t="s">
        <v>61</v>
      </c>
      <c r="D1077">
        <v>-53039</v>
      </c>
      <c r="E1077" t="s">
        <v>62</v>
      </c>
      <c r="F1077" t="s">
        <v>24</v>
      </c>
      <c r="G1077" t="s">
        <v>63</v>
      </c>
      <c r="H1077" t="s">
        <v>39</v>
      </c>
      <c r="I1077" t="s">
        <v>48</v>
      </c>
      <c r="J1077" s="11">
        <v>45952</v>
      </c>
      <c r="K1077" t="str">
        <f>TEXT(Transactions_Clean[[#This Row],[Date]],"MMM-YYYY")</f>
        <v>Oct-2025</v>
      </c>
      <c r="L1077">
        <f>IF(Transactions_Clean[[#This Row],[Category]]="Revenue",Transactions_Clean[[#This Row],[Amount(₹)]],Transactions_Clean[[#This Row],[Amount(₹)]]/8)</f>
        <v>-6629.875</v>
      </c>
    </row>
    <row r="1078" spans="1:12">
      <c r="A1078" t="s">
        <v>1960</v>
      </c>
      <c r="B1078" t="s">
        <v>4774</v>
      </c>
      <c r="C1078" t="s">
        <v>440</v>
      </c>
      <c r="D1078">
        <v>-135647</v>
      </c>
      <c r="E1078" t="s">
        <v>23</v>
      </c>
      <c r="F1078" t="s">
        <v>24</v>
      </c>
      <c r="G1078" t="s">
        <v>33</v>
      </c>
      <c r="H1078" t="s">
        <v>45</v>
      </c>
      <c r="I1078" t="s">
        <v>27</v>
      </c>
      <c r="J1078" s="11">
        <v>45700</v>
      </c>
      <c r="K1078" t="str">
        <f>TEXT(Transactions_Clean[[#This Row],[Date]],"MMM-YYYY")</f>
        <v>Feb-2025</v>
      </c>
      <c r="L1078">
        <f>IF(Transactions_Clean[[#This Row],[Category]]="Revenue",Transactions_Clean[[#This Row],[Amount(₹)]],Transactions_Clean[[#This Row],[Amount(₹)]]/8)</f>
        <v>-16955.875</v>
      </c>
    </row>
    <row r="1079" spans="1:12">
      <c r="A1079" t="s">
        <v>1961</v>
      </c>
      <c r="B1079" t="s">
        <v>4765</v>
      </c>
      <c r="C1079" t="s">
        <v>73</v>
      </c>
      <c r="D1079">
        <v>-29745</v>
      </c>
      <c r="E1079" t="s">
        <v>74</v>
      </c>
      <c r="F1079" t="s">
        <v>32</v>
      </c>
      <c r="G1079" t="s">
        <v>25</v>
      </c>
      <c r="H1079" t="s">
        <v>39</v>
      </c>
      <c r="I1079" t="s">
        <v>27</v>
      </c>
      <c r="J1079" s="11">
        <v>46059</v>
      </c>
      <c r="K1079" t="str">
        <f>TEXT(Transactions_Clean[[#This Row],[Date]],"MMM-YYYY")</f>
        <v>Feb-2026</v>
      </c>
      <c r="L1079">
        <f>IF(Transactions_Clean[[#This Row],[Category]]="Revenue",Transactions_Clean[[#This Row],[Amount(₹)]],Transactions_Clean[[#This Row],[Amount(₹)]]/8)</f>
        <v>-3718.125</v>
      </c>
    </row>
    <row r="1080" spans="1:12">
      <c r="A1080" t="s">
        <v>1962</v>
      </c>
      <c r="B1080" t="s">
        <v>30</v>
      </c>
      <c r="C1080" t="s">
        <v>31</v>
      </c>
      <c r="D1080">
        <v>-43749</v>
      </c>
      <c r="E1080" t="s">
        <v>23</v>
      </c>
      <c r="F1080" t="s">
        <v>24</v>
      </c>
      <c r="G1080" t="s">
        <v>33</v>
      </c>
      <c r="H1080" t="s">
        <v>45</v>
      </c>
      <c r="I1080" t="s">
        <v>40</v>
      </c>
      <c r="J1080" s="11">
        <v>45525</v>
      </c>
      <c r="K1080" t="str">
        <f>TEXT(Transactions_Clean[[#This Row],[Date]],"MMM-YYYY")</f>
        <v>Aug-2024</v>
      </c>
      <c r="L1080">
        <f>IF(Transactions_Clean[[#This Row],[Category]]="Revenue",Transactions_Clean[[#This Row],[Amount(₹)]],Transactions_Clean[[#This Row],[Amount(₹)]]/8)</f>
        <v>-5468.625</v>
      </c>
    </row>
    <row r="1081" spans="1:12">
      <c r="A1081" t="s">
        <v>1963</v>
      </c>
      <c r="B1081" t="s">
        <v>106</v>
      </c>
      <c r="C1081" t="s">
        <v>31</v>
      </c>
      <c r="D1081">
        <v>-29609</v>
      </c>
      <c r="E1081" t="s">
        <v>23</v>
      </c>
      <c r="F1081" t="s">
        <v>24</v>
      </c>
      <c r="G1081" t="s">
        <v>33</v>
      </c>
      <c r="H1081" t="s">
        <v>39</v>
      </c>
      <c r="I1081" t="s">
        <v>40</v>
      </c>
      <c r="J1081" s="11">
        <v>45906</v>
      </c>
      <c r="K1081" t="str">
        <f>TEXT(Transactions_Clean[[#This Row],[Date]],"MMM-YYYY")</f>
        <v>Sep-2025</v>
      </c>
      <c r="L1081">
        <f>IF(Transactions_Clean[[#This Row],[Category]]="Revenue",Transactions_Clean[[#This Row],[Amount(₹)]],Transactions_Clean[[#This Row],[Amount(₹)]]/8)</f>
        <v>-3701.125</v>
      </c>
    </row>
    <row r="1082" spans="1:12">
      <c r="A1082" t="s">
        <v>1965</v>
      </c>
      <c r="B1082" t="s">
        <v>687</v>
      </c>
      <c r="C1082" t="s">
        <v>44</v>
      </c>
      <c r="D1082">
        <v>-42776</v>
      </c>
      <c r="E1082" t="s">
        <v>23</v>
      </c>
      <c r="F1082" t="s">
        <v>24</v>
      </c>
      <c r="G1082" t="s">
        <v>33</v>
      </c>
      <c r="H1082" t="s">
        <v>45</v>
      </c>
      <c r="I1082" t="s">
        <v>34</v>
      </c>
      <c r="J1082" s="11">
        <v>45431</v>
      </c>
      <c r="K1082" t="str">
        <f>TEXT(Transactions_Clean[[#This Row],[Date]],"MMM-YYYY")</f>
        <v>May-2024</v>
      </c>
      <c r="L1082">
        <f>IF(Transactions_Clean[[#This Row],[Category]]="Revenue",Transactions_Clean[[#This Row],[Amount(₹)]],Transactions_Clean[[#This Row],[Amount(₹)]]/8)</f>
        <v>-5347</v>
      </c>
    </row>
    <row r="1083" spans="1:12">
      <c r="A1083" t="s">
        <v>1967</v>
      </c>
      <c r="B1083" t="s">
        <v>935</v>
      </c>
      <c r="C1083" t="s">
        <v>22</v>
      </c>
      <c r="D1083">
        <v>-46117</v>
      </c>
      <c r="E1083" t="s">
        <v>23</v>
      </c>
      <c r="F1083" t="s">
        <v>32</v>
      </c>
      <c r="G1083" t="s">
        <v>25</v>
      </c>
      <c r="H1083" t="s">
        <v>45</v>
      </c>
      <c r="I1083" t="s">
        <v>27</v>
      </c>
      <c r="J1083" s="11">
        <v>45689</v>
      </c>
      <c r="K1083" t="str">
        <f>TEXT(Transactions_Clean[[#This Row],[Date]],"MMM-YYYY")</f>
        <v>Feb-2025</v>
      </c>
      <c r="L1083">
        <f>IF(Transactions_Clean[[#This Row],[Category]]="Revenue",Transactions_Clean[[#This Row],[Amount(₹)]],Transactions_Clean[[#This Row],[Amount(₹)]]/8)</f>
        <v>-5764.625</v>
      </c>
    </row>
    <row r="1084" spans="1:12">
      <c r="A1084" t="s">
        <v>1969</v>
      </c>
      <c r="B1084" t="s">
        <v>116</v>
      </c>
      <c r="C1084" t="s">
        <v>73</v>
      </c>
      <c r="D1084">
        <v>-92896</v>
      </c>
      <c r="E1084" t="s">
        <v>74</v>
      </c>
      <c r="F1084" t="s">
        <v>24</v>
      </c>
      <c r="G1084" t="s">
        <v>25</v>
      </c>
      <c r="H1084" t="s">
        <v>26</v>
      </c>
      <c r="I1084" t="s">
        <v>34</v>
      </c>
      <c r="J1084" s="11">
        <v>45073</v>
      </c>
      <c r="K1084" t="str">
        <f>TEXT(Transactions_Clean[[#This Row],[Date]],"MMM-YYYY")</f>
        <v>May-2023</v>
      </c>
      <c r="L1084">
        <f>IF(Transactions_Clean[[#This Row],[Category]]="Revenue",Transactions_Clean[[#This Row],[Amount(₹)]],Transactions_Clean[[#This Row],[Amount(₹)]]/8)</f>
        <v>-11612</v>
      </c>
    </row>
    <row r="1085" spans="1:12">
      <c r="A1085" t="s">
        <v>1970</v>
      </c>
      <c r="B1085" t="s">
        <v>4752</v>
      </c>
      <c r="C1085" t="s">
        <v>44</v>
      </c>
      <c r="D1085">
        <v>-105402</v>
      </c>
      <c r="E1085" t="s">
        <v>23</v>
      </c>
      <c r="F1085" t="s">
        <v>24</v>
      </c>
      <c r="G1085" t="s">
        <v>33</v>
      </c>
      <c r="H1085" t="s">
        <v>39</v>
      </c>
      <c r="I1085" t="s">
        <v>40</v>
      </c>
      <c r="J1085" s="11">
        <v>45916</v>
      </c>
      <c r="K1085" t="str">
        <f>TEXT(Transactions_Clean[[#This Row],[Date]],"MMM-YYYY")</f>
        <v>Sep-2025</v>
      </c>
      <c r="L1085">
        <f>IF(Transactions_Clean[[#This Row],[Category]]="Revenue",Transactions_Clean[[#This Row],[Amount(₹)]],Transactions_Clean[[#This Row],[Amount(₹)]]/8)</f>
        <v>-13175.25</v>
      </c>
    </row>
    <row r="1086" spans="1:12">
      <c r="A1086" t="s">
        <v>1972</v>
      </c>
      <c r="B1086" t="s">
        <v>4749</v>
      </c>
      <c r="C1086" t="s">
        <v>44</v>
      </c>
      <c r="D1086">
        <v>-81098</v>
      </c>
      <c r="E1086" t="s">
        <v>23</v>
      </c>
      <c r="F1086" t="s">
        <v>32</v>
      </c>
      <c r="G1086" t="s">
        <v>33</v>
      </c>
      <c r="H1086" t="s">
        <v>45</v>
      </c>
      <c r="I1086" t="s">
        <v>27</v>
      </c>
      <c r="J1086" s="11">
        <v>45664</v>
      </c>
      <c r="K1086" t="str">
        <f>TEXT(Transactions_Clean[[#This Row],[Date]],"MMM-YYYY")</f>
        <v>Jan-2025</v>
      </c>
      <c r="L1086">
        <f>IF(Transactions_Clean[[#This Row],[Category]]="Revenue",Transactions_Clean[[#This Row],[Amount(₹)]],Transactions_Clean[[#This Row],[Amount(₹)]]/8)</f>
        <v>-10137.25</v>
      </c>
    </row>
    <row r="1087" spans="1:12">
      <c r="A1087" t="s">
        <v>1973</v>
      </c>
      <c r="B1087" t="s">
        <v>60</v>
      </c>
      <c r="C1087" t="s">
        <v>61</v>
      </c>
      <c r="D1087">
        <v>-20511</v>
      </c>
      <c r="E1087" t="s">
        <v>62</v>
      </c>
      <c r="F1087" t="s">
        <v>24</v>
      </c>
      <c r="G1087" t="s">
        <v>63</v>
      </c>
      <c r="H1087" t="s">
        <v>39</v>
      </c>
      <c r="I1087" t="s">
        <v>34</v>
      </c>
      <c r="J1087" s="11">
        <v>45777</v>
      </c>
      <c r="K1087" t="str">
        <f>TEXT(Transactions_Clean[[#This Row],[Date]],"MMM-YYYY")</f>
        <v>Apr-2025</v>
      </c>
      <c r="L1087">
        <f>IF(Transactions_Clean[[#This Row],[Category]]="Revenue",Transactions_Clean[[#This Row],[Amount(₹)]],Transactions_Clean[[#This Row],[Amount(₹)]]/8)</f>
        <v>-2563.875</v>
      </c>
    </row>
    <row r="1088" spans="1:12">
      <c r="A1088" t="s">
        <v>1975</v>
      </c>
      <c r="B1088" t="s">
        <v>4767</v>
      </c>
      <c r="C1088" t="s">
        <v>157</v>
      </c>
      <c r="D1088">
        <v>627554</v>
      </c>
      <c r="E1088" t="s">
        <v>62</v>
      </c>
      <c r="F1088" t="s">
        <v>32</v>
      </c>
      <c r="G1088" t="s">
        <v>25</v>
      </c>
      <c r="H1088" t="s">
        <v>45</v>
      </c>
      <c r="I1088" t="s">
        <v>27</v>
      </c>
      <c r="J1088" s="11">
        <v>45663</v>
      </c>
      <c r="K1088" t="str">
        <f>TEXT(Transactions_Clean[[#This Row],[Date]],"MMM-YYYY")</f>
        <v>Jan-2025</v>
      </c>
      <c r="L1088">
        <f>IF(Transactions_Clean[[#This Row],[Category]]="Revenue",Transactions_Clean[[#This Row],[Amount(₹)]],Transactions_Clean[[#This Row],[Amount(₹)]]/8)</f>
        <v>627554</v>
      </c>
    </row>
    <row r="1089" spans="1:12">
      <c r="A1089" t="s">
        <v>1977</v>
      </c>
      <c r="B1089" t="s">
        <v>687</v>
      </c>
      <c r="C1089" t="s">
        <v>44</v>
      </c>
      <c r="D1089">
        <v>-35383</v>
      </c>
      <c r="E1089" t="s">
        <v>23</v>
      </c>
      <c r="F1089" t="s">
        <v>32</v>
      </c>
      <c r="G1089" t="s">
        <v>33</v>
      </c>
      <c r="H1089" t="s">
        <v>26</v>
      </c>
      <c r="I1089" t="s">
        <v>40</v>
      </c>
      <c r="J1089" s="11">
        <v>45163</v>
      </c>
      <c r="K1089" t="str">
        <f>TEXT(Transactions_Clean[[#This Row],[Date]],"MMM-YYYY")</f>
        <v>Aug-2023</v>
      </c>
      <c r="L1089">
        <f>IF(Transactions_Clean[[#This Row],[Category]]="Revenue",Transactions_Clean[[#This Row],[Amount(₹)]],Transactions_Clean[[#This Row],[Amount(₹)]]/8)</f>
        <v>-4422.875</v>
      </c>
    </row>
    <row r="1090" spans="1:12">
      <c r="A1090" t="s">
        <v>1979</v>
      </c>
      <c r="B1090" t="s">
        <v>4759</v>
      </c>
      <c r="C1090" t="s">
        <v>31</v>
      </c>
      <c r="D1090">
        <v>-12730</v>
      </c>
      <c r="E1090" t="s">
        <v>23</v>
      </c>
      <c r="F1090" t="s">
        <v>24</v>
      </c>
      <c r="G1090" t="s">
        <v>33</v>
      </c>
      <c r="H1090" t="s">
        <v>45</v>
      </c>
      <c r="I1090" t="s">
        <v>40</v>
      </c>
      <c r="J1090" s="11">
        <v>45525</v>
      </c>
      <c r="K1090" t="str">
        <f>TEXT(Transactions_Clean[[#This Row],[Date]],"MMM-YYYY")</f>
        <v>Aug-2024</v>
      </c>
      <c r="L1090">
        <f>IF(Transactions_Clean[[#This Row],[Category]]="Revenue",Transactions_Clean[[#This Row],[Amount(₹)]],Transactions_Clean[[#This Row],[Amount(₹)]]/8)</f>
        <v>-1591.25</v>
      </c>
    </row>
    <row r="1091" spans="1:12">
      <c r="A1091" t="s">
        <v>1980</v>
      </c>
      <c r="B1091" t="s">
        <v>4756</v>
      </c>
      <c r="C1091" t="s">
        <v>73</v>
      </c>
      <c r="D1091">
        <v>-36444</v>
      </c>
      <c r="E1091" t="s">
        <v>74</v>
      </c>
      <c r="F1091" t="s">
        <v>32</v>
      </c>
      <c r="G1091" t="s">
        <v>25</v>
      </c>
      <c r="H1091" t="s">
        <v>26</v>
      </c>
      <c r="I1091" t="s">
        <v>40</v>
      </c>
      <c r="J1091" s="11">
        <v>45123</v>
      </c>
      <c r="K1091" t="str">
        <f>TEXT(Transactions_Clean[[#This Row],[Date]],"MMM-YYYY")</f>
        <v>Jul-2023</v>
      </c>
      <c r="L1091">
        <f>IF(Transactions_Clean[[#This Row],[Category]]="Revenue",Transactions_Clean[[#This Row],[Amount(₹)]],Transactions_Clean[[#This Row],[Amount(₹)]]/8)</f>
        <v>-4555.5</v>
      </c>
    </row>
    <row r="1092" spans="1:12">
      <c r="A1092" t="s">
        <v>1982</v>
      </c>
      <c r="B1092" t="s">
        <v>129</v>
      </c>
      <c r="C1092" t="s">
        <v>38</v>
      </c>
      <c r="D1092">
        <v>-17069</v>
      </c>
      <c r="E1092" t="s">
        <v>23</v>
      </c>
      <c r="F1092" t="s">
        <v>24</v>
      </c>
      <c r="G1092" t="s">
        <v>33</v>
      </c>
      <c r="H1092" t="s">
        <v>26</v>
      </c>
      <c r="I1092" t="s">
        <v>40</v>
      </c>
      <c r="J1092" s="11">
        <v>45191</v>
      </c>
      <c r="K1092" t="str">
        <f>TEXT(Transactions_Clean[[#This Row],[Date]],"MMM-YYYY")</f>
        <v>Sep-2023</v>
      </c>
      <c r="L1092">
        <f>IF(Transactions_Clean[[#This Row],[Category]]="Revenue",Transactions_Clean[[#This Row],[Amount(₹)]],Transactions_Clean[[#This Row],[Amount(₹)]]/8)</f>
        <v>-2133.625</v>
      </c>
    </row>
    <row r="1093" spans="1:12">
      <c r="A1093" t="s">
        <v>1984</v>
      </c>
      <c r="B1093" t="s">
        <v>4755</v>
      </c>
      <c r="C1093" t="s">
        <v>78</v>
      </c>
      <c r="D1093">
        <v>-62250</v>
      </c>
      <c r="E1093" t="s">
        <v>23</v>
      </c>
      <c r="F1093" t="s">
        <v>24</v>
      </c>
      <c r="G1093" t="s">
        <v>79</v>
      </c>
      <c r="H1093" t="s">
        <v>39</v>
      </c>
      <c r="I1093" t="s">
        <v>40</v>
      </c>
      <c r="J1093" s="11">
        <v>45908</v>
      </c>
      <c r="K1093" t="str">
        <f>TEXT(Transactions_Clean[[#This Row],[Date]],"MMM-YYYY")</f>
        <v>Sep-2025</v>
      </c>
      <c r="L1093">
        <f>IF(Transactions_Clean[[#This Row],[Category]]="Revenue",Transactions_Clean[[#This Row],[Amount(₹)]],Transactions_Clean[[#This Row],[Amount(₹)]]/8)</f>
        <v>-7781.25</v>
      </c>
    </row>
    <row r="1094" spans="1:12">
      <c r="A1094" t="s">
        <v>1985</v>
      </c>
      <c r="B1094" t="s">
        <v>310</v>
      </c>
      <c r="C1094" t="s">
        <v>22</v>
      </c>
      <c r="D1094">
        <v>-79506</v>
      </c>
      <c r="E1094" t="s">
        <v>23</v>
      </c>
      <c r="F1094" t="s">
        <v>24</v>
      </c>
      <c r="G1094" t="s">
        <v>25</v>
      </c>
      <c r="H1094" t="s">
        <v>26</v>
      </c>
      <c r="I1094" t="s">
        <v>48</v>
      </c>
      <c r="J1094" s="11">
        <v>45252</v>
      </c>
      <c r="K1094" t="str">
        <f>TEXT(Transactions_Clean[[#This Row],[Date]],"MMM-YYYY")</f>
        <v>Nov-2023</v>
      </c>
      <c r="L1094">
        <f>IF(Transactions_Clean[[#This Row],[Category]]="Revenue",Transactions_Clean[[#This Row],[Amount(₹)]],Transactions_Clean[[#This Row],[Amount(₹)]]/8)</f>
        <v>-9938.25</v>
      </c>
    </row>
    <row r="1095" spans="1:12">
      <c r="A1095" t="s">
        <v>1986</v>
      </c>
      <c r="B1095" t="s">
        <v>106</v>
      </c>
      <c r="C1095" t="s">
        <v>31</v>
      </c>
      <c r="D1095">
        <v>-35412</v>
      </c>
      <c r="E1095" t="s">
        <v>23</v>
      </c>
      <c r="F1095" t="s">
        <v>32</v>
      </c>
      <c r="G1095" t="s">
        <v>33</v>
      </c>
      <c r="H1095" t="s">
        <v>39</v>
      </c>
      <c r="I1095" t="s">
        <v>34</v>
      </c>
      <c r="J1095" s="11">
        <v>45760</v>
      </c>
      <c r="K1095" t="str">
        <f>TEXT(Transactions_Clean[[#This Row],[Date]],"MMM-YYYY")</f>
        <v>Apr-2025</v>
      </c>
      <c r="L1095">
        <f>IF(Transactions_Clean[[#This Row],[Category]]="Revenue",Transactions_Clean[[#This Row],[Amount(₹)]],Transactions_Clean[[#This Row],[Amount(₹)]]/8)</f>
        <v>-4426.5</v>
      </c>
    </row>
    <row r="1096" spans="1:12">
      <c r="A1096" t="s">
        <v>1987</v>
      </c>
      <c r="B1096" t="s">
        <v>116</v>
      </c>
      <c r="C1096" t="s">
        <v>73</v>
      </c>
      <c r="D1096">
        <v>-90685</v>
      </c>
      <c r="E1096" t="s">
        <v>74</v>
      </c>
      <c r="F1096" t="s">
        <v>32</v>
      </c>
      <c r="G1096" t="s">
        <v>25</v>
      </c>
      <c r="H1096" t="s">
        <v>39</v>
      </c>
      <c r="I1096" t="s">
        <v>34</v>
      </c>
      <c r="J1096" s="11">
        <v>45773</v>
      </c>
      <c r="K1096" t="str">
        <f>TEXT(Transactions_Clean[[#This Row],[Date]],"MMM-YYYY")</f>
        <v>Apr-2025</v>
      </c>
      <c r="L1096">
        <f>IF(Transactions_Clean[[#This Row],[Category]]="Revenue",Transactions_Clean[[#This Row],[Amount(₹)]],Transactions_Clean[[#This Row],[Amount(₹)]]/8)</f>
        <v>-11335.625</v>
      </c>
    </row>
    <row r="1097" spans="1:12">
      <c r="A1097" t="s">
        <v>1988</v>
      </c>
      <c r="B1097" t="s">
        <v>161</v>
      </c>
      <c r="C1097" t="s">
        <v>22</v>
      </c>
      <c r="D1097">
        <v>-85468</v>
      </c>
      <c r="E1097" t="s">
        <v>23</v>
      </c>
      <c r="F1097" t="s">
        <v>32</v>
      </c>
      <c r="G1097" t="s">
        <v>25</v>
      </c>
      <c r="H1097" t="s">
        <v>39</v>
      </c>
      <c r="I1097" t="s">
        <v>27</v>
      </c>
      <c r="J1097" s="11">
        <v>46078</v>
      </c>
      <c r="K1097" t="str">
        <f>TEXT(Transactions_Clean[[#This Row],[Date]],"MMM-YYYY")</f>
        <v>Feb-2026</v>
      </c>
      <c r="L1097">
        <f>IF(Transactions_Clean[[#This Row],[Category]]="Revenue",Transactions_Clean[[#This Row],[Amount(₹)]],Transactions_Clean[[#This Row],[Amount(₹)]]/8)</f>
        <v>-10683.5</v>
      </c>
    </row>
    <row r="1098" spans="1:12">
      <c r="A1098" t="s">
        <v>1990</v>
      </c>
      <c r="B1098" t="s">
        <v>177</v>
      </c>
      <c r="C1098" t="s">
        <v>78</v>
      </c>
      <c r="D1098">
        <v>-20399</v>
      </c>
      <c r="E1098" t="s">
        <v>23</v>
      </c>
      <c r="F1098" t="s">
        <v>24</v>
      </c>
      <c r="G1098" t="s">
        <v>79</v>
      </c>
      <c r="H1098" t="s">
        <v>26</v>
      </c>
      <c r="I1098" t="s">
        <v>34</v>
      </c>
      <c r="J1098" s="11">
        <v>45104</v>
      </c>
      <c r="K1098" t="str">
        <f>TEXT(Transactions_Clean[[#This Row],[Date]],"MMM-YYYY")</f>
        <v>Jun-2023</v>
      </c>
      <c r="L1098">
        <f>IF(Transactions_Clean[[#This Row],[Category]]="Revenue",Transactions_Clean[[#This Row],[Amount(₹)]],Transactions_Clean[[#This Row],[Amount(₹)]]/8)</f>
        <v>-2549.875</v>
      </c>
    </row>
    <row r="1099" spans="1:12">
      <c r="A1099" t="s">
        <v>1991</v>
      </c>
      <c r="B1099" t="s">
        <v>66</v>
      </c>
      <c r="C1099" t="s">
        <v>61</v>
      </c>
      <c r="D1099">
        <v>-40080</v>
      </c>
      <c r="E1099" t="s">
        <v>62</v>
      </c>
      <c r="F1099" t="s">
        <v>24</v>
      </c>
      <c r="G1099" t="s">
        <v>63</v>
      </c>
      <c r="H1099" t="s">
        <v>39</v>
      </c>
      <c r="I1099" t="s">
        <v>40</v>
      </c>
      <c r="J1099" s="11">
        <v>45930</v>
      </c>
      <c r="K1099" t="str">
        <f>TEXT(Transactions_Clean[[#This Row],[Date]],"MMM-YYYY")</f>
        <v>Sep-2025</v>
      </c>
      <c r="L1099">
        <f>IF(Transactions_Clean[[#This Row],[Category]]="Revenue",Transactions_Clean[[#This Row],[Amount(₹)]],Transactions_Clean[[#This Row],[Amount(₹)]]/8)</f>
        <v>-5010</v>
      </c>
    </row>
    <row r="1100" spans="1:12">
      <c r="A1100" t="s">
        <v>1993</v>
      </c>
      <c r="B1100" t="s">
        <v>174</v>
      </c>
      <c r="C1100" t="s">
        <v>22</v>
      </c>
      <c r="D1100">
        <v>-83884</v>
      </c>
      <c r="E1100" t="s">
        <v>23</v>
      </c>
      <c r="F1100" t="s">
        <v>32</v>
      </c>
      <c r="G1100" t="s">
        <v>25</v>
      </c>
      <c r="H1100" t="s">
        <v>45</v>
      </c>
      <c r="I1100" t="s">
        <v>48</v>
      </c>
      <c r="J1100" s="11">
        <v>45649</v>
      </c>
      <c r="K1100" t="str">
        <f>TEXT(Transactions_Clean[[#This Row],[Date]],"MMM-YYYY")</f>
        <v>Dec-2024</v>
      </c>
      <c r="L1100">
        <f>IF(Transactions_Clean[[#This Row],[Category]]="Revenue",Transactions_Clean[[#This Row],[Amount(₹)]],Transactions_Clean[[#This Row],[Amount(₹)]]/8)</f>
        <v>-10485.5</v>
      </c>
    </row>
    <row r="1101" spans="1:12">
      <c r="A1101" t="s">
        <v>1995</v>
      </c>
      <c r="B1101" t="s">
        <v>4751</v>
      </c>
      <c r="C1101" t="s">
        <v>38</v>
      </c>
      <c r="D1101">
        <v>-32100</v>
      </c>
      <c r="E1101" t="s">
        <v>23</v>
      </c>
      <c r="F1101" t="s">
        <v>32</v>
      </c>
      <c r="G1101" t="s">
        <v>33</v>
      </c>
      <c r="H1101" t="s">
        <v>45</v>
      </c>
      <c r="I1101" t="s">
        <v>34</v>
      </c>
      <c r="J1101" s="11">
        <v>45417</v>
      </c>
      <c r="K1101" t="str">
        <f>TEXT(Transactions_Clean[[#This Row],[Date]],"MMM-YYYY")</f>
        <v>May-2024</v>
      </c>
      <c r="L1101">
        <f>IF(Transactions_Clean[[#This Row],[Category]]="Revenue",Transactions_Clean[[#This Row],[Amount(₹)]],Transactions_Clean[[#This Row],[Amount(₹)]]/8)</f>
        <v>-4012.5</v>
      </c>
    </row>
    <row r="1102" spans="1:12">
      <c r="A1102" t="s">
        <v>1996</v>
      </c>
      <c r="B1102" t="s">
        <v>37</v>
      </c>
      <c r="C1102" t="s">
        <v>38</v>
      </c>
      <c r="D1102">
        <v>-24950</v>
      </c>
      <c r="E1102" t="s">
        <v>23</v>
      </c>
      <c r="F1102" t="s">
        <v>24</v>
      </c>
      <c r="G1102" t="s">
        <v>33</v>
      </c>
      <c r="H1102" t="s">
        <v>45</v>
      </c>
      <c r="I1102" t="s">
        <v>48</v>
      </c>
      <c r="J1102" s="11">
        <v>45589</v>
      </c>
      <c r="K1102" t="str">
        <f>TEXT(Transactions_Clean[[#This Row],[Date]],"MMM-YYYY")</f>
        <v>Oct-2024</v>
      </c>
      <c r="L1102">
        <f>IF(Transactions_Clean[[#This Row],[Category]]="Revenue",Transactions_Clean[[#This Row],[Amount(₹)]],Transactions_Clean[[#This Row],[Amount(₹)]]/8)</f>
        <v>-3118.75</v>
      </c>
    </row>
    <row r="1103" spans="1:12">
      <c r="A1103" t="s">
        <v>1997</v>
      </c>
      <c r="B1103" t="s">
        <v>100</v>
      </c>
      <c r="C1103" t="s">
        <v>31</v>
      </c>
      <c r="D1103">
        <v>-9015</v>
      </c>
      <c r="E1103" t="s">
        <v>23</v>
      </c>
      <c r="F1103" t="s">
        <v>32</v>
      </c>
      <c r="G1103" t="s">
        <v>33</v>
      </c>
      <c r="H1103" t="s">
        <v>45</v>
      </c>
      <c r="I1103" t="s">
        <v>48</v>
      </c>
      <c r="J1103" s="11">
        <v>45576</v>
      </c>
      <c r="K1103" t="str">
        <f>TEXT(Transactions_Clean[[#This Row],[Date]],"MMM-YYYY")</f>
        <v>Oct-2024</v>
      </c>
      <c r="L1103">
        <f>IF(Transactions_Clean[[#This Row],[Category]]="Revenue",Transactions_Clean[[#This Row],[Amount(₹)]],Transactions_Clean[[#This Row],[Amount(₹)]]/8)</f>
        <v>-1126.875</v>
      </c>
    </row>
    <row r="1104" spans="1:12">
      <c r="A1104" t="s">
        <v>1998</v>
      </c>
      <c r="B1104" t="s">
        <v>283</v>
      </c>
      <c r="C1104" t="s">
        <v>44</v>
      </c>
      <c r="D1104">
        <v>-174606</v>
      </c>
      <c r="E1104" t="s">
        <v>23</v>
      </c>
      <c r="F1104" t="s">
        <v>32</v>
      </c>
      <c r="G1104" t="s">
        <v>33</v>
      </c>
      <c r="H1104" t="s">
        <v>45</v>
      </c>
      <c r="I1104" t="s">
        <v>34</v>
      </c>
      <c r="J1104" s="11">
        <v>45395</v>
      </c>
      <c r="K1104" t="str">
        <f>TEXT(Transactions_Clean[[#This Row],[Date]],"MMM-YYYY")</f>
        <v>Apr-2024</v>
      </c>
      <c r="L1104">
        <f>IF(Transactions_Clean[[#This Row],[Category]]="Revenue",Transactions_Clean[[#This Row],[Amount(₹)]],Transactions_Clean[[#This Row],[Amount(₹)]]/8)</f>
        <v>-21825.75</v>
      </c>
    </row>
    <row r="1105" spans="1:12">
      <c r="A1105" t="s">
        <v>1999</v>
      </c>
      <c r="B1105" t="s">
        <v>4749</v>
      </c>
      <c r="C1105" t="s">
        <v>44</v>
      </c>
      <c r="D1105">
        <v>-119315</v>
      </c>
      <c r="E1105" t="s">
        <v>23</v>
      </c>
      <c r="F1105" t="s">
        <v>24</v>
      </c>
      <c r="G1105" t="s">
        <v>33</v>
      </c>
      <c r="H1105" t="s">
        <v>45</v>
      </c>
      <c r="I1105" t="s">
        <v>34</v>
      </c>
      <c r="J1105" s="11">
        <v>45450</v>
      </c>
      <c r="K1105" t="str">
        <f>TEXT(Transactions_Clean[[#This Row],[Date]],"MMM-YYYY")</f>
        <v>Jun-2024</v>
      </c>
      <c r="L1105">
        <f>IF(Transactions_Clean[[#This Row],[Category]]="Revenue",Transactions_Clean[[#This Row],[Amount(₹)]],Transactions_Clean[[#This Row],[Amount(₹)]]/8)</f>
        <v>-14914.375</v>
      </c>
    </row>
    <row r="1106" spans="1:12">
      <c r="A1106" t="s">
        <v>2001</v>
      </c>
      <c r="B1106" t="s">
        <v>4768</v>
      </c>
      <c r="C1106" t="s">
        <v>157</v>
      </c>
      <c r="D1106">
        <v>666004</v>
      </c>
      <c r="E1106" t="s">
        <v>62</v>
      </c>
      <c r="F1106" t="s">
        <v>32</v>
      </c>
      <c r="G1106" t="s">
        <v>25</v>
      </c>
      <c r="H1106" t="s">
        <v>39</v>
      </c>
      <c r="I1106" t="s">
        <v>34</v>
      </c>
      <c r="J1106" s="11">
        <v>45772</v>
      </c>
      <c r="K1106" t="str">
        <f>TEXT(Transactions_Clean[[#This Row],[Date]],"MMM-YYYY")</f>
        <v>Apr-2025</v>
      </c>
      <c r="L1106">
        <f>IF(Transactions_Clean[[#This Row],[Category]]="Revenue",Transactions_Clean[[#This Row],[Amount(₹)]],Transactions_Clean[[#This Row],[Amount(₹)]]/8)</f>
        <v>666004</v>
      </c>
    </row>
    <row r="1107" spans="1:12">
      <c r="A1107" t="s">
        <v>2003</v>
      </c>
      <c r="B1107" t="s">
        <v>4758</v>
      </c>
      <c r="C1107" t="s">
        <v>78</v>
      </c>
      <c r="D1107">
        <v>-57706</v>
      </c>
      <c r="E1107" t="s">
        <v>23</v>
      </c>
      <c r="F1107" t="s">
        <v>24</v>
      </c>
      <c r="G1107" t="s">
        <v>79</v>
      </c>
      <c r="H1107" t="s">
        <v>39</v>
      </c>
      <c r="I1107" t="s">
        <v>34</v>
      </c>
      <c r="J1107" s="11">
        <v>45814</v>
      </c>
      <c r="K1107" t="str">
        <f>TEXT(Transactions_Clean[[#This Row],[Date]],"MMM-YYYY")</f>
        <v>Jun-2025</v>
      </c>
      <c r="L1107">
        <f>IF(Transactions_Clean[[#This Row],[Category]]="Revenue",Transactions_Clean[[#This Row],[Amount(₹)]],Transactions_Clean[[#This Row],[Amount(₹)]]/8)</f>
        <v>-7213.25</v>
      </c>
    </row>
    <row r="1108" spans="1:12">
      <c r="A1108" t="s">
        <v>2004</v>
      </c>
      <c r="B1108" t="s">
        <v>174</v>
      </c>
      <c r="C1108" t="s">
        <v>22</v>
      </c>
      <c r="D1108">
        <v>-200361</v>
      </c>
      <c r="E1108" t="s">
        <v>23</v>
      </c>
      <c r="F1108" t="s">
        <v>24</v>
      </c>
      <c r="G1108" t="s">
        <v>25</v>
      </c>
      <c r="H1108" t="s">
        <v>26</v>
      </c>
      <c r="I1108" t="s">
        <v>27</v>
      </c>
      <c r="J1108" s="11">
        <v>45297</v>
      </c>
      <c r="K1108" t="str">
        <f>TEXT(Transactions_Clean[[#This Row],[Date]],"MMM-YYYY")</f>
        <v>Jan-2024</v>
      </c>
      <c r="L1108">
        <f>IF(Transactions_Clean[[#This Row],[Category]]="Revenue",Transactions_Clean[[#This Row],[Amount(₹)]],Transactions_Clean[[#This Row],[Amount(₹)]]/8)</f>
        <v>-25045.125</v>
      </c>
    </row>
    <row r="1109" spans="1:12">
      <c r="A1109" t="s">
        <v>2005</v>
      </c>
      <c r="B1109" t="s">
        <v>4755</v>
      </c>
      <c r="C1109" t="s">
        <v>78</v>
      </c>
      <c r="D1109">
        <v>-27166</v>
      </c>
      <c r="E1109" t="s">
        <v>23</v>
      </c>
      <c r="F1109" t="s">
        <v>32</v>
      </c>
      <c r="G1109" t="s">
        <v>79</v>
      </c>
      <c r="H1109" t="s">
        <v>26</v>
      </c>
      <c r="I1109" t="s">
        <v>27</v>
      </c>
      <c r="J1109" s="11">
        <v>45368</v>
      </c>
      <c r="K1109" t="str">
        <f>TEXT(Transactions_Clean[[#This Row],[Date]],"MMM-YYYY")</f>
        <v>Mar-2024</v>
      </c>
      <c r="L1109">
        <f>IF(Transactions_Clean[[#This Row],[Category]]="Revenue",Transactions_Clean[[#This Row],[Amount(₹)]],Transactions_Clean[[#This Row],[Amount(₹)]]/8)</f>
        <v>-3395.75</v>
      </c>
    </row>
    <row r="1110" spans="1:12">
      <c r="A1110" t="s">
        <v>2006</v>
      </c>
      <c r="B1110" t="s">
        <v>4783</v>
      </c>
      <c r="C1110" t="s">
        <v>136</v>
      </c>
      <c r="D1110">
        <v>-10306083</v>
      </c>
      <c r="E1110" t="s">
        <v>62</v>
      </c>
      <c r="F1110" t="s">
        <v>32</v>
      </c>
      <c r="G1110" t="s">
        <v>63</v>
      </c>
      <c r="H1110" t="s">
        <v>45</v>
      </c>
      <c r="I1110" t="s">
        <v>34</v>
      </c>
      <c r="J1110" s="11">
        <v>45471</v>
      </c>
      <c r="K1110" t="str">
        <f>TEXT(Transactions_Clean[[#This Row],[Date]],"MMM-YYYY")</f>
        <v>Jun-2024</v>
      </c>
      <c r="L1110">
        <f>IF(Transactions_Clean[[#This Row],[Category]]="Revenue",Transactions_Clean[[#This Row],[Amount(₹)]],Transactions_Clean[[#This Row],[Amount(₹)]]/8)</f>
        <v>-1288260.375</v>
      </c>
    </row>
    <row r="1111" spans="1:12">
      <c r="A1111" t="s">
        <v>2009</v>
      </c>
      <c r="B1111" t="s">
        <v>100</v>
      </c>
      <c r="C1111" t="s">
        <v>31</v>
      </c>
      <c r="D1111">
        <v>-21049</v>
      </c>
      <c r="E1111" t="s">
        <v>23</v>
      </c>
      <c r="F1111" t="s">
        <v>24</v>
      </c>
      <c r="G1111" t="s">
        <v>33</v>
      </c>
      <c r="H1111" t="s">
        <v>26</v>
      </c>
      <c r="I1111" t="s">
        <v>34</v>
      </c>
      <c r="J1111" s="11">
        <v>45029</v>
      </c>
      <c r="K1111" t="str">
        <f>TEXT(Transactions_Clean[[#This Row],[Date]],"MMM-YYYY")</f>
        <v>Apr-2023</v>
      </c>
      <c r="L1111">
        <f>IF(Transactions_Clean[[#This Row],[Category]]="Revenue",Transactions_Clean[[#This Row],[Amount(₹)]],Transactions_Clean[[#This Row],[Amount(₹)]]/8)</f>
        <v>-2631.125</v>
      </c>
    </row>
    <row r="1112" spans="1:12">
      <c r="A1112" t="s">
        <v>2010</v>
      </c>
      <c r="B1112" t="s">
        <v>4757</v>
      </c>
      <c r="C1112" t="s">
        <v>73</v>
      </c>
      <c r="D1112">
        <v>-53472</v>
      </c>
      <c r="E1112" t="s">
        <v>74</v>
      </c>
      <c r="F1112" t="s">
        <v>24</v>
      </c>
      <c r="G1112" t="s">
        <v>25</v>
      </c>
      <c r="H1112" t="s">
        <v>45</v>
      </c>
      <c r="I1112" t="s">
        <v>27</v>
      </c>
      <c r="J1112" s="11">
        <v>45736</v>
      </c>
      <c r="K1112" t="str">
        <f>TEXT(Transactions_Clean[[#This Row],[Date]],"MMM-YYYY")</f>
        <v>Mar-2025</v>
      </c>
      <c r="L1112">
        <f>IF(Transactions_Clean[[#This Row],[Category]]="Revenue",Transactions_Clean[[#This Row],[Amount(₹)]],Transactions_Clean[[#This Row],[Amount(₹)]]/8)</f>
        <v>-6684</v>
      </c>
    </row>
    <row r="1113" spans="1:12">
      <c r="A1113" t="s">
        <v>2011</v>
      </c>
      <c r="B1113" t="s">
        <v>106</v>
      </c>
      <c r="C1113" t="s">
        <v>4750</v>
      </c>
      <c r="D1113">
        <v>-15107</v>
      </c>
      <c r="E1113" t="s">
        <v>23</v>
      </c>
      <c r="F1113" t="s">
        <v>32</v>
      </c>
      <c r="G1113" t="s">
        <v>33</v>
      </c>
      <c r="H1113" t="s">
        <v>26</v>
      </c>
      <c r="I1113" t="s">
        <v>48</v>
      </c>
      <c r="J1113" s="11">
        <v>45221</v>
      </c>
      <c r="K1113" t="str">
        <f>TEXT(Transactions_Clean[[#This Row],[Date]],"MMM-YYYY")</f>
        <v>Oct-2023</v>
      </c>
      <c r="L1113">
        <f>IF(Transactions_Clean[[#This Row],[Category]]="Revenue",Transactions_Clean[[#This Row],[Amount(₹)]],Transactions_Clean[[#This Row],[Amount(₹)]]/8)</f>
        <v>-1888.375</v>
      </c>
    </row>
    <row r="1114" spans="1:12">
      <c r="A1114" t="s">
        <v>2013</v>
      </c>
      <c r="B1114" t="s">
        <v>66</v>
      </c>
      <c r="C1114" t="s">
        <v>61</v>
      </c>
      <c r="D1114">
        <v>-61687</v>
      </c>
      <c r="E1114" t="s">
        <v>62</v>
      </c>
      <c r="F1114" t="s">
        <v>32</v>
      </c>
      <c r="G1114" t="s">
        <v>63</v>
      </c>
      <c r="H1114" t="s">
        <v>26</v>
      </c>
      <c r="I1114" t="s">
        <v>34</v>
      </c>
      <c r="J1114" s="11">
        <v>45054</v>
      </c>
      <c r="K1114" t="str">
        <f>TEXT(Transactions_Clean[[#This Row],[Date]],"MMM-YYYY")</f>
        <v>May-2023</v>
      </c>
      <c r="L1114">
        <f>IF(Transactions_Clean[[#This Row],[Category]]="Revenue",Transactions_Clean[[#This Row],[Amount(₹)]],Transactions_Clean[[#This Row],[Amount(₹)]]/8)</f>
        <v>-7710.875</v>
      </c>
    </row>
    <row r="1115" spans="1:12">
      <c r="A1115" t="s">
        <v>2014</v>
      </c>
      <c r="B1115" t="s">
        <v>4759</v>
      </c>
      <c r="C1115" t="s">
        <v>31</v>
      </c>
      <c r="D1115">
        <v>-15156</v>
      </c>
      <c r="E1115" t="s">
        <v>23</v>
      </c>
      <c r="F1115" t="s">
        <v>32</v>
      </c>
      <c r="G1115" t="s">
        <v>33</v>
      </c>
      <c r="H1115" t="s">
        <v>39</v>
      </c>
      <c r="I1115" t="s">
        <v>27</v>
      </c>
      <c r="J1115" s="11">
        <v>46080</v>
      </c>
      <c r="K1115" t="str">
        <f>TEXT(Transactions_Clean[[#This Row],[Date]],"MMM-YYYY")</f>
        <v>Feb-2026</v>
      </c>
      <c r="L1115">
        <f>IF(Transactions_Clean[[#This Row],[Category]]="Revenue",Transactions_Clean[[#This Row],[Amount(₹)]],Transactions_Clean[[#This Row],[Amount(₹)]]/8)</f>
        <v>-1894.5</v>
      </c>
    </row>
    <row r="1116" spans="1:12">
      <c r="A1116" t="s">
        <v>2015</v>
      </c>
      <c r="B1116" t="s">
        <v>215</v>
      </c>
      <c r="C1116" t="s">
        <v>61</v>
      </c>
      <c r="D1116">
        <v>-32934</v>
      </c>
      <c r="E1116" t="s">
        <v>62</v>
      </c>
      <c r="F1116" t="s">
        <v>32</v>
      </c>
      <c r="G1116" t="s">
        <v>63</v>
      </c>
      <c r="H1116" t="s">
        <v>39</v>
      </c>
      <c r="I1116" t="s">
        <v>40</v>
      </c>
      <c r="J1116" s="11">
        <v>45847</v>
      </c>
      <c r="K1116" t="str">
        <f>TEXT(Transactions_Clean[[#This Row],[Date]],"MMM-YYYY")</f>
        <v>Jul-2025</v>
      </c>
      <c r="L1116">
        <f>IF(Transactions_Clean[[#This Row],[Category]]="Revenue",Transactions_Clean[[#This Row],[Amount(₹)]],Transactions_Clean[[#This Row],[Amount(₹)]]/8)</f>
        <v>-4116.75</v>
      </c>
    </row>
    <row r="1117" spans="1:12">
      <c r="A1117" t="s">
        <v>2016</v>
      </c>
      <c r="B1117" t="s">
        <v>202</v>
      </c>
      <c r="C1117" t="s">
        <v>22</v>
      </c>
      <c r="D1117">
        <v>-35872</v>
      </c>
      <c r="E1117" t="s">
        <v>23</v>
      </c>
      <c r="F1117" t="s">
        <v>32</v>
      </c>
      <c r="G1117" t="s">
        <v>25</v>
      </c>
      <c r="H1117" t="s">
        <v>26</v>
      </c>
      <c r="I1117" t="s">
        <v>48</v>
      </c>
      <c r="J1117" s="11">
        <v>45225</v>
      </c>
      <c r="K1117" t="str">
        <f>TEXT(Transactions_Clean[[#This Row],[Date]],"MMM-YYYY")</f>
        <v>Oct-2023</v>
      </c>
      <c r="L1117">
        <f>IF(Transactions_Clean[[#This Row],[Category]]="Revenue",Transactions_Clean[[#This Row],[Amount(₹)]],Transactions_Clean[[#This Row],[Amount(₹)]]/8)</f>
        <v>-4484</v>
      </c>
    </row>
    <row r="1118" spans="1:12">
      <c r="A1118" t="s">
        <v>2018</v>
      </c>
      <c r="B1118" t="s">
        <v>4754</v>
      </c>
      <c r="C1118" t="s">
        <v>78</v>
      </c>
      <c r="D1118">
        <v>-114751</v>
      </c>
      <c r="E1118" t="s">
        <v>23</v>
      </c>
      <c r="F1118" t="s">
        <v>24</v>
      </c>
      <c r="G1118" t="s">
        <v>79</v>
      </c>
      <c r="H1118" t="s">
        <v>39</v>
      </c>
      <c r="I1118" t="s">
        <v>27</v>
      </c>
      <c r="J1118" s="11">
        <v>46096</v>
      </c>
      <c r="K1118" t="str">
        <f>TEXT(Transactions_Clean[[#This Row],[Date]],"MMM-YYYY")</f>
        <v>Mar-2026</v>
      </c>
      <c r="L1118">
        <f>IF(Transactions_Clean[[#This Row],[Category]]="Revenue",Transactions_Clean[[#This Row],[Amount(₹)]],Transactions_Clean[[#This Row],[Amount(₹)]]/8)</f>
        <v>-14343.875</v>
      </c>
    </row>
    <row r="1119" spans="1:12">
      <c r="A1119" t="s">
        <v>2019</v>
      </c>
      <c r="B1119" t="s">
        <v>4753</v>
      </c>
      <c r="C1119" t="s">
        <v>38</v>
      </c>
      <c r="D1119">
        <v>-20448</v>
      </c>
      <c r="E1119" t="s">
        <v>23</v>
      </c>
      <c r="F1119" t="s">
        <v>32</v>
      </c>
      <c r="G1119" t="s">
        <v>33</v>
      </c>
      <c r="H1119" t="s">
        <v>45</v>
      </c>
      <c r="I1119" t="s">
        <v>27</v>
      </c>
      <c r="J1119" s="11">
        <v>45673</v>
      </c>
      <c r="K1119" t="str">
        <f>TEXT(Transactions_Clean[[#This Row],[Date]],"MMM-YYYY")</f>
        <v>Jan-2025</v>
      </c>
      <c r="L1119">
        <f>IF(Transactions_Clean[[#This Row],[Category]]="Revenue",Transactions_Clean[[#This Row],[Amount(₹)]],Transactions_Clean[[#This Row],[Amount(₹)]]/8)</f>
        <v>-2556</v>
      </c>
    </row>
    <row r="1120" spans="1:12">
      <c r="A1120" t="s">
        <v>2020</v>
      </c>
      <c r="B1120" t="s">
        <v>4774</v>
      </c>
      <c r="C1120" t="s">
        <v>440</v>
      </c>
      <c r="D1120">
        <v>-128049</v>
      </c>
      <c r="E1120" t="s">
        <v>23</v>
      </c>
      <c r="F1120" t="s">
        <v>32</v>
      </c>
      <c r="G1120" t="s">
        <v>33</v>
      </c>
      <c r="H1120" t="s">
        <v>39</v>
      </c>
      <c r="I1120" t="s">
        <v>27</v>
      </c>
      <c r="J1120" s="11">
        <v>46080</v>
      </c>
      <c r="K1120" t="str">
        <f>TEXT(Transactions_Clean[[#This Row],[Date]],"MMM-YYYY")</f>
        <v>Feb-2026</v>
      </c>
      <c r="L1120">
        <f>IF(Transactions_Clean[[#This Row],[Category]]="Revenue",Transactions_Clean[[#This Row],[Amount(₹)]],Transactions_Clean[[#This Row],[Amount(₹)]]/8)</f>
        <v>-16006.125</v>
      </c>
    </row>
    <row r="1121" spans="1:12">
      <c r="A1121" t="s">
        <v>2021</v>
      </c>
      <c r="B1121" t="s">
        <v>180</v>
      </c>
      <c r="C1121" t="s">
        <v>44</v>
      </c>
      <c r="D1121">
        <v>-131532</v>
      </c>
      <c r="E1121" t="s">
        <v>23</v>
      </c>
      <c r="F1121" t="s">
        <v>32</v>
      </c>
      <c r="G1121" t="s">
        <v>33</v>
      </c>
      <c r="H1121" t="s">
        <v>39</v>
      </c>
      <c r="I1121" t="s">
        <v>34</v>
      </c>
      <c r="J1121" s="11">
        <v>45796</v>
      </c>
      <c r="K1121" t="str">
        <f>TEXT(Transactions_Clean[[#This Row],[Date]],"MMM-YYYY")</f>
        <v>May-2025</v>
      </c>
      <c r="L1121">
        <f>IF(Transactions_Clean[[#This Row],[Category]]="Revenue",Transactions_Clean[[#This Row],[Amount(₹)]],Transactions_Clean[[#This Row],[Amount(₹)]]/8)</f>
        <v>-16441.5</v>
      </c>
    </row>
    <row r="1122" spans="1:12">
      <c r="A1122" t="s">
        <v>2023</v>
      </c>
      <c r="B1122" t="s">
        <v>4751</v>
      </c>
      <c r="C1122" t="s">
        <v>38</v>
      </c>
      <c r="D1122">
        <v>-32433</v>
      </c>
      <c r="E1122" t="s">
        <v>23</v>
      </c>
      <c r="F1122" t="s">
        <v>24</v>
      </c>
      <c r="G1122" t="s">
        <v>33</v>
      </c>
      <c r="H1122" t="s">
        <v>45</v>
      </c>
      <c r="I1122" t="s">
        <v>48</v>
      </c>
      <c r="J1122" s="11">
        <v>45590</v>
      </c>
      <c r="K1122" t="str">
        <f>TEXT(Transactions_Clean[[#This Row],[Date]],"MMM-YYYY")</f>
        <v>Oct-2024</v>
      </c>
      <c r="L1122">
        <f>IF(Transactions_Clean[[#This Row],[Category]]="Revenue",Transactions_Clean[[#This Row],[Amount(₹)]],Transactions_Clean[[#This Row],[Amount(₹)]]/8)</f>
        <v>-4054.125</v>
      </c>
    </row>
    <row r="1123" spans="1:12">
      <c r="A1123" t="s">
        <v>2024</v>
      </c>
      <c r="B1123" t="s">
        <v>4769</v>
      </c>
      <c r="C1123" t="s">
        <v>44</v>
      </c>
      <c r="D1123">
        <v>-85998</v>
      </c>
      <c r="E1123" t="s">
        <v>23</v>
      </c>
      <c r="F1123" t="s">
        <v>32</v>
      </c>
      <c r="G1123" t="s">
        <v>33</v>
      </c>
      <c r="H1123" t="s">
        <v>26</v>
      </c>
      <c r="I1123" t="s">
        <v>40</v>
      </c>
      <c r="J1123" s="11">
        <v>45186</v>
      </c>
      <c r="K1123" t="str">
        <f>TEXT(Transactions_Clean[[#This Row],[Date]],"MMM-YYYY")</f>
        <v>Sep-2023</v>
      </c>
      <c r="L1123">
        <f>IF(Transactions_Clean[[#This Row],[Category]]="Revenue",Transactions_Clean[[#This Row],[Amount(₹)]],Transactions_Clean[[#This Row],[Amount(₹)]]/8)</f>
        <v>-10749.75</v>
      </c>
    </row>
    <row r="1124" spans="1:12">
      <c r="A1124" t="s">
        <v>2026</v>
      </c>
      <c r="B1124" t="s">
        <v>116</v>
      </c>
      <c r="C1124" t="s">
        <v>73</v>
      </c>
      <c r="D1124">
        <v>-79826</v>
      </c>
      <c r="E1124" t="s">
        <v>74</v>
      </c>
      <c r="F1124" t="s">
        <v>24</v>
      </c>
      <c r="G1124" t="s">
        <v>25</v>
      </c>
      <c r="H1124" t="s">
        <v>39</v>
      </c>
      <c r="I1124" t="s">
        <v>27</v>
      </c>
      <c r="J1124" s="11">
        <v>46111</v>
      </c>
      <c r="K1124" t="str">
        <f>TEXT(Transactions_Clean[[#This Row],[Date]],"MMM-YYYY")</f>
        <v>Mar-2026</v>
      </c>
      <c r="L1124">
        <f>IF(Transactions_Clean[[#This Row],[Category]]="Revenue",Transactions_Clean[[#This Row],[Amount(₹)]],Transactions_Clean[[#This Row],[Amount(₹)]]/8)</f>
        <v>-9978.25</v>
      </c>
    </row>
    <row r="1125" spans="1:12">
      <c r="A1125" t="s">
        <v>2027</v>
      </c>
      <c r="B1125" t="s">
        <v>4755</v>
      </c>
      <c r="C1125" t="s">
        <v>78</v>
      </c>
      <c r="D1125">
        <v>-115440</v>
      </c>
      <c r="E1125" t="s">
        <v>23</v>
      </c>
      <c r="F1125" t="s">
        <v>32</v>
      </c>
      <c r="G1125" t="s">
        <v>79</v>
      </c>
      <c r="H1125" t="s">
        <v>45</v>
      </c>
      <c r="I1125" t="s">
        <v>48</v>
      </c>
      <c r="J1125" s="11">
        <v>45644</v>
      </c>
      <c r="K1125" t="str">
        <f>TEXT(Transactions_Clean[[#This Row],[Date]],"MMM-YYYY")</f>
        <v>Dec-2024</v>
      </c>
      <c r="L1125">
        <f>IF(Transactions_Clean[[#This Row],[Category]]="Revenue",Transactions_Clean[[#This Row],[Amount(₹)]],Transactions_Clean[[#This Row],[Amount(₹)]]/8)</f>
        <v>-14430</v>
      </c>
    </row>
    <row r="1126" spans="1:12">
      <c r="A1126" t="s">
        <v>2028</v>
      </c>
      <c r="B1126" t="s">
        <v>72</v>
      </c>
      <c r="C1126" t="s">
        <v>73</v>
      </c>
      <c r="D1126">
        <v>-84613</v>
      </c>
      <c r="E1126" t="s">
        <v>74</v>
      </c>
      <c r="F1126" t="s">
        <v>32</v>
      </c>
      <c r="G1126" t="s">
        <v>25</v>
      </c>
      <c r="H1126" t="s">
        <v>39</v>
      </c>
      <c r="I1126" t="s">
        <v>27</v>
      </c>
      <c r="J1126" s="11">
        <v>46081</v>
      </c>
      <c r="K1126" t="str">
        <f>TEXT(Transactions_Clean[[#This Row],[Date]],"MMM-YYYY")</f>
        <v>Feb-2026</v>
      </c>
      <c r="L1126">
        <f>IF(Transactions_Clean[[#This Row],[Category]]="Revenue",Transactions_Clean[[#This Row],[Amount(₹)]],Transactions_Clean[[#This Row],[Amount(₹)]]/8)</f>
        <v>-10576.625</v>
      </c>
    </row>
    <row r="1127" spans="1:12">
      <c r="A1127" t="s">
        <v>2030</v>
      </c>
      <c r="B1127" t="s">
        <v>4759</v>
      </c>
      <c r="C1127" t="s">
        <v>31</v>
      </c>
      <c r="D1127">
        <v>-28091</v>
      </c>
      <c r="E1127" t="s">
        <v>23</v>
      </c>
      <c r="F1127" t="s">
        <v>32</v>
      </c>
      <c r="G1127" t="s">
        <v>33</v>
      </c>
      <c r="H1127" t="s">
        <v>26</v>
      </c>
      <c r="I1127" t="s">
        <v>27</v>
      </c>
      <c r="J1127" s="11">
        <v>45328</v>
      </c>
      <c r="K1127" t="str">
        <f>TEXT(Transactions_Clean[[#This Row],[Date]],"MMM-YYYY")</f>
        <v>Feb-2024</v>
      </c>
      <c r="L1127">
        <f>IF(Transactions_Clean[[#This Row],[Category]]="Revenue",Transactions_Clean[[#This Row],[Amount(₹)]],Transactions_Clean[[#This Row],[Amount(₹)]]/8)</f>
        <v>-3511.375</v>
      </c>
    </row>
    <row r="1128" spans="1:12">
      <c r="A1128" t="s">
        <v>2031</v>
      </c>
      <c r="B1128" t="s">
        <v>237</v>
      </c>
      <c r="C1128" t="s">
        <v>22</v>
      </c>
      <c r="D1128">
        <v>-79125</v>
      </c>
      <c r="E1128" t="s">
        <v>23</v>
      </c>
      <c r="F1128" t="s">
        <v>24</v>
      </c>
      <c r="G1128" t="s">
        <v>25</v>
      </c>
      <c r="H1128" t="s">
        <v>39</v>
      </c>
      <c r="I1128" t="s">
        <v>48</v>
      </c>
      <c r="J1128" s="11">
        <v>45934</v>
      </c>
      <c r="K1128" t="str">
        <f>TEXT(Transactions_Clean[[#This Row],[Date]],"MMM-YYYY")</f>
        <v>Oct-2025</v>
      </c>
      <c r="L1128">
        <f>IF(Transactions_Clean[[#This Row],[Category]]="Revenue",Transactions_Clean[[#This Row],[Amount(₹)]],Transactions_Clean[[#This Row],[Amount(₹)]]/8)</f>
        <v>-9890.625</v>
      </c>
    </row>
    <row r="1129" spans="1:12">
      <c r="A1129" t="s">
        <v>2032</v>
      </c>
      <c r="B1129" t="s">
        <v>4752</v>
      </c>
      <c r="C1129" t="s">
        <v>4750</v>
      </c>
      <c r="D1129">
        <v>-60470</v>
      </c>
      <c r="E1129" t="s">
        <v>23</v>
      </c>
      <c r="F1129" t="s">
        <v>24</v>
      </c>
      <c r="G1129" t="s">
        <v>33</v>
      </c>
      <c r="H1129" t="s">
        <v>26</v>
      </c>
      <c r="I1129" t="s">
        <v>34</v>
      </c>
      <c r="J1129" s="11">
        <v>45075</v>
      </c>
      <c r="K1129" t="str">
        <f>TEXT(Transactions_Clean[[#This Row],[Date]],"MMM-YYYY")</f>
        <v>May-2023</v>
      </c>
      <c r="L1129">
        <f>IF(Transactions_Clean[[#This Row],[Category]]="Revenue",Transactions_Clean[[#This Row],[Amount(₹)]],Transactions_Clean[[#This Row],[Amount(₹)]]/8)</f>
        <v>-7558.75</v>
      </c>
    </row>
    <row r="1130" spans="1:12">
      <c r="A1130" t="s">
        <v>2034</v>
      </c>
      <c r="B1130" t="s">
        <v>224</v>
      </c>
      <c r="C1130" t="s">
        <v>78</v>
      </c>
      <c r="D1130">
        <v>-16301</v>
      </c>
      <c r="E1130" t="s">
        <v>23</v>
      </c>
      <c r="F1130" t="s">
        <v>32</v>
      </c>
      <c r="G1130" t="s">
        <v>79</v>
      </c>
      <c r="H1130" t="s">
        <v>39</v>
      </c>
      <c r="I1130" t="s">
        <v>27</v>
      </c>
      <c r="J1130" s="11">
        <v>46064</v>
      </c>
      <c r="K1130" t="str">
        <f>TEXT(Transactions_Clean[[#This Row],[Date]],"MMM-YYYY")</f>
        <v>Feb-2026</v>
      </c>
      <c r="L1130">
        <f>IF(Transactions_Clean[[#This Row],[Category]]="Revenue",Transactions_Clean[[#This Row],[Amount(₹)]],Transactions_Clean[[#This Row],[Amount(₹)]]/8)</f>
        <v>-2037.625</v>
      </c>
    </row>
    <row r="1131" spans="1:12">
      <c r="A1131" t="s">
        <v>2036</v>
      </c>
      <c r="B1131" t="s">
        <v>305</v>
      </c>
      <c r="C1131" t="s">
        <v>38</v>
      </c>
      <c r="D1131">
        <v>-10508</v>
      </c>
      <c r="E1131" t="s">
        <v>23</v>
      </c>
      <c r="F1131" t="s">
        <v>24</v>
      </c>
      <c r="G1131" t="s">
        <v>33</v>
      </c>
      <c r="H1131" t="s">
        <v>45</v>
      </c>
      <c r="I1131" t="s">
        <v>34</v>
      </c>
      <c r="J1131" s="11">
        <v>45400</v>
      </c>
      <c r="K1131" t="str">
        <f>TEXT(Transactions_Clean[[#This Row],[Date]],"MMM-YYYY")</f>
        <v>Apr-2024</v>
      </c>
      <c r="L1131">
        <f>IF(Transactions_Clean[[#This Row],[Category]]="Revenue",Transactions_Clean[[#This Row],[Amount(₹)]],Transactions_Clean[[#This Row],[Amount(₹)]]/8)</f>
        <v>-1313.5</v>
      </c>
    </row>
    <row r="1132" spans="1:12">
      <c r="A1132" t="s">
        <v>2038</v>
      </c>
      <c r="B1132" t="s">
        <v>60</v>
      </c>
      <c r="C1132" t="s">
        <v>61</v>
      </c>
      <c r="D1132">
        <v>-53881</v>
      </c>
      <c r="E1132" t="s">
        <v>62</v>
      </c>
      <c r="F1132" t="s">
        <v>32</v>
      </c>
      <c r="G1132" t="s">
        <v>63</v>
      </c>
      <c r="H1132" t="s">
        <v>39</v>
      </c>
      <c r="I1132" t="s">
        <v>34</v>
      </c>
      <c r="J1132" s="11">
        <v>45811</v>
      </c>
      <c r="K1132" t="str">
        <f>TEXT(Transactions_Clean[[#This Row],[Date]],"MMM-YYYY")</f>
        <v>Jun-2025</v>
      </c>
      <c r="L1132">
        <f>IF(Transactions_Clean[[#This Row],[Category]]="Revenue",Transactions_Clean[[#This Row],[Amount(₹)]],Transactions_Clean[[#This Row],[Amount(₹)]]/8)</f>
        <v>-6735.125</v>
      </c>
    </row>
    <row r="1133" spans="1:12">
      <c r="A1133" t="s">
        <v>2039</v>
      </c>
      <c r="B1133" t="s">
        <v>4767</v>
      </c>
      <c r="C1133" t="s">
        <v>157</v>
      </c>
      <c r="D1133">
        <v>711594</v>
      </c>
      <c r="E1133" t="s">
        <v>62</v>
      </c>
      <c r="F1133" t="s">
        <v>32</v>
      </c>
      <c r="G1133" t="s">
        <v>25</v>
      </c>
      <c r="H1133" t="s">
        <v>39</v>
      </c>
      <c r="I1133" t="s">
        <v>40</v>
      </c>
      <c r="J1133" s="11">
        <v>45860</v>
      </c>
      <c r="K1133" t="str">
        <f>TEXT(Transactions_Clean[[#This Row],[Date]],"MMM-YYYY")</f>
        <v>Jul-2025</v>
      </c>
      <c r="L1133">
        <f>IF(Transactions_Clean[[#This Row],[Category]]="Revenue",Transactions_Clean[[#This Row],[Amount(₹)]],Transactions_Clean[[#This Row],[Amount(₹)]]/8)</f>
        <v>711594</v>
      </c>
    </row>
    <row r="1134" spans="1:12">
      <c r="A1134" t="s">
        <v>2041</v>
      </c>
      <c r="B1134" t="s">
        <v>215</v>
      </c>
      <c r="C1134" t="s">
        <v>61</v>
      </c>
      <c r="D1134">
        <v>-25984</v>
      </c>
      <c r="E1134" t="s">
        <v>62</v>
      </c>
      <c r="F1134" t="s">
        <v>24</v>
      </c>
      <c r="G1134" t="s">
        <v>63</v>
      </c>
      <c r="H1134" t="s">
        <v>45</v>
      </c>
      <c r="I1134" t="s">
        <v>27</v>
      </c>
      <c r="J1134" s="11">
        <v>45724</v>
      </c>
      <c r="K1134" t="str">
        <f>TEXT(Transactions_Clean[[#This Row],[Date]],"MMM-YYYY")</f>
        <v>Mar-2025</v>
      </c>
      <c r="L1134">
        <f>IF(Transactions_Clean[[#This Row],[Category]]="Revenue",Transactions_Clean[[#This Row],[Amount(₹)]],Transactions_Clean[[#This Row],[Amount(₹)]]/8)</f>
        <v>-3248</v>
      </c>
    </row>
    <row r="1135" spans="1:12">
      <c r="A1135" t="s">
        <v>2042</v>
      </c>
      <c r="B1135" t="s">
        <v>616</v>
      </c>
      <c r="C1135" t="s">
        <v>22</v>
      </c>
      <c r="D1135">
        <v>-177843</v>
      </c>
      <c r="E1135" t="s">
        <v>23</v>
      </c>
      <c r="F1135" t="s">
        <v>32</v>
      </c>
      <c r="G1135" t="s">
        <v>25</v>
      </c>
      <c r="H1135" t="s">
        <v>39</v>
      </c>
      <c r="I1135" t="s">
        <v>48</v>
      </c>
      <c r="J1135" s="11">
        <v>46007</v>
      </c>
      <c r="K1135" t="str">
        <f>TEXT(Transactions_Clean[[#This Row],[Date]],"MMM-YYYY")</f>
        <v>Dec-2025</v>
      </c>
      <c r="L1135">
        <f>IF(Transactions_Clean[[#This Row],[Category]]="Revenue",Transactions_Clean[[#This Row],[Amount(₹)]],Transactions_Clean[[#This Row],[Amount(₹)]]/8)</f>
        <v>-22230.375</v>
      </c>
    </row>
    <row r="1136" spans="1:12">
      <c r="A1136" t="s">
        <v>2043</v>
      </c>
      <c r="B1136" t="s">
        <v>4752</v>
      </c>
      <c r="C1136" t="s">
        <v>44</v>
      </c>
      <c r="D1136">
        <v>-46858</v>
      </c>
      <c r="E1136" t="s">
        <v>23</v>
      </c>
      <c r="F1136" t="s">
        <v>24</v>
      </c>
      <c r="G1136" t="s">
        <v>33</v>
      </c>
      <c r="H1136" t="s">
        <v>45</v>
      </c>
      <c r="I1136" t="s">
        <v>40</v>
      </c>
      <c r="J1136" s="11">
        <v>45538</v>
      </c>
      <c r="K1136" t="str">
        <f>TEXT(Transactions_Clean[[#This Row],[Date]],"MMM-YYYY")</f>
        <v>Sep-2024</v>
      </c>
      <c r="L1136">
        <f>IF(Transactions_Clean[[#This Row],[Category]]="Revenue",Transactions_Clean[[#This Row],[Amount(₹)]],Transactions_Clean[[#This Row],[Amount(₹)]]/8)</f>
        <v>-5857.25</v>
      </c>
    </row>
    <row r="1137" spans="1:12">
      <c r="A1137" t="s">
        <v>2045</v>
      </c>
      <c r="B1137" t="s">
        <v>215</v>
      </c>
      <c r="C1137" t="s">
        <v>61</v>
      </c>
      <c r="D1137">
        <v>-44187</v>
      </c>
      <c r="E1137" t="s">
        <v>62</v>
      </c>
      <c r="F1137" t="s">
        <v>24</v>
      </c>
      <c r="G1137" t="s">
        <v>63</v>
      </c>
      <c r="H1137" t="s">
        <v>39</v>
      </c>
      <c r="I1137" t="s">
        <v>34</v>
      </c>
      <c r="J1137" s="11">
        <v>45794</v>
      </c>
      <c r="K1137" t="str">
        <f>TEXT(Transactions_Clean[[#This Row],[Date]],"MMM-YYYY")</f>
        <v>May-2025</v>
      </c>
      <c r="L1137">
        <f>IF(Transactions_Clean[[#This Row],[Category]]="Revenue",Transactions_Clean[[#This Row],[Amount(₹)]],Transactions_Clean[[#This Row],[Amount(₹)]]/8)</f>
        <v>-5523.375</v>
      </c>
    </row>
    <row r="1138" spans="1:12">
      <c r="A1138" t="s">
        <v>2046</v>
      </c>
      <c r="B1138" t="s">
        <v>51</v>
      </c>
      <c r="C1138" t="s">
        <v>31</v>
      </c>
      <c r="D1138">
        <v>-20275</v>
      </c>
      <c r="E1138" t="s">
        <v>23</v>
      </c>
      <c r="F1138" t="s">
        <v>32</v>
      </c>
      <c r="G1138" t="s">
        <v>33</v>
      </c>
      <c r="H1138" t="s">
        <v>45</v>
      </c>
      <c r="I1138" t="s">
        <v>34</v>
      </c>
      <c r="J1138" s="11">
        <v>45468</v>
      </c>
      <c r="K1138" t="str">
        <f>TEXT(Transactions_Clean[[#This Row],[Date]],"MMM-YYYY")</f>
        <v>Jun-2024</v>
      </c>
      <c r="L1138">
        <f>IF(Transactions_Clean[[#This Row],[Category]]="Revenue",Transactions_Clean[[#This Row],[Amount(₹)]],Transactions_Clean[[#This Row],[Amount(₹)]]/8)</f>
        <v>-2534.375</v>
      </c>
    </row>
    <row r="1139" spans="1:12">
      <c r="A1139" t="s">
        <v>2047</v>
      </c>
      <c r="B1139" t="s">
        <v>116</v>
      </c>
      <c r="C1139" t="s">
        <v>73</v>
      </c>
      <c r="D1139">
        <v>-15854</v>
      </c>
      <c r="E1139" t="s">
        <v>74</v>
      </c>
      <c r="F1139" t="s">
        <v>32</v>
      </c>
      <c r="G1139" t="s">
        <v>25</v>
      </c>
      <c r="H1139" t="s">
        <v>45</v>
      </c>
      <c r="I1139" t="s">
        <v>34</v>
      </c>
      <c r="J1139" s="11">
        <v>45417</v>
      </c>
      <c r="K1139" t="str">
        <f>TEXT(Transactions_Clean[[#This Row],[Date]],"MMM-YYYY")</f>
        <v>May-2024</v>
      </c>
      <c r="L1139">
        <f>IF(Transactions_Clean[[#This Row],[Category]]="Revenue",Transactions_Clean[[#This Row],[Amount(₹)]],Transactions_Clean[[#This Row],[Amount(₹)]]/8)</f>
        <v>-1981.75</v>
      </c>
    </row>
    <row r="1140" spans="1:12">
      <c r="A1140" t="s">
        <v>2048</v>
      </c>
      <c r="B1140" t="s">
        <v>116</v>
      </c>
      <c r="C1140" t="s">
        <v>4750</v>
      </c>
      <c r="D1140">
        <v>-65878</v>
      </c>
      <c r="E1140" t="s">
        <v>74</v>
      </c>
      <c r="F1140" t="s">
        <v>24</v>
      </c>
      <c r="G1140" t="s">
        <v>25</v>
      </c>
      <c r="H1140" t="s">
        <v>26</v>
      </c>
      <c r="I1140" t="s">
        <v>27</v>
      </c>
      <c r="J1140" s="11">
        <v>45314</v>
      </c>
      <c r="K1140" t="str">
        <f>TEXT(Transactions_Clean[[#This Row],[Date]],"MMM-YYYY")</f>
        <v>Jan-2024</v>
      </c>
      <c r="L1140">
        <f>IF(Transactions_Clean[[#This Row],[Category]]="Revenue",Transactions_Clean[[#This Row],[Amount(₹)]],Transactions_Clean[[#This Row],[Amount(₹)]]/8)</f>
        <v>-8234.75</v>
      </c>
    </row>
    <row r="1141" spans="1:12">
      <c r="A1141" t="s">
        <v>2050</v>
      </c>
      <c r="B1141" t="s">
        <v>4757</v>
      </c>
      <c r="C1141" t="s">
        <v>73</v>
      </c>
      <c r="D1141">
        <v>-44223</v>
      </c>
      <c r="E1141" t="s">
        <v>74</v>
      </c>
      <c r="F1141" t="s">
        <v>24</v>
      </c>
      <c r="G1141" t="s">
        <v>25</v>
      </c>
      <c r="H1141" t="s">
        <v>39</v>
      </c>
      <c r="I1141" t="s">
        <v>40</v>
      </c>
      <c r="J1141" s="11">
        <v>45883</v>
      </c>
      <c r="K1141" t="str">
        <f>TEXT(Transactions_Clean[[#This Row],[Date]],"MMM-YYYY")</f>
        <v>Aug-2025</v>
      </c>
      <c r="L1141">
        <f>IF(Transactions_Clean[[#This Row],[Category]]="Revenue",Transactions_Clean[[#This Row],[Amount(₹)]],Transactions_Clean[[#This Row],[Amount(₹)]]/8)</f>
        <v>-5527.875</v>
      </c>
    </row>
    <row r="1142" spans="1:12">
      <c r="A1142" t="s">
        <v>2051</v>
      </c>
      <c r="B1142" t="s">
        <v>4753</v>
      </c>
      <c r="C1142" t="s">
        <v>38</v>
      </c>
      <c r="D1142">
        <v>-50335</v>
      </c>
      <c r="E1142" t="s">
        <v>23</v>
      </c>
      <c r="F1142" t="s">
        <v>24</v>
      </c>
      <c r="G1142" t="s">
        <v>33</v>
      </c>
      <c r="H1142" t="s">
        <v>26</v>
      </c>
      <c r="I1142" t="s">
        <v>40</v>
      </c>
      <c r="J1142" s="11">
        <v>45153</v>
      </c>
      <c r="K1142" t="str">
        <f>TEXT(Transactions_Clean[[#This Row],[Date]],"MMM-YYYY")</f>
        <v>Aug-2023</v>
      </c>
      <c r="L1142">
        <f>IF(Transactions_Clean[[#This Row],[Category]]="Revenue",Transactions_Clean[[#This Row],[Amount(₹)]],Transactions_Clean[[#This Row],[Amount(₹)]]/8)</f>
        <v>-6291.875</v>
      </c>
    </row>
    <row r="1143" spans="1:12">
      <c r="A1143" t="s">
        <v>2052</v>
      </c>
      <c r="B1143" t="s">
        <v>60</v>
      </c>
      <c r="C1143" t="s">
        <v>61</v>
      </c>
      <c r="D1143">
        <v>-28665</v>
      </c>
      <c r="E1143" t="s">
        <v>62</v>
      </c>
      <c r="F1143" t="s">
        <v>32</v>
      </c>
      <c r="G1143" t="s">
        <v>63</v>
      </c>
      <c r="H1143" t="s">
        <v>26</v>
      </c>
      <c r="I1143" t="s">
        <v>48</v>
      </c>
      <c r="J1143" s="11">
        <v>45219</v>
      </c>
      <c r="K1143" t="str">
        <f>TEXT(Transactions_Clean[[#This Row],[Date]],"MMM-YYYY")</f>
        <v>Oct-2023</v>
      </c>
      <c r="L1143">
        <f>IF(Transactions_Clean[[#This Row],[Category]]="Revenue",Transactions_Clean[[#This Row],[Amount(₹)]],Transactions_Clean[[#This Row],[Amount(₹)]]/8)</f>
        <v>-3583.125</v>
      </c>
    </row>
    <row r="1144" spans="1:12">
      <c r="A1144" t="s">
        <v>2053</v>
      </c>
      <c r="B1144" t="s">
        <v>116</v>
      </c>
      <c r="C1144" t="s">
        <v>73</v>
      </c>
      <c r="D1144">
        <v>-61864</v>
      </c>
      <c r="E1144" t="s">
        <v>74</v>
      </c>
      <c r="F1144" t="s">
        <v>32</v>
      </c>
      <c r="G1144" t="s">
        <v>25</v>
      </c>
      <c r="H1144" t="s">
        <v>39</v>
      </c>
      <c r="I1144" t="s">
        <v>48</v>
      </c>
      <c r="J1144" s="11">
        <v>45976</v>
      </c>
      <c r="K1144" t="str">
        <f>TEXT(Transactions_Clean[[#This Row],[Date]],"MMM-YYYY")</f>
        <v>Nov-2025</v>
      </c>
      <c r="L1144">
        <f>IF(Transactions_Clean[[#This Row],[Category]]="Revenue",Transactions_Clean[[#This Row],[Amount(₹)]],Transactions_Clean[[#This Row],[Amount(₹)]]/8)</f>
        <v>-7733</v>
      </c>
    </row>
    <row r="1145" spans="1:12">
      <c r="A1145" t="s">
        <v>2054</v>
      </c>
      <c r="B1145" t="s">
        <v>255</v>
      </c>
      <c r="C1145" t="s">
        <v>22</v>
      </c>
      <c r="D1145">
        <v>-119201</v>
      </c>
      <c r="E1145" t="s">
        <v>23</v>
      </c>
      <c r="F1145" t="s">
        <v>24</v>
      </c>
      <c r="G1145" t="s">
        <v>25</v>
      </c>
      <c r="H1145" t="s">
        <v>45</v>
      </c>
      <c r="I1145" t="s">
        <v>27</v>
      </c>
      <c r="J1145" s="11">
        <v>45667</v>
      </c>
      <c r="K1145" t="str">
        <f>TEXT(Transactions_Clean[[#This Row],[Date]],"MMM-YYYY")</f>
        <v>Jan-2025</v>
      </c>
      <c r="L1145">
        <f>IF(Transactions_Clean[[#This Row],[Category]]="Revenue",Transactions_Clean[[#This Row],[Amount(₹)]],Transactions_Clean[[#This Row],[Amount(₹)]]/8)</f>
        <v>-14900.125</v>
      </c>
    </row>
    <row r="1146" spans="1:12">
      <c r="A1146" t="s">
        <v>2056</v>
      </c>
      <c r="B1146" t="s">
        <v>4762</v>
      </c>
      <c r="C1146" t="s">
        <v>157</v>
      </c>
      <c r="D1146">
        <v>527122</v>
      </c>
      <c r="E1146" t="s">
        <v>62</v>
      </c>
      <c r="F1146" t="s">
        <v>32</v>
      </c>
      <c r="G1146" t="s">
        <v>25</v>
      </c>
      <c r="H1146" t="s">
        <v>26</v>
      </c>
      <c r="I1146" t="s">
        <v>40</v>
      </c>
      <c r="J1146" s="11">
        <v>45175</v>
      </c>
      <c r="K1146" t="str">
        <f>TEXT(Transactions_Clean[[#This Row],[Date]],"MMM-YYYY")</f>
        <v>Sep-2023</v>
      </c>
      <c r="L1146">
        <f>IF(Transactions_Clean[[#This Row],[Category]]="Revenue",Transactions_Clean[[#This Row],[Amount(₹)]],Transactions_Clean[[#This Row],[Amount(₹)]]/8)</f>
        <v>527122</v>
      </c>
    </row>
    <row r="1147" spans="1:12">
      <c r="A1147" t="s">
        <v>2057</v>
      </c>
      <c r="B1147" t="s">
        <v>174</v>
      </c>
      <c r="C1147" t="s">
        <v>4750</v>
      </c>
      <c r="D1147">
        <v>-182149</v>
      </c>
      <c r="E1147" t="s">
        <v>23</v>
      </c>
      <c r="F1147" t="s">
        <v>24</v>
      </c>
      <c r="G1147" t="s">
        <v>25</v>
      </c>
      <c r="H1147" t="s">
        <v>26</v>
      </c>
      <c r="I1147" t="s">
        <v>40</v>
      </c>
      <c r="J1147" s="11">
        <v>45164</v>
      </c>
      <c r="K1147" t="str">
        <f>TEXT(Transactions_Clean[[#This Row],[Date]],"MMM-YYYY")</f>
        <v>Aug-2023</v>
      </c>
      <c r="L1147">
        <f>IF(Transactions_Clean[[#This Row],[Category]]="Revenue",Transactions_Clean[[#This Row],[Amount(₹)]],Transactions_Clean[[#This Row],[Amount(₹)]]/8)</f>
        <v>-22768.625</v>
      </c>
    </row>
    <row r="1148" spans="1:12">
      <c r="A1148" t="s">
        <v>2058</v>
      </c>
      <c r="B1148" t="s">
        <v>4751</v>
      </c>
      <c r="C1148" t="s">
        <v>38</v>
      </c>
      <c r="D1148">
        <v>-22091</v>
      </c>
      <c r="E1148" t="s">
        <v>23</v>
      </c>
      <c r="F1148" t="s">
        <v>24</v>
      </c>
      <c r="G1148" t="s">
        <v>33</v>
      </c>
      <c r="H1148" t="s">
        <v>26</v>
      </c>
      <c r="I1148" t="s">
        <v>34</v>
      </c>
      <c r="J1148" s="11">
        <v>45060</v>
      </c>
      <c r="K1148" t="str">
        <f>TEXT(Transactions_Clean[[#This Row],[Date]],"MMM-YYYY")</f>
        <v>May-2023</v>
      </c>
      <c r="L1148">
        <f>IF(Transactions_Clean[[#This Row],[Category]]="Revenue",Transactions_Clean[[#This Row],[Amount(₹)]],Transactions_Clean[[#This Row],[Amount(₹)]]/8)</f>
        <v>-2761.375</v>
      </c>
    </row>
    <row r="1149" spans="1:12">
      <c r="A1149" t="s">
        <v>2059</v>
      </c>
      <c r="B1149" t="s">
        <v>60</v>
      </c>
      <c r="C1149" t="s">
        <v>61</v>
      </c>
      <c r="D1149">
        <v>-28134</v>
      </c>
      <c r="E1149" t="s">
        <v>62</v>
      </c>
      <c r="F1149" t="s">
        <v>32</v>
      </c>
      <c r="G1149" t="s">
        <v>63</v>
      </c>
      <c r="H1149" t="s">
        <v>45</v>
      </c>
      <c r="I1149" t="s">
        <v>27</v>
      </c>
      <c r="J1149" s="11">
        <v>45744</v>
      </c>
      <c r="K1149" t="str">
        <f>TEXT(Transactions_Clean[[#This Row],[Date]],"MMM-YYYY")</f>
        <v>Mar-2025</v>
      </c>
      <c r="L1149">
        <f>IF(Transactions_Clean[[#This Row],[Category]]="Revenue",Transactions_Clean[[#This Row],[Amount(₹)]],Transactions_Clean[[#This Row],[Amount(₹)]]/8)</f>
        <v>-3516.75</v>
      </c>
    </row>
    <row r="1150" spans="1:12">
      <c r="A1150" t="s">
        <v>2060</v>
      </c>
      <c r="B1150" t="s">
        <v>215</v>
      </c>
      <c r="C1150" t="s">
        <v>61</v>
      </c>
      <c r="D1150">
        <v>-63211</v>
      </c>
      <c r="E1150" t="s">
        <v>62</v>
      </c>
      <c r="F1150" t="s">
        <v>32</v>
      </c>
      <c r="G1150" t="s">
        <v>63</v>
      </c>
      <c r="H1150" t="s">
        <v>26</v>
      </c>
      <c r="I1150" t="s">
        <v>48</v>
      </c>
      <c r="J1150" s="11">
        <v>45206</v>
      </c>
      <c r="K1150" t="str">
        <f>TEXT(Transactions_Clean[[#This Row],[Date]],"MMM-YYYY")</f>
        <v>Oct-2023</v>
      </c>
      <c r="L1150">
        <f>IF(Transactions_Clean[[#This Row],[Category]]="Revenue",Transactions_Clean[[#This Row],[Amount(₹)]],Transactions_Clean[[#This Row],[Amount(₹)]]/8)</f>
        <v>-7901.375</v>
      </c>
    </row>
    <row r="1151" spans="1:12">
      <c r="A1151" t="s">
        <v>2061</v>
      </c>
      <c r="B1151" t="s">
        <v>215</v>
      </c>
      <c r="C1151" t="s">
        <v>61</v>
      </c>
      <c r="D1151">
        <v>-32270</v>
      </c>
      <c r="E1151" t="s">
        <v>62</v>
      </c>
      <c r="F1151" t="s">
        <v>32</v>
      </c>
      <c r="G1151" t="s">
        <v>63</v>
      </c>
      <c r="H1151" t="s">
        <v>39</v>
      </c>
      <c r="I1151" t="s">
        <v>48</v>
      </c>
      <c r="J1151" s="11">
        <v>45971</v>
      </c>
      <c r="K1151" t="str">
        <f>TEXT(Transactions_Clean[[#This Row],[Date]],"MMM-YYYY")</f>
        <v>Nov-2025</v>
      </c>
      <c r="L1151">
        <f>IF(Transactions_Clean[[#This Row],[Category]]="Revenue",Transactions_Clean[[#This Row],[Amount(₹)]],Transactions_Clean[[#This Row],[Amount(₹)]]/8)</f>
        <v>-4033.75</v>
      </c>
    </row>
    <row r="1152" spans="1:12">
      <c r="A1152" t="s">
        <v>2063</v>
      </c>
      <c r="B1152" t="s">
        <v>4759</v>
      </c>
      <c r="C1152" t="s">
        <v>31</v>
      </c>
      <c r="D1152">
        <v>-30609</v>
      </c>
      <c r="E1152" t="s">
        <v>23</v>
      </c>
      <c r="F1152" t="s">
        <v>32</v>
      </c>
      <c r="G1152" t="s">
        <v>33</v>
      </c>
      <c r="H1152" t="s">
        <v>26</v>
      </c>
      <c r="I1152" t="s">
        <v>48</v>
      </c>
      <c r="J1152" s="11">
        <v>45273</v>
      </c>
      <c r="K1152" t="str">
        <f>TEXT(Transactions_Clean[[#This Row],[Date]],"MMM-YYYY")</f>
        <v>Dec-2023</v>
      </c>
      <c r="L1152">
        <f>IF(Transactions_Clean[[#This Row],[Category]]="Revenue",Transactions_Clean[[#This Row],[Amount(₹)]],Transactions_Clean[[#This Row],[Amount(₹)]]/8)</f>
        <v>-3826.125</v>
      </c>
    </row>
    <row r="1153" spans="1:12">
      <c r="A1153" t="s">
        <v>2064</v>
      </c>
      <c r="B1153" t="s">
        <v>215</v>
      </c>
      <c r="C1153" t="s">
        <v>61</v>
      </c>
      <c r="D1153">
        <v>-49205</v>
      </c>
      <c r="E1153" t="s">
        <v>62</v>
      </c>
      <c r="F1153" t="s">
        <v>24</v>
      </c>
      <c r="G1153" t="s">
        <v>63</v>
      </c>
      <c r="H1153" t="s">
        <v>39</v>
      </c>
      <c r="I1153" t="s">
        <v>27</v>
      </c>
      <c r="J1153" s="11">
        <v>46047</v>
      </c>
      <c r="K1153" t="str">
        <f>TEXT(Transactions_Clean[[#This Row],[Date]],"MMM-YYYY")</f>
        <v>Jan-2026</v>
      </c>
      <c r="L1153">
        <f>IF(Transactions_Clean[[#This Row],[Category]]="Revenue",Transactions_Clean[[#This Row],[Amount(₹)]],Transactions_Clean[[#This Row],[Amount(₹)]]/8)</f>
        <v>-6150.625</v>
      </c>
    </row>
    <row r="1154" spans="1:12">
      <c r="A1154" t="s">
        <v>2066</v>
      </c>
      <c r="B1154" t="s">
        <v>4776</v>
      </c>
      <c r="C1154" t="s">
        <v>440</v>
      </c>
      <c r="D1154">
        <v>-159130</v>
      </c>
      <c r="E1154" t="s">
        <v>23</v>
      </c>
      <c r="F1154" t="s">
        <v>24</v>
      </c>
      <c r="G1154" t="s">
        <v>33</v>
      </c>
      <c r="H1154" t="s">
        <v>45</v>
      </c>
      <c r="I1154" t="s">
        <v>40</v>
      </c>
      <c r="J1154" s="11">
        <v>45489</v>
      </c>
      <c r="K1154" t="str">
        <f>TEXT(Transactions_Clean[[#This Row],[Date]],"MMM-YYYY")</f>
        <v>Jul-2024</v>
      </c>
      <c r="L1154">
        <f>IF(Transactions_Clean[[#This Row],[Category]]="Revenue",Transactions_Clean[[#This Row],[Amount(₹)]],Transactions_Clean[[#This Row],[Amount(₹)]]/8)</f>
        <v>-19891.25</v>
      </c>
    </row>
    <row r="1155" spans="1:12">
      <c r="A1155" t="s">
        <v>2068</v>
      </c>
      <c r="B1155" t="s">
        <v>4751</v>
      </c>
      <c r="C1155" t="s">
        <v>38</v>
      </c>
      <c r="D1155">
        <v>-43758</v>
      </c>
      <c r="E1155" t="s">
        <v>23</v>
      </c>
      <c r="F1155" t="s">
        <v>24</v>
      </c>
      <c r="G1155" t="s">
        <v>33</v>
      </c>
      <c r="H1155" t="s">
        <v>26</v>
      </c>
      <c r="I1155" t="s">
        <v>48</v>
      </c>
      <c r="J1155" s="11">
        <v>45237</v>
      </c>
      <c r="K1155" t="str">
        <f>TEXT(Transactions_Clean[[#This Row],[Date]],"MMM-YYYY")</f>
        <v>Nov-2023</v>
      </c>
      <c r="L1155">
        <f>IF(Transactions_Clean[[#This Row],[Category]]="Revenue",Transactions_Clean[[#This Row],[Amount(₹)]],Transactions_Clean[[#This Row],[Amount(₹)]]/8)</f>
        <v>-5469.75</v>
      </c>
    </row>
    <row r="1156" spans="1:12">
      <c r="A1156" t="s">
        <v>2069</v>
      </c>
      <c r="B1156" t="s">
        <v>4760</v>
      </c>
      <c r="C1156" t="s">
        <v>73</v>
      </c>
      <c r="D1156">
        <v>-13845</v>
      </c>
      <c r="E1156" t="s">
        <v>74</v>
      </c>
      <c r="F1156" t="s">
        <v>32</v>
      </c>
      <c r="G1156" t="s">
        <v>25</v>
      </c>
      <c r="H1156" t="s">
        <v>39</v>
      </c>
      <c r="I1156" t="s">
        <v>27</v>
      </c>
      <c r="J1156" s="11">
        <v>46071</v>
      </c>
      <c r="K1156" t="str">
        <f>TEXT(Transactions_Clean[[#This Row],[Date]],"MMM-YYYY")</f>
        <v>Feb-2026</v>
      </c>
      <c r="L1156">
        <f>IF(Transactions_Clean[[#This Row],[Category]]="Revenue",Transactions_Clean[[#This Row],[Amount(₹)]],Transactions_Clean[[#This Row],[Amount(₹)]]/8)</f>
        <v>-1730.625</v>
      </c>
    </row>
    <row r="1157" spans="1:12">
      <c r="A1157" t="s">
        <v>2071</v>
      </c>
      <c r="B1157" t="s">
        <v>116</v>
      </c>
      <c r="C1157" t="s">
        <v>73</v>
      </c>
      <c r="D1157">
        <v>-22530</v>
      </c>
      <c r="E1157" t="s">
        <v>74</v>
      </c>
      <c r="F1157" t="s">
        <v>32</v>
      </c>
      <c r="G1157" t="s">
        <v>25</v>
      </c>
      <c r="H1157" t="s">
        <v>26</v>
      </c>
      <c r="I1157" t="s">
        <v>34</v>
      </c>
      <c r="J1157" s="11">
        <v>45104</v>
      </c>
      <c r="K1157" t="str">
        <f>TEXT(Transactions_Clean[[#This Row],[Date]],"MMM-YYYY")</f>
        <v>Jun-2023</v>
      </c>
      <c r="L1157">
        <f>IF(Transactions_Clean[[#This Row],[Category]]="Revenue",Transactions_Clean[[#This Row],[Amount(₹)]],Transactions_Clean[[#This Row],[Amount(₹)]]/8)</f>
        <v>-2816.25</v>
      </c>
    </row>
    <row r="1158" spans="1:12">
      <c r="A1158" t="s">
        <v>2072</v>
      </c>
      <c r="B1158" t="s">
        <v>66</v>
      </c>
      <c r="C1158" t="s">
        <v>61</v>
      </c>
      <c r="D1158">
        <v>-35724</v>
      </c>
      <c r="E1158" t="s">
        <v>62</v>
      </c>
      <c r="F1158" t="s">
        <v>24</v>
      </c>
      <c r="G1158" t="s">
        <v>63</v>
      </c>
      <c r="H1158" t="s">
        <v>39</v>
      </c>
      <c r="I1158" t="s">
        <v>27</v>
      </c>
      <c r="J1158" s="11">
        <v>46097</v>
      </c>
      <c r="K1158" t="str">
        <f>TEXT(Transactions_Clean[[#This Row],[Date]],"MMM-YYYY")</f>
        <v>Mar-2026</v>
      </c>
      <c r="L1158">
        <f>IF(Transactions_Clean[[#This Row],[Category]]="Revenue",Transactions_Clean[[#This Row],[Amount(₹)]],Transactions_Clean[[#This Row],[Amount(₹)]]/8)</f>
        <v>-4465.5</v>
      </c>
    </row>
    <row r="1159" spans="1:12">
      <c r="A1159" t="s">
        <v>2073</v>
      </c>
      <c r="B1159" t="s">
        <v>66</v>
      </c>
      <c r="C1159" t="s">
        <v>61</v>
      </c>
      <c r="D1159">
        <v>-40459</v>
      </c>
      <c r="E1159" t="s">
        <v>62</v>
      </c>
      <c r="F1159" t="s">
        <v>32</v>
      </c>
      <c r="G1159" t="s">
        <v>63</v>
      </c>
      <c r="H1159" t="s">
        <v>45</v>
      </c>
      <c r="I1159" t="s">
        <v>27</v>
      </c>
      <c r="J1159" s="11">
        <v>45709</v>
      </c>
      <c r="K1159" t="str">
        <f>TEXT(Transactions_Clean[[#This Row],[Date]],"MMM-YYYY")</f>
        <v>Feb-2025</v>
      </c>
      <c r="L1159">
        <f>IF(Transactions_Clean[[#This Row],[Category]]="Revenue",Transactions_Clean[[#This Row],[Amount(₹)]],Transactions_Clean[[#This Row],[Amount(₹)]]/8)</f>
        <v>-5057.375</v>
      </c>
    </row>
    <row r="1160" spans="1:12">
      <c r="A1160" t="s">
        <v>2074</v>
      </c>
      <c r="B1160" t="s">
        <v>4757</v>
      </c>
      <c r="C1160" t="s">
        <v>73</v>
      </c>
      <c r="D1160">
        <v>-16294</v>
      </c>
      <c r="E1160" t="s">
        <v>74</v>
      </c>
      <c r="F1160" t="s">
        <v>32</v>
      </c>
      <c r="G1160" t="s">
        <v>25</v>
      </c>
      <c r="H1160" t="s">
        <v>45</v>
      </c>
      <c r="I1160" t="s">
        <v>27</v>
      </c>
      <c r="J1160" s="11">
        <v>45712</v>
      </c>
      <c r="K1160" t="str">
        <f>TEXT(Transactions_Clean[[#This Row],[Date]],"MMM-YYYY")</f>
        <v>Feb-2025</v>
      </c>
      <c r="L1160">
        <f>IF(Transactions_Clean[[#This Row],[Category]]="Revenue",Transactions_Clean[[#This Row],[Amount(₹)]],Transactions_Clean[[#This Row],[Amount(₹)]]/8)</f>
        <v>-2036.75</v>
      </c>
    </row>
    <row r="1161" spans="1:12">
      <c r="A1161" t="s">
        <v>2075</v>
      </c>
      <c r="B1161" t="s">
        <v>4754</v>
      </c>
      <c r="C1161" t="s">
        <v>78</v>
      </c>
      <c r="D1161">
        <v>-47543</v>
      </c>
      <c r="E1161" t="s">
        <v>23</v>
      </c>
      <c r="F1161" t="s">
        <v>32</v>
      </c>
      <c r="G1161" t="s">
        <v>79</v>
      </c>
      <c r="H1161" t="s">
        <v>39</v>
      </c>
      <c r="I1161" t="s">
        <v>40</v>
      </c>
      <c r="J1161" s="11">
        <v>45850</v>
      </c>
      <c r="K1161" t="str">
        <f>TEXT(Transactions_Clean[[#This Row],[Date]],"MMM-YYYY")</f>
        <v>Jul-2025</v>
      </c>
      <c r="L1161">
        <f>IF(Transactions_Clean[[#This Row],[Category]]="Revenue",Transactions_Clean[[#This Row],[Amount(₹)]],Transactions_Clean[[#This Row],[Amount(₹)]]/8)</f>
        <v>-5942.875</v>
      </c>
    </row>
    <row r="1162" spans="1:12">
      <c r="A1162" t="s">
        <v>2076</v>
      </c>
      <c r="B1162" t="s">
        <v>51</v>
      </c>
      <c r="C1162" t="s">
        <v>31</v>
      </c>
      <c r="D1162">
        <v>-41728</v>
      </c>
      <c r="E1162" t="s">
        <v>23</v>
      </c>
      <c r="F1162" t="s">
        <v>32</v>
      </c>
      <c r="G1162" t="s">
        <v>33</v>
      </c>
      <c r="H1162" t="s">
        <v>26</v>
      </c>
      <c r="I1162" t="s">
        <v>40</v>
      </c>
      <c r="J1162" s="11">
        <v>45166</v>
      </c>
      <c r="K1162" t="str">
        <f>TEXT(Transactions_Clean[[#This Row],[Date]],"MMM-YYYY")</f>
        <v>Aug-2023</v>
      </c>
      <c r="L1162">
        <f>IF(Transactions_Clean[[#This Row],[Category]]="Revenue",Transactions_Clean[[#This Row],[Amount(₹)]],Transactions_Clean[[#This Row],[Amount(₹)]]/8)</f>
        <v>-5216</v>
      </c>
    </row>
    <row r="1163" spans="1:12">
      <c r="A1163" t="s">
        <v>2078</v>
      </c>
      <c r="B1163" t="s">
        <v>4763</v>
      </c>
      <c r="C1163" t="s">
        <v>22</v>
      </c>
      <c r="D1163">
        <v>-214056</v>
      </c>
      <c r="E1163" t="s">
        <v>23</v>
      </c>
      <c r="F1163" t="s">
        <v>32</v>
      </c>
      <c r="G1163" t="s">
        <v>25</v>
      </c>
      <c r="H1163" t="s">
        <v>26</v>
      </c>
      <c r="I1163" t="s">
        <v>48</v>
      </c>
      <c r="J1163" s="11">
        <v>45249</v>
      </c>
      <c r="K1163" t="str">
        <f>TEXT(Transactions_Clean[[#This Row],[Date]],"MMM-YYYY")</f>
        <v>Nov-2023</v>
      </c>
      <c r="L1163">
        <f>IF(Transactions_Clean[[#This Row],[Category]]="Revenue",Transactions_Clean[[#This Row],[Amount(₹)]],Transactions_Clean[[#This Row],[Amount(₹)]]/8)</f>
        <v>-26757</v>
      </c>
    </row>
    <row r="1164" spans="1:12">
      <c r="A1164" t="s">
        <v>2079</v>
      </c>
      <c r="B1164" t="s">
        <v>66</v>
      </c>
      <c r="C1164" t="s">
        <v>61</v>
      </c>
      <c r="D1164">
        <v>-50707</v>
      </c>
      <c r="E1164" t="s">
        <v>62</v>
      </c>
      <c r="F1164" t="s">
        <v>24</v>
      </c>
      <c r="G1164" t="s">
        <v>63</v>
      </c>
      <c r="H1164" t="s">
        <v>39</v>
      </c>
      <c r="I1164" t="s">
        <v>34</v>
      </c>
      <c r="J1164" s="11">
        <v>45826</v>
      </c>
      <c r="K1164" t="str">
        <f>TEXT(Transactions_Clean[[#This Row],[Date]],"MMM-YYYY")</f>
        <v>Jun-2025</v>
      </c>
      <c r="L1164">
        <f>IF(Transactions_Clean[[#This Row],[Category]]="Revenue",Transactions_Clean[[#This Row],[Amount(₹)]],Transactions_Clean[[#This Row],[Amount(₹)]]/8)</f>
        <v>-6338.375</v>
      </c>
    </row>
    <row r="1165" spans="1:12">
      <c r="A1165" t="s">
        <v>2081</v>
      </c>
      <c r="B1165" t="s">
        <v>283</v>
      </c>
      <c r="C1165" t="s">
        <v>44</v>
      </c>
      <c r="D1165">
        <v>-50461</v>
      </c>
      <c r="E1165" t="s">
        <v>23</v>
      </c>
      <c r="F1165" t="s">
        <v>24</v>
      </c>
      <c r="G1165" t="s">
        <v>33</v>
      </c>
      <c r="H1165" t="s">
        <v>45</v>
      </c>
      <c r="I1165" t="s">
        <v>34</v>
      </c>
      <c r="J1165" s="11">
        <v>45436</v>
      </c>
      <c r="K1165" t="str">
        <f>TEXT(Transactions_Clean[[#This Row],[Date]],"MMM-YYYY")</f>
        <v>May-2024</v>
      </c>
      <c r="L1165">
        <f>IF(Transactions_Clean[[#This Row],[Category]]="Revenue",Transactions_Clean[[#This Row],[Amount(₹)]],Transactions_Clean[[#This Row],[Amount(₹)]]/8)</f>
        <v>-6307.625</v>
      </c>
    </row>
    <row r="1166" spans="1:12">
      <c r="A1166" t="s">
        <v>2082</v>
      </c>
      <c r="B1166" t="s">
        <v>616</v>
      </c>
      <c r="C1166" t="s">
        <v>22</v>
      </c>
      <c r="D1166">
        <v>-138533</v>
      </c>
      <c r="E1166" t="s">
        <v>23</v>
      </c>
      <c r="F1166" t="s">
        <v>24</v>
      </c>
      <c r="G1166" t="s">
        <v>25</v>
      </c>
      <c r="H1166" t="s">
        <v>45</v>
      </c>
      <c r="I1166" t="s">
        <v>34</v>
      </c>
      <c r="J1166" s="11">
        <v>45402</v>
      </c>
      <c r="K1166" t="str">
        <f>TEXT(Transactions_Clean[[#This Row],[Date]],"MMM-YYYY")</f>
        <v>Apr-2024</v>
      </c>
      <c r="L1166">
        <f>IF(Transactions_Clean[[#This Row],[Category]]="Revenue",Transactions_Clean[[#This Row],[Amount(₹)]],Transactions_Clean[[#This Row],[Amount(₹)]]/8)</f>
        <v>-17316.625</v>
      </c>
    </row>
    <row r="1167" spans="1:12">
      <c r="A1167" t="s">
        <v>2083</v>
      </c>
      <c r="B1167" t="s">
        <v>310</v>
      </c>
      <c r="C1167" t="s">
        <v>22</v>
      </c>
      <c r="D1167">
        <v>-129334</v>
      </c>
      <c r="E1167" t="s">
        <v>23</v>
      </c>
      <c r="F1167" t="s">
        <v>32</v>
      </c>
      <c r="G1167" t="s">
        <v>25</v>
      </c>
      <c r="H1167" t="s">
        <v>45</v>
      </c>
      <c r="I1167" t="s">
        <v>40</v>
      </c>
      <c r="J1167" s="11">
        <v>45485</v>
      </c>
      <c r="K1167" t="str">
        <f>TEXT(Transactions_Clean[[#This Row],[Date]],"MMM-YYYY")</f>
        <v>Jul-2024</v>
      </c>
      <c r="L1167">
        <f>IF(Transactions_Clean[[#This Row],[Category]]="Revenue",Transactions_Clean[[#This Row],[Amount(₹)]],Transactions_Clean[[#This Row],[Amount(₹)]]/8)</f>
        <v>-16166.75</v>
      </c>
    </row>
    <row r="1168" spans="1:12">
      <c r="A1168" t="s">
        <v>2084</v>
      </c>
      <c r="B1168" t="s">
        <v>4765</v>
      </c>
      <c r="C1168" t="s">
        <v>73</v>
      </c>
      <c r="D1168">
        <v>-24846</v>
      </c>
      <c r="E1168" t="s">
        <v>74</v>
      </c>
      <c r="F1168" t="s">
        <v>32</v>
      </c>
      <c r="G1168" t="s">
        <v>25</v>
      </c>
      <c r="H1168" t="s">
        <v>45</v>
      </c>
      <c r="I1168" t="s">
        <v>27</v>
      </c>
      <c r="J1168" s="11">
        <v>45683</v>
      </c>
      <c r="K1168" t="str">
        <f>TEXT(Transactions_Clean[[#This Row],[Date]],"MMM-YYYY")</f>
        <v>Jan-2025</v>
      </c>
      <c r="L1168">
        <f>IF(Transactions_Clean[[#This Row],[Category]]="Revenue",Transactions_Clean[[#This Row],[Amount(₹)]],Transactions_Clean[[#This Row],[Amount(₹)]]/8)</f>
        <v>-3105.75</v>
      </c>
    </row>
    <row r="1169" spans="1:12">
      <c r="A1169" t="s">
        <v>2086</v>
      </c>
      <c r="B1169" t="s">
        <v>4759</v>
      </c>
      <c r="C1169" t="s">
        <v>31</v>
      </c>
      <c r="D1169">
        <v>-28922</v>
      </c>
      <c r="E1169" t="s">
        <v>23</v>
      </c>
      <c r="F1169" t="s">
        <v>24</v>
      </c>
      <c r="G1169" t="s">
        <v>33</v>
      </c>
      <c r="H1169" t="s">
        <v>39</v>
      </c>
      <c r="I1169" t="s">
        <v>34</v>
      </c>
      <c r="J1169" s="11">
        <v>45819</v>
      </c>
      <c r="K1169" t="str">
        <f>TEXT(Transactions_Clean[[#This Row],[Date]],"MMM-YYYY")</f>
        <v>Jun-2025</v>
      </c>
      <c r="L1169">
        <f>IF(Transactions_Clean[[#This Row],[Category]]="Revenue",Transactions_Clean[[#This Row],[Amount(₹)]],Transactions_Clean[[#This Row],[Amount(₹)]]/8)</f>
        <v>-3615.25</v>
      </c>
    </row>
    <row r="1170" spans="1:12">
      <c r="A1170" t="s">
        <v>2087</v>
      </c>
      <c r="B1170" t="s">
        <v>935</v>
      </c>
      <c r="C1170" t="s">
        <v>22</v>
      </c>
      <c r="D1170">
        <v>-189605</v>
      </c>
      <c r="E1170" t="s">
        <v>23</v>
      </c>
      <c r="F1170" t="s">
        <v>24</v>
      </c>
      <c r="G1170" t="s">
        <v>25</v>
      </c>
      <c r="H1170" t="s">
        <v>45</v>
      </c>
      <c r="I1170" t="s">
        <v>27</v>
      </c>
      <c r="J1170" s="11">
        <v>45742</v>
      </c>
      <c r="K1170" t="str">
        <f>TEXT(Transactions_Clean[[#This Row],[Date]],"MMM-YYYY")</f>
        <v>Mar-2025</v>
      </c>
      <c r="L1170">
        <f>IF(Transactions_Clean[[#This Row],[Category]]="Revenue",Transactions_Clean[[#This Row],[Amount(₹)]],Transactions_Clean[[#This Row],[Amount(₹)]]/8)</f>
        <v>-23700.625</v>
      </c>
    </row>
    <row r="1171" spans="1:12">
      <c r="A1171" t="s">
        <v>2088</v>
      </c>
      <c r="B1171" t="s">
        <v>212</v>
      </c>
      <c r="C1171" t="s">
        <v>73</v>
      </c>
      <c r="D1171">
        <v>-61383</v>
      </c>
      <c r="E1171" t="s">
        <v>74</v>
      </c>
      <c r="F1171" t="s">
        <v>24</v>
      </c>
      <c r="G1171" t="s">
        <v>25</v>
      </c>
      <c r="H1171" t="s">
        <v>45</v>
      </c>
      <c r="I1171" t="s">
        <v>40</v>
      </c>
      <c r="J1171" s="11">
        <v>45502</v>
      </c>
      <c r="K1171" t="str">
        <f>TEXT(Transactions_Clean[[#This Row],[Date]],"MMM-YYYY")</f>
        <v>Jul-2024</v>
      </c>
      <c r="L1171">
        <f>IF(Transactions_Clean[[#This Row],[Category]]="Revenue",Transactions_Clean[[#This Row],[Amount(₹)]],Transactions_Clean[[#This Row],[Amount(₹)]]/8)</f>
        <v>-7672.875</v>
      </c>
    </row>
    <row r="1172" spans="1:12">
      <c r="A1172" t="s">
        <v>2089</v>
      </c>
      <c r="B1172" t="s">
        <v>4769</v>
      </c>
      <c r="C1172" t="s">
        <v>44</v>
      </c>
      <c r="D1172">
        <v>-64089</v>
      </c>
      <c r="E1172" t="s">
        <v>23</v>
      </c>
      <c r="F1172" t="s">
        <v>32</v>
      </c>
      <c r="G1172" t="s">
        <v>33</v>
      </c>
      <c r="H1172" t="s">
        <v>45</v>
      </c>
      <c r="I1172" t="s">
        <v>34</v>
      </c>
      <c r="J1172" s="11">
        <v>45393</v>
      </c>
      <c r="K1172" t="str">
        <f>TEXT(Transactions_Clean[[#This Row],[Date]],"MMM-YYYY")</f>
        <v>Apr-2024</v>
      </c>
      <c r="L1172">
        <f>IF(Transactions_Clean[[#This Row],[Category]]="Revenue",Transactions_Clean[[#This Row],[Amount(₹)]],Transactions_Clean[[#This Row],[Amount(₹)]]/8)</f>
        <v>-8011.125</v>
      </c>
    </row>
    <row r="1173" spans="1:12">
      <c r="A1173" t="s">
        <v>2091</v>
      </c>
      <c r="B1173" t="s">
        <v>116</v>
      </c>
      <c r="C1173" t="s">
        <v>73</v>
      </c>
      <c r="D1173">
        <v>-48225</v>
      </c>
      <c r="E1173" t="s">
        <v>74</v>
      </c>
      <c r="F1173" t="s">
        <v>32</v>
      </c>
      <c r="G1173" t="s">
        <v>25</v>
      </c>
      <c r="H1173" t="s">
        <v>45</v>
      </c>
      <c r="I1173" t="s">
        <v>40</v>
      </c>
      <c r="J1173" s="11">
        <v>45554</v>
      </c>
      <c r="K1173" t="str">
        <f>TEXT(Transactions_Clean[[#This Row],[Date]],"MMM-YYYY")</f>
        <v>Sep-2024</v>
      </c>
      <c r="L1173">
        <f>IF(Transactions_Clean[[#This Row],[Category]]="Revenue",Transactions_Clean[[#This Row],[Amount(₹)]],Transactions_Clean[[#This Row],[Amount(₹)]]/8)</f>
        <v>-6028.125</v>
      </c>
    </row>
    <row r="1174" spans="1:12">
      <c r="A1174" t="s">
        <v>2092</v>
      </c>
      <c r="B1174" t="s">
        <v>180</v>
      </c>
      <c r="C1174" t="s">
        <v>44</v>
      </c>
      <c r="D1174">
        <v>-143693</v>
      </c>
      <c r="E1174" t="s">
        <v>23</v>
      </c>
      <c r="F1174" t="s">
        <v>32</v>
      </c>
      <c r="G1174" t="s">
        <v>33</v>
      </c>
      <c r="H1174" t="s">
        <v>26</v>
      </c>
      <c r="I1174" t="s">
        <v>48</v>
      </c>
      <c r="J1174" s="11">
        <v>45274</v>
      </c>
      <c r="K1174" t="str">
        <f>TEXT(Transactions_Clean[[#This Row],[Date]],"MMM-YYYY")</f>
        <v>Dec-2023</v>
      </c>
      <c r="L1174">
        <f>IF(Transactions_Clean[[#This Row],[Category]]="Revenue",Transactions_Clean[[#This Row],[Amount(₹)]],Transactions_Clean[[#This Row],[Amount(₹)]]/8)</f>
        <v>-17961.625</v>
      </c>
    </row>
    <row r="1175" spans="1:12">
      <c r="A1175" t="s">
        <v>2094</v>
      </c>
      <c r="B1175" t="s">
        <v>4773</v>
      </c>
      <c r="C1175" t="s">
        <v>157</v>
      </c>
      <c r="D1175">
        <v>707288</v>
      </c>
      <c r="E1175" t="s">
        <v>62</v>
      </c>
      <c r="F1175" t="s">
        <v>32</v>
      </c>
      <c r="G1175" t="s">
        <v>25</v>
      </c>
      <c r="H1175" t="s">
        <v>39</v>
      </c>
      <c r="I1175" t="s">
        <v>27</v>
      </c>
      <c r="J1175" s="11">
        <v>46064</v>
      </c>
      <c r="K1175" t="str">
        <f>TEXT(Transactions_Clean[[#This Row],[Date]],"MMM-YYYY")</f>
        <v>Feb-2026</v>
      </c>
      <c r="L1175">
        <f>IF(Transactions_Clean[[#This Row],[Category]]="Revenue",Transactions_Clean[[#This Row],[Amount(₹)]],Transactions_Clean[[#This Row],[Amount(₹)]]/8)</f>
        <v>707288</v>
      </c>
    </row>
    <row r="1176" spans="1:12">
      <c r="A1176" t="s">
        <v>2095</v>
      </c>
      <c r="B1176" t="s">
        <v>4755</v>
      </c>
      <c r="C1176" t="s">
        <v>78</v>
      </c>
      <c r="D1176">
        <v>-102350</v>
      </c>
      <c r="E1176" t="s">
        <v>23</v>
      </c>
      <c r="F1176" t="s">
        <v>32</v>
      </c>
      <c r="G1176" t="s">
        <v>79</v>
      </c>
      <c r="H1176" t="s">
        <v>45</v>
      </c>
      <c r="I1176" t="s">
        <v>40</v>
      </c>
      <c r="J1176" s="11">
        <v>45544</v>
      </c>
      <c r="K1176" t="str">
        <f>TEXT(Transactions_Clean[[#This Row],[Date]],"MMM-YYYY")</f>
        <v>Sep-2024</v>
      </c>
      <c r="L1176">
        <f>IF(Transactions_Clean[[#This Row],[Category]]="Revenue",Transactions_Clean[[#This Row],[Amount(₹)]],Transactions_Clean[[#This Row],[Amount(₹)]]/8)</f>
        <v>-12793.75</v>
      </c>
    </row>
    <row r="1177" spans="1:12">
      <c r="A1177" t="s">
        <v>2097</v>
      </c>
      <c r="B1177" t="s">
        <v>212</v>
      </c>
      <c r="C1177" t="s">
        <v>73</v>
      </c>
      <c r="D1177">
        <v>-39604</v>
      </c>
      <c r="E1177" t="s">
        <v>74</v>
      </c>
      <c r="F1177" t="s">
        <v>32</v>
      </c>
      <c r="G1177" t="s">
        <v>25</v>
      </c>
      <c r="H1177" t="s">
        <v>26</v>
      </c>
      <c r="I1177" t="s">
        <v>34</v>
      </c>
      <c r="J1177" s="11">
        <v>45101</v>
      </c>
      <c r="K1177" t="str">
        <f>TEXT(Transactions_Clean[[#This Row],[Date]],"MMM-YYYY")</f>
        <v>Jun-2023</v>
      </c>
      <c r="L1177">
        <f>IF(Transactions_Clean[[#This Row],[Category]]="Revenue",Transactions_Clean[[#This Row],[Amount(₹)]],Transactions_Clean[[#This Row],[Amount(₹)]]/8)</f>
        <v>-4950.5</v>
      </c>
    </row>
    <row r="1178" spans="1:12">
      <c r="A1178" t="s">
        <v>2098</v>
      </c>
      <c r="B1178" t="s">
        <v>37</v>
      </c>
      <c r="C1178" t="s">
        <v>38</v>
      </c>
      <c r="D1178">
        <v>-37347</v>
      </c>
      <c r="E1178" t="s">
        <v>23</v>
      </c>
      <c r="F1178" t="s">
        <v>24</v>
      </c>
      <c r="G1178" t="s">
        <v>33</v>
      </c>
      <c r="H1178" t="s">
        <v>39</v>
      </c>
      <c r="I1178" t="s">
        <v>40</v>
      </c>
      <c r="J1178" s="11">
        <v>45876</v>
      </c>
      <c r="K1178" t="str">
        <f>TEXT(Transactions_Clean[[#This Row],[Date]],"MMM-YYYY")</f>
        <v>Aug-2025</v>
      </c>
      <c r="L1178">
        <f>IF(Transactions_Clean[[#This Row],[Category]]="Revenue",Transactions_Clean[[#This Row],[Amount(₹)]],Transactions_Clean[[#This Row],[Amount(₹)]]/8)</f>
        <v>-4668.375</v>
      </c>
    </row>
    <row r="1179" spans="1:12">
      <c r="A1179" t="s">
        <v>2099</v>
      </c>
      <c r="B1179" t="s">
        <v>66</v>
      </c>
      <c r="C1179" t="s">
        <v>61</v>
      </c>
      <c r="D1179">
        <v>-62256</v>
      </c>
      <c r="E1179" t="s">
        <v>62</v>
      </c>
      <c r="F1179" t="s">
        <v>24</v>
      </c>
      <c r="G1179" t="s">
        <v>63</v>
      </c>
      <c r="H1179" t="s">
        <v>26</v>
      </c>
      <c r="I1179" t="s">
        <v>27</v>
      </c>
      <c r="J1179" s="11">
        <v>45370</v>
      </c>
      <c r="K1179" t="str">
        <f>TEXT(Transactions_Clean[[#This Row],[Date]],"MMM-YYYY")</f>
        <v>Mar-2024</v>
      </c>
      <c r="L1179">
        <f>IF(Transactions_Clean[[#This Row],[Category]]="Revenue",Transactions_Clean[[#This Row],[Amount(₹)]],Transactions_Clean[[#This Row],[Amount(₹)]]/8)</f>
        <v>-7782</v>
      </c>
    </row>
    <row r="1180" spans="1:12">
      <c r="A1180" t="s">
        <v>2100</v>
      </c>
      <c r="B1180" t="s">
        <v>129</v>
      </c>
      <c r="C1180" t="s">
        <v>38</v>
      </c>
      <c r="D1180">
        <v>-16684</v>
      </c>
      <c r="E1180" t="s">
        <v>23</v>
      </c>
      <c r="F1180" t="s">
        <v>32</v>
      </c>
      <c r="G1180" t="s">
        <v>33</v>
      </c>
      <c r="H1180" t="s">
        <v>26</v>
      </c>
      <c r="I1180" t="s">
        <v>40</v>
      </c>
      <c r="J1180" s="11">
        <v>45192</v>
      </c>
      <c r="K1180" t="str">
        <f>TEXT(Transactions_Clean[[#This Row],[Date]],"MMM-YYYY")</f>
        <v>Sep-2023</v>
      </c>
      <c r="L1180">
        <f>IF(Transactions_Clean[[#This Row],[Category]]="Revenue",Transactions_Clean[[#This Row],[Amount(₹)]],Transactions_Clean[[#This Row],[Amount(₹)]]/8)</f>
        <v>-2085.5</v>
      </c>
    </row>
    <row r="1181" spans="1:12">
      <c r="A1181" t="s">
        <v>2102</v>
      </c>
      <c r="B1181" t="s">
        <v>4774</v>
      </c>
      <c r="C1181" t="s">
        <v>440</v>
      </c>
      <c r="D1181">
        <v>-141621</v>
      </c>
      <c r="E1181" t="s">
        <v>23</v>
      </c>
      <c r="F1181" t="s">
        <v>24</v>
      </c>
      <c r="G1181" t="s">
        <v>33</v>
      </c>
      <c r="H1181" t="s">
        <v>45</v>
      </c>
      <c r="I1181" t="s">
        <v>40</v>
      </c>
      <c r="J1181" s="11">
        <v>45565</v>
      </c>
      <c r="K1181" t="str">
        <f>TEXT(Transactions_Clean[[#This Row],[Date]],"MMM-YYYY")</f>
        <v>Sep-2024</v>
      </c>
      <c r="L1181">
        <f>IF(Transactions_Clean[[#This Row],[Category]]="Revenue",Transactions_Clean[[#This Row],[Amount(₹)]],Transactions_Clean[[#This Row],[Amount(₹)]]/8)</f>
        <v>-17702.625</v>
      </c>
    </row>
    <row r="1182" spans="1:12">
      <c r="A1182" t="s">
        <v>2103</v>
      </c>
      <c r="B1182" t="s">
        <v>60</v>
      </c>
      <c r="C1182" t="s">
        <v>4750</v>
      </c>
      <c r="D1182">
        <v>-61949</v>
      </c>
      <c r="E1182" t="s">
        <v>62</v>
      </c>
      <c r="F1182" t="s">
        <v>24</v>
      </c>
      <c r="G1182" t="s">
        <v>63</v>
      </c>
      <c r="H1182" t="s">
        <v>45</v>
      </c>
      <c r="I1182" t="s">
        <v>27</v>
      </c>
      <c r="J1182" s="11">
        <v>45678</v>
      </c>
      <c r="K1182" t="str">
        <f>TEXT(Transactions_Clean[[#This Row],[Date]],"MMM-YYYY")</f>
        <v>Jan-2025</v>
      </c>
      <c r="L1182">
        <f>IF(Transactions_Clean[[#This Row],[Category]]="Revenue",Transactions_Clean[[#This Row],[Amount(₹)]],Transactions_Clean[[#This Row],[Amount(₹)]]/8)</f>
        <v>-7743.625</v>
      </c>
    </row>
    <row r="1183" spans="1:12">
      <c r="A1183" t="s">
        <v>2105</v>
      </c>
      <c r="B1183" t="s">
        <v>129</v>
      </c>
      <c r="C1183" t="s">
        <v>38</v>
      </c>
      <c r="D1183">
        <v>-46163</v>
      </c>
      <c r="E1183" t="s">
        <v>23</v>
      </c>
      <c r="F1183" t="s">
        <v>32</v>
      </c>
      <c r="G1183" t="s">
        <v>33</v>
      </c>
      <c r="H1183" t="s">
        <v>26</v>
      </c>
      <c r="I1183" t="s">
        <v>40</v>
      </c>
      <c r="J1183" s="11">
        <v>45157</v>
      </c>
      <c r="K1183" t="str">
        <f>TEXT(Transactions_Clean[[#This Row],[Date]],"MMM-YYYY")</f>
        <v>Aug-2023</v>
      </c>
      <c r="L1183">
        <f>IF(Transactions_Clean[[#This Row],[Category]]="Revenue",Transactions_Clean[[#This Row],[Amount(₹)]],Transactions_Clean[[#This Row],[Amount(₹)]]/8)</f>
        <v>-5770.375</v>
      </c>
    </row>
    <row r="1184" spans="1:12">
      <c r="A1184" t="s">
        <v>2107</v>
      </c>
      <c r="B1184" t="s">
        <v>60</v>
      </c>
      <c r="C1184" t="s">
        <v>61</v>
      </c>
      <c r="D1184">
        <v>-62940</v>
      </c>
      <c r="E1184" t="s">
        <v>62</v>
      </c>
      <c r="F1184" t="s">
        <v>24</v>
      </c>
      <c r="G1184" t="s">
        <v>63</v>
      </c>
      <c r="H1184" t="s">
        <v>39</v>
      </c>
      <c r="I1184" t="s">
        <v>34</v>
      </c>
      <c r="J1184" s="11">
        <v>45819</v>
      </c>
      <c r="K1184" t="str">
        <f>TEXT(Transactions_Clean[[#This Row],[Date]],"MMM-YYYY")</f>
        <v>Jun-2025</v>
      </c>
      <c r="L1184">
        <f>IF(Transactions_Clean[[#This Row],[Category]]="Revenue",Transactions_Clean[[#This Row],[Amount(₹)]],Transactions_Clean[[#This Row],[Amount(₹)]]/8)</f>
        <v>-7867.5</v>
      </c>
    </row>
    <row r="1185" spans="1:12">
      <c r="A1185" t="s">
        <v>2108</v>
      </c>
      <c r="B1185" t="s">
        <v>72</v>
      </c>
      <c r="C1185" t="s">
        <v>73</v>
      </c>
      <c r="D1185">
        <v>-84050</v>
      </c>
      <c r="E1185" t="s">
        <v>74</v>
      </c>
      <c r="F1185" t="s">
        <v>32</v>
      </c>
      <c r="G1185" t="s">
        <v>25</v>
      </c>
      <c r="H1185" t="s">
        <v>39</v>
      </c>
      <c r="I1185" t="s">
        <v>27</v>
      </c>
      <c r="J1185" s="11">
        <v>46100</v>
      </c>
      <c r="K1185" t="str">
        <f>TEXT(Transactions_Clean[[#This Row],[Date]],"MMM-YYYY")</f>
        <v>Mar-2026</v>
      </c>
      <c r="L1185">
        <f>IF(Transactions_Clean[[#This Row],[Category]]="Revenue",Transactions_Clean[[#This Row],[Amount(₹)]],Transactions_Clean[[#This Row],[Amount(₹)]]/8)</f>
        <v>-10506.25</v>
      </c>
    </row>
    <row r="1186" spans="1:12">
      <c r="A1186" t="s">
        <v>2110</v>
      </c>
      <c r="B1186" t="s">
        <v>66</v>
      </c>
      <c r="C1186" t="s">
        <v>61</v>
      </c>
      <c r="D1186">
        <v>-60663</v>
      </c>
      <c r="E1186" t="s">
        <v>62</v>
      </c>
      <c r="F1186" t="s">
        <v>32</v>
      </c>
      <c r="G1186" t="s">
        <v>63</v>
      </c>
      <c r="H1186" t="s">
        <v>39</v>
      </c>
      <c r="I1186" t="s">
        <v>27</v>
      </c>
      <c r="J1186" s="11">
        <v>46027</v>
      </c>
      <c r="K1186" t="str">
        <f>TEXT(Transactions_Clean[[#This Row],[Date]],"MMM-YYYY")</f>
        <v>Jan-2026</v>
      </c>
      <c r="L1186">
        <f>IF(Transactions_Clean[[#This Row],[Category]]="Revenue",Transactions_Clean[[#This Row],[Amount(₹)]],Transactions_Clean[[#This Row],[Amount(₹)]]/8)</f>
        <v>-7582.875</v>
      </c>
    </row>
    <row r="1187" spans="1:12">
      <c r="A1187" t="s">
        <v>2111</v>
      </c>
      <c r="B1187" t="s">
        <v>202</v>
      </c>
      <c r="C1187" t="s">
        <v>22</v>
      </c>
      <c r="D1187">
        <v>-102569</v>
      </c>
      <c r="E1187" t="s">
        <v>23</v>
      </c>
      <c r="F1187" t="s">
        <v>24</v>
      </c>
      <c r="G1187" t="s">
        <v>25</v>
      </c>
      <c r="H1187" t="s">
        <v>26</v>
      </c>
      <c r="I1187" t="s">
        <v>27</v>
      </c>
      <c r="J1187" s="11">
        <v>45350</v>
      </c>
      <c r="K1187" t="str">
        <f>TEXT(Transactions_Clean[[#This Row],[Date]],"MMM-YYYY")</f>
        <v>Feb-2024</v>
      </c>
      <c r="L1187">
        <f>IF(Transactions_Clean[[#This Row],[Category]]="Revenue",Transactions_Clean[[#This Row],[Amount(₹)]],Transactions_Clean[[#This Row],[Amount(₹)]]/8)</f>
        <v>-12821.125</v>
      </c>
    </row>
    <row r="1188" spans="1:12">
      <c r="A1188" t="s">
        <v>2112</v>
      </c>
      <c r="B1188" t="s">
        <v>4748</v>
      </c>
      <c r="C1188" t="s">
        <v>22</v>
      </c>
      <c r="D1188">
        <v>-117126</v>
      </c>
      <c r="E1188" t="s">
        <v>23</v>
      </c>
      <c r="F1188" t="s">
        <v>24</v>
      </c>
      <c r="G1188" t="s">
        <v>25</v>
      </c>
      <c r="H1188" t="s">
        <v>39</v>
      </c>
      <c r="I1188" t="s">
        <v>48</v>
      </c>
      <c r="J1188" s="11">
        <v>45939</v>
      </c>
      <c r="K1188" t="str">
        <f>TEXT(Transactions_Clean[[#This Row],[Date]],"MMM-YYYY")</f>
        <v>Oct-2025</v>
      </c>
      <c r="L1188">
        <f>IF(Transactions_Clean[[#This Row],[Category]]="Revenue",Transactions_Clean[[#This Row],[Amount(₹)]],Transactions_Clean[[#This Row],[Amount(₹)]]/8)</f>
        <v>-14640.75</v>
      </c>
    </row>
    <row r="1189" spans="1:12">
      <c r="A1189" t="s">
        <v>2114</v>
      </c>
      <c r="B1189" t="s">
        <v>60</v>
      </c>
      <c r="C1189" t="s">
        <v>61</v>
      </c>
      <c r="D1189">
        <v>-33140</v>
      </c>
      <c r="E1189" t="s">
        <v>62</v>
      </c>
      <c r="F1189" t="s">
        <v>32</v>
      </c>
      <c r="G1189" t="s">
        <v>63</v>
      </c>
      <c r="H1189" t="s">
        <v>39</v>
      </c>
      <c r="I1189" t="s">
        <v>48</v>
      </c>
      <c r="J1189" s="11">
        <v>45991</v>
      </c>
      <c r="K1189" t="str">
        <f>TEXT(Transactions_Clean[[#This Row],[Date]],"MMM-YYYY")</f>
        <v>Nov-2025</v>
      </c>
      <c r="L1189">
        <f>IF(Transactions_Clean[[#This Row],[Category]]="Revenue",Transactions_Clean[[#This Row],[Amount(₹)]],Transactions_Clean[[#This Row],[Amount(₹)]]/8)</f>
        <v>-4142.5</v>
      </c>
    </row>
    <row r="1190" spans="1:12">
      <c r="A1190" t="s">
        <v>2116</v>
      </c>
      <c r="B1190" t="s">
        <v>4771</v>
      </c>
      <c r="C1190" t="s">
        <v>440</v>
      </c>
      <c r="D1190">
        <v>-99234</v>
      </c>
      <c r="E1190" t="s">
        <v>23</v>
      </c>
      <c r="F1190" t="s">
        <v>32</v>
      </c>
      <c r="G1190" t="s">
        <v>33</v>
      </c>
      <c r="H1190" t="s">
        <v>45</v>
      </c>
      <c r="I1190" t="s">
        <v>40</v>
      </c>
      <c r="J1190" s="11">
        <v>45530</v>
      </c>
      <c r="K1190" t="str">
        <f>TEXT(Transactions_Clean[[#This Row],[Date]],"MMM-YYYY")</f>
        <v>Aug-2024</v>
      </c>
      <c r="L1190">
        <f>IF(Transactions_Clean[[#This Row],[Category]]="Revenue",Transactions_Clean[[#This Row],[Amount(₹)]],Transactions_Clean[[#This Row],[Amount(₹)]]/8)</f>
        <v>-12404.25</v>
      </c>
    </row>
    <row r="1191" spans="1:12">
      <c r="A1191" t="s">
        <v>2117</v>
      </c>
      <c r="B1191" t="s">
        <v>310</v>
      </c>
      <c r="C1191" t="s">
        <v>22</v>
      </c>
      <c r="D1191">
        <v>-209269</v>
      </c>
      <c r="E1191" t="s">
        <v>23</v>
      </c>
      <c r="F1191" t="s">
        <v>24</v>
      </c>
      <c r="G1191" t="s">
        <v>25</v>
      </c>
      <c r="H1191" t="s">
        <v>39</v>
      </c>
      <c r="I1191" t="s">
        <v>34</v>
      </c>
      <c r="J1191" s="11">
        <v>45816</v>
      </c>
      <c r="K1191" t="str">
        <f>TEXT(Transactions_Clean[[#This Row],[Date]],"MMM-YYYY")</f>
        <v>Jun-2025</v>
      </c>
      <c r="L1191">
        <f>IF(Transactions_Clean[[#This Row],[Category]]="Revenue",Transactions_Clean[[#This Row],[Amount(₹)]],Transactions_Clean[[#This Row],[Amount(₹)]]/8)</f>
        <v>-26158.625</v>
      </c>
    </row>
    <row r="1192" spans="1:12">
      <c r="A1192" t="s">
        <v>2118</v>
      </c>
      <c r="B1192" t="s">
        <v>4752</v>
      </c>
      <c r="C1192" t="s">
        <v>44</v>
      </c>
      <c r="D1192">
        <v>-161747</v>
      </c>
      <c r="E1192" t="s">
        <v>23</v>
      </c>
      <c r="F1192" t="s">
        <v>24</v>
      </c>
      <c r="G1192" t="s">
        <v>33</v>
      </c>
      <c r="H1192" t="s">
        <v>26</v>
      </c>
      <c r="I1192" t="s">
        <v>48</v>
      </c>
      <c r="J1192" s="11">
        <v>45230</v>
      </c>
      <c r="K1192" t="str">
        <f>TEXT(Transactions_Clean[[#This Row],[Date]],"MMM-YYYY")</f>
        <v>Oct-2023</v>
      </c>
      <c r="L1192">
        <f>IF(Transactions_Clean[[#This Row],[Category]]="Revenue",Transactions_Clean[[#This Row],[Amount(₹)]],Transactions_Clean[[#This Row],[Amount(₹)]]/8)</f>
        <v>-20218.375</v>
      </c>
    </row>
    <row r="1193" spans="1:12">
      <c r="A1193" t="s">
        <v>2119</v>
      </c>
      <c r="B1193" t="s">
        <v>283</v>
      </c>
      <c r="C1193" t="s">
        <v>44</v>
      </c>
      <c r="D1193">
        <v>-51976</v>
      </c>
      <c r="E1193" t="s">
        <v>23</v>
      </c>
      <c r="F1193" t="s">
        <v>24</v>
      </c>
      <c r="G1193" t="s">
        <v>33</v>
      </c>
      <c r="H1193" t="s">
        <v>39</v>
      </c>
      <c r="I1193" t="s">
        <v>40</v>
      </c>
      <c r="J1193" s="11">
        <v>45853</v>
      </c>
      <c r="K1193" t="str">
        <f>TEXT(Transactions_Clean[[#This Row],[Date]],"MMM-YYYY")</f>
        <v>Jul-2025</v>
      </c>
      <c r="L1193">
        <f>IF(Transactions_Clean[[#This Row],[Category]]="Revenue",Transactions_Clean[[#This Row],[Amount(₹)]],Transactions_Clean[[#This Row],[Amount(₹)]]/8)</f>
        <v>-6497</v>
      </c>
    </row>
    <row r="1194" spans="1:12">
      <c r="A1194" t="s">
        <v>2121</v>
      </c>
      <c r="B1194" t="s">
        <v>4759</v>
      </c>
      <c r="C1194" t="s">
        <v>31</v>
      </c>
      <c r="D1194">
        <v>-26053</v>
      </c>
      <c r="E1194" t="s">
        <v>23</v>
      </c>
      <c r="F1194" t="s">
        <v>24</v>
      </c>
      <c r="G1194" t="s">
        <v>33</v>
      </c>
      <c r="H1194" t="s">
        <v>39</v>
      </c>
      <c r="I1194" t="s">
        <v>40</v>
      </c>
      <c r="J1194" s="11">
        <v>45861</v>
      </c>
      <c r="K1194" t="str">
        <f>TEXT(Transactions_Clean[[#This Row],[Date]],"MMM-YYYY")</f>
        <v>Jul-2025</v>
      </c>
      <c r="L1194">
        <f>IF(Transactions_Clean[[#This Row],[Category]]="Revenue",Transactions_Clean[[#This Row],[Amount(₹)]],Transactions_Clean[[#This Row],[Amount(₹)]]/8)</f>
        <v>-3256.625</v>
      </c>
    </row>
    <row r="1195" spans="1:12">
      <c r="A1195" t="s">
        <v>2123</v>
      </c>
      <c r="B1195" t="s">
        <v>4784</v>
      </c>
      <c r="C1195" t="s">
        <v>136</v>
      </c>
      <c r="D1195">
        <v>-10479020</v>
      </c>
      <c r="E1195" t="s">
        <v>62</v>
      </c>
      <c r="F1195" t="s">
        <v>32</v>
      </c>
      <c r="G1195" t="s">
        <v>63</v>
      </c>
      <c r="H1195" t="s">
        <v>39</v>
      </c>
      <c r="I1195" t="s">
        <v>48</v>
      </c>
      <c r="J1195" s="11">
        <v>46019</v>
      </c>
      <c r="K1195" t="str">
        <f>TEXT(Transactions_Clean[[#This Row],[Date]],"MMM-YYYY")</f>
        <v>Dec-2025</v>
      </c>
      <c r="L1195">
        <f>IF(Transactions_Clean[[#This Row],[Category]]="Revenue",Transactions_Clean[[#This Row],[Amount(₹)]],Transactions_Clean[[#This Row],[Amount(₹)]]/8)</f>
        <v>-1309877.5</v>
      </c>
    </row>
    <row r="1196" spans="1:12">
      <c r="A1196" t="s">
        <v>2125</v>
      </c>
      <c r="B1196" t="s">
        <v>66</v>
      </c>
      <c r="C1196" t="s">
        <v>4750</v>
      </c>
      <c r="D1196">
        <v>-59374</v>
      </c>
      <c r="E1196" t="s">
        <v>62</v>
      </c>
      <c r="F1196" t="s">
        <v>32</v>
      </c>
      <c r="G1196" t="s">
        <v>63</v>
      </c>
      <c r="H1196" t="s">
        <v>26</v>
      </c>
      <c r="I1196" t="s">
        <v>40</v>
      </c>
      <c r="J1196" s="11">
        <v>45126</v>
      </c>
      <c r="K1196" t="str">
        <f>TEXT(Transactions_Clean[[#This Row],[Date]],"MMM-YYYY")</f>
        <v>Jul-2023</v>
      </c>
      <c r="L1196">
        <f>IF(Transactions_Clean[[#This Row],[Category]]="Revenue",Transactions_Clean[[#This Row],[Amount(₹)]],Transactions_Clean[[#This Row],[Amount(₹)]]/8)</f>
        <v>-7421.75</v>
      </c>
    </row>
    <row r="1197" spans="1:12">
      <c r="A1197" t="s">
        <v>2127</v>
      </c>
      <c r="B1197" t="s">
        <v>4754</v>
      </c>
      <c r="C1197" t="s">
        <v>4750</v>
      </c>
      <c r="D1197">
        <v>-73209</v>
      </c>
      <c r="E1197" t="s">
        <v>23</v>
      </c>
      <c r="F1197" t="s">
        <v>32</v>
      </c>
      <c r="G1197" t="s">
        <v>79</v>
      </c>
      <c r="H1197" t="s">
        <v>45</v>
      </c>
      <c r="I1197" t="s">
        <v>40</v>
      </c>
      <c r="J1197" s="11">
        <v>45490</v>
      </c>
      <c r="K1197" t="str">
        <f>TEXT(Transactions_Clean[[#This Row],[Date]],"MMM-YYYY")</f>
        <v>Jul-2024</v>
      </c>
      <c r="L1197">
        <f>IF(Transactions_Clean[[#This Row],[Category]]="Revenue",Transactions_Clean[[#This Row],[Amount(₹)]],Transactions_Clean[[#This Row],[Amount(₹)]]/8)</f>
        <v>-9151.125</v>
      </c>
    </row>
    <row r="1198" spans="1:12">
      <c r="A1198" t="s">
        <v>2128</v>
      </c>
      <c r="B1198" t="s">
        <v>60</v>
      </c>
      <c r="C1198" t="s">
        <v>61</v>
      </c>
      <c r="D1198">
        <v>-49327</v>
      </c>
      <c r="E1198" t="s">
        <v>62</v>
      </c>
      <c r="F1198" t="s">
        <v>32</v>
      </c>
      <c r="G1198" t="s">
        <v>63</v>
      </c>
      <c r="H1198" t="s">
        <v>39</v>
      </c>
      <c r="I1198" t="s">
        <v>48</v>
      </c>
      <c r="J1198" s="11">
        <v>45960</v>
      </c>
      <c r="K1198" t="str">
        <f>TEXT(Transactions_Clean[[#This Row],[Date]],"MMM-YYYY")</f>
        <v>Oct-2025</v>
      </c>
      <c r="L1198">
        <f>IF(Transactions_Clean[[#This Row],[Category]]="Revenue",Transactions_Clean[[#This Row],[Amount(₹)]],Transactions_Clean[[#This Row],[Amount(₹)]]/8)</f>
        <v>-6165.875</v>
      </c>
    </row>
    <row r="1199" spans="1:12">
      <c r="A1199" t="s">
        <v>2130</v>
      </c>
      <c r="B1199" t="s">
        <v>4755</v>
      </c>
      <c r="C1199" t="s">
        <v>78</v>
      </c>
      <c r="D1199">
        <v>-72350</v>
      </c>
      <c r="E1199" t="s">
        <v>23</v>
      </c>
      <c r="F1199" t="s">
        <v>32</v>
      </c>
      <c r="G1199" t="s">
        <v>79</v>
      </c>
      <c r="H1199" t="s">
        <v>39</v>
      </c>
      <c r="I1199" t="s">
        <v>27</v>
      </c>
      <c r="J1199" s="11">
        <v>46327</v>
      </c>
      <c r="K1199" t="str">
        <f>TEXT(Transactions_Clean[[#This Row],[Date]],"MMM-YYYY")</f>
        <v>Nov-2026</v>
      </c>
      <c r="L1199">
        <f>IF(Transactions_Clean[[#This Row],[Category]]="Revenue",Transactions_Clean[[#This Row],[Amount(₹)]],Transactions_Clean[[#This Row],[Amount(₹)]]/8)</f>
        <v>-9043.75</v>
      </c>
    </row>
    <row r="1200" spans="1:12">
      <c r="A1200" t="s">
        <v>2132</v>
      </c>
      <c r="B1200" t="s">
        <v>215</v>
      </c>
      <c r="C1200" t="s">
        <v>61</v>
      </c>
      <c r="D1200">
        <v>-53909</v>
      </c>
      <c r="E1200" t="s">
        <v>62</v>
      </c>
      <c r="F1200" t="s">
        <v>32</v>
      </c>
      <c r="G1200" t="s">
        <v>63</v>
      </c>
      <c r="H1200" t="s">
        <v>39</v>
      </c>
      <c r="I1200" t="s">
        <v>27</v>
      </c>
      <c r="J1200" s="11">
        <v>46055</v>
      </c>
      <c r="K1200" t="str">
        <f>TEXT(Transactions_Clean[[#This Row],[Date]],"MMM-YYYY")</f>
        <v>Feb-2026</v>
      </c>
      <c r="L1200">
        <f>IF(Transactions_Clean[[#This Row],[Category]]="Revenue",Transactions_Clean[[#This Row],[Amount(₹)]],Transactions_Clean[[#This Row],[Amount(₹)]]/8)</f>
        <v>-6738.625</v>
      </c>
    </row>
    <row r="1201" spans="1:12">
      <c r="A1201" t="s">
        <v>2133</v>
      </c>
      <c r="B1201" t="s">
        <v>4773</v>
      </c>
      <c r="C1201" t="s">
        <v>157</v>
      </c>
      <c r="D1201">
        <v>593036</v>
      </c>
      <c r="E1201" t="s">
        <v>62</v>
      </c>
      <c r="F1201" t="s">
        <v>32</v>
      </c>
      <c r="G1201" t="s">
        <v>25</v>
      </c>
      <c r="H1201" t="s">
        <v>45</v>
      </c>
      <c r="I1201" t="s">
        <v>34</v>
      </c>
      <c r="J1201" s="11">
        <v>45464</v>
      </c>
      <c r="K1201" t="str">
        <f>TEXT(Transactions_Clean[[#This Row],[Date]],"MMM-YYYY")</f>
        <v>Jun-2024</v>
      </c>
      <c r="L1201">
        <f>IF(Transactions_Clean[[#This Row],[Category]]="Revenue",Transactions_Clean[[#This Row],[Amount(₹)]],Transactions_Clean[[#This Row],[Amount(₹)]]/8)</f>
        <v>593036</v>
      </c>
    </row>
    <row r="1202" spans="1:12">
      <c r="A1202" t="s">
        <v>2134</v>
      </c>
      <c r="B1202" t="s">
        <v>4756</v>
      </c>
      <c r="C1202" t="s">
        <v>73</v>
      </c>
      <c r="D1202">
        <v>-32749</v>
      </c>
      <c r="E1202" t="s">
        <v>74</v>
      </c>
      <c r="F1202" t="s">
        <v>24</v>
      </c>
      <c r="G1202" t="s">
        <v>25</v>
      </c>
      <c r="H1202" t="s">
        <v>45</v>
      </c>
      <c r="I1202" t="s">
        <v>34</v>
      </c>
      <c r="J1202" s="11">
        <v>45441</v>
      </c>
      <c r="K1202" t="str">
        <f>TEXT(Transactions_Clean[[#This Row],[Date]],"MMM-YYYY")</f>
        <v>May-2024</v>
      </c>
      <c r="L1202">
        <f>IF(Transactions_Clean[[#This Row],[Category]]="Revenue",Transactions_Clean[[#This Row],[Amount(₹)]],Transactions_Clean[[#This Row],[Amount(₹)]]/8)</f>
        <v>-4093.625</v>
      </c>
    </row>
    <row r="1203" spans="1:12">
      <c r="A1203" t="s">
        <v>2136</v>
      </c>
      <c r="B1203" t="s">
        <v>4751</v>
      </c>
      <c r="C1203" t="s">
        <v>38</v>
      </c>
      <c r="D1203">
        <v>-47368</v>
      </c>
      <c r="E1203" t="s">
        <v>23</v>
      </c>
      <c r="F1203" t="s">
        <v>24</v>
      </c>
      <c r="G1203" t="s">
        <v>33</v>
      </c>
      <c r="H1203" t="s">
        <v>39</v>
      </c>
      <c r="I1203" t="s">
        <v>48</v>
      </c>
      <c r="J1203" s="11">
        <v>45960</v>
      </c>
      <c r="K1203" t="str">
        <f>TEXT(Transactions_Clean[[#This Row],[Date]],"MMM-YYYY")</f>
        <v>Oct-2025</v>
      </c>
      <c r="L1203">
        <f>IF(Transactions_Clean[[#This Row],[Category]]="Revenue",Transactions_Clean[[#This Row],[Amount(₹)]],Transactions_Clean[[#This Row],[Amount(₹)]]/8)</f>
        <v>-5921</v>
      </c>
    </row>
    <row r="1204" spans="1:12">
      <c r="A1204" t="s">
        <v>2138</v>
      </c>
      <c r="B1204" t="s">
        <v>60</v>
      </c>
      <c r="C1204" t="s">
        <v>61</v>
      </c>
      <c r="D1204">
        <v>-44345</v>
      </c>
      <c r="E1204" t="s">
        <v>62</v>
      </c>
      <c r="F1204" t="s">
        <v>32</v>
      </c>
      <c r="G1204" t="s">
        <v>63</v>
      </c>
      <c r="H1204" t="s">
        <v>45</v>
      </c>
      <c r="I1204" t="s">
        <v>40</v>
      </c>
      <c r="J1204" s="11">
        <v>45538</v>
      </c>
      <c r="K1204" t="str">
        <f>TEXT(Transactions_Clean[[#This Row],[Date]],"MMM-YYYY")</f>
        <v>Sep-2024</v>
      </c>
      <c r="L1204">
        <f>IF(Transactions_Clean[[#This Row],[Category]]="Revenue",Transactions_Clean[[#This Row],[Amount(₹)]],Transactions_Clean[[#This Row],[Amount(₹)]]/8)</f>
        <v>-5543.125</v>
      </c>
    </row>
    <row r="1205" spans="1:12">
      <c r="A1205" t="s">
        <v>2139</v>
      </c>
      <c r="B1205" t="s">
        <v>616</v>
      </c>
      <c r="C1205" t="s">
        <v>22</v>
      </c>
      <c r="D1205">
        <v>-136801</v>
      </c>
      <c r="E1205" t="s">
        <v>23</v>
      </c>
      <c r="F1205" t="s">
        <v>24</v>
      </c>
      <c r="G1205" t="s">
        <v>25</v>
      </c>
      <c r="H1205" t="s">
        <v>45</v>
      </c>
      <c r="I1205" t="s">
        <v>48</v>
      </c>
      <c r="J1205" s="11">
        <v>45646</v>
      </c>
      <c r="K1205" t="str">
        <f>TEXT(Transactions_Clean[[#This Row],[Date]],"MMM-YYYY")</f>
        <v>Dec-2024</v>
      </c>
      <c r="L1205">
        <f>IF(Transactions_Clean[[#This Row],[Category]]="Revenue",Transactions_Clean[[#This Row],[Amount(₹)]],Transactions_Clean[[#This Row],[Amount(₹)]]/8)</f>
        <v>-17100.125</v>
      </c>
    </row>
    <row r="1206" spans="1:12">
      <c r="A1206" t="s">
        <v>2140</v>
      </c>
      <c r="B1206" t="s">
        <v>4758</v>
      </c>
      <c r="C1206" t="s">
        <v>78</v>
      </c>
      <c r="D1206">
        <v>-61128</v>
      </c>
      <c r="E1206" t="s">
        <v>23</v>
      </c>
      <c r="F1206" t="s">
        <v>24</v>
      </c>
      <c r="G1206" t="s">
        <v>79</v>
      </c>
      <c r="H1206" t="s">
        <v>39</v>
      </c>
      <c r="I1206" t="s">
        <v>27</v>
      </c>
      <c r="J1206" s="11">
        <v>46093</v>
      </c>
      <c r="K1206" t="str">
        <f>TEXT(Transactions_Clean[[#This Row],[Date]],"MMM-YYYY")</f>
        <v>Mar-2026</v>
      </c>
      <c r="L1206">
        <f>IF(Transactions_Clean[[#This Row],[Category]]="Revenue",Transactions_Clean[[#This Row],[Amount(₹)]],Transactions_Clean[[#This Row],[Amount(₹)]]/8)</f>
        <v>-7641</v>
      </c>
    </row>
    <row r="1207" spans="1:12">
      <c r="A1207" t="s">
        <v>2142</v>
      </c>
      <c r="B1207" t="s">
        <v>687</v>
      </c>
      <c r="C1207" t="s">
        <v>44</v>
      </c>
      <c r="D1207">
        <v>-168367</v>
      </c>
      <c r="E1207" t="s">
        <v>23</v>
      </c>
      <c r="F1207" t="s">
        <v>24</v>
      </c>
      <c r="G1207" t="s">
        <v>33</v>
      </c>
      <c r="H1207" t="s">
        <v>26</v>
      </c>
      <c r="I1207" t="s">
        <v>34</v>
      </c>
      <c r="J1207" s="11">
        <v>45085</v>
      </c>
      <c r="K1207" t="str">
        <f>TEXT(Transactions_Clean[[#This Row],[Date]],"MMM-YYYY")</f>
        <v>Jun-2023</v>
      </c>
      <c r="L1207">
        <f>IF(Transactions_Clean[[#This Row],[Category]]="Revenue",Transactions_Clean[[#This Row],[Amount(₹)]],Transactions_Clean[[#This Row],[Amount(₹)]]/8)</f>
        <v>-21045.875</v>
      </c>
    </row>
    <row r="1208" spans="1:12">
      <c r="A1208" t="s">
        <v>2144</v>
      </c>
      <c r="B1208" t="s">
        <v>212</v>
      </c>
      <c r="C1208" t="s">
        <v>73</v>
      </c>
      <c r="D1208">
        <v>-18943</v>
      </c>
      <c r="E1208" t="s">
        <v>74</v>
      </c>
      <c r="F1208" t="s">
        <v>32</v>
      </c>
      <c r="G1208" t="s">
        <v>25</v>
      </c>
      <c r="H1208" t="s">
        <v>45</v>
      </c>
      <c r="I1208" t="s">
        <v>40</v>
      </c>
      <c r="J1208" s="11">
        <v>45495</v>
      </c>
      <c r="K1208" t="str">
        <f>TEXT(Transactions_Clean[[#This Row],[Date]],"MMM-YYYY")</f>
        <v>Jul-2024</v>
      </c>
      <c r="L1208">
        <f>IF(Transactions_Clean[[#This Row],[Category]]="Revenue",Transactions_Clean[[#This Row],[Amount(₹)]],Transactions_Clean[[#This Row],[Amount(₹)]]/8)</f>
        <v>-2367.875</v>
      </c>
    </row>
    <row r="1209" spans="1:12">
      <c r="A1209" t="s">
        <v>2146</v>
      </c>
      <c r="B1209" t="s">
        <v>305</v>
      </c>
      <c r="C1209" t="s">
        <v>38</v>
      </c>
      <c r="D1209">
        <v>-20493</v>
      </c>
      <c r="E1209" t="s">
        <v>23</v>
      </c>
      <c r="F1209" t="s">
        <v>24</v>
      </c>
      <c r="G1209" t="s">
        <v>33</v>
      </c>
      <c r="H1209" t="s">
        <v>45</v>
      </c>
      <c r="I1209" t="s">
        <v>34</v>
      </c>
      <c r="J1209" s="11">
        <v>45405</v>
      </c>
      <c r="K1209" t="str">
        <f>TEXT(Transactions_Clean[[#This Row],[Date]],"MMM-YYYY")</f>
        <v>Apr-2024</v>
      </c>
      <c r="L1209">
        <f>IF(Transactions_Clean[[#This Row],[Category]]="Revenue",Transactions_Clean[[#This Row],[Amount(₹)]],Transactions_Clean[[#This Row],[Amount(₹)]]/8)</f>
        <v>-2561.625</v>
      </c>
    </row>
    <row r="1210" spans="1:12">
      <c r="A1210" t="s">
        <v>2148</v>
      </c>
      <c r="B1210" t="s">
        <v>4751</v>
      </c>
      <c r="C1210" t="s">
        <v>38</v>
      </c>
      <c r="D1210">
        <v>-46637</v>
      </c>
      <c r="E1210" t="s">
        <v>23</v>
      </c>
      <c r="F1210" t="s">
        <v>32</v>
      </c>
      <c r="G1210" t="s">
        <v>33</v>
      </c>
      <c r="H1210" t="s">
        <v>39</v>
      </c>
      <c r="I1210" t="s">
        <v>27</v>
      </c>
      <c r="J1210" s="11">
        <v>46071</v>
      </c>
      <c r="K1210" t="str">
        <f>TEXT(Transactions_Clean[[#This Row],[Date]],"MMM-YYYY")</f>
        <v>Feb-2026</v>
      </c>
      <c r="L1210">
        <f>IF(Transactions_Clean[[#This Row],[Category]]="Revenue",Transactions_Clean[[#This Row],[Amount(₹)]],Transactions_Clean[[#This Row],[Amount(₹)]]/8)</f>
        <v>-5829.625</v>
      </c>
    </row>
    <row r="1211" spans="1:12">
      <c r="A1211" t="s">
        <v>2149</v>
      </c>
      <c r="B1211" t="s">
        <v>224</v>
      </c>
      <c r="C1211" t="s">
        <v>78</v>
      </c>
      <c r="D1211">
        <v>-41081</v>
      </c>
      <c r="E1211" t="s">
        <v>23</v>
      </c>
      <c r="F1211" t="s">
        <v>32</v>
      </c>
      <c r="G1211" t="s">
        <v>79</v>
      </c>
      <c r="H1211" t="s">
        <v>45</v>
      </c>
      <c r="I1211" t="s">
        <v>48</v>
      </c>
      <c r="J1211" s="11">
        <v>45618</v>
      </c>
      <c r="K1211" t="str">
        <f>TEXT(Transactions_Clean[[#This Row],[Date]],"MMM-YYYY")</f>
        <v>Nov-2024</v>
      </c>
      <c r="L1211">
        <f>IF(Transactions_Clean[[#This Row],[Category]]="Revenue",Transactions_Clean[[#This Row],[Amount(₹)]],Transactions_Clean[[#This Row],[Amount(₹)]]/8)</f>
        <v>-5135.125</v>
      </c>
    </row>
    <row r="1212" spans="1:12">
      <c r="A1212" t="s">
        <v>2150</v>
      </c>
      <c r="B1212" t="s">
        <v>4752</v>
      </c>
      <c r="C1212" t="s">
        <v>4750</v>
      </c>
      <c r="D1212">
        <v>-71681</v>
      </c>
      <c r="E1212" t="s">
        <v>23</v>
      </c>
      <c r="F1212" t="s">
        <v>24</v>
      </c>
      <c r="G1212" t="s">
        <v>33</v>
      </c>
      <c r="H1212" t="s">
        <v>45</v>
      </c>
      <c r="I1212" t="s">
        <v>48</v>
      </c>
      <c r="J1212" s="11">
        <v>45611</v>
      </c>
      <c r="K1212" t="str">
        <f>TEXT(Transactions_Clean[[#This Row],[Date]],"MMM-YYYY")</f>
        <v>Nov-2024</v>
      </c>
      <c r="L1212">
        <f>IF(Transactions_Clean[[#This Row],[Category]]="Revenue",Transactions_Clean[[#This Row],[Amount(₹)]],Transactions_Clean[[#This Row],[Amount(₹)]]/8)</f>
        <v>-8960.125</v>
      </c>
    </row>
    <row r="1213" spans="1:12">
      <c r="A1213" t="s">
        <v>2151</v>
      </c>
      <c r="B1213" t="s">
        <v>4765</v>
      </c>
      <c r="C1213" t="s">
        <v>73</v>
      </c>
      <c r="D1213">
        <v>-89403</v>
      </c>
      <c r="E1213" t="s">
        <v>74</v>
      </c>
      <c r="F1213" t="s">
        <v>32</v>
      </c>
      <c r="G1213" t="s">
        <v>25</v>
      </c>
      <c r="H1213" t="s">
        <v>39</v>
      </c>
      <c r="I1213" t="s">
        <v>34</v>
      </c>
      <c r="J1213" s="11">
        <v>45799</v>
      </c>
      <c r="K1213" t="str">
        <f>TEXT(Transactions_Clean[[#This Row],[Date]],"MMM-YYYY")</f>
        <v>May-2025</v>
      </c>
      <c r="L1213">
        <f>IF(Transactions_Clean[[#This Row],[Category]]="Revenue",Transactions_Clean[[#This Row],[Amount(₹)]],Transactions_Clean[[#This Row],[Amount(₹)]]/8)</f>
        <v>-11175.375</v>
      </c>
    </row>
    <row r="1214" spans="1:12">
      <c r="A1214" t="s">
        <v>2153</v>
      </c>
      <c r="B1214" t="s">
        <v>30</v>
      </c>
      <c r="C1214" t="s">
        <v>31</v>
      </c>
      <c r="D1214">
        <v>-42833</v>
      </c>
      <c r="E1214" t="s">
        <v>23</v>
      </c>
      <c r="F1214" t="s">
        <v>32</v>
      </c>
      <c r="G1214" t="s">
        <v>33</v>
      </c>
      <c r="H1214" t="s">
        <v>39</v>
      </c>
      <c r="I1214" t="s">
        <v>34</v>
      </c>
      <c r="J1214" s="11">
        <v>45779</v>
      </c>
      <c r="K1214" t="str">
        <f>TEXT(Transactions_Clean[[#This Row],[Date]],"MMM-YYYY")</f>
        <v>May-2025</v>
      </c>
      <c r="L1214">
        <f>IF(Transactions_Clean[[#This Row],[Category]]="Revenue",Transactions_Clean[[#This Row],[Amount(₹)]],Transactions_Clean[[#This Row],[Amount(₹)]]/8)</f>
        <v>-5354.125</v>
      </c>
    </row>
    <row r="1215" spans="1:12">
      <c r="A1215" t="s">
        <v>2154</v>
      </c>
      <c r="B1215" t="s">
        <v>4755</v>
      </c>
      <c r="C1215" t="s">
        <v>78</v>
      </c>
      <c r="D1215">
        <v>-63382</v>
      </c>
      <c r="E1215" t="s">
        <v>23</v>
      </c>
      <c r="F1215" t="s">
        <v>32</v>
      </c>
      <c r="G1215" t="s">
        <v>79</v>
      </c>
      <c r="H1215" t="s">
        <v>45</v>
      </c>
      <c r="I1215" t="s">
        <v>48</v>
      </c>
      <c r="J1215" s="11">
        <v>45577</v>
      </c>
      <c r="K1215" t="str">
        <f>TEXT(Transactions_Clean[[#This Row],[Date]],"MMM-YYYY")</f>
        <v>Oct-2024</v>
      </c>
      <c r="L1215">
        <f>IF(Transactions_Clean[[#This Row],[Category]]="Revenue",Transactions_Clean[[#This Row],[Amount(₹)]],Transactions_Clean[[#This Row],[Amount(₹)]]/8)</f>
        <v>-7922.75</v>
      </c>
    </row>
    <row r="1216" spans="1:12">
      <c r="A1216" t="s">
        <v>2155</v>
      </c>
      <c r="B1216" t="s">
        <v>4755</v>
      </c>
      <c r="C1216" t="s">
        <v>78</v>
      </c>
      <c r="D1216">
        <v>-77965</v>
      </c>
      <c r="E1216" t="s">
        <v>23</v>
      </c>
      <c r="F1216" t="s">
        <v>32</v>
      </c>
      <c r="G1216" t="s">
        <v>79</v>
      </c>
      <c r="H1216" t="s">
        <v>45</v>
      </c>
      <c r="I1216" t="s">
        <v>27</v>
      </c>
      <c r="J1216" s="11">
        <v>45714</v>
      </c>
      <c r="K1216" t="str">
        <f>TEXT(Transactions_Clean[[#This Row],[Date]],"MMM-YYYY")</f>
        <v>Feb-2025</v>
      </c>
      <c r="L1216">
        <f>IF(Transactions_Clean[[#This Row],[Category]]="Revenue",Transactions_Clean[[#This Row],[Amount(₹)]],Transactions_Clean[[#This Row],[Amount(₹)]]/8)</f>
        <v>-9745.625</v>
      </c>
    </row>
    <row r="1217" spans="1:12">
      <c r="A1217" t="s">
        <v>2156</v>
      </c>
      <c r="B1217" t="s">
        <v>4754</v>
      </c>
      <c r="C1217" t="s">
        <v>4750</v>
      </c>
      <c r="D1217">
        <v>-45156</v>
      </c>
      <c r="E1217" t="s">
        <v>23</v>
      </c>
      <c r="F1217" t="s">
        <v>24</v>
      </c>
      <c r="G1217" t="s">
        <v>79</v>
      </c>
      <c r="H1217" t="s">
        <v>45</v>
      </c>
      <c r="I1217" t="s">
        <v>48</v>
      </c>
      <c r="J1217" s="11">
        <v>45422</v>
      </c>
      <c r="K1217" t="str">
        <f>TEXT(Transactions_Clean[[#This Row],[Date]],"MMM-YYYY")</f>
        <v>May-2024</v>
      </c>
      <c r="L1217">
        <f>IF(Transactions_Clean[[#This Row],[Category]]="Revenue",Transactions_Clean[[#This Row],[Amount(₹)]],Transactions_Clean[[#This Row],[Amount(₹)]]/8)</f>
        <v>-5644.5</v>
      </c>
    </row>
    <row r="1218" spans="1:12">
      <c r="A1218" t="s">
        <v>2158</v>
      </c>
      <c r="B1218" t="s">
        <v>4759</v>
      </c>
      <c r="C1218" t="s">
        <v>31</v>
      </c>
      <c r="D1218">
        <v>-4136</v>
      </c>
      <c r="E1218" t="s">
        <v>23</v>
      </c>
      <c r="F1218" t="s">
        <v>24</v>
      </c>
      <c r="G1218" t="s">
        <v>33</v>
      </c>
      <c r="H1218" t="s">
        <v>26</v>
      </c>
      <c r="I1218" t="s">
        <v>27</v>
      </c>
      <c r="J1218" s="11">
        <v>45385</v>
      </c>
      <c r="K1218" t="str">
        <f>TEXT(Transactions_Clean[[#This Row],[Date]],"MMM-YYYY")</f>
        <v>Apr-2024</v>
      </c>
      <c r="L1218">
        <f>IF(Transactions_Clean[[#This Row],[Category]]="Revenue",Transactions_Clean[[#This Row],[Amount(₹)]],Transactions_Clean[[#This Row],[Amount(₹)]]/8)</f>
        <v>-517</v>
      </c>
    </row>
    <row r="1219" spans="1:12">
      <c r="A1219" t="s">
        <v>2160</v>
      </c>
      <c r="B1219" t="s">
        <v>4751</v>
      </c>
      <c r="C1219" t="s">
        <v>38</v>
      </c>
      <c r="D1219">
        <v>-40244</v>
      </c>
      <c r="E1219" t="s">
        <v>23</v>
      </c>
      <c r="F1219" t="s">
        <v>32</v>
      </c>
      <c r="G1219" t="s">
        <v>33</v>
      </c>
      <c r="H1219" t="s">
        <v>45</v>
      </c>
      <c r="I1219" t="s">
        <v>48</v>
      </c>
      <c r="J1219" s="11">
        <v>45606</v>
      </c>
      <c r="K1219" t="str">
        <f>TEXT(Transactions_Clean[[#This Row],[Date]],"MMM-YYYY")</f>
        <v>Nov-2024</v>
      </c>
      <c r="L1219">
        <f>IF(Transactions_Clean[[#This Row],[Category]]="Revenue",Transactions_Clean[[#This Row],[Amount(₹)]],Transactions_Clean[[#This Row],[Amount(₹)]]/8)</f>
        <v>-5030.5</v>
      </c>
    </row>
    <row r="1220" spans="1:12">
      <c r="A1220" t="s">
        <v>2162</v>
      </c>
      <c r="B1220" t="s">
        <v>4748</v>
      </c>
      <c r="C1220" t="s">
        <v>22</v>
      </c>
      <c r="D1220">
        <v>-31429</v>
      </c>
      <c r="E1220" t="s">
        <v>23</v>
      </c>
      <c r="F1220" t="s">
        <v>24</v>
      </c>
      <c r="G1220" t="s">
        <v>25</v>
      </c>
      <c r="H1220" t="s">
        <v>39</v>
      </c>
      <c r="I1220" t="s">
        <v>27</v>
      </c>
      <c r="J1220" s="11">
        <v>46094</v>
      </c>
      <c r="K1220" t="str">
        <f>TEXT(Transactions_Clean[[#This Row],[Date]],"MMM-YYYY")</f>
        <v>Mar-2026</v>
      </c>
      <c r="L1220">
        <f>IF(Transactions_Clean[[#This Row],[Category]]="Revenue",Transactions_Clean[[#This Row],[Amount(₹)]],Transactions_Clean[[#This Row],[Amount(₹)]]/8)</f>
        <v>-3928.625</v>
      </c>
    </row>
    <row r="1221" spans="1:12">
      <c r="A1221" t="s">
        <v>2163</v>
      </c>
      <c r="B1221" t="s">
        <v>60</v>
      </c>
      <c r="C1221" t="s">
        <v>61</v>
      </c>
      <c r="D1221">
        <v>-59823</v>
      </c>
      <c r="E1221" t="s">
        <v>62</v>
      </c>
      <c r="F1221" t="s">
        <v>24</v>
      </c>
      <c r="G1221" t="s">
        <v>63</v>
      </c>
      <c r="H1221" t="s">
        <v>26</v>
      </c>
      <c r="I1221" t="s">
        <v>34</v>
      </c>
      <c r="J1221" s="11">
        <v>45031</v>
      </c>
      <c r="K1221" t="str">
        <f>TEXT(Transactions_Clean[[#This Row],[Date]],"MMM-YYYY")</f>
        <v>Apr-2023</v>
      </c>
      <c r="L1221">
        <f>IF(Transactions_Clean[[#This Row],[Category]]="Revenue",Transactions_Clean[[#This Row],[Amount(₹)]],Transactions_Clean[[#This Row],[Amount(₹)]]/8)</f>
        <v>-7477.875</v>
      </c>
    </row>
    <row r="1222" spans="1:12">
      <c r="A1222" t="s">
        <v>2164</v>
      </c>
      <c r="B1222" t="s">
        <v>177</v>
      </c>
      <c r="C1222" t="s">
        <v>78</v>
      </c>
      <c r="D1222">
        <v>-112708</v>
      </c>
      <c r="E1222" t="s">
        <v>23</v>
      </c>
      <c r="F1222" t="s">
        <v>24</v>
      </c>
      <c r="G1222" t="s">
        <v>79</v>
      </c>
      <c r="H1222" t="s">
        <v>26</v>
      </c>
      <c r="I1222" t="s">
        <v>40</v>
      </c>
      <c r="J1222" s="11">
        <v>45119</v>
      </c>
      <c r="K1222" t="str">
        <f>TEXT(Transactions_Clean[[#This Row],[Date]],"MMM-YYYY")</f>
        <v>Jul-2023</v>
      </c>
      <c r="L1222">
        <f>IF(Transactions_Clean[[#This Row],[Category]]="Revenue",Transactions_Clean[[#This Row],[Amount(₹)]],Transactions_Clean[[#This Row],[Amount(₹)]]/8)</f>
        <v>-14088.5</v>
      </c>
    </row>
    <row r="1223" spans="1:12">
      <c r="A1223" t="s">
        <v>2166</v>
      </c>
      <c r="B1223" t="s">
        <v>116</v>
      </c>
      <c r="C1223" t="s">
        <v>73</v>
      </c>
      <c r="D1223">
        <v>-73291</v>
      </c>
      <c r="E1223" t="s">
        <v>74</v>
      </c>
      <c r="F1223" t="s">
        <v>32</v>
      </c>
      <c r="G1223" t="s">
        <v>25</v>
      </c>
      <c r="H1223" t="s">
        <v>26</v>
      </c>
      <c r="I1223" t="s">
        <v>27</v>
      </c>
      <c r="J1223" s="11">
        <v>45344</v>
      </c>
      <c r="K1223" t="str">
        <f>TEXT(Transactions_Clean[[#This Row],[Date]],"MMM-YYYY")</f>
        <v>Feb-2024</v>
      </c>
      <c r="L1223">
        <f>IF(Transactions_Clean[[#This Row],[Category]]="Revenue",Transactions_Clean[[#This Row],[Amount(₹)]],Transactions_Clean[[#This Row],[Amount(₹)]]/8)</f>
        <v>-9161.375</v>
      </c>
    </row>
    <row r="1224" spans="1:12">
      <c r="A1224" t="s">
        <v>2167</v>
      </c>
      <c r="B1224" t="s">
        <v>4755</v>
      </c>
      <c r="C1224" t="s">
        <v>78</v>
      </c>
      <c r="D1224">
        <v>-93011</v>
      </c>
      <c r="E1224" t="s">
        <v>23</v>
      </c>
      <c r="F1224" t="s">
        <v>32</v>
      </c>
      <c r="G1224" t="s">
        <v>79</v>
      </c>
      <c r="H1224" t="s">
        <v>39</v>
      </c>
      <c r="I1224" t="s">
        <v>40</v>
      </c>
      <c r="J1224" s="11">
        <v>45878</v>
      </c>
      <c r="K1224" t="str">
        <f>TEXT(Transactions_Clean[[#This Row],[Date]],"MMM-YYYY")</f>
        <v>Aug-2025</v>
      </c>
      <c r="L1224">
        <f>IF(Transactions_Clean[[#This Row],[Category]]="Revenue",Transactions_Clean[[#This Row],[Amount(₹)]],Transactions_Clean[[#This Row],[Amount(₹)]]/8)</f>
        <v>-11626.375</v>
      </c>
    </row>
    <row r="1225" spans="1:12">
      <c r="A1225" t="s">
        <v>2169</v>
      </c>
      <c r="B1225" t="s">
        <v>4752</v>
      </c>
      <c r="C1225" t="s">
        <v>44</v>
      </c>
      <c r="D1225">
        <v>-51979</v>
      </c>
      <c r="E1225" t="s">
        <v>23</v>
      </c>
      <c r="F1225" t="s">
        <v>24</v>
      </c>
      <c r="G1225" t="s">
        <v>33</v>
      </c>
      <c r="H1225" t="s">
        <v>39</v>
      </c>
      <c r="I1225" t="s">
        <v>27</v>
      </c>
      <c r="J1225" s="11">
        <v>46039</v>
      </c>
      <c r="K1225" t="str">
        <f>TEXT(Transactions_Clean[[#This Row],[Date]],"MMM-YYYY")</f>
        <v>Jan-2026</v>
      </c>
      <c r="L1225">
        <f>IF(Transactions_Clean[[#This Row],[Category]]="Revenue",Transactions_Clean[[#This Row],[Amount(₹)]],Transactions_Clean[[#This Row],[Amount(₹)]]/8)</f>
        <v>-6497.375</v>
      </c>
    </row>
    <row r="1226" spans="1:12">
      <c r="A1226" t="s">
        <v>2171</v>
      </c>
      <c r="B1226" t="s">
        <v>177</v>
      </c>
      <c r="C1226" t="s">
        <v>78</v>
      </c>
      <c r="D1226">
        <v>-93027</v>
      </c>
      <c r="E1226" t="s">
        <v>23</v>
      </c>
      <c r="F1226" t="s">
        <v>24</v>
      </c>
      <c r="G1226" t="s">
        <v>79</v>
      </c>
      <c r="H1226" t="s">
        <v>39</v>
      </c>
      <c r="I1226" t="s">
        <v>48</v>
      </c>
      <c r="J1226" s="11">
        <v>45963</v>
      </c>
      <c r="K1226" t="str">
        <f>TEXT(Transactions_Clean[[#This Row],[Date]],"MMM-YYYY")</f>
        <v>Nov-2025</v>
      </c>
      <c r="L1226">
        <f>IF(Transactions_Clean[[#This Row],[Category]]="Revenue",Transactions_Clean[[#This Row],[Amount(₹)]],Transactions_Clean[[#This Row],[Amount(₹)]]/8)</f>
        <v>-11628.375</v>
      </c>
    </row>
    <row r="1227" spans="1:12">
      <c r="A1227" t="s">
        <v>2173</v>
      </c>
      <c r="B1227" t="s">
        <v>169</v>
      </c>
      <c r="C1227" t="s">
        <v>73</v>
      </c>
      <c r="D1227">
        <v>-71891</v>
      </c>
      <c r="E1227" t="s">
        <v>74</v>
      </c>
      <c r="F1227" t="s">
        <v>24</v>
      </c>
      <c r="G1227" t="s">
        <v>25</v>
      </c>
      <c r="H1227" t="s">
        <v>26</v>
      </c>
      <c r="I1227" t="s">
        <v>27</v>
      </c>
      <c r="J1227" s="11">
        <v>45347</v>
      </c>
      <c r="K1227" t="str">
        <f>TEXT(Transactions_Clean[[#This Row],[Date]],"MMM-YYYY")</f>
        <v>Feb-2024</v>
      </c>
      <c r="L1227">
        <f>IF(Transactions_Clean[[#This Row],[Category]]="Revenue",Transactions_Clean[[#This Row],[Amount(₹)]],Transactions_Clean[[#This Row],[Amount(₹)]]/8)</f>
        <v>-8986.375</v>
      </c>
    </row>
    <row r="1228" spans="1:12">
      <c r="A1228" t="s">
        <v>2175</v>
      </c>
      <c r="B1228" t="s">
        <v>4759</v>
      </c>
      <c r="C1228" t="s">
        <v>31</v>
      </c>
      <c r="D1228">
        <v>-15895</v>
      </c>
      <c r="E1228" t="s">
        <v>23</v>
      </c>
      <c r="F1228" t="s">
        <v>24</v>
      </c>
      <c r="G1228" t="s">
        <v>33</v>
      </c>
      <c r="H1228" t="s">
        <v>45</v>
      </c>
      <c r="I1228" t="s">
        <v>34</v>
      </c>
      <c r="J1228" s="11">
        <v>45458</v>
      </c>
      <c r="K1228" t="str">
        <f>TEXT(Transactions_Clean[[#This Row],[Date]],"MMM-YYYY")</f>
        <v>Jun-2024</v>
      </c>
      <c r="L1228">
        <f>IF(Transactions_Clean[[#This Row],[Category]]="Revenue",Transactions_Clean[[#This Row],[Amount(₹)]],Transactions_Clean[[#This Row],[Amount(₹)]]/8)</f>
        <v>-1986.875</v>
      </c>
    </row>
    <row r="1229" spans="1:12">
      <c r="A1229" t="s">
        <v>2177</v>
      </c>
      <c r="B1229" t="s">
        <v>4753</v>
      </c>
      <c r="C1229" t="s">
        <v>38</v>
      </c>
      <c r="D1229">
        <v>-30301</v>
      </c>
      <c r="E1229" t="s">
        <v>23</v>
      </c>
      <c r="F1229" t="s">
        <v>24</v>
      </c>
      <c r="G1229" t="s">
        <v>33</v>
      </c>
      <c r="H1229" t="s">
        <v>39</v>
      </c>
      <c r="I1229" t="s">
        <v>27</v>
      </c>
      <c r="J1229" s="11">
        <v>46068</v>
      </c>
      <c r="K1229" t="str">
        <f>TEXT(Transactions_Clean[[#This Row],[Date]],"MMM-YYYY")</f>
        <v>Feb-2026</v>
      </c>
      <c r="L1229">
        <f>IF(Transactions_Clean[[#This Row],[Category]]="Revenue",Transactions_Clean[[#This Row],[Amount(₹)]],Transactions_Clean[[#This Row],[Amount(₹)]]/8)</f>
        <v>-3787.625</v>
      </c>
    </row>
    <row r="1230" spans="1:12">
      <c r="A1230" t="s">
        <v>2178</v>
      </c>
      <c r="B1230" t="s">
        <v>169</v>
      </c>
      <c r="C1230" t="s">
        <v>73</v>
      </c>
      <c r="D1230">
        <v>-44265</v>
      </c>
      <c r="E1230" t="s">
        <v>74</v>
      </c>
      <c r="F1230" t="s">
        <v>24</v>
      </c>
      <c r="G1230" t="s">
        <v>25</v>
      </c>
      <c r="H1230" t="s">
        <v>26</v>
      </c>
      <c r="I1230" t="s">
        <v>34</v>
      </c>
      <c r="J1230" s="11">
        <v>45018</v>
      </c>
      <c r="K1230" t="str">
        <f>TEXT(Transactions_Clean[[#This Row],[Date]],"MMM-YYYY")</f>
        <v>Apr-2023</v>
      </c>
      <c r="L1230">
        <f>IF(Transactions_Clean[[#This Row],[Category]]="Revenue",Transactions_Clean[[#This Row],[Amount(₹)]],Transactions_Clean[[#This Row],[Amount(₹)]]/8)</f>
        <v>-5533.125</v>
      </c>
    </row>
    <row r="1231" spans="1:12">
      <c r="A1231" t="s">
        <v>2180</v>
      </c>
      <c r="B1231" t="s">
        <v>4765</v>
      </c>
      <c r="C1231" t="s">
        <v>73</v>
      </c>
      <c r="D1231">
        <v>-29352</v>
      </c>
      <c r="E1231" t="s">
        <v>74</v>
      </c>
      <c r="F1231" t="s">
        <v>32</v>
      </c>
      <c r="G1231" t="s">
        <v>25</v>
      </c>
      <c r="H1231" t="s">
        <v>26</v>
      </c>
      <c r="I1231" t="s">
        <v>40</v>
      </c>
      <c r="J1231" s="11">
        <v>45197</v>
      </c>
      <c r="K1231" t="str">
        <f>TEXT(Transactions_Clean[[#This Row],[Date]],"MMM-YYYY")</f>
        <v>Sep-2023</v>
      </c>
      <c r="L1231">
        <f>IF(Transactions_Clean[[#This Row],[Category]]="Revenue",Transactions_Clean[[#This Row],[Amount(₹)]],Transactions_Clean[[#This Row],[Amount(₹)]]/8)</f>
        <v>-3669</v>
      </c>
    </row>
    <row r="1232" spans="1:12">
      <c r="A1232" t="s">
        <v>2181</v>
      </c>
      <c r="B1232" t="s">
        <v>687</v>
      </c>
      <c r="C1232" t="s">
        <v>44</v>
      </c>
      <c r="D1232">
        <v>-148062</v>
      </c>
      <c r="E1232" t="s">
        <v>23</v>
      </c>
      <c r="F1232" t="s">
        <v>32</v>
      </c>
      <c r="G1232" t="s">
        <v>33</v>
      </c>
      <c r="H1232" t="s">
        <v>26</v>
      </c>
      <c r="I1232" t="s">
        <v>34</v>
      </c>
      <c r="J1232" s="11">
        <v>45019</v>
      </c>
      <c r="K1232" t="str">
        <f>TEXT(Transactions_Clean[[#This Row],[Date]],"MMM-YYYY")</f>
        <v>Apr-2023</v>
      </c>
      <c r="L1232">
        <f>IF(Transactions_Clean[[#This Row],[Category]]="Revenue",Transactions_Clean[[#This Row],[Amount(₹)]],Transactions_Clean[[#This Row],[Amount(₹)]]/8)</f>
        <v>-18507.75</v>
      </c>
    </row>
    <row r="1233" spans="1:12">
      <c r="A1233" t="s">
        <v>2182</v>
      </c>
      <c r="B1233" t="s">
        <v>4758</v>
      </c>
      <c r="C1233" t="s">
        <v>78</v>
      </c>
      <c r="D1233">
        <v>-37458</v>
      </c>
      <c r="E1233" t="s">
        <v>23</v>
      </c>
      <c r="F1233" t="s">
        <v>32</v>
      </c>
      <c r="G1233" t="s">
        <v>79</v>
      </c>
      <c r="H1233" t="s">
        <v>45</v>
      </c>
      <c r="I1233" t="s">
        <v>48</v>
      </c>
      <c r="J1233" s="11">
        <v>45627</v>
      </c>
      <c r="K1233" t="str">
        <f>TEXT(Transactions_Clean[[#This Row],[Date]],"MMM-YYYY")</f>
        <v>Dec-2024</v>
      </c>
      <c r="L1233">
        <f>IF(Transactions_Clean[[#This Row],[Category]]="Revenue",Transactions_Clean[[#This Row],[Amount(₹)]],Transactions_Clean[[#This Row],[Amount(₹)]]/8)</f>
        <v>-4682.25</v>
      </c>
    </row>
    <row r="1234" spans="1:12">
      <c r="A1234" t="s">
        <v>2183</v>
      </c>
      <c r="B1234" t="s">
        <v>161</v>
      </c>
      <c r="C1234" t="s">
        <v>22</v>
      </c>
      <c r="D1234">
        <v>-138715</v>
      </c>
      <c r="E1234" t="s">
        <v>23</v>
      </c>
      <c r="F1234" t="s">
        <v>24</v>
      </c>
      <c r="G1234" t="s">
        <v>25</v>
      </c>
      <c r="H1234" t="s">
        <v>26</v>
      </c>
      <c r="I1234" t="s">
        <v>27</v>
      </c>
      <c r="J1234" s="11">
        <v>45325</v>
      </c>
      <c r="K1234" t="str">
        <f>TEXT(Transactions_Clean[[#This Row],[Date]],"MMM-YYYY")</f>
        <v>Feb-2024</v>
      </c>
      <c r="L1234">
        <f>IF(Transactions_Clean[[#This Row],[Category]]="Revenue",Transactions_Clean[[#This Row],[Amount(₹)]],Transactions_Clean[[#This Row],[Amount(₹)]]/8)</f>
        <v>-17339.375</v>
      </c>
    </row>
    <row r="1235" spans="1:12">
      <c r="A1235" t="s">
        <v>2184</v>
      </c>
      <c r="B1235" t="s">
        <v>4755</v>
      </c>
      <c r="C1235" t="s">
        <v>78</v>
      </c>
      <c r="D1235">
        <v>-27252</v>
      </c>
      <c r="E1235" t="s">
        <v>23</v>
      </c>
      <c r="F1235" t="s">
        <v>32</v>
      </c>
      <c r="G1235" t="s">
        <v>79</v>
      </c>
      <c r="H1235" t="s">
        <v>39</v>
      </c>
      <c r="I1235" t="s">
        <v>34</v>
      </c>
      <c r="J1235" s="11">
        <v>45758</v>
      </c>
      <c r="K1235" t="str">
        <f>TEXT(Transactions_Clean[[#This Row],[Date]],"MMM-YYYY")</f>
        <v>Apr-2025</v>
      </c>
      <c r="L1235">
        <f>IF(Transactions_Clean[[#This Row],[Category]]="Revenue",Transactions_Clean[[#This Row],[Amount(₹)]],Transactions_Clean[[#This Row],[Amount(₹)]]/8)</f>
        <v>-3406.5</v>
      </c>
    </row>
    <row r="1236" spans="1:12">
      <c r="A1236" t="s">
        <v>2186</v>
      </c>
      <c r="B1236" t="s">
        <v>4753</v>
      </c>
      <c r="C1236" t="s">
        <v>38</v>
      </c>
      <c r="D1236">
        <v>-33903</v>
      </c>
      <c r="E1236" t="s">
        <v>23</v>
      </c>
      <c r="F1236" t="s">
        <v>32</v>
      </c>
      <c r="G1236" t="s">
        <v>33</v>
      </c>
      <c r="H1236" t="s">
        <v>39</v>
      </c>
      <c r="I1236" t="s">
        <v>27</v>
      </c>
      <c r="J1236" s="11">
        <v>46053</v>
      </c>
      <c r="K1236" t="str">
        <f>TEXT(Transactions_Clean[[#This Row],[Date]],"MMM-YYYY")</f>
        <v>Jan-2026</v>
      </c>
      <c r="L1236">
        <f>IF(Transactions_Clean[[#This Row],[Category]]="Revenue",Transactions_Clean[[#This Row],[Amount(₹)]],Transactions_Clean[[#This Row],[Amount(₹)]]/8)</f>
        <v>-4237.875</v>
      </c>
    </row>
    <row r="1237" spans="1:12">
      <c r="A1237" t="s">
        <v>2188</v>
      </c>
      <c r="B1237" t="s">
        <v>4757</v>
      </c>
      <c r="C1237" t="s">
        <v>73</v>
      </c>
      <c r="D1237">
        <v>-84662</v>
      </c>
      <c r="E1237" t="s">
        <v>74</v>
      </c>
      <c r="F1237" t="s">
        <v>24</v>
      </c>
      <c r="G1237" t="s">
        <v>25</v>
      </c>
      <c r="H1237" t="s">
        <v>45</v>
      </c>
      <c r="I1237" t="s">
        <v>27</v>
      </c>
      <c r="J1237" s="11">
        <v>45676</v>
      </c>
      <c r="K1237" t="str">
        <f>TEXT(Transactions_Clean[[#This Row],[Date]],"MMM-YYYY")</f>
        <v>Jan-2025</v>
      </c>
      <c r="L1237">
        <f>IF(Transactions_Clean[[#This Row],[Category]]="Revenue",Transactions_Clean[[#This Row],[Amount(₹)]],Transactions_Clean[[#This Row],[Amount(₹)]]/8)</f>
        <v>-10582.75</v>
      </c>
    </row>
    <row r="1238" spans="1:12">
      <c r="A1238" t="s">
        <v>2190</v>
      </c>
      <c r="B1238" t="s">
        <v>4754</v>
      </c>
      <c r="C1238" t="s">
        <v>78</v>
      </c>
      <c r="D1238">
        <v>-77429</v>
      </c>
      <c r="E1238" t="s">
        <v>23</v>
      </c>
      <c r="F1238" t="s">
        <v>24</v>
      </c>
      <c r="G1238" t="s">
        <v>79</v>
      </c>
      <c r="H1238" t="s">
        <v>45</v>
      </c>
      <c r="I1238" t="s">
        <v>34</v>
      </c>
      <c r="J1238" s="11">
        <v>45443</v>
      </c>
      <c r="K1238" t="str">
        <f>TEXT(Transactions_Clean[[#This Row],[Date]],"MMM-YYYY")</f>
        <v>May-2024</v>
      </c>
      <c r="L1238">
        <f>IF(Transactions_Clean[[#This Row],[Category]]="Revenue",Transactions_Clean[[#This Row],[Amount(₹)]],Transactions_Clean[[#This Row],[Amount(₹)]]/8)</f>
        <v>-9678.625</v>
      </c>
    </row>
    <row r="1239" spans="1:12">
      <c r="A1239" t="s">
        <v>2192</v>
      </c>
      <c r="B1239" t="s">
        <v>4753</v>
      </c>
      <c r="C1239" t="s">
        <v>38</v>
      </c>
      <c r="D1239">
        <v>-13990</v>
      </c>
      <c r="E1239" t="s">
        <v>23</v>
      </c>
      <c r="F1239" t="s">
        <v>32</v>
      </c>
      <c r="G1239" t="s">
        <v>33</v>
      </c>
      <c r="H1239" t="s">
        <v>39</v>
      </c>
      <c r="I1239" t="s">
        <v>48</v>
      </c>
      <c r="J1239" s="11">
        <v>45991</v>
      </c>
      <c r="K1239" t="str">
        <f>TEXT(Transactions_Clean[[#This Row],[Date]],"MMM-YYYY")</f>
        <v>Nov-2025</v>
      </c>
      <c r="L1239">
        <f>IF(Transactions_Clean[[#This Row],[Category]]="Revenue",Transactions_Clean[[#This Row],[Amount(₹)]],Transactions_Clean[[#This Row],[Amount(₹)]]/8)</f>
        <v>-1748.75</v>
      </c>
    </row>
    <row r="1240" spans="1:12">
      <c r="A1240" t="s">
        <v>2193</v>
      </c>
      <c r="B1240" t="s">
        <v>4766</v>
      </c>
      <c r="C1240" t="s">
        <v>73</v>
      </c>
      <c r="D1240">
        <v>-61368</v>
      </c>
      <c r="E1240" t="s">
        <v>74</v>
      </c>
      <c r="F1240" t="s">
        <v>24</v>
      </c>
      <c r="G1240" t="s">
        <v>25</v>
      </c>
      <c r="H1240" t="s">
        <v>45</v>
      </c>
      <c r="I1240" t="s">
        <v>48</v>
      </c>
      <c r="J1240" s="11">
        <v>45616</v>
      </c>
      <c r="K1240" t="str">
        <f>TEXT(Transactions_Clean[[#This Row],[Date]],"MMM-YYYY")</f>
        <v>Nov-2024</v>
      </c>
      <c r="L1240">
        <f>IF(Transactions_Clean[[#This Row],[Category]]="Revenue",Transactions_Clean[[#This Row],[Amount(₹)]],Transactions_Clean[[#This Row],[Amount(₹)]]/8)</f>
        <v>-7671</v>
      </c>
    </row>
    <row r="1241" spans="1:12">
      <c r="A1241" t="s">
        <v>2194</v>
      </c>
      <c r="B1241" t="s">
        <v>100</v>
      </c>
      <c r="C1241" t="s">
        <v>31</v>
      </c>
      <c r="D1241">
        <v>-38949</v>
      </c>
      <c r="E1241" t="s">
        <v>23</v>
      </c>
      <c r="F1241" t="s">
        <v>24</v>
      </c>
      <c r="G1241" t="s">
        <v>33</v>
      </c>
      <c r="H1241" t="s">
        <v>39</v>
      </c>
      <c r="I1241" t="s">
        <v>27</v>
      </c>
      <c r="J1241" s="11">
        <v>46059</v>
      </c>
      <c r="K1241" t="str">
        <f>TEXT(Transactions_Clean[[#This Row],[Date]],"MMM-YYYY")</f>
        <v>Feb-2026</v>
      </c>
      <c r="L1241">
        <f>IF(Transactions_Clean[[#This Row],[Category]]="Revenue",Transactions_Clean[[#This Row],[Amount(₹)]],Transactions_Clean[[#This Row],[Amount(₹)]]/8)</f>
        <v>-4868.625</v>
      </c>
    </row>
    <row r="1242" spans="1:12">
      <c r="A1242" t="s">
        <v>2195</v>
      </c>
      <c r="B1242" t="s">
        <v>106</v>
      </c>
      <c r="C1242" t="s">
        <v>31</v>
      </c>
      <c r="D1242">
        <v>-4749</v>
      </c>
      <c r="E1242" t="s">
        <v>23</v>
      </c>
      <c r="F1242" t="s">
        <v>32</v>
      </c>
      <c r="G1242" t="s">
        <v>33</v>
      </c>
      <c r="H1242" t="s">
        <v>26</v>
      </c>
      <c r="I1242" t="s">
        <v>48</v>
      </c>
      <c r="J1242" s="11">
        <v>45251</v>
      </c>
      <c r="K1242" t="str">
        <f>TEXT(Transactions_Clean[[#This Row],[Date]],"MMM-YYYY")</f>
        <v>Nov-2023</v>
      </c>
      <c r="L1242">
        <f>IF(Transactions_Clean[[#This Row],[Category]]="Revenue",Transactions_Clean[[#This Row],[Amount(₹)]],Transactions_Clean[[#This Row],[Amount(₹)]]/8)</f>
        <v>-593.625</v>
      </c>
    </row>
    <row r="1243" spans="1:12">
      <c r="A1243" t="s">
        <v>2197</v>
      </c>
      <c r="B1243" t="s">
        <v>4759</v>
      </c>
      <c r="C1243" t="s">
        <v>31</v>
      </c>
      <c r="D1243">
        <v>-35060</v>
      </c>
      <c r="E1243" t="s">
        <v>23</v>
      </c>
      <c r="F1243" t="s">
        <v>24</v>
      </c>
      <c r="G1243" t="s">
        <v>33</v>
      </c>
      <c r="H1243" t="s">
        <v>39</v>
      </c>
      <c r="I1243" t="s">
        <v>40</v>
      </c>
      <c r="J1243" s="11">
        <v>45848</v>
      </c>
      <c r="K1243" t="str">
        <f>TEXT(Transactions_Clean[[#This Row],[Date]],"MMM-YYYY")</f>
        <v>Jul-2025</v>
      </c>
      <c r="L1243">
        <f>IF(Transactions_Clean[[#This Row],[Category]]="Revenue",Transactions_Clean[[#This Row],[Amount(₹)]],Transactions_Clean[[#This Row],[Amount(₹)]]/8)</f>
        <v>-4382.5</v>
      </c>
    </row>
    <row r="1244" spans="1:12">
      <c r="A1244" t="s">
        <v>2199</v>
      </c>
      <c r="B1244" t="s">
        <v>215</v>
      </c>
      <c r="C1244" t="s">
        <v>61</v>
      </c>
      <c r="D1244">
        <v>-41589</v>
      </c>
      <c r="E1244" t="s">
        <v>62</v>
      </c>
      <c r="F1244" t="s">
        <v>24</v>
      </c>
      <c r="G1244" t="s">
        <v>63</v>
      </c>
      <c r="H1244" t="s">
        <v>45</v>
      </c>
      <c r="I1244" t="s">
        <v>48</v>
      </c>
      <c r="J1244" s="11">
        <v>45618</v>
      </c>
      <c r="K1244" t="str">
        <f>TEXT(Transactions_Clean[[#This Row],[Date]],"MMM-YYYY")</f>
        <v>Nov-2024</v>
      </c>
      <c r="L1244">
        <f>IF(Transactions_Clean[[#This Row],[Category]]="Revenue",Transactions_Clean[[#This Row],[Amount(₹)]],Transactions_Clean[[#This Row],[Amount(₹)]]/8)</f>
        <v>-5198.625</v>
      </c>
    </row>
    <row r="1245" spans="1:12">
      <c r="A1245" t="s">
        <v>2200</v>
      </c>
      <c r="B1245" t="s">
        <v>180</v>
      </c>
      <c r="C1245" t="s">
        <v>44</v>
      </c>
      <c r="D1245">
        <v>-83069</v>
      </c>
      <c r="E1245" t="s">
        <v>23</v>
      </c>
      <c r="F1245" t="s">
        <v>24</v>
      </c>
      <c r="G1245" t="s">
        <v>33</v>
      </c>
      <c r="H1245" t="s">
        <v>45</v>
      </c>
      <c r="I1245" t="s">
        <v>40</v>
      </c>
      <c r="J1245" s="11">
        <v>45517</v>
      </c>
      <c r="K1245" t="str">
        <f>TEXT(Transactions_Clean[[#This Row],[Date]],"MMM-YYYY")</f>
        <v>Aug-2024</v>
      </c>
      <c r="L1245">
        <f>IF(Transactions_Clean[[#This Row],[Category]]="Revenue",Transactions_Clean[[#This Row],[Amount(₹)]],Transactions_Clean[[#This Row],[Amount(₹)]]/8)</f>
        <v>-10383.625</v>
      </c>
    </row>
    <row r="1246" spans="1:12">
      <c r="A1246" t="s">
        <v>2202</v>
      </c>
      <c r="B1246" t="s">
        <v>60</v>
      </c>
      <c r="C1246" t="s">
        <v>61</v>
      </c>
      <c r="D1246">
        <v>-62002</v>
      </c>
      <c r="E1246" t="s">
        <v>62</v>
      </c>
      <c r="F1246" t="s">
        <v>24</v>
      </c>
      <c r="G1246" t="s">
        <v>63</v>
      </c>
      <c r="H1246" t="s">
        <v>45</v>
      </c>
      <c r="I1246" t="s">
        <v>34</v>
      </c>
      <c r="J1246" s="11">
        <v>45400</v>
      </c>
      <c r="K1246" t="str">
        <f>TEXT(Transactions_Clean[[#This Row],[Date]],"MMM-YYYY")</f>
        <v>Apr-2024</v>
      </c>
      <c r="L1246">
        <f>IF(Transactions_Clean[[#This Row],[Category]]="Revenue",Transactions_Clean[[#This Row],[Amount(₹)]],Transactions_Clean[[#This Row],[Amount(₹)]]/8)</f>
        <v>-7750.25</v>
      </c>
    </row>
    <row r="1247" spans="1:12">
      <c r="A1247" t="s">
        <v>2203</v>
      </c>
      <c r="B1247" t="s">
        <v>255</v>
      </c>
      <c r="C1247" t="s">
        <v>4750</v>
      </c>
      <c r="D1247">
        <v>-54052</v>
      </c>
      <c r="E1247" t="s">
        <v>23</v>
      </c>
      <c r="F1247" t="s">
        <v>24</v>
      </c>
      <c r="G1247" t="s">
        <v>25</v>
      </c>
      <c r="H1247" t="s">
        <v>39</v>
      </c>
      <c r="I1247" t="s">
        <v>40</v>
      </c>
      <c r="J1247" s="11">
        <v>45878</v>
      </c>
      <c r="K1247" t="str">
        <f>TEXT(Transactions_Clean[[#This Row],[Date]],"MMM-YYYY")</f>
        <v>Aug-2025</v>
      </c>
      <c r="L1247">
        <f>IF(Transactions_Clean[[#This Row],[Category]]="Revenue",Transactions_Clean[[#This Row],[Amount(₹)]],Transactions_Clean[[#This Row],[Amount(₹)]]/8)</f>
        <v>-6756.5</v>
      </c>
    </row>
    <row r="1248" spans="1:12">
      <c r="A1248" t="s">
        <v>2204</v>
      </c>
      <c r="B1248" t="s">
        <v>215</v>
      </c>
      <c r="C1248" t="s">
        <v>61</v>
      </c>
      <c r="D1248">
        <v>-53622</v>
      </c>
      <c r="E1248" t="s">
        <v>62</v>
      </c>
      <c r="F1248" t="s">
        <v>32</v>
      </c>
      <c r="G1248" t="s">
        <v>63</v>
      </c>
      <c r="H1248" t="s">
        <v>39</v>
      </c>
      <c r="I1248" t="s">
        <v>48</v>
      </c>
      <c r="J1248" s="11">
        <v>46014</v>
      </c>
      <c r="K1248" t="str">
        <f>TEXT(Transactions_Clean[[#This Row],[Date]],"MMM-YYYY")</f>
        <v>Dec-2025</v>
      </c>
      <c r="L1248">
        <f>IF(Transactions_Clean[[#This Row],[Category]]="Revenue",Transactions_Clean[[#This Row],[Amount(₹)]],Transactions_Clean[[#This Row],[Amount(₹)]]/8)</f>
        <v>-6702.75</v>
      </c>
    </row>
    <row r="1249" spans="1:12">
      <c r="A1249" t="s">
        <v>2205</v>
      </c>
      <c r="B1249" t="s">
        <v>66</v>
      </c>
      <c r="C1249" t="s">
        <v>61</v>
      </c>
      <c r="D1249">
        <v>-62042</v>
      </c>
      <c r="E1249" t="s">
        <v>62</v>
      </c>
      <c r="F1249" t="s">
        <v>32</v>
      </c>
      <c r="G1249" t="s">
        <v>63</v>
      </c>
      <c r="H1249" t="s">
        <v>45</v>
      </c>
      <c r="I1249" t="s">
        <v>34</v>
      </c>
      <c r="J1249" s="11">
        <v>45413</v>
      </c>
      <c r="K1249" t="str">
        <f>TEXT(Transactions_Clean[[#This Row],[Date]],"MMM-YYYY")</f>
        <v>May-2024</v>
      </c>
      <c r="L1249">
        <f>IF(Transactions_Clean[[#This Row],[Category]]="Revenue",Transactions_Clean[[#This Row],[Amount(₹)]],Transactions_Clean[[#This Row],[Amount(₹)]]/8)</f>
        <v>-7755.25</v>
      </c>
    </row>
    <row r="1250" spans="1:12">
      <c r="A1250" t="s">
        <v>2206</v>
      </c>
      <c r="B1250" t="s">
        <v>212</v>
      </c>
      <c r="C1250" t="s">
        <v>73</v>
      </c>
      <c r="D1250">
        <v>-70367</v>
      </c>
      <c r="E1250" t="s">
        <v>74</v>
      </c>
      <c r="F1250" t="s">
        <v>24</v>
      </c>
      <c r="G1250" t="s">
        <v>25</v>
      </c>
      <c r="H1250" t="s">
        <v>26</v>
      </c>
      <c r="I1250" t="s">
        <v>27</v>
      </c>
      <c r="J1250" s="11">
        <v>45344</v>
      </c>
      <c r="K1250" t="str">
        <f>TEXT(Transactions_Clean[[#This Row],[Date]],"MMM-YYYY")</f>
        <v>Feb-2024</v>
      </c>
      <c r="L1250">
        <f>IF(Transactions_Clean[[#This Row],[Category]]="Revenue",Transactions_Clean[[#This Row],[Amount(₹)]],Transactions_Clean[[#This Row],[Amount(₹)]]/8)</f>
        <v>-8795.875</v>
      </c>
    </row>
    <row r="1251" spans="1:12">
      <c r="A1251" t="s">
        <v>2207</v>
      </c>
      <c r="B1251" t="s">
        <v>30</v>
      </c>
      <c r="C1251" t="s">
        <v>31</v>
      </c>
      <c r="D1251">
        <v>-18465</v>
      </c>
      <c r="E1251" t="s">
        <v>23</v>
      </c>
      <c r="F1251" t="s">
        <v>32</v>
      </c>
      <c r="G1251" t="s">
        <v>33</v>
      </c>
      <c r="H1251" t="s">
        <v>39</v>
      </c>
      <c r="I1251" t="s">
        <v>40</v>
      </c>
      <c r="J1251" s="11">
        <v>45845</v>
      </c>
      <c r="K1251" t="str">
        <f>TEXT(Transactions_Clean[[#This Row],[Date]],"MMM-YYYY")</f>
        <v>Jul-2025</v>
      </c>
      <c r="L1251">
        <f>IF(Transactions_Clean[[#This Row],[Category]]="Revenue",Transactions_Clean[[#This Row],[Amount(₹)]],Transactions_Clean[[#This Row],[Amount(₹)]]/8)</f>
        <v>-2308.125</v>
      </c>
    </row>
    <row r="1252" spans="1:12">
      <c r="A1252" t="s">
        <v>2209</v>
      </c>
      <c r="B1252" t="s">
        <v>4752</v>
      </c>
      <c r="C1252" t="s">
        <v>44</v>
      </c>
      <c r="D1252">
        <v>-78474</v>
      </c>
      <c r="E1252" t="s">
        <v>23</v>
      </c>
      <c r="F1252" t="s">
        <v>32</v>
      </c>
      <c r="G1252" t="s">
        <v>33</v>
      </c>
      <c r="H1252" t="s">
        <v>26</v>
      </c>
      <c r="I1252" t="s">
        <v>48</v>
      </c>
      <c r="J1252" s="11">
        <v>45224</v>
      </c>
      <c r="K1252" t="str">
        <f>TEXT(Transactions_Clean[[#This Row],[Date]],"MMM-YYYY")</f>
        <v>Oct-2023</v>
      </c>
      <c r="L1252">
        <f>IF(Transactions_Clean[[#This Row],[Category]]="Revenue",Transactions_Clean[[#This Row],[Amount(₹)]],Transactions_Clean[[#This Row],[Amount(₹)]]/8)</f>
        <v>-9809.25</v>
      </c>
    </row>
    <row r="1253" spans="1:12">
      <c r="A1253" t="s">
        <v>2210</v>
      </c>
      <c r="B1253" t="s">
        <v>305</v>
      </c>
      <c r="C1253" t="s">
        <v>38</v>
      </c>
      <c r="D1253">
        <v>-27099</v>
      </c>
      <c r="E1253" t="s">
        <v>23</v>
      </c>
      <c r="F1253" t="s">
        <v>32</v>
      </c>
      <c r="G1253" t="s">
        <v>33</v>
      </c>
      <c r="H1253" t="s">
        <v>45</v>
      </c>
      <c r="I1253" t="s">
        <v>48</v>
      </c>
      <c r="J1253" s="11">
        <v>45630</v>
      </c>
      <c r="K1253" t="str">
        <f>TEXT(Transactions_Clean[[#This Row],[Date]],"MMM-YYYY")</f>
        <v>Dec-2024</v>
      </c>
      <c r="L1253">
        <f>IF(Transactions_Clean[[#This Row],[Category]]="Revenue",Transactions_Clean[[#This Row],[Amount(₹)]],Transactions_Clean[[#This Row],[Amount(₹)]]/8)</f>
        <v>-3387.375</v>
      </c>
    </row>
    <row r="1254" spans="1:12">
      <c r="A1254" t="s">
        <v>2212</v>
      </c>
      <c r="B1254" t="s">
        <v>4765</v>
      </c>
      <c r="C1254" t="s">
        <v>73</v>
      </c>
      <c r="D1254">
        <v>-32225</v>
      </c>
      <c r="E1254" t="s">
        <v>74</v>
      </c>
      <c r="F1254" t="s">
        <v>24</v>
      </c>
      <c r="G1254" t="s">
        <v>25</v>
      </c>
      <c r="H1254" t="s">
        <v>39</v>
      </c>
      <c r="I1254" t="s">
        <v>34</v>
      </c>
      <c r="J1254" s="11">
        <v>45784</v>
      </c>
      <c r="K1254" t="str">
        <f>TEXT(Transactions_Clean[[#This Row],[Date]],"MMM-YYYY")</f>
        <v>May-2025</v>
      </c>
      <c r="L1254">
        <f>IF(Transactions_Clean[[#This Row],[Category]]="Revenue",Transactions_Clean[[#This Row],[Amount(₹)]],Transactions_Clean[[#This Row],[Amount(₹)]]/8)</f>
        <v>-4028.125</v>
      </c>
    </row>
    <row r="1255" spans="1:12">
      <c r="A1255" t="s">
        <v>2213</v>
      </c>
      <c r="B1255" t="s">
        <v>215</v>
      </c>
      <c r="C1255" t="s">
        <v>4750</v>
      </c>
      <c r="D1255">
        <v>-36219</v>
      </c>
      <c r="E1255" t="s">
        <v>62</v>
      </c>
      <c r="F1255" t="s">
        <v>24</v>
      </c>
      <c r="G1255" t="s">
        <v>63</v>
      </c>
      <c r="H1255" t="s">
        <v>39</v>
      </c>
      <c r="I1255" t="s">
        <v>34</v>
      </c>
      <c r="J1255" s="11">
        <v>45799</v>
      </c>
      <c r="K1255" t="str">
        <f>TEXT(Transactions_Clean[[#This Row],[Date]],"MMM-YYYY")</f>
        <v>May-2025</v>
      </c>
      <c r="L1255">
        <f>IF(Transactions_Clean[[#This Row],[Category]]="Revenue",Transactions_Clean[[#This Row],[Amount(₹)]],Transactions_Clean[[#This Row],[Amount(₹)]]/8)</f>
        <v>-4527.375</v>
      </c>
    </row>
    <row r="1256" spans="1:12">
      <c r="A1256" t="s">
        <v>2214</v>
      </c>
      <c r="B1256" t="s">
        <v>4766</v>
      </c>
      <c r="C1256" t="s">
        <v>73</v>
      </c>
      <c r="D1256">
        <v>-78955</v>
      </c>
      <c r="E1256" t="s">
        <v>74</v>
      </c>
      <c r="F1256" t="s">
        <v>24</v>
      </c>
      <c r="G1256" t="s">
        <v>25</v>
      </c>
      <c r="H1256" t="s">
        <v>39</v>
      </c>
      <c r="I1256" t="s">
        <v>34</v>
      </c>
      <c r="J1256" s="11">
        <v>45829</v>
      </c>
      <c r="K1256" t="str">
        <f>TEXT(Transactions_Clean[[#This Row],[Date]],"MMM-YYYY")</f>
        <v>Jun-2025</v>
      </c>
      <c r="L1256">
        <f>IF(Transactions_Clean[[#This Row],[Category]]="Revenue",Transactions_Clean[[#This Row],[Amount(₹)]],Transactions_Clean[[#This Row],[Amount(₹)]]/8)</f>
        <v>-9869.375</v>
      </c>
    </row>
    <row r="1257" spans="1:12">
      <c r="A1257" t="s">
        <v>2215</v>
      </c>
      <c r="B1257" t="s">
        <v>345</v>
      </c>
      <c r="C1257" t="s">
        <v>22</v>
      </c>
      <c r="D1257">
        <v>-142850</v>
      </c>
      <c r="E1257" t="s">
        <v>23</v>
      </c>
      <c r="F1257" t="s">
        <v>24</v>
      </c>
      <c r="G1257" t="s">
        <v>25</v>
      </c>
      <c r="H1257" t="s">
        <v>26</v>
      </c>
      <c r="I1257" t="s">
        <v>27</v>
      </c>
      <c r="J1257" s="11">
        <v>45315</v>
      </c>
      <c r="K1257" t="str">
        <f>TEXT(Transactions_Clean[[#This Row],[Date]],"MMM-YYYY")</f>
        <v>Jan-2024</v>
      </c>
      <c r="L1257">
        <f>IF(Transactions_Clean[[#This Row],[Category]]="Revenue",Transactions_Clean[[#This Row],[Amount(₹)]],Transactions_Clean[[#This Row],[Amount(₹)]]/8)</f>
        <v>-17856.25</v>
      </c>
    </row>
    <row r="1258" spans="1:12">
      <c r="A1258" t="s">
        <v>2216</v>
      </c>
      <c r="B1258" t="s">
        <v>4759</v>
      </c>
      <c r="C1258" t="s">
        <v>31</v>
      </c>
      <c r="D1258">
        <v>-30127</v>
      </c>
      <c r="E1258" t="s">
        <v>23</v>
      </c>
      <c r="F1258" t="s">
        <v>24</v>
      </c>
      <c r="G1258" t="s">
        <v>33</v>
      </c>
      <c r="H1258" t="s">
        <v>45</v>
      </c>
      <c r="I1258" t="s">
        <v>40</v>
      </c>
      <c r="J1258" s="11">
        <v>45544</v>
      </c>
      <c r="K1258" t="str">
        <f>TEXT(Transactions_Clean[[#This Row],[Date]],"MMM-YYYY")</f>
        <v>Sep-2024</v>
      </c>
      <c r="L1258">
        <f>IF(Transactions_Clean[[#This Row],[Category]]="Revenue",Transactions_Clean[[#This Row],[Amount(₹)]],Transactions_Clean[[#This Row],[Amount(₹)]]/8)</f>
        <v>-3765.875</v>
      </c>
    </row>
    <row r="1259" spans="1:12">
      <c r="A1259" t="s">
        <v>2217</v>
      </c>
      <c r="B1259" t="s">
        <v>106</v>
      </c>
      <c r="C1259" t="s">
        <v>31</v>
      </c>
      <c r="D1259">
        <v>-6110</v>
      </c>
      <c r="E1259" t="s">
        <v>23</v>
      </c>
      <c r="F1259" t="s">
        <v>24</v>
      </c>
      <c r="G1259" t="s">
        <v>33</v>
      </c>
      <c r="H1259" t="s">
        <v>45</v>
      </c>
      <c r="I1259" t="s">
        <v>34</v>
      </c>
      <c r="J1259" s="11">
        <v>45412</v>
      </c>
      <c r="K1259" t="str">
        <f>TEXT(Transactions_Clean[[#This Row],[Date]],"MMM-YYYY")</f>
        <v>Apr-2024</v>
      </c>
      <c r="L1259">
        <f>IF(Transactions_Clean[[#This Row],[Category]]="Revenue",Transactions_Clean[[#This Row],[Amount(₹)]],Transactions_Clean[[#This Row],[Amount(₹)]]/8)</f>
        <v>-763.75</v>
      </c>
    </row>
    <row r="1260" spans="1:12">
      <c r="A1260" t="s">
        <v>2219</v>
      </c>
      <c r="B1260" t="s">
        <v>177</v>
      </c>
      <c r="C1260" t="s">
        <v>78</v>
      </c>
      <c r="D1260">
        <v>-116648</v>
      </c>
      <c r="E1260" t="s">
        <v>23</v>
      </c>
      <c r="F1260" t="s">
        <v>32</v>
      </c>
      <c r="G1260" t="s">
        <v>79</v>
      </c>
      <c r="H1260" t="s">
        <v>39</v>
      </c>
      <c r="I1260" t="s">
        <v>34</v>
      </c>
      <c r="J1260" s="11">
        <v>45836</v>
      </c>
      <c r="K1260" t="str">
        <f>TEXT(Transactions_Clean[[#This Row],[Date]],"MMM-YYYY")</f>
        <v>Jun-2025</v>
      </c>
      <c r="L1260">
        <f>IF(Transactions_Clean[[#This Row],[Category]]="Revenue",Transactions_Clean[[#This Row],[Amount(₹)]],Transactions_Clean[[#This Row],[Amount(₹)]]/8)</f>
        <v>-14581</v>
      </c>
    </row>
    <row r="1261" spans="1:12">
      <c r="A1261" t="s">
        <v>2220</v>
      </c>
      <c r="B1261" t="s">
        <v>687</v>
      </c>
      <c r="C1261" t="s">
        <v>44</v>
      </c>
      <c r="D1261">
        <v>-144782</v>
      </c>
      <c r="E1261" t="s">
        <v>23</v>
      </c>
      <c r="F1261" t="s">
        <v>24</v>
      </c>
      <c r="G1261" t="s">
        <v>33</v>
      </c>
      <c r="H1261" t="s">
        <v>26</v>
      </c>
      <c r="I1261" t="s">
        <v>27</v>
      </c>
      <c r="J1261" s="11">
        <v>45292</v>
      </c>
      <c r="K1261" t="str">
        <f>TEXT(Transactions_Clean[[#This Row],[Date]],"MMM-YYYY")</f>
        <v>Jan-2024</v>
      </c>
      <c r="L1261">
        <f>IF(Transactions_Clean[[#This Row],[Category]]="Revenue",Transactions_Clean[[#This Row],[Amount(₹)]],Transactions_Clean[[#This Row],[Amount(₹)]]/8)</f>
        <v>-18097.75</v>
      </c>
    </row>
    <row r="1262" spans="1:12">
      <c r="A1262" t="s">
        <v>2222</v>
      </c>
      <c r="B1262" t="s">
        <v>60</v>
      </c>
      <c r="C1262" t="s">
        <v>61</v>
      </c>
      <c r="D1262">
        <v>-28623</v>
      </c>
      <c r="E1262" t="s">
        <v>62</v>
      </c>
      <c r="F1262" t="s">
        <v>24</v>
      </c>
      <c r="G1262" t="s">
        <v>63</v>
      </c>
      <c r="H1262" t="s">
        <v>26</v>
      </c>
      <c r="I1262" t="s">
        <v>27</v>
      </c>
      <c r="J1262" s="11">
        <v>45368</v>
      </c>
      <c r="K1262" t="str">
        <f>TEXT(Transactions_Clean[[#This Row],[Date]],"MMM-YYYY")</f>
        <v>Mar-2024</v>
      </c>
      <c r="L1262">
        <f>IF(Transactions_Clean[[#This Row],[Category]]="Revenue",Transactions_Clean[[#This Row],[Amount(₹)]],Transactions_Clean[[#This Row],[Amount(₹)]]/8)</f>
        <v>-3577.875</v>
      </c>
    </row>
    <row r="1263" spans="1:12">
      <c r="A1263" t="s">
        <v>2223</v>
      </c>
      <c r="B1263" t="s">
        <v>4763</v>
      </c>
      <c r="C1263" t="s">
        <v>22</v>
      </c>
      <c r="D1263">
        <v>-101067</v>
      </c>
      <c r="E1263" t="s">
        <v>23</v>
      </c>
      <c r="F1263" t="s">
        <v>24</v>
      </c>
      <c r="G1263" t="s">
        <v>25</v>
      </c>
      <c r="H1263" t="s">
        <v>26</v>
      </c>
      <c r="I1263" t="s">
        <v>48</v>
      </c>
      <c r="J1263" s="11">
        <v>45251</v>
      </c>
      <c r="K1263" t="str">
        <f>TEXT(Transactions_Clean[[#This Row],[Date]],"MMM-YYYY")</f>
        <v>Nov-2023</v>
      </c>
      <c r="L1263">
        <f>IF(Transactions_Clean[[#This Row],[Category]]="Revenue",Transactions_Clean[[#This Row],[Amount(₹)]],Transactions_Clean[[#This Row],[Amount(₹)]]/8)</f>
        <v>-12633.375</v>
      </c>
    </row>
    <row r="1264" spans="1:12">
      <c r="A1264" t="s">
        <v>2224</v>
      </c>
      <c r="B1264" t="s">
        <v>215</v>
      </c>
      <c r="C1264" t="s">
        <v>61</v>
      </c>
      <c r="D1264">
        <v>-14242</v>
      </c>
      <c r="E1264" t="s">
        <v>62</v>
      </c>
      <c r="F1264" t="s">
        <v>24</v>
      </c>
      <c r="G1264" t="s">
        <v>63</v>
      </c>
      <c r="H1264" t="s">
        <v>45</v>
      </c>
      <c r="I1264" t="s">
        <v>48</v>
      </c>
      <c r="J1264" s="11">
        <v>45650</v>
      </c>
      <c r="K1264" t="str">
        <f>TEXT(Transactions_Clean[[#This Row],[Date]],"MMM-YYYY")</f>
        <v>Dec-2024</v>
      </c>
      <c r="L1264">
        <f>IF(Transactions_Clean[[#This Row],[Category]]="Revenue",Transactions_Clean[[#This Row],[Amount(₹)]],Transactions_Clean[[#This Row],[Amount(₹)]]/8)</f>
        <v>-1780.25</v>
      </c>
    </row>
    <row r="1265" spans="1:12">
      <c r="A1265" t="s">
        <v>2226</v>
      </c>
      <c r="B1265" t="s">
        <v>60</v>
      </c>
      <c r="C1265" t="s">
        <v>61</v>
      </c>
      <c r="D1265">
        <v>-60441</v>
      </c>
      <c r="E1265" t="s">
        <v>62</v>
      </c>
      <c r="F1265" t="s">
        <v>24</v>
      </c>
      <c r="G1265" t="s">
        <v>63</v>
      </c>
      <c r="H1265" t="s">
        <v>45</v>
      </c>
      <c r="I1265" t="s">
        <v>27</v>
      </c>
      <c r="J1265" s="11">
        <v>45745</v>
      </c>
      <c r="K1265" t="str">
        <f>TEXT(Transactions_Clean[[#This Row],[Date]],"MMM-YYYY")</f>
        <v>Mar-2025</v>
      </c>
      <c r="L1265">
        <f>IF(Transactions_Clean[[#This Row],[Category]]="Revenue",Transactions_Clean[[#This Row],[Amount(₹)]],Transactions_Clean[[#This Row],[Amount(₹)]]/8)</f>
        <v>-7555.125</v>
      </c>
    </row>
    <row r="1266" spans="1:12">
      <c r="A1266" t="s">
        <v>2227</v>
      </c>
      <c r="B1266" t="s">
        <v>66</v>
      </c>
      <c r="C1266" t="s">
        <v>61</v>
      </c>
      <c r="D1266">
        <v>-50505</v>
      </c>
      <c r="E1266" t="s">
        <v>62</v>
      </c>
      <c r="F1266" t="s">
        <v>32</v>
      </c>
      <c r="G1266" t="s">
        <v>63</v>
      </c>
      <c r="H1266" t="s">
        <v>39</v>
      </c>
      <c r="I1266" t="s">
        <v>48</v>
      </c>
      <c r="J1266" s="11">
        <v>46010</v>
      </c>
      <c r="K1266" t="str">
        <f>TEXT(Transactions_Clean[[#This Row],[Date]],"MMM-YYYY")</f>
        <v>Dec-2025</v>
      </c>
      <c r="L1266">
        <f>IF(Transactions_Clean[[#This Row],[Category]]="Revenue",Transactions_Clean[[#This Row],[Amount(₹)]],Transactions_Clean[[#This Row],[Amount(₹)]]/8)</f>
        <v>-6313.125</v>
      </c>
    </row>
    <row r="1267" spans="1:12">
      <c r="A1267" t="s">
        <v>2230</v>
      </c>
      <c r="B1267" t="s">
        <v>4758</v>
      </c>
      <c r="C1267" t="s">
        <v>78</v>
      </c>
      <c r="D1267">
        <v>-85244</v>
      </c>
      <c r="E1267" t="s">
        <v>23</v>
      </c>
      <c r="F1267" t="s">
        <v>32</v>
      </c>
      <c r="G1267" t="s">
        <v>79</v>
      </c>
      <c r="H1267" t="s">
        <v>26</v>
      </c>
      <c r="I1267" t="s">
        <v>40</v>
      </c>
      <c r="J1267" s="11">
        <v>45150</v>
      </c>
      <c r="K1267" t="str">
        <f>TEXT(Transactions_Clean[[#This Row],[Date]],"MMM-YYYY")</f>
        <v>Aug-2023</v>
      </c>
      <c r="L1267">
        <f>IF(Transactions_Clean[[#This Row],[Category]]="Revenue",Transactions_Clean[[#This Row],[Amount(₹)]],Transactions_Clean[[#This Row],[Amount(₹)]]/8)</f>
        <v>-10655.5</v>
      </c>
    </row>
    <row r="1268" spans="1:12">
      <c r="A1268" t="s">
        <v>2231</v>
      </c>
      <c r="B1268" t="s">
        <v>143</v>
      </c>
      <c r="C1268" t="s">
        <v>78</v>
      </c>
      <c r="D1268">
        <v>-71657</v>
      </c>
      <c r="E1268" t="s">
        <v>23</v>
      </c>
      <c r="F1268" t="s">
        <v>32</v>
      </c>
      <c r="G1268" t="s">
        <v>79</v>
      </c>
      <c r="H1268" t="s">
        <v>45</v>
      </c>
      <c r="I1268" t="s">
        <v>40</v>
      </c>
      <c r="J1268" s="11">
        <v>45551</v>
      </c>
      <c r="K1268" t="str">
        <f>TEXT(Transactions_Clean[[#This Row],[Date]],"MMM-YYYY")</f>
        <v>Sep-2024</v>
      </c>
      <c r="L1268">
        <f>IF(Transactions_Clean[[#This Row],[Category]]="Revenue",Transactions_Clean[[#This Row],[Amount(₹)]],Transactions_Clean[[#This Row],[Amount(₹)]]/8)</f>
        <v>-8957.125</v>
      </c>
    </row>
    <row r="1269" spans="1:12">
      <c r="A1269" t="s">
        <v>2232</v>
      </c>
      <c r="B1269" t="s">
        <v>60</v>
      </c>
      <c r="C1269" t="s">
        <v>61</v>
      </c>
      <c r="D1269">
        <v>-59239</v>
      </c>
      <c r="E1269" t="s">
        <v>62</v>
      </c>
      <c r="F1269" t="s">
        <v>32</v>
      </c>
      <c r="G1269" t="s">
        <v>63</v>
      </c>
      <c r="H1269" t="s">
        <v>26</v>
      </c>
      <c r="I1269" t="s">
        <v>48</v>
      </c>
      <c r="J1269" s="11">
        <v>45239</v>
      </c>
      <c r="K1269" t="str">
        <f>TEXT(Transactions_Clean[[#This Row],[Date]],"MMM-YYYY")</f>
        <v>Nov-2023</v>
      </c>
      <c r="L1269">
        <f>IF(Transactions_Clean[[#This Row],[Category]]="Revenue",Transactions_Clean[[#This Row],[Amount(₹)]],Transactions_Clean[[#This Row],[Amount(₹)]]/8)</f>
        <v>-7404.875</v>
      </c>
    </row>
    <row r="1270" spans="1:12">
      <c r="A1270" t="s">
        <v>2234</v>
      </c>
      <c r="B1270" t="s">
        <v>37</v>
      </c>
      <c r="C1270" t="s">
        <v>38</v>
      </c>
      <c r="D1270">
        <v>-12362</v>
      </c>
      <c r="E1270" t="s">
        <v>23</v>
      </c>
      <c r="F1270" t="s">
        <v>32</v>
      </c>
      <c r="G1270" t="s">
        <v>33</v>
      </c>
      <c r="H1270" t="s">
        <v>39</v>
      </c>
      <c r="I1270" t="s">
        <v>48</v>
      </c>
      <c r="J1270" s="11">
        <v>45963</v>
      </c>
      <c r="K1270" t="str">
        <f>TEXT(Transactions_Clean[[#This Row],[Date]],"MMM-YYYY")</f>
        <v>Nov-2025</v>
      </c>
      <c r="L1270">
        <f>IF(Transactions_Clean[[#This Row],[Category]]="Revenue",Transactions_Clean[[#This Row],[Amount(₹)]],Transactions_Clean[[#This Row],[Amount(₹)]]/8)</f>
        <v>-1545.25</v>
      </c>
    </row>
    <row r="1271" spans="1:12">
      <c r="A1271" t="s">
        <v>2235</v>
      </c>
      <c r="B1271" t="s">
        <v>60</v>
      </c>
      <c r="C1271" t="s">
        <v>61</v>
      </c>
      <c r="D1271">
        <v>-47227</v>
      </c>
      <c r="E1271" t="s">
        <v>62</v>
      </c>
      <c r="F1271" t="s">
        <v>24</v>
      </c>
      <c r="G1271" t="s">
        <v>63</v>
      </c>
      <c r="H1271" t="s">
        <v>45</v>
      </c>
      <c r="I1271" t="s">
        <v>34</v>
      </c>
      <c r="J1271" s="11">
        <v>45396</v>
      </c>
      <c r="K1271" t="str">
        <f>TEXT(Transactions_Clean[[#This Row],[Date]],"MMM-YYYY")</f>
        <v>Apr-2024</v>
      </c>
      <c r="L1271">
        <f>IF(Transactions_Clean[[#This Row],[Category]]="Revenue",Transactions_Clean[[#This Row],[Amount(₹)]],Transactions_Clean[[#This Row],[Amount(₹)]]/8)</f>
        <v>-5903.375</v>
      </c>
    </row>
    <row r="1272" spans="1:12">
      <c r="A1272" t="s">
        <v>2237</v>
      </c>
      <c r="B1272" t="s">
        <v>51</v>
      </c>
      <c r="C1272" t="s">
        <v>31</v>
      </c>
      <c r="D1272">
        <v>-43199</v>
      </c>
      <c r="E1272" t="s">
        <v>23</v>
      </c>
      <c r="F1272" t="s">
        <v>24</v>
      </c>
      <c r="G1272" t="s">
        <v>33</v>
      </c>
      <c r="H1272" t="s">
        <v>45</v>
      </c>
      <c r="I1272" t="s">
        <v>27</v>
      </c>
      <c r="J1272" s="11">
        <v>45714</v>
      </c>
      <c r="K1272" t="str">
        <f>TEXT(Transactions_Clean[[#This Row],[Date]],"MMM-YYYY")</f>
        <v>Feb-2025</v>
      </c>
      <c r="L1272">
        <f>IF(Transactions_Clean[[#This Row],[Category]]="Revenue",Transactions_Clean[[#This Row],[Amount(₹)]],Transactions_Clean[[#This Row],[Amount(₹)]]/8)</f>
        <v>-5399.875</v>
      </c>
    </row>
    <row r="1273" spans="1:12">
      <c r="A1273" t="s">
        <v>2238</v>
      </c>
      <c r="B1273" t="s">
        <v>66</v>
      </c>
      <c r="C1273" t="s">
        <v>61</v>
      </c>
      <c r="D1273">
        <v>-58813</v>
      </c>
      <c r="E1273" t="s">
        <v>62</v>
      </c>
      <c r="F1273" t="s">
        <v>32</v>
      </c>
      <c r="G1273" t="s">
        <v>63</v>
      </c>
      <c r="H1273" t="s">
        <v>39</v>
      </c>
      <c r="I1273" t="s">
        <v>27</v>
      </c>
      <c r="J1273" s="11">
        <v>46035</v>
      </c>
      <c r="K1273" t="str">
        <f>TEXT(Transactions_Clean[[#This Row],[Date]],"MMM-YYYY")</f>
        <v>Jan-2026</v>
      </c>
      <c r="L1273">
        <f>IF(Transactions_Clean[[#This Row],[Category]]="Revenue",Transactions_Clean[[#This Row],[Amount(₹)]],Transactions_Clean[[#This Row],[Amount(₹)]]/8)</f>
        <v>-7351.625</v>
      </c>
    </row>
    <row r="1274" spans="1:12">
      <c r="A1274" t="s">
        <v>2240</v>
      </c>
      <c r="B1274" t="s">
        <v>202</v>
      </c>
      <c r="C1274" t="s">
        <v>22</v>
      </c>
      <c r="D1274">
        <v>-78433</v>
      </c>
      <c r="E1274" t="s">
        <v>23</v>
      </c>
      <c r="F1274" t="s">
        <v>32</v>
      </c>
      <c r="G1274" t="s">
        <v>25</v>
      </c>
      <c r="H1274" t="s">
        <v>45</v>
      </c>
      <c r="I1274" t="s">
        <v>40</v>
      </c>
      <c r="J1274" s="11">
        <v>45545</v>
      </c>
      <c r="K1274" t="str">
        <f>TEXT(Transactions_Clean[[#This Row],[Date]],"MMM-YYYY")</f>
        <v>Sep-2024</v>
      </c>
      <c r="L1274">
        <f>IF(Transactions_Clean[[#This Row],[Category]]="Revenue",Transactions_Clean[[#This Row],[Amount(₹)]],Transactions_Clean[[#This Row],[Amount(₹)]]/8)</f>
        <v>-9804.125</v>
      </c>
    </row>
    <row r="1275" spans="1:12">
      <c r="A1275" t="s">
        <v>2241</v>
      </c>
      <c r="B1275" t="s">
        <v>72</v>
      </c>
      <c r="C1275" t="s">
        <v>73</v>
      </c>
      <c r="D1275">
        <v>-23376</v>
      </c>
      <c r="E1275" t="s">
        <v>74</v>
      </c>
      <c r="F1275" t="s">
        <v>32</v>
      </c>
      <c r="G1275" t="s">
        <v>25</v>
      </c>
      <c r="H1275" t="s">
        <v>26</v>
      </c>
      <c r="I1275" t="s">
        <v>40</v>
      </c>
      <c r="J1275" s="11">
        <v>45131</v>
      </c>
      <c r="K1275" t="str">
        <f>TEXT(Transactions_Clean[[#This Row],[Date]],"MMM-YYYY")</f>
        <v>Jul-2023</v>
      </c>
      <c r="L1275">
        <f>IF(Transactions_Clean[[#This Row],[Category]]="Revenue",Transactions_Clean[[#This Row],[Amount(₹)]],Transactions_Clean[[#This Row],[Amount(₹)]]/8)</f>
        <v>-2922</v>
      </c>
    </row>
    <row r="1276" spans="1:12">
      <c r="A1276" t="s">
        <v>2242</v>
      </c>
      <c r="B1276" t="s">
        <v>4758</v>
      </c>
      <c r="C1276" t="s">
        <v>78</v>
      </c>
      <c r="D1276">
        <v>-104254</v>
      </c>
      <c r="E1276" t="s">
        <v>23</v>
      </c>
      <c r="F1276" t="s">
        <v>32</v>
      </c>
      <c r="G1276" t="s">
        <v>79</v>
      </c>
      <c r="H1276" t="s">
        <v>39</v>
      </c>
      <c r="I1276" t="s">
        <v>34</v>
      </c>
      <c r="J1276" s="11">
        <v>45765</v>
      </c>
      <c r="K1276" t="str">
        <f>TEXT(Transactions_Clean[[#This Row],[Date]],"MMM-YYYY")</f>
        <v>Apr-2025</v>
      </c>
      <c r="L1276">
        <f>IF(Transactions_Clean[[#This Row],[Category]]="Revenue",Transactions_Clean[[#This Row],[Amount(₹)]],Transactions_Clean[[#This Row],[Amount(₹)]]/8)</f>
        <v>-13031.75</v>
      </c>
    </row>
    <row r="1277" spans="1:12">
      <c r="A1277" t="s">
        <v>2244</v>
      </c>
      <c r="B1277" t="s">
        <v>4771</v>
      </c>
      <c r="C1277" t="s">
        <v>440</v>
      </c>
      <c r="D1277">
        <v>-145231</v>
      </c>
      <c r="E1277" t="s">
        <v>23</v>
      </c>
      <c r="F1277" t="s">
        <v>24</v>
      </c>
      <c r="G1277" t="s">
        <v>33</v>
      </c>
      <c r="H1277" t="s">
        <v>26</v>
      </c>
      <c r="I1277" t="s">
        <v>27</v>
      </c>
      <c r="J1277" s="11">
        <v>45567</v>
      </c>
      <c r="K1277" t="str">
        <f>TEXT(Transactions_Clean[[#This Row],[Date]],"MMM-YYYY")</f>
        <v>Oct-2024</v>
      </c>
      <c r="L1277">
        <f>IF(Transactions_Clean[[#This Row],[Category]]="Revenue",Transactions_Clean[[#This Row],[Amount(₹)]],Transactions_Clean[[#This Row],[Amount(₹)]]/8)</f>
        <v>-18153.875</v>
      </c>
    </row>
    <row r="1278" spans="1:12">
      <c r="A1278" t="s">
        <v>2245</v>
      </c>
      <c r="B1278" t="s">
        <v>4771</v>
      </c>
      <c r="C1278" t="s">
        <v>440</v>
      </c>
      <c r="D1278">
        <v>-156355</v>
      </c>
      <c r="E1278" t="s">
        <v>23</v>
      </c>
      <c r="F1278" t="s">
        <v>32</v>
      </c>
      <c r="G1278" t="s">
        <v>33</v>
      </c>
      <c r="H1278" t="s">
        <v>26</v>
      </c>
      <c r="I1278" t="s">
        <v>48</v>
      </c>
      <c r="J1278" s="11">
        <v>45241</v>
      </c>
      <c r="K1278" t="str">
        <f>TEXT(Transactions_Clean[[#This Row],[Date]],"MMM-YYYY")</f>
        <v>Nov-2023</v>
      </c>
      <c r="L1278">
        <f>IF(Transactions_Clean[[#This Row],[Category]]="Revenue",Transactions_Clean[[#This Row],[Amount(₹)]],Transactions_Clean[[#This Row],[Amount(₹)]]/8)</f>
        <v>-19544.375</v>
      </c>
    </row>
    <row r="1279" spans="1:12">
      <c r="A1279" t="s">
        <v>2246</v>
      </c>
      <c r="B1279" t="s">
        <v>100</v>
      </c>
      <c r="C1279" t="s">
        <v>31</v>
      </c>
      <c r="D1279">
        <v>-26466</v>
      </c>
      <c r="E1279" t="s">
        <v>23</v>
      </c>
      <c r="F1279" t="s">
        <v>32</v>
      </c>
      <c r="G1279" t="s">
        <v>33</v>
      </c>
      <c r="H1279" t="s">
        <v>45</v>
      </c>
      <c r="I1279" t="s">
        <v>40</v>
      </c>
      <c r="J1279" s="11">
        <v>45485</v>
      </c>
      <c r="K1279" t="str">
        <f>TEXT(Transactions_Clean[[#This Row],[Date]],"MMM-YYYY")</f>
        <v>Jul-2024</v>
      </c>
      <c r="L1279">
        <f>IF(Transactions_Clean[[#This Row],[Category]]="Revenue",Transactions_Clean[[#This Row],[Amount(₹)]],Transactions_Clean[[#This Row],[Amount(₹)]]/8)</f>
        <v>-3308.25</v>
      </c>
    </row>
    <row r="1280" spans="1:12">
      <c r="A1280" t="s">
        <v>2247</v>
      </c>
      <c r="B1280" t="s">
        <v>4749</v>
      </c>
      <c r="C1280" t="s">
        <v>44</v>
      </c>
      <c r="D1280">
        <v>-45460</v>
      </c>
      <c r="E1280" t="s">
        <v>23</v>
      </c>
      <c r="F1280" t="s">
        <v>24</v>
      </c>
      <c r="G1280" t="s">
        <v>33</v>
      </c>
      <c r="H1280" t="s">
        <v>26</v>
      </c>
      <c r="I1280" t="s">
        <v>48</v>
      </c>
      <c r="J1280" s="11">
        <v>45220</v>
      </c>
      <c r="K1280" t="str">
        <f>TEXT(Transactions_Clean[[#This Row],[Date]],"MMM-YYYY")</f>
        <v>Oct-2023</v>
      </c>
      <c r="L1280">
        <f>IF(Transactions_Clean[[#This Row],[Category]]="Revenue",Transactions_Clean[[#This Row],[Amount(₹)]],Transactions_Clean[[#This Row],[Amount(₹)]]/8)</f>
        <v>-5682.5</v>
      </c>
    </row>
    <row r="1281" spans="1:12">
      <c r="A1281" t="s">
        <v>2248</v>
      </c>
      <c r="B1281" t="s">
        <v>224</v>
      </c>
      <c r="C1281" t="s">
        <v>78</v>
      </c>
      <c r="D1281">
        <v>-47653</v>
      </c>
      <c r="E1281" t="s">
        <v>23</v>
      </c>
      <c r="F1281" t="s">
        <v>32</v>
      </c>
      <c r="G1281" t="s">
        <v>79</v>
      </c>
      <c r="H1281" t="s">
        <v>39</v>
      </c>
      <c r="I1281" t="s">
        <v>48</v>
      </c>
      <c r="J1281" s="11">
        <v>45959</v>
      </c>
      <c r="K1281" t="str">
        <f>TEXT(Transactions_Clean[[#This Row],[Date]],"MMM-YYYY")</f>
        <v>Oct-2025</v>
      </c>
      <c r="L1281">
        <f>IF(Transactions_Clean[[#This Row],[Category]]="Revenue",Transactions_Clean[[#This Row],[Amount(₹)]],Transactions_Clean[[#This Row],[Amount(₹)]]/8)</f>
        <v>-5956.625</v>
      </c>
    </row>
    <row r="1282" spans="1:12">
      <c r="A1282" t="s">
        <v>2250</v>
      </c>
      <c r="B1282" t="s">
        <v>106</v>
      </c>
      <c r="C1282" t="s">
        <v>31</v>
      </c>
      <c r="D1282">
        <v>-26895</v>
      </c>
      <c r="E1282" t="s">
        <v>23</v>
      </c>
      <c r="F1282" t="s">
        <v>24</v>
      </c>
      <c r="G1282" t="s">
        <v>33</v>
      </c>
      <c r="H1282" t="s">
        <v>39</v>
      </c>
      <c r="I1282" t="s">
        <v>48</v>
      </c>
      <c r="J1282" s="11">
        <v>45933</v>
      </c>
      <c r="K1282" t="str">
        <f>TEXT(Transactions_Clean[[#This Row],[Date]],"MMM-YYYY")</f>
        <v>Oct-2025</v>
      </c>
      <c r="L1282">
        <f>IF(Transactions_Clean[[#This Row],[Category]]="Revenue",Transactions_Clean[[#This Row],[Amount(₹)]],Transactions_Clean[[#This Row],[Amount(₹)]]/8)</f>
        <v>-3361.875</v>
      </c>
    </row>
    <row r="1283" spans="1:12">
      <c r="A1283" t="s">
        <v>2251</v>
      </c>
      <c r="B1283" t="s">
        <v>100</v>
      </c>
      <c r="C1283" t="s">
        <v>31</v>
      </c>
      <c r="D1283">
        <v>-5505</v>
      </c>
      <c r="E1283" t="s">
        <v>23</v>
      </c>
      <c r="F1283" t="s">
        <v>24</v>
      </c>
      <c r="G1283" t="s">
        <v>33</v>
      </c>
      <c r="H1283" t="s">
        <v>26</v>
      </c>
      <c r="I1283" t="s">
        <v>27</v>
      </c>
      <c r="J1283" s="11">
        <v>45340</v>
      </c>
      <c r="K1283" t="str">
        <f>TEXT(Transactions_Clean[[#This Row],[Date]],"MMM-YYYY")</f>
        <v>Feb-2024</v>
      </c>
      <c r="L1283">
        <f>IF(Transactions_Clean[[#This Row],[Category]]="Revenue",Transactions_Clean[[#This Row],[Amount(₹)]],Transactions_Clean[[#This Row],[Amount(₹)]]/8)</f>
        <v>-688.125</v>
      </c>
    </row>
    <row r="1284" spans="1:12">
      <c r="A1284" t="s">
        <v>2253</v>
      </c>
      <c r="B1284" t="s">
        <v>4766</v>
      </c>
      <c r="C1284" t="s">
        <v>73</v>
      </c>
      <c r="D1284">
        <v>-18957</v>
      </c>
      <c r="E1284" t="s">
        <v>74</v>
      </c>
      <c r="F1284" t="s">
        <v>32</v>
      </c>
      <c r="G1284" t="s">
        <v>25</v>
      </c>
      <c r="H1284" t="s">
        <v>26</v>
      </c>
      <c r="I1284" t="s">
        <v>40</v>
      </c>
      <c r="J1284" s="11">
        <v>45148</v>
      </c>
      <c r="K1284" t="str">
        <f>TEXT(Transactions_Clean[[#This Row],[Date]],"MMM-YYYY")</f>
        <v>Aug-2023</v>
      </c>
      <c r="L1284">
        <f>IF(Transactions_Clean[[#This Row],[Category]]="Revenue",Transactions_Clean[[#This Row],[Amount(₹)]],Transactions_Clean[[#This Row],[Amount(₹)]]/8)</f>
        <v>-2369.625</v>
      </c>
    </row>
    <row r="1285" spans="1:12">
      <c r="A1285" t="s">
        <v>2255</v>
      </c>
      <c r="B1285" t="s">
        <v>4766</v>
      </c>
      <c r="C1285" t="s">
        <v>73</v>
      </c>
      <c r="D1285">
        <v>-35532</v>
      </c>
      <c r="E1285" t="s">
        <v>74</v>
      </c>
      <c r="F1285" t="s">
        <v>32</v>
      </c>
      <c r="G1285" t="s">
        <v>25</v>
      </c>
      <c r="H1285" t="s">
        <v>26</v>
      </c>
      <c r="I1285" t="s">
        <v>48</v>
      </c>
      <c r="J1285" s="11">
        <v>45223</v>
      </c>
      <c r="K1285" t="str">
        <f>TEXT(Transactions_Clean[[#This Row],[Date]],"MMM-YYYY")</f>
        <v>Oct-2023</v>
      </c>
      <c r="L1285">
        <f>IF(Transactions_Clean[[#This Row],[Category]]="Revenue",Transactions_Clean[[#This Row],[Amount(₹)]],Transactions_Clean[[#This Row],[Amount(₹)]]/8)</f>
        <v>-4441.5</v>
      </c>
    </row>
    <row r="1286" spans="1:12">
      <c r="A1286" t="s">
        <v>2256</v>
      </c>
      <c r="B1286" t="s">
        <v>37</v>
      </c>
      <c r="C1286" t="s">
        <v>38</v>
      </c>
      <c r="D1286">
        <v>-11557</v>
      </c>
      <c r="E1286" t="s">
        <v>23</v>
      </c>
      <c r="F1286" t="s">
        <v>24</v>
      </c>
      <c r="G1286" t="s">
        <v>33</v>
      </c>
      <c r="H1286" t="s">
        <v>39</v>
      </c>
      <c r="I1286" t="s">
        <v>34</v>
      </c>
      <c r="J1286" s="11">
        <v>45826</v>
      </c>
      <c r="K1286" t="str">
        <f>TEXT(Transactions_Clean[[#This Row],[Date]],"MMM-YYYY")</f>
        <v>Jun-2025</v>
      </c>
      <c r="L1286">
        <f>IF(Transactions_Clean[[#This Row],[Category]]="Revenue",Transactions_Clean[[#This Row],[Amount(₹)]],Transactions_Clean[[#This Row],[Amount(₹)]]/8)</f>
        <v>-1444.625</v>
      </c>
    </row>
    <row r="1287" spans="1:12">
      <c r="A1287" t="s">
        <v>2259</v>
      </c>
      <c r="B1287" t="s">
        <v>4753</v>
      </c>
      <c r="C1287" t="s">
        <v>38</v>
      </c>
      <c r="D1287">
        <v>-49698</v>
      </c>
      <c r="E1287" t="s">
        <v>23</v>
      </c>
      <c r="F1287" t="s">
        <v>32</v>
      </c>
      <c r="G1287" t="s">
        <v>33</v>
      </c>
      <c r="H1287" t="s">
        <v>45</v>
      </c>
      <c r="I1287" t="s">
        <v>40</v>
      </c>
      <c r="J1287" s="11">
        <v>45486</v>
      </c>
      <c r="K1287" t="str">
        <f>TEXT(Transactions_Clean[[#This Row],[Date]],"MMM-YYYY")</f>
        <v>Jul-2024</v>
      </c>
      <c r="L1287">
        <f>IF(Transactions_Clean[[#This Row],[Category]]="Revenue",Transactions_Clean[[#This Row],[Amount(₹)]],Transactions_Clean[[#This Row],[Amount(₹)]]/8)</f>
        <v>-6212.25</v>
      </c>
    </row>
    <row r="1288" spans="1:12">
      <c r="A1288" t="s">
        <v>2260</v>
      </c>
      <c r="B1288" t="s">
        <v>4749</v>
      </c>
      <c r="C1288" t="s">
        <v>44</v>
      </c>
      <c r="D1288">
        <v>-88369</v>
      </c>
      <c r="E1288" t="s">
        <v>23</v>
      </c>
      <c r="F1288" t="s">
        <v>32</v>
      </c>
      <c r="G1288" t="s">
        <v>33</v>
      </c>
      <c r="H1288" t="s">
        <v>39</v>
      </c>
      <c r="I1288" t="s">
        <v>27</v>
      </c>
      <c r="J1288" s="11">
        <v>46082</v>
      </c>
      <c r="K1288" t="str">
        <f>TEXT(Transactions_Clean[[#This Row],[Date]],"MMM-YYYY")</f>
        <v>Mar-2026</v>
      </c>
      <c r="L1288">
        <f>IF(Transactions_Clean[[#This Row],[Category]]="Revenue",Transactions_Clean[[#This Row],[Amount(₹)]],Transactions_Clean[[#This Row],[Amount(₹)]]/8)</f>
        <v>-11046.125</v>
      </c>
    </row>
    <row r="1289" spans="1:12">
      <c r="A1289" t="s">
        <v>2261</v>
      </c>
      <c r="B1289" t="s">
        <v>4769</v>
      </c>
      <c r="C1289" t="s">
        <v>44</v>
      </c>
      <c r="D1289">
        <v>-103071</v>
      </c>
      <c r="E1289" t="s">
        <v>23</v>
      </c>
      <c r="F1289" t="s">
        <v>32</v>
      </c>
      <c r="G1289" t="s">
        <v>33</v>
      </c>
      <c r="H1289" t="s">
        <v>39</v>
      </c>
      <c r="I1289" t="s">
        <v>27</v>
      </c>
      <c r="J1289" s="11">
        <v>46050</v>
      </c>
      <c r="K1289" t="str">
        <f>TEXT(Transactions_Clean[[#This Row],[Date]],"MMM-YYYY")</f>
        <v>Jan-2026</v>
      </c>
      <c r="L1289">
        <f>IF(Transactions_Clean[[#This Row],[Category]]="Revenue",Transactions_Clean[[#This Row],[Amount(₹)]],Transactions_Clean[[#This Row],[Amount(₹)]]/8)</f>
        <v>-12883.875</v>
      </c>
    </row>
    <row r="1290" spans="1:12">
      <c r="A1290" t="s">
        <v>2262</v>
      </c>
      <c r="B1290" t="s">
        <v>4765</v>
      </c>
      <c r="C1290" t="s">
        <v>73</v>
      </c>
      <c r="D1290">
        <v>-12205</v>
      </c>
      <c r="E1290" t="s">
        <v>74</v>
      </c>
      <c r="F1290" t="s">
        <v>24</v>
      </c>
      <c r="G1290" t="s">
        <v>25</v>
      </c>
      <c r="H1290" t="s">
        <v>39</v>
      </c>
      <c r="I1290" t="s">
        <v>40</v>
      </c>
      <c r="J1290" s="11">
        <v>45840</v>
      </c>
      <c r="K1290" t="str">
        <f>TEXT(Transactions_Clean[[#This Row],[Date]],"MMM-YYYY")</f>
        <v>Jul-2025</v>
      </c>
      <c r="L1290">
        <f>IF(Transactions_Clean[[#This Row],[Category]]="Revenue",Transactions_Clean[[#This Row],[Amount(₹)]],Transactions_Clean[[#This Row],[Amount(₹)]]/8)</f>
        <v>-1525.625</v>
      </c>
    </row>
    <row r="1291" spans="1:12">
      <c r="A1291" t="s">
        <v>2263</v>
      </c>
      <c r="B1291" t="s">
        <v>66</v>
      </c>
      <c r="C1291" t="s">
        <v>61</v>
      </c>
      <c r="D1291">
        <v>-32508</v>
      </c>
      <c r="E1291" t="s">
        <v>62</v>
      </c>
      <c r="F1291" t="s">
        <v>32</v>
      </c>
      <c r="G1291" t="s">
        <v>63</v>
      </c>
      <c r="H1291" t="s">
        <v>45</v>
      </c>
      <c r="I1291" t="s">
        <v>34</v>
      </c>
      <c r="J1291" s="11">
        <v>45460</v>
      </c>
      <c r="K1291" t="str">
        <f>TEXT(Transactions_Clean[[#This Row],[Date]],"MMM-YYYY")</f>
        <v>Jun-2024</v>
      </c>
      <c r="L1291">
        <f>IF(Transactions_Clean[[#This Row],[Category]]="Revenue",Transactions_Clean[[#This Row],[Amount(₹)]],Transactions_Clean[[#This Row],[Amount(₹)]]/8)</f>
        <v>-4063.5</v>
      </c>
    </row>
    <row r="1292" spans="1:12">
      <c r="A1292" t="s">
        <v>2264</v>
      </c>
      <c r="B1292" t="s">
        <v>255</v>
      </c>
      <c r="C1292" t="s">
        <v>22</v>
      </c>
      <c r="D1292">
        <v>-213103</v>
      </c>
      <c r="E1292" t="s">
        <v>23</v>
      </c>
      <c r="F1292" t="s">
        <v>32</v>
      </c>
      <c r="G1292" t="s">
        <v>25</v>
      </c>
      <c r="H1292" t="s">
        <v>45</v>
      </c>
      <c r="I1292" t="s">
        <v>27</v>
      </c>
      <c r="J1292" s="11">
        <v>45710</v>
      </c>
      <c r="K1292" t="str">
        <f>TEXT(Transactions_Clean[[#This Row],[Date]],"MMM-YYYY")</f>
        <v>Feb-2025</v>
      </c>
      <c r="L1292">
        <f>IF(Transactions_Clean[[#This Row],[Category]]="Revenue",Transactions_Clean[[#This Row],[Amount(₹)]],Transactions_Clean[[#This Row],[Amount(₹)]]/8)</f>
        <v>-26637.875</v>
      </c>
    </row>
    <row r="1293" spans="1:12">
      <c r="A1293" t="s">
        <v>2265</v>
      </c>
      <c r="B1293" t="s">
        <v>215</v>
      </c>
      <c r="C1293" t="s">
        <v>61</v>
      </c>
      <c r="D1293">
        <v>-35128</v>
      </c>
      <c r="E1293" t="s">
        <v>62</v>
      </c>
      <c r="F1293" t="s">
        <v>24</v>
      </c>
      <c r="G1293" t="s">
        <v>63</v>
      </c>
      <c r="H1293" t="s">
        <v>26</v>
      </c>
      <c r="I1293" t="s">
        <v>27</v>
      </c>
      <c r="J1293" s="11">
        <v>45322</v>
      </c>
      <c r="K1293" t="str">
        <f>TEXT(Transactions_Clean[[#This Row],[Date]],"MMM-YYYY")</f>
        <v>Jan-2024</v>
      </c>
      <c r="L1293">
        <f>IF(Transactions_Clean[[#This Row],[Category]]="Revenue",Transactions_Clean[[#This Row],[Amount(₹)]],Transactions_Clean[[#This Row],[Amount(₹)]]/8)</f>
        <v>-4391</v>
      </c>
    </row>
    <row r="1294" spans="1:12">
      <c r="A1294" t="s">
        <v>2267</v>
      </c>
      <c r="B1294" t="s">
        <v>224</v>
      </c>
      <c r="C1294" t="s">
        <v>78</v>
      </c>
      <c r="D1294">
        <v>-36605</v>
      </c>
      <c r="E1294" t="s">
        <v>23</v>
      </c>
      <c r="F1294" t="s">
        <v>24</v>
      </c>
      <c r="G1294" t="s">
        <v>79</v>
      </c>
      <c r="H1294" t="s">
        <v>39</v>
      </c>
      <c r="I1294" t="s">
        <v>48</v>
      </c>
      <c r="J1294" s="11">
        <v>45971</v>
      </c>
      <c r="K1294" t="str">
        <f>TEXT(Transactions_Clean[[#This Row],[Date]],"MMM-YYYY")</f>
        <v>Nov-2025</v>
      </c>
      <c r="L1294">
        <f>IF(Transactions_Clean[[#This Row],[Category]]="Revenue",Transactions_Clean[[#This Row],[Amount(₹)]],Transactions_Clean[[#This Row],[Amount(₹)]]/8)</f>
        <v>-4575.625</v>
      </c>
    </row>
    <row r="1295" spans="1:12">
      <c r="A1295" t="s">
        <v>2268</v>
      </c>
      <c r="B1295" t="s">
        <v>4769</v>
      </c>
      <c r="C1295" t="s">
        <v>44</v>
      </c>
      <c r="D1295">
        <v>-78412</v>
      </c>
      <c r="E1295" t="s">
        <v>23</v>
      </c>
      <c r="F1295" t="s">
        <v>24</v>
      </c>
      <c r="G1295" t="s">
        <v>33</v>
      </c>
      <c r="H1295" t="s">
        <v>45</v>
      </c>
      <c r="I1295" t="s">
        <v>27</v>
      </c>
      <c r="J1295" s="11">
        <v>45746</v>
      </c>
      <c r="K1295" t="str">
        <f>TEXT(Transactions_Clean[[#This Row],[Date]],"MMM-YYYY")</f>
        <v>Mar-2025</v>
      </c>
      <c r="L1295">
        <f>IF(Transactions_Clean[[#This Row],[Category]]="Revenue",Transactions_Clean[[#This Row],[Amount(₹)]],Transactions_Clean[[#This Row],[Amount(₹)]]/8)</f>
        <v>-9801.5</v>
      </c>
    </row>
    <row r="1296" spans="1:12">
      <c r="A1296" t="s">
        <v>2269</v>
      </c>
      <c r="B1296" t="s">
        <v>143</v>
      </c>
      <c r="C1296" t="s">
        <v>78</v>
      </c>
      <c r="D1296">
        <v>-97657</v>
      </c>
      <c r="E1296" t="s">
        <v>23</v>
      </c>
      <c r="F1296" t="s">
        <v>32</v>
      </c>
      <c r="G1296" t="s">
        <v>79</v>
      </c>
      <c r="H1296" t="s">
        <v>45</v>
      </c>
      <c r="I1296" t="s">
        <v>40</v>
      </c>
      <c r="J1296" s="11">
        <v>45559</v>
      </c>
      <c r="K1296" t="str">
        <f>TEXT(Transactions_Clean[[#This Row],[Date]],"MMM-YYYY")</f>
        <v>Sep-2024</v>
      </c>
      <c r="L1296">
        <f>IF(Transactions_Clean[[#This Row],[Category]]="Revenue",Transactions_Clean[[#This Row],[Amount(₹)]],Transactions_Clean[[#This Row],[Amount(₹)]]/8)</f>
        <v>-12207.125</v>
      </c>
    </row>
    <row r="1297" spans="1:12">
      <c r="A1297" t="s">
        <v>2270</v>
      </c>
      <c r="B1297" t="s">
        <v>4776</v>
      </c>
      <c r="C1297" t="s">
        <v>440</v>
      </c>
      <c r="D1297">
        <v>-143190</v>
      </c>
      <c r="E1297" t="s">
        <v>23</v>
      </c>
      <c r="F1297" t="s">
        <v>24</v>
      </c>
      <c r="G1297" t="s">
        <v>33</v>
      </c>
      <c r="H1297" t="s">
        <v>26</v>
      </c>
      <c r="I1297" t="s">
        <v>48</v>
      </c>
      <c r="J1297" s="11">
        <v>45255</v>
      </c>
      <c r="K1297" t="str">
        <f>TEXT(Transactions_Clean[[#This Row],[Date]],"MMM-YYYY")</f>
        <v>Nov-2023</v>
      </c>
      <c r="L1297">
        <f>IF(Transactions_Clean[[#This Row],[Category]]="Revenue",Transactions_Clean[[#This Row],[Amount(₹)]],Transactions_Clean[[#This Row],[Amount(₹)]]/8)</f>
        <v>-17898.75</v>
      </c>
    </row>
    <row r="1298" spans="1:12">
      <c r="A1298" t="s">
        <v>2271</v>
      </c>
      <c r="B1298" t="s">
        <v>215</v>
      </c>
      <c r="C1298" t="s">
        <v>61</v>
      </c>
      <c r="D1298">
        <v>-12250</v>
      </c>
      <c r="E1298" t="s">
        <v>62</v>
      </c>
      <c r="F1298" t="s">
        <v>24</v>
      </c>
      <c r="G1298" t="s">
        <v>63</v>
      </c>
      <c r="H1298" t="s">
        <v>26</v>
      </c>
      <c r="I1298" t="s">
        <v>40</v>
      </c>
      <c r="J1298" s="11">
        <v>45183</v>
      </c>
      <c r="K1298" t="str">
        <f>TEXT(Transactions_Clean[[#This Row],[Date]],"MMM-YYYY")</f>
        <v>Sep-2023</v>
      </c>
      <c r="L1298">
        <f>IF(Transactions_Clean[[#This Row],[Category]]="Revenue",Transactions_Clean[[#This Row],[Amount(₹)]],Transactions_Clean[[#This Row],[Amount(₹)]]/8)</f>
        <v>-1531.25</v>
      </c>
    </row>
    <row r="1299" spans="1:12">
      <c r="A1299" t="s">
        <v>2272</v>
      </c>
      <c r="B1299" t="s">
        <v>116</v>
      </c>
      <c r="C1299" t="s">
        <v>73</v>
      </c>
      <c r="D1299">
        <v>-24749</v>
      </c>
      <c r="E1299" t="s">
        <v>74</v>
      </c>
      <c r="F1299" t="s">
        <v>32</v>
      </c>
      <c r="G1299" t="s">
        <v>25</v>
      </c>
      <c r="H1299" t="s">
        <v>39</v>
      </c>
      <c r="I1299" t="s">
        <v>27</v>
      </c>
      <c r="J1299" s="11">
        <v>46040</v>
      </c>
      <c r="K1299" t="str">
        <f>TEXT(Transactions_Clean[[#This Row],[Date]],"MMM-YYYY")</f>
        <v>Jan-2026</v>
      </c>
      <c r="L1299">
        <f>IF(Transactions_Clean[[#This Row],[Category]]="Revenue",Transactions_Clean[[#This Row],[Amount(₹)]],Transactions_Clean[[#This Row],[Amount(₹)]]/8)</f>
        <v>-3093.625</v>
      </c>
    </row>
    <row r="1300" spans="1:12">
      <c r="A1300" t="s">
        <v>2273</v>
      </c>
      <c r="B1300" t="s">
        <v>255</v>
      </c>
      <c r="C1300" t="s">
        <v>22</v>
      </c>
      <c r="D1300">
        <v>-49520</v>
      </c>
      <c r="E1300" t="s">
        <v>23</v>
      </c>
      <c r="F1300" t="s">
        <v>24</v>
      </c>
      <c r="G1300" t="s">
        <v>25</v>
      </c>
      <c r="H1300" t="s">
        <v>45</v>
      </c>
      <c r="I1300" t="s">
        <v>48</v>
      </c>
      <c r="J1300" s="11">
        <v>45583</v>
      </c>
      <c r="K1300" t="str">
        <f>TEXT(Transactions_Clean[[#This Row],[Date]],"MMM-YYYY")</f>
        <v>Oct-2024</v>
      </c>
      <c r="L1300">
        <f>IF(Transactions_Clean[[#This Row],[Category]]="Revenue",Transactions_Clean[[#This Row],[Amount(₹)]],Transactions_Clean[[#This Row],[Amount(₹)]]/8)</f>
        <v>-6190</v>
      </c>
    </row>
    <row r="1301" spans="1:12">
      <c r="A1301" t="s">
        <v>2275</v>
      </c>
      <c r="B1301" t="s">
        <v>4753</v>
      </c>
      <c r="C1301" t="s">
        <v>38</v>
      </c>
      <c r="D1301">
        <v>-48431</v>
      </c>
      <c r="E1301" t="s">
        <v>23</v>
      </c>
      <c r="F1301" t="s">
        <v>24</v>
      </c>
      <c r="G1301" t="s">
        <v>33</v>
      </c>
      <c r="H1301" t="s">
        <v>26</v>
      </c>
      <c r="I1301" t="s">
        <v>48</v>
      </c>
      <c r="J1301" s="11">
        <v>45269</v>
      </c>
      <c r="K1301" t="str">
        <f>TEXT(Transactions_Clean[[#This Row],[Date]],"MMM-YYYY")</f>
        <v>Dec-2023</v>
      </c>
      <c r="L1301">
        <f>IF(Transactions_Clean[[#This Row],[Category]]="Revenue",Transactions_Clean[[#This Row],[Amount(₹)]],Transactions_Clean[[#This Row],[Amount(₹)]]/8)</f>
        <v>-6053.875</v>
      </c>
    </row>
    <row r="1302" spans="1:12">
      <c r="A1302" t="s">
        <v>2276</v>
      </c>
      <c r="B1302" t="s">
        <v>345</v>
      </c>
      <c r="C1302" t="s">
        <v>22</v>
      </c>
      <c r="D1302">
        <v>-100444</v>
      </c>
      <c r="E1302" t="s">
        <v>23</v>
      </c>
      <c r="F1302" t="s">
        <v>24</v>
      </c>
      <c r="G1302" t="s">
        <v>25</v>
      </c>
      <c r="H1302" t="s">
        <v>39</v>
      </c>
      <c r="I1302" t="s">
        <v>40</v>
      </c>
      <c r="J1302" s="11">
        <v>45885</v>
      </c>
      <c r="K1302" t="str">
        <f>TEXT(Transactions_Clean[[#This Row],[Date]],"MMM-YYYY")</f>
        <v>Aug-2025</v>
      </c>
      <c r="L1302">
        <f>IF(Transactions_Clean[[#This Row],[Category]]="Revenue",Transactions_Clean[[#This Row],[Amount(₹)]],Transactions_Clean[[#This Row],[Amount(₹)]]/8)</f>
        <v>-12555.5</v>
      </c>
    </row>
    <row r="1303" spans="1:12">
      <c r="A1303" t="s">
        <v>2278</v>
      </c>
      <c r="B1303" t="s">
        <v>4751</v>
      </c>
      <c r="C1303" t="s">
        <v>38</v>
      </c>
      <c r="D1303">
        <v>-52453</v>
      </c>
      <c r="E1303" t="s">
        <v>23</v>
      </c>
      <c r="F1303" t="s">
        <v>32</v>
      </c>
      <c r="G1303" t="s">
        <v>33</v>
      </c>
      <c r="H1303" t="s">
        <v>26</v>
      </c>
      <c r="I1303" t="s">
        <v>27</v>
      </c>
      <c r="J1303" s="11">
        <v>45318</v>
      </c>
      <c r="K1303" t="str">
        <f>TEXT(Transactions_Clean[[#This Row],[Date]],"MMM-YYYY")</f>
        <v>Jan-2024</v>
      </c>
      <c r="L1303">
        <f>IF(Transactions_Clean[[#This Row],[Category]]="Revenue",Transactions_Clean[[#This Row],[Amount(₹)]],Transactions_Clean[[#This Row],[Amount(₹)]]/8)</f>
        <v>-6556.625</v>
      </c>
    </row>
    <row r="1304" spans="1:12">
      <c r="A1304" t="s">
        <v>2279</v>
      </c>
      <c r="B1304" t="s">
        <v>4764</v>
      </c>
      <c r="C1304" t="s">
        <v>157</v>
      </c>
      <c r="D1304">
        <v>669159</v>
      </c>
      <c r="E1304" t="s">
        <v>62</v>
      </c>
      <c r="F1304" t="s">
        <v>32</v>
      </c>
      <c r="G1304" t="s">
        <v>25</v>
      </c>
      <c r="H1304" t="s">
        <v>39</v>
      </c>
      <c r="I1304" t="s">
        <v>34</v>
      </c>
      <c r="J1304" s="11">
        <v>45821</v>
      </c>
      <c r="K1304" t="str">
        <f>TEXT(Transactions_Clean[[#This Row],[Date]],"MMM-YYYY")</f>
        <v>Jun-2025</v>
      </c>
      <c r="L1304">
        <f>IF(Transactions_Clean[[#This Row],[Category]]="Revenue",Transactions_Clean[[#This Row],[Amount(₹)]],Transactions_Clean[[#This Row],[Amount(₹)]]/8)</f>
        <v>669159</v>
      </c>
    </row>
    <row r="1305" spans="1:12">
      <c r="A1305" t="s">
        <v>2280</v>
      </c>
      <c r="B1305" t="s">
        <v>4776</v>
      </c>
      <c r="C1305" t="s">
        <v>440</v>
      </c>
      <c r="D1305">
        <v>-158341</v>
      </c>
      <c r="E1305" t="s">
        <v>23</v>
      </c>
      <c r="F1305" t="s">
        <v>24</v>
      </c>
      <c r="G1305" t="s">
        <v>33</v>
      </c>
      <c r="H1305" t="s">
        <v>26</v>
      </c>
      <c r="I1305" t="s">
        <v>40</v>
      </c>
      <c r="J1305" s="11">
        <v>45131</v>
      </c>
      <c r="K1305" t="str">
        <f>TEXT(Transactions_Clean[[#This Row],[Date]],"MMM-YYYY")</f>
        <v>Jul-2023</v>
      </c>
      <c r="L1305">
        <f>IF(Transactions_Clean[[#This Row],[Category]]="Revenue",Transactions_Clean[[#This Row],[Amount(₹)]],Transactions_Clean[[#This Row],[Amount(₹)]]/8)</f>
        <v>-19792.625</v>
      </c>
    </row>
    <row r="1306" spans="1:12">
      <c r="A1306" t="s">
        <v>2281</v>
      </c>
      <c r="B1306" t="s">
        <v>4751</v>
      </c>
      <c r="C1306" t="s">
        <v>38</v>
      </c>
      <c r="D1306">
        <v>-18956</v>
      </c>
      <c r="E1306" t="s">
        <v>23</v>
      </c>
      <c r="F1306" t="s">
        <v>32</v>
      </c>
      <c r="G1306" t="s">
        <v>33</v>
      </c>
      <c r="H1306" t="s">
        <v>39</v>
      </c>
      <c r="I1306" t="s">
        <v>48</v>
      </c>
      <c r="J1306" s="11">
        <v>46009</v>
      </c>
      <c r="K1306" t="str">
        <f>TEXT(Transactions_Clean[[#This Row],[Date]],"MMM-YYYY")</f>
        <v>Dec-2025</v>
      </c>
      <c r="L1306">
        <f>IF(Transactions_Clean[[#This Row],[Category]]="Revenue",Transactions_Clean[[#This Row],[Amount(₹)]],Transactions_Clean[[#This Row],[Amount(₹)]]/8)</f>
        <v>-2369.5</v>
      </c>
    </row>
    <row r="1307" spans="1:12">
      <c r="A1307" t="s">
        <v>2283</v>
      </c>
      <c r="B1307" t="s">
        <v>4762</v>
      </c>
      <c r="C1307" t="s">
        <v>157</v>
      </c>
      <c r="D1307">
        <v>583302</v>
      </c>
      <c r="E1307" t="s">
        <v>62</v>
      </c>
      <c r="F1307" t="s">
        <v>32</v>
      </c>
      <c r="G1307" t="s">
        <v>25</v>
      </c>
      <c r="H1307" t="s">
        <v>45</v>
      </c>
      <c r="I1307" t="s">
        <v>34</v>
      </c>
      <c r="J1307" s="11">
        <v>45429</v>
      </c>
      <c r="K1307" t="str">
        <f>TEXT(Transactions_Clean[[#This Row],[Date]],"MMM-YYYY")</f>
        <v>May-2024</v>
      </c>
      <c r="L1307">
        <f>IF(Transactions_Clean[[#This Row],[Category]]="Revenue",Transactions_Clean[[#This Row],[Amount(₹)]],Transactions_Clean[[#This Row],[Amount(₹)]]/8)</f>
        <v>583302</v>
      </c>
    </row>
    <row r="1308" spans="1:12">
      <c r="A1308" t="s">
        <v>2285</v>
      </c>
      <c r="B1308" t="s">
        <v>72</v>
      </c>
      <c r="C1308" t="s">
        <v>73</v>
      </c>
      <c r="D1308">
        <v>-46535</v>
      </c>
      <c r="E1308" t="s">
        <v>74</v>
      </c>
      <c r="F1308" t="s">
        <v>24</v>
      </c>
      <c r="G1308" t="s">
        <v>25</v>
      </c>
      <c r="H1308" t="s">
        <v>45</v>
      </c>
      <c r="I1308" t="s">
        <v>40</v>
      </c>
      <c r="J1308" s="11">
        <v>45511</v>
      </c>
      <c r="K1308" t="str">
        <f>TEXT(Transactions_Clean[[#This Row],[Date]],"MMM-YYYY")</f>
        <v>Aug-2024</v>
      </c>
      <c r="L1308">
        <f>IF(Transactions_Clean[[#This Row],[Category]]="Revenue",Transactions_Clean[[#This Row],[Amount(₹)]],Transactions_Clean[[#This Row],[Amount(₹)]]/8)</f>
        <v>-5816.875</v>
      </c>
    </row>
    <row r="1309" spans="1:12">
      <c r="A1309" t="s">
        <v>2286</v>
      </c>
      <c r="B1309" t="s">
        <v>4771</v>
      </c>
      <c r="C1309" t="s">
        <v>440</v>
      </c>
      <c r="D1309">
        <v>-142615</v>
      </c>
      <c r="E1309" t="s">
        <v>23</v>
      </c>
      <c r="F1309" t="s">
        <v>24</v>
      </c>
      <c r="G1309" t="s">
        <v>33</v>
      </c>
      <c r="H1309" t="s">
        <v>26</v>
      </c>
      <c r="I1309" t="s">
        <v>40</v>
      </c>
      <c r="J1309" s="11">
        <v>45192</v>
      </c>
      <c r="K1309" t="str">
        <f>TEXT(Transactions_Clean[[#This Row],[Date]],"MMM-YYYY")</f>
        <v>Sep-2023</v>
      </c>
      <c r="L1309">
        <f>IF(Transactions_Clean[[#This Row],[Category]]="Revenue",Transactions_Clean[[#This Row],[Amount(₹)]],Transactions_Clean[[#This Row],[Amount(₹)]]/8)</f>
        <v>-17826.875</v>
      </c>
    </row>
    <row r="1310" spans="1:12">
      <c r="A1310" t="s">
        <v>2287</v>
      </c>
      <c r="B1310" t="s">
        <v>616</v>
      </c>
      <c r="C1310" t="s">
        <v>22</v>
      </c>
      <c r="D1310">
        <v>-45287</v>
      </c>
      <c r="E1310" t="s">
        <v>23</v>
      </c>
      <c r="F1310" t="s">
        <v>24</v>
      </c>
      <c r="G1310" t="s">
        <v>25</v>
      </c>
      <c r="H1310" t="s">
        <v>39</v>
      </c>
      <c r="I1310" t="s">
        <v>34</v>
      </c>
      <c r="J1310" s="11">
        <v>45935</v>
      </c>
      <c r="K1310" t="str">
        <f>TEXT(Transactions_Clean[[#This Row],[Date]],"MMM-YYYY")</f>
        <v>Oct-2025</v>
      </c>
      <c r="L1310">
        <f>IF(Transactions_Clean[[#This Row],[Category]]="Revenue",Transactions_Clean[[#This Row],[Amount(₹)]],Transactions_Clean[[#This Row],[Amount(₹)]]/8)</f>
        <v>-5660.875</v>
      </c>
    </row>
    <row r="1311" spans="1:12">
      <c r="A1311" t="s">
        <v>2289</v>
      </c>
      <c r="B1311" t="s">
        <v>310</v>
      </c>
      <c r="C1311" t="s">
        <v>22</v>
      </c>
      <c r="D1311">
        <v>-184945</v>
      </c>
      <c r="E1311" t="s">
        <v>23</v>
      </c>
      <c r="F1311" t="s">
        <v>32</v>
      </c>
      <c r="G1311" t="s">
        <v>25</v>
      </c>
      <c r="H1311" t="s">
        <v>26</v>
      </c>
      <c r="I1311" t="s">
        <v>48</v>
      </c>
      <c r="J1311" s="11">
        <v>45290</v>
      </c>
      <c r="K1311" t="str">
        <f>TEXT(Transactions_Clean[[#This Row],[Date]],"MMM-YYYY")</f>
        <v>Dec-2023</v>
      </c>
      <c r="L1311">
        <f>IF(Transactions_Clean[[#This Row],[Category]]="Revenue",Transactions_Clean[[#This Row],[Amount(₹)]],Transactions_Clean[[#This Row],[Amount(₹)]]/8)</f>
        <v>-23118.125</v>
      </c>
    </row>
    <row r="1312" spans="1:12">
      <c r="A1312" t="s">
        <v>2291</v>
      </c>
      <c r="B1312" t="s">
        <v>4748</v>
      </c>
      <c r="C1312" t="s">
        <v>22</v>
      </c>
      <c r="D1312">
        <v>-161708</v>
      </c>
      <c r="E1312" t="s">
        <v>23</v>
      </c>
      <c r="F1312" t="s">
        <v>32</v>
      </c>
      <c r="G1312" t="s">
        <v>25</v>
      </c>
      <c r="H1312" t="s">
        <v>45</v>
      </c>
      <c r="I1312" t="s">
        <v>27</v>
      </c>
      <c r="J1312" s="11">
        <v>45685</v>
      </c>
      <c r="K1312" t="str">
        <f>TEXT(Transactions_Clean[[#This Row],[Date]],"MMM-YYYY")</f>
        <v>Jan-2025</v>
      </c>
      <c r="L1312">
        <f>IF(Transactions_Clean[[#This Row],[Category]]="Revenue",Transactions_Clean[[#This Row],[Amount(₹)]],Transactions_Clean[[#This Row],[Amount(₹)]]/8)</f>
        <v>-20213.5</v>
      </c>
    </row>
    <row r="1313" spans="1:12">
      <c r="A1313" t="s">
        <v>2293</v>
      </c>
      <c r="B1313" t="s">
        <v>4769</v>
      </c>
      <c r="C1313" t="s">
        <v>44</v>
      </c>
      <c r="D1313">
        <v>-42337</v>
      </c>
      <c r="E1313" t="s">
        <v>23</v>
      </c>
      <c r="F1313" t="s">
        <v>24</v>
      </c>
      <c r="G1313" t="s">
        <v>33</v>
      </c>
      <c r="H1313" t="s">
        <v>39</v>
      </c>
      <c r="I1313" t="s">
        <v>40</v>
      </c>
      <c r="J1313" s="11">
        <v>45912</v>
      </c>
      <c r="K1313" t="str">
        <f>TEXT(Transactions_Clean[[#This Row],[Date]],"MMM-YYYY")</f>
        <v>Sep-2025</v>
      </c>
      <c r="L1313">
        <f>IF(Transactions_Clean[[#This Row],[Category]]="Revenue",Transactions_Clean[[#This Row],[Amount(₹)]],Transactions_Clean[[#This Row],[Amount(₹)]]/8)</f>
        <v>-5292.125</v>
      </c>
    </row>
    <row r="1314" spans="1:12">
      <c r="A1314" t="s">
        <v>2295</v>
      </c>
      <c r="B1314" t="s">
        <v>72</v>
      </c>
      <c r="C1314" t="s">
        <v>4750</v>
      </c>
      <c r="D1314">
        <v>-67130</v>
      </c>
      <c r="E1314" t="s">
        <v>74</v>
      </c>
      <c r="F1314" t="s">
        <v>32</v>
      </c>
      <c r="G1314" t="s">
        <v>25</v>
      </c>
      <c r="H1314" t="s">
        <v>26</v>
      </c>
      <c r="I1314" t="s">
        <v>34</v>
      </c>
      <c r="J1314" s="11">
        <v>45106</v>
      </c>
      <c r="K1314" t="str">
        <f>TEXT(Transactions_Clean[[#This Row],[Date]],"MMM-YYYY")</f>
        <v>Jun-2023</v>
      </c>
      <c r="L1314">
        <f>IF(Transactions_Clean[[#This Row],[Category]]="Revenue",Transactions_Clean[[#This Row],[Amount(₹)]],Transactions_Clean[[#This Row],[Amount(₹)]]/8)</f>
        <v>-8391.25</v>
      </c>
    </row>
    <row r="1315" spans="1:12">
      <c r="A1315" t="s">
        <v>2296</v>
      </c>
      <c r="B1315" t="s">
        <v>4751</v>
      </c>
      <c r="C1315" t="s">
        <v>38</v>
      </c>
      <c r="D1315">
        <v>-50609</v>
      </c>
      <c r="E1315" t="s">
        <v>23</v>
      </c>
      <c r="F1315" t="s">
        <v>24</v>
      </c>
      <c r="G1315" t="s">
        <v>33</v>
      </c>
      <c r="H1315" t="s">
        <v>45</v>
      </c>
      <c r="I1315" t="s">
        <v>48</v>
      </c>
      <c r="J1315" s="11">
        <v>45603</v>
      </c>
      <c r="K1315" t="str">
        <f>TEXT(Transactions_Clean[[#This Row],[Date]],"MMM-YYYY")</f>
        <v>Nov-2024</v>
      </c>
      <c r="L1315">
        <f>IF(Transactions_Clean[[#This Row],[Category]]="Revenue",Transactions_Clean[[#This Row],[Amount(₹)]],Transactions_Clean[[#This Row],[Amount(₹)]]/8)</f>
        <v>-6326.125</v>
      </c>
    </row>
    <row r="1316" spans="1:12">
      <c r="A1316" t="s">
        <v>2297</v>
      </c>
      <c r="B1316" t="s">
        <v>616</v>
      </c>
      <c r="C1316" t="s">
        <v>22</v>
      </c>
      <c r="D1316">
        <v>-26923</v>
      </c>
      <c r="E1316" t="s">
        <v>23</v>
      </c>
      <c r="F1316" t="s">
        <v>32</v>
      </c>
      <c r="G1316" t="s">
        <v>25</v>
      </c>
      <c r="H1316" t="s">
        <v>26</v>
      </c>
      <c r="I1316" t="s">
        <v>27</v>
      </c>
      <c r="J1316" s="11">
        <v>45292</v>
      </c>
      <c r="K1316" t="str">
        <f>TEXT(Transactions_Clean[[#This Row],[Date]],"MMM-YYYY")</f>
        <v>Jan-2024</v>
      </c>
      <c r="L1316">
        <f>IF(Transactions_Clean[[#This Row],[Category]]="Revenue",Transactions_Clean[[#This Row],[Amount(₹)]],Transactions_Clean[[#This Row],[Amount(₹)]]/8)</f>
        <v>-3365.375</v>
      </c>
    </row>
    <row r="1317" spans="1:12">
      <c r="A1317" t="s">
        <v>2298</v>
      </c>
      <c r="B1317" t="s">
        <v>935</v>
      </c>
      <c r="C1317" t="s">
        <v>22</v>
      </c>
      <c r="D1317">
        <v>-185269</v>
      </c>
      <c r="E1317" t="s">
        <v>23</v>
      </c>
      <c r="F1317" t="s">
        <v>32</v>
      </c>
      <c r="G1317" t="s">
        <v>25</v>
      </c>
      <c r="H1317" t="s">
        <v>26</v>
      </c>
      <c r="I1317" t="s">
        <v>27</v>
      </c>
      <c r="J1317" s="11">
        <v>45295</v>
      </c>
      <c r="K1317" t="str">
        <f>TEXT(Transactions_Clean[[#This Row],[Date]],"MMM-YYYY")</f>
        <v>Jan-2024</v>
      </c>
      <c r="L1317">
        <f>IF(Transactions_Clean[[#This Row],[Category]]="Revenue",Transactions_Clean[[#This Row],[Amount(₹)]],Transactions_Clean[[#This Row],[Amount(₹)]]/8)</f>
        <v>-23158.625</v>
      </c>
    </row>
    <row r="1318" spans="1:12">
      <c r="A1318" t="s">
        <v>2300</v>
      </c>
      <c r="B1318" t="s">
        <v>215</v>
      </c>
      <c r="C1318" t="s">
        <v>61</v>
      </c>
      <c r="D1318">
        <v>-64087</v>
      </c>
      <c r="E1318" t="s">
        <v>62</v>
      </c>
      <c r="F1318" t="s">
        <v>24</v>
      </c>
      <c r="G1318" t="s">
        <v>63</v>
      </c>
      <c r="H1318" t="s">
        <v>39</v>
      </c>
      <c r="I1318" t="s">
        <v>48</v>
      </c>
      <c r="J1318" s="11">
        <v>45967</v>
      </c>
      <c r="K1318" t="str">
        <f>TEXT(Transactions_Clean[[#This Row],[Date]],"MMM-YYYY")</f>
        <v>Nov-2025</v>
      </c>
      <c r="L1318">
        <f>IF(Transactions_Clean[[#This Row],[Category]]="Revenue",Transactions_Clean[[#This Row],[Amount(₹)]],Transactions_Clean[[#This Row],[Amount(₹)]]/8)</f>
        <v>-8010.875</v>
      </c>
    </row>
    <row r="1319" spans="1:12">
      <c r="A1319" t="s">
        <v>2301</v>
      </c>
      <c r="B1319" t="s">
        <v>116</v>
      </c>
      <c r="C1319" t="s">
        <v>73</v>
      </c>
      <c r="D1319">
        <v>-48793</v>
      </c>
      <c r="E1319" t="s">
        <v>74</v>
      </c>
      <c r="F1319" t="s">
        <v>32</v>
      </c>
      <c r="G1319" t="s">
        <v>25</v>
      </c>
      <c r="H1319" t="s">
        <v>39</v>
      </c>
      <c r="I1319" t="s">
        <v>34</v>
      </c>
      <c r="J1319" s="11">
        <v>45797</v>
      </c>
      <c r="K1319" t="str">
        <f>TEXT(Transactions_Clean[[#This Row],[Date]],"MMM-YYYY")</f>
        <v>May-2025</v>
      </c>
      <c r="L1319">
        <f>IF(Transactions_Clean[[#This Row],[Category]]="Revenue",Transactions_Clean[[#This Row],[Amount(₹)]],Transactions_Clean[[#This Row],[Amount(₹)]]/8)</f>
        <v>-6099.125</v>
      </c>
    </row>
    <row r="1320" spans="1:12">
      <c r="A1320" t="s">
        <v>2303</v>
      </c>
      <c r="B1320" t="s">
        <v>116</v>
      </c>
      <c r="C1320" t="s">
        <v>73</v>
      </c>
      <c r="D1320">
        <v>-78852</v>
      </c>
      <c r="E1320" t="s">
        <v>74</v>
      </c>
      <c r="F1320" t="s">
        <v>32</v>
      </c>
      <c r="G1320" t="s">
        <v>25</v>
      </c>
      <c r="H1320" t="s">
        <v>39</v>
      </c>
      <c r="I1320" t="s">
        <v>48</v>
      </c>
      <c r="J1320" s="11">
        <v>45989</v>
      </c>
      <c r="K1320" t="str">
        <f>TEXT(Transactions_Clean[[#This Row],[Date]],"MMM-YYYY")</f>
        <v>Nov-2025</v>
      </c>
      <c r="L1320">
        <f>IF(Transactions_Clean[[#This Row],[Category]]="Revenue",Transactions_Clean[[#This Row],[Amount(₹)]],Transactions_Clean[[#This Row],[Amount(₹)]]/8)</f>
        <v>-9856.5</v>
      </c>
    </row>
    <row r="1321" spans="1:12">
      <c r="A1321" t="s">
        <v>2304</v>
      </c>
      <c r="B1321" t="s">
        <v>4762</v>
      </c>
      <c r="C1321" t="s">
        <v>157</v>
      </c>
      <c r="D1321">
        <v>664640</v>
      </c>
      <c r="E1321" t="s">
        <v>62</v>
      </c>
      <c r="F1321" t="s">
        <v>32</v>
      </c>
      <c r="G1321" t="s">
        <v>25</v>
      </c>
      <c r="H1321" t="s">
        <v>45</v>
      </c>
      <c r="I1321" t="s">
        <v>48</v>
      </c>
      <c r="J1321" s="11">
        <v>45595</v>
      </c>
      <c r="K1321" t="str">
        <f>TEXT(Transactions_Clean[[#This Row],[Date]],"MMM-YYYY")</f>
        <v>Oct-2024</v>
      </c>
      <c r="L1321">
        <f>IF(Transactions_Clean[[#This Row],[Category]]="Revenue",Transactions_Clean[[#This Row],[Amount(₹)]],Transactions_Clean[[#This Row],[Amount(₹)]]/8)</f>
        <v>664640</v>
      </c>
    </row>
    <row r="1322" spans="1:12">
      <c r="A1322" t="s">
        <v>2305</v>
      </c>
      <c r="B1322" t="s">
        <v>305</v>
      </c>
      <c r="C1322" t="s">
        <v>38</v>
      </c>
      <c r="D1322">
        <v>-37234</v>
      </c>
      <c r="E1322" t="s">
        <v>23</v>
      </c>
      <c r="F1322" t="s">
        <v>32</v>
      </c>
      <c r="G1322" t="s">
        <v>33</v>
      </c>
      <c r="H1322" t="s">
        <v>39</v>
      </c>
      <c r="I1322" t="s">
        <v>48</v>
      </c>
      <c r="J1322" s="11">
        <v>46017</v>
      </c>
      <c r="K1322" t="str">
        <f>TEXT(Transactions_Clean[[#This Row],[Date]],"MMM-YYYY")</f>
        <v>Dec-2025</v>
      </c>
      <c r="L1322">
        <f>IF(Transactions_Clean[[#This Row],[Category]]="Revenue",Transactions_Clean[[#This Row],[Amount(₹)]],Transactions_Clean[[#This Row],[Amount(₹)]]/8)</f>
        <v>-4654.25</v>
      </c>
    </row>
    <row r="1323" spans="1:12">
      <c r="A1323" t="s">
        <v>2306</v>
      </c>
      <c r="B1323" t="s">
        <v>935</v>
      </c>
      <c r="C1323" t="s">
        <v>22</v>
      </c>
      <c r="D1323">
        <v>-179728</v>
      </c>
      <c r="E1323" t="s">
        <v>23</v>
      </c>
      <c r="F1323" t="s">
        <v>32</v>
      </c>
      <c r="G1323" t="s">
        <v>25</v>
      </c>
      <c r="H1323" t="s">
        <v>26</v>
      </c>
      <c r="I1323" t="s">
        <v>48</v>
      </c>
      <c r="J1323" s="11">
        <v>45269</v>
      </c>
      <c r="K1323" t="str">
        <f>TEXT(Transactions_Clean[[#This Row],[Date]],"MMM-YYYY")</f>
        <v>Dec-2023</v>
      </c>
      <c r="L1323">
        <f>IF(Transactions_Clean[[#This Row],[Category]]="Revenue",Transactions_Clean[[#This Row],[Amount(₹)]],Transactions_Clean[[#This Row],[Amount(₹)]]/8)</f>
        <v>-22466</v>
      </c>
    </row>
    <row r="1324" spans="1:12">
      <c r="A1324" t="s">
        <v>2307</v>
      </c>
      <c r="B1324" t="s">
        <v>4766</v>
      </c>
      <c r="C1324" t="s">
        <v>73</v>
      </c>
      <c r="D1324">
        <v>-55139</v>
      </c>
      <c r="E1324" t="s">
        <v>74</v>
      </c>
      <c r="F1324" t="s">
        <v>24</v>
      </c>
      <c r="G1324" t="s">
        <v>25</v>
      </c>
      <c r="H1324" t="s">
        <v>26</v>
      </c>
      <c r="I1324" t="s">
        <v>40</v>
      </c>
      <c r="J1324" s="11">
        <v>45124</v>
      </c>
      <c r="K1324" t="str">
        <f>TEXT(Transactions_Clean[[#This Row],[Date]],"MMM-YYYY")</f>
        <v>Jul-2023</v>
      </c>
      <c r="L1324">
        <f>IF(Transactions_Clean[[#This Row],[Category]]="Revenue",Transactions_Clean[[#This Row],[Amount(₹)]],Transactions_Clean[[#This Row],[Amount(₹)]]/8)</f>
        <v>-6892.375</v>
      </c>
    </row>
    <row r="1325" spans="1:12">
      <c r="A1325" t="s">
        <v>2309</v>
      </c>
      <c r="B1325" t="s">
        <v>4758</v>
      </c>
      <c r="C1325" t="s">
        <v>78</v>
      </c>
      <c r="D1325">
        <v>-90701</v>
      </c>
      <c r="E1325" t="s">
        <v>23</v>
      </c>
      <c r="F1325" t="s">
        <v>24</v>
      </c>
      <c r="G1325" t="s">
        <v>79</v>
      </c>
      <c r="H1325" t="s">
        <v>26</v>
      </c>
      <c r="I1325" t="s">
        <v>48</v>
      </c>
      <c r="J1325" s="11">
        <v>45285</v>
      </c>
      <c r="K1325" t="str">
        <f>TEXT(Transactions_Clean[[#This Row],[Date]],"MMM-YYYY")</f>
        <v>Dec-2023</v>
      </c>
      <c r="L1325">
        <f>IF(Transactions_Clean[[#This Row],[Category]]="Revenue",Transactions_Clean[[#This Row],[Amount(₹)]],Transactions_Clean[[#This Row],[Amount(₹)]]/8)</f>
        <v>-11337.625</v>
      </c>
    </row>
    <row r="1326" spans="1:12">
      <c r="A1326" t="s">
        <v>2310</v>
      </c>
      <c r="B1326" t="s">
        <v>106</v>
      </c>
      <c r="C1326" t="s">
        <v>31</v>
      </c>
      <c r="D1326">
        <v>-15978</v>
      </c>
      <c r="E1326" t="s">
        <v>23</v>
      </c>
      <c r="F1326" t="s">
        <v>24</v>
      </c>
      <c r="G1326" t="s">
        <v>33</v>
      </c>
      <c r="H1326" t="s">
        <v>39</v>
      </c>
      <c r="I1326" t="s">
        <v>40</v>
      </c>
      <c r="J1326" s="11">
        <v>45893</v>
      </c>
      <c r="K1326" t="str">
        <f>TEXT(Transactions_Clean[[#This Row],[Date]],"MMM-YYYY")</f>
        <v>Aug-2025</v>
      </c>
      <c r="L1326">
        <f>IF(Transactions_Clean[[#This Row],[Category]]="Revenue",Transactions_Clean[[#This Row],[Amount(₹)]],Transactions_Clean[[#This Row],[Amount(₹)]]/8)</f>
        <v>-1997.25</v>
      </c>
    </row>
    <row r="1327" spans="1:12">
      <c r="A1327" t="s">
        <v>2311</v>
      </c>
      <c r="B1327" t="s">
        <v>4759</v>
      </c>
      <c r="C1327" t="s">
        <v>31</v>
      </c>
      <c r="D1327">
        <v>-24713</v>
      </c>
      <c r="E1327" t="s">
        <v>23</v>
      </c>
      <c r="F1327" t="s">
        <v>24</v>
      </c>
      <c r="G1327" t="s">
        <v>33</v>
      </c>
      <c r="H1327" t="s">
        <v>26</v>
      </c>
      <c r="I1327" t="s">
        <v>40</v>
      </c>
      <c r="J1327" s="11">
        <v>45025</v>
      </c>
      <c r="K1327" t="str">
        <f>TEXT(Transactions_Clean[[#This Row],[Date]],"MMM-YYYY")</f>
        <v>Apr-2023</v>
      </c>
      <c r="L1327">
        <f>IF(Transactions_Clean[[#This Row],[Category]]="Revenue",Transactions_Clean[[#This Row],[Amount(₹)]],Transactions_Clean[[#This Row],[Amount(₹)]]/8)</f>
        <v>-3089.125</v>
      </c>
    </row>
    <row r="1328" spans="1:12">
      <c r="A1328" t="s">
        <v>2313</v>
      </c>
      <c r="B1328" t="s">
        <v>4756</v>
      </c>
      <c r="C1328" t="s">
        <v>73</v>
      </c>
      <c r="D1328">
        <v>-14741</v>
      </c>
      <c r="E1328" t="s">
        <v>74</v>
      </c>
      <c r="F1328" t="s">
        <v>24</v>
      </c>
      <c r="G1328" t="s">
        <v>25</v>
      </c>
      <c r="H1328" t="s">
        <v>45</v>
      </c>
      <c r="I1328" t="s">
        <v>40</v>
      </c>
      <c r="J1328" s="11">
        <v>45555</v>
      </c>
      <c r="K1328" t="str">
        <f>TEXT(Transactions_Clean[[#This Row],[Date]],"MMM-YYYY")</f>
        <v>Sep-2024</v>
      </c>
      <c r="L1328">
        <f>IF(Transactions_Clean[[#This Row],[Category]]="Revenue",Transactions_Clean[[#This Row],[Amount(₹)]],Transactions_Clean[[#This Row],[Amount(₹)]]/8)</f>
        <v>-1842.625</v>
      </c>
    </row>
    <row r="1329" spans="1:12">
      <c r="A1329" t="s">
        <v>2315</v>
      </c>
      <c r="B1329" t="s">
        <v>4765</v>
      </c>
      <c r="C1329" t="s">
        <v>73</v>
      </c>
      <c r="D1329">
        <v>-39114</v>
      </c>
      <c r="E1329" t="s">
        <v>74</v>
      </c>
      <c r="F1329" t="s">
        <v>32</v>
      </c>
      <c r="G1329" t="s">
        <v>25</v>
      </c>
      <c r="H1329" t="s">
        <v>45</v>
      </c>
      <c r="I1329" t="s">
        <v>34</v>
      </c>
      <c r="J1329" s="11">
        <v>45399</v>
      </c>
      <c r="K1329" t="str">
        <f>TEXT(Transactions_Clean[[#This Row],[Date]],"MMM-YYYY")</f>
        <v>Apr-2024</v>
      </c>
      <c r="L1329">
        <f>IF(Transactions_Clean[[#This Row],[Category]]="Revenue",Transactions_Clean[[#This Row],[Amount(₹)]],Transactions_Clean[[#This Row],[Amount(₹)]]/8)</f>
        <v>-4889.25</v>
      </c>
    </row>
    <row r="1330" spans="1:12">
      <c r="A1330" t="s">
        <v>2317</v>
      </c>
      <c r="B1330" t="s">
        <v>212</v>
      </c>
      <c r="C1330" t="s">
        <v>73</v>
      </c>
      <c r="D1330">
        <v>-71131</v>
      </c>
      <c r="E1330" t="s">
        <v>74</v>
      </c>
      <c r="F1330" t="s">
        <v>32</v>
      </c>
      <c r="G1330" t="s">
        <v>25</v>
      </c>
      <c r="H1330" t="s">
        <v>26</v>
      </c>
      <c r="I1330" t="s">
        <v>48</v>
      </c>
      <c r="J1330" s="11">
        <v>45248</v>
      </c>
      <c r="K1330" t="str">
        <f>TEXT(Transactions_Clean[[#This Row],[Date]],"MMM-YYYY")</f>
        <v>Nov-2023</v>
      </c>
      <c r="L1330">
        <f>IF(Transactions_Clean[[#This Row],[Category]]="Revenue",Transactions_Clean[[#This Row],[Amount(₹)]],Transactions_Clean[[#This Row],[Amount(₹)]]/8)</f>
        <v>-8891.375</v>
      </c>
    </row>
    <row r="1331" spans="1:12">
      <c r="A1331" t="s">
        <v>2318</v>
      </c>
      <c r="B1331" t="s">
        <v>237</v>
      </c>
      <c r="C1331" t="s">
        <v>22</v>
      </c>
      <c r="D1331">
        <v>-119570</v>
      </c>
      <c r="E1331" t="s">
        <v>23</v>
      </c>
      <c r="F1331" t="s">
        <v>32</v>
      </c>
      <c r="G1331" t="s">
        <v>25</v>
      </c>
      <c r="H1331" t="s">
        <v>26</v>
      </c>
      <c r="I1331" t="s">
        <v>48</v>
      </c>
      <c r="J1331" s="11">
        <v>45276</v>
      </c>
      <c r="K1331" t="str">
        <f>TEXT(Transactions_Clean[[#This Row],[Date]],"MMM-YYYY")</f>
        <v>Dec-2023</v>
      </c>
      <c r="L1331">
        <f>IF(Transactions_Clean[[#This Row],[Category]]="Revenue",Transactions_Clean[[#This Row],[Amount(₹)]],Transactions_Clean[[#This Row],[Amount(₹)]]/8)</f>
        <v>-14946.25</v>
      </c>
    </row>
    <row r="1332" spans="1:12">
      <c r="A1332" t="s">
        <v>2320</v>
      </c>
      <c r="B1332" t="s">
        <v>174</v>
      </c>
      <c r="C1332" t="s">
        <v>22</v>
      </c>
      <c r="D1332">
        <v>-51105</v>
      </c>
      <c r="E1332" t="s">
        <v>23</v>
      </c>
      <c r="F1332" t="s">
        <v>24</v>
      </c>
      <c r="G1332" t="s">
        <v>25</v>
      </c>
      <c r="H1332" t="s">
        <v>45</v>
      </c>
      <c r="I1332" t="s">
        <v>40</v>
      </c>
      <c r="J1332" s="11">
        <v>45515</v>
      </c>
      <c r="K1332" t="str">
        <f>TEXT(Transactions_Clean[[#This Row],[Date]],"MMM-YYYY")</f>
        <v>Aug-2024</v>
      </c>
      <c r="L1332">
        <f>IF(Transactions_Clean[[#This Row],[Category]]="Revenue",Transactions_Clean[[#This Row],[Amount(₹)]],Transactions_Clean[[#This Row],[Amount(₹)]]/8)</f>
        <v>-6388.125</v>
      </c>
    </row>
    <row r="1333" spans="1:12">
      <c r="A1333" t="s">
        <v>2322</v>
      </c>
      <c r="B1333" t="s">
        <v>4754</v>
      </c>
      <c r="C1333" t="s">
        <v>78</v>
      </c>
      <c r="D1333">
        <v>-101212</v>
      </c>
      <c r="E1333" t="s">
        <v>23</v>
      </c>
      <c r="F1333" t="s">
        <v>32</v>
      </c>
      <c r="G1333" t="s">
        <v>79</v>
      </c>
      <c r="H1333" t="s">
        <v>39</v>
      </c>
      <c r="I1333" t="s">
        <v>27</v>
      </c>
      <c r="J1333" s="11">
        <v>46086</v>
      </c>
      <c r="K1333" t="str">
        <f>TEXT(Transactions_Clean[[#This Row],[Date]],"MMM-YYYY")</f>
        <v>Mar-2026</v>
      </c>
      <c r="L1333">
        <f>IF(Transactions_Clean[[#This Row],[Category]]="Revenue",Transactions_Clean[[#This Row],[Amount(₹)]],Transactions_Clean[[#This Row],[Amount(₹)]]/8)</f>
        <v>-12651.5</v>
      </c>
    </row>
    <row r="1334" spans="1:12">
      <c r="A1334" t="s">
        <v>2323</v>
      </c>
      <c r="B1334" t="s">
        <v>215</v>
      </c>
      <c r="C1334" t="s">
        <v>61</v>
      </c>
      <c r="D1334">
        <v>-43357</v>
      </c>
      <c r="E1334" t="s">
        <v>62</v>
      </c>
      <c r="F1334" t="s">
        <v>32</v>
      </c>
      <c r="G1334" t="s">
        <v>63</v>
      </c>
      <c r="H1334" t="s">
        <v>39</v>
      </c>
      <c r="I1334" t="s">
        <v>48</v>
      </c>
      <c r="J1334" s="11">
        <v>45937</v>
      </c>
      <c r="K1334" t="str">
        <f>TEXT(Transactions_Clean[[#This Row],[Date]],"MMM-YYYY")</f>
        <v>Oct-2025</v>
      </c>
      <c r="L1334">
        <f>IF(Transactions_Clean[[#This Row],[Category]]="Revenue",Transactions_Clean[[#This Row],[Amount(₹)]],Transactions_Clean[[#This Row],[Amount(₹)]]/8)</f>
        <v>-5419.625</v>
      </c>
    </row>
    <row r="1335" spans="1:12">
      <c r="A1335" t="s">
        <v>2324</v>
      </c>
      <c r="B1335" t="s">
        <v>4751</v>
      </c>
      <c r="C1335" t="s">
        <v>38</v>
      </c>
      <c r="D1335">
        <v>-48056</v>
      </c>
      <c r="E1335" t="s">
        <v>23</v>
      </c>
      <c r="F1335" t="s">
        <v>24</v>
      </c>
      <c r="G1335" t="s">
        <v>33</v>
      </c>
      <c r="H1335" t="s">
        <v>45</v>
      </c>
      <c r="I1335" t="s">
        <v>40</v>
      </c>
      <c r="J1335" s="11">
        <v>45542</v>
      </c>
      <c r="K1335" t="str">
        <f>TEXT(Transactions_Clean[[#This Row],[Date]],"MMM-YYYY")</f>
        <v>Sep-2024</v>
      </c>
      <c r="L1335">
        <f>IF(Transactions_Clean[[#This Row],[Category]]="Revenue",Transactions_Clean[[#This Row],[Amount(₹)]],Transactions_Clean[[#This Row],[Amount(₹)]]/8)</f>
        <v>-6007</v>
      </c>
    </row>
    <row r="1336" spans="1:12">
      <c r="A1336" t="s">
        <v>2326</v>
      </c>
      <c r="B1336" t="s">
        <v>60</v>
      </c>
      <c r="C1336" t="s">
        <v>61</v>
      </c>
      <c r="D1336">
        <v>-56125</v>
      </c>
      <c r="E1336" t="s">
        <v>62</v>
      </c>
      <c r="F1336" t="s">
        <v>24</v>
      </c>
      <c r="G1336" t="s">
        <v>63</v>
      </c>
      <c r="H1336" t="s">
        <v>39</v>
      </c>
      <c r="I1336" t="s">
        <v>27</v>
      </c>
      <c r="J1336" s="11">
        <v>46085</v>
      </c>
      <c r="K1336" t="str">
        <f>TEXT(Transactions_Clean[[#This Row],[Date]],"MMM-YYYY")</f>
        <v>Mar-2026</v>
      </c>
      <c r="L1336">
        <f>IF(Transactions_Clean[[#This Row],[Category]]="Revenue",Transactions_Clean[[#This Row],[Amount(₹)]],Transactions_Clean[[#This Row],[Amount(₹)]]/8)</f>
        <v>-7015.625</v>
      </c>
    </row>
    <row r="1337" spans="1:12">
      <c r="A1337" t="s">
        <v>2328</v>
      </c>
      <c r="B1337" t="s">
        <v>4758</v>
      </c>
      <c r="C1337" t="s">
        <v>78</v>
      </c>
      <c r="D1337">
        <v>-84797</v>
      </c>
      <c r="E1337" t="s">
        <v>23</v>
      </c>
      <c r="F1337" t="s">
        <v>32</v>
      </c>
      <c r="G1337" t="s">
        <v>79</v>
      </c>
      <c r="H1337" t="s">
        <v>39</v>
      </c>
      <c r="I1337" t="s">
        <v>34</v>
      </c>
      <c r="J1337" s="11">
        <v>45814</v>
      </c>
      <c r="K1337" t="str">
        <f>TEXT(Transactions_Clean[[#This Row],[Date]],"MMM-YYYY")</f>
        <v>Jun-2025</v>
      </c>
      <c r="L1337">
        <f>IF(Transactions_Clean[[#This Row],[Category]]="Revenue",Transactions_Clean[[#This Row],[Amount(₹)]],Transactions_Clean[[#This Row],[Amount(₹)]]/8)</f>
        <v>-10599.625</v>
      </c>
    </row>
    <row r="1338" spans="1:12">
      <c r="A1338" t="s">
        <v>2329</v>
      </c>
      <c r="B1338" t="s">
        <v>215</v>
      </c>
      <c r="C1338" t="s">
        <v>61</v>
      </c>
      <c r="D1338">
        <v>-31086</v>
      </c>
      <c r="E1338" t="s">
        <v>62</v>
      </c>
      <c r="F1338" t="s">
        <v>24</v>
      </c>
      <c r="G1338" t="s">
        <v>63</v>
      </c>
      <c r="H1338" t="s">
        <v>45</v>
      </c>
      <c r="I1338" t="s">
        <v>48</v>
      </c>
      <c r="J1338" s="11">
        <v>45579</v>
      </c>
      <c r="K1338" t="str">
        <f>TEXT(Transactions_Clean[[#This Row],[Date]],"MMM-YYYY")</f>
        <v>Oct-2024</v>
      </c>
      <c r="L1338">
        <f>IF(Transactions_Clean[[#This Row],[Category]]="Revenue",Transactions_Clean[[#This Row],[Amount(₹)]],Transactions_Clean[[#This Row],[Amount(₹)]]/8)</f>
        <v>-3885.75</v>
      </c>
    </row>
    <row r="1339" spans="1:12">
      <c r="A1339" t="s">
        <v>2330</v>
      </c>
      <c r="B1339" t="s">
        <v>72</v>
      </c>
      <c r="C1339" t="s">
        <v>73</v>
      </c>
      <c r="D1339">
        <v>-80487</v>
      </c>
      <c r="E1339" t="s">
        <v>74</v>
      </c>
      <c r="F1339" t="s">
        <v>32</v>
      </c>
      <c r="G1339" t="s">
        <v>25</v>
      </c>
      <c r="H1339" t="s">
        <v>39</v>
      </c>
      <c r="I1339" t="s">
        <v>40</v>
      </c>
      <c r="J1339" s="11">
        <v>45938</v>
      </c>
      <c r="K1339" t="str">
        <f>TEXT(Transactions_Clean[[#This Row],[Date]],"MMM-YYYY")</f>
        <v>Oct-2025</v>
      </c>
      <c r="L1339">
        <f>IF(Transactions_Clean[[#This Row],[Category]]="Revenue",Transactions_Clean[[#This Row],[Amount(₹)]],Transactions_Clean[[#This Row],[Amount(₹)]]/8)</f>
        <v>-10060.875</v>
      </c>
    </row>
    <row r="1340" spans="1:12">
      <c r="A1340" t="s">
        <v>2332</v>
      </c>
      <c r="B1340" t="s">
        <v>116</v>
      </c>
      <c r="C1340" t="s">
        <v>73</v>
      </c>
      <c r="D1340">
        <v>-94649</v>
      </c>
      <c r="E1340" t="s">
        <v>74</v>
      </c>
      <c r="F1340" t="s">
        <v>24</v>
      </c>
      <c r="G1340" t="s">
        <v>25</v>
      </c>
      <c r="H1340" t="s">
        <v>26</v>
      </c>
      <c r="I1340" t="s">
        <v>27</v>
      </c>
      <c r="J1340" s="11">
        <v>45347</v>
      </c>
      <c r="K1340" t="str">
        <f>TEXT(Transactions_Clean[[#This Row],[Date]],"MMM-YYYY")</f>
        <v>Feb-2024</v>
      </c>
      <c r="L1340">
        <f>IF(Transactions_Clean[[#This Row],[Category]]="Revenue",Transactions_Clean[[#This Row],[Amount(₹)]],Transactions_Clean[[#This Row],[Amount(₹)]]/8)</f>
        <v>-11831.125</v>
      </c>
    </row>
    <row r="1341" spans="1:12">
      <c r="A1341" t="s">
        <v>2333</v>
      </c>
      <c r="B1341" t="s">
        <v>51</v>
      </c>
      <c r="C1341" t="s">
        <v>31</v>
      </c>
      <c r="D1341">
        <v>-18750</v>
      </c>
      <c r="E1341" t="s">
        <v>23</v>
      </c>
      <c r="F1341" t="s">
        <v>24</v>
      </c>
      <c r="G1341" t="s">
        <v>33</v>
      </c>
      <c r="H1341" t="s">
        <v>45</v>
      </c>
      <c r="I1341" t="s">
        <v>34</v>
      </c>
      <c r="J1341" s="11">
        <v>45435</v>
      </c>
      <c r="K1341" t="str">
        <f>TEXT(Transactions_Clean[[#This Row],[Date]],"MMM-YYYY")</f>
        <v>May-2024</v>
      </c>
      <c r="L1341">
        <f>IF(Transactions_Clean[[#This Row],[Category]]="Revenue",Transactions_Clean[[#This Row],[Amount(₹)]],Transactions_Clean[[#This Row],[Amount(₹)]]/8)</f>
        <v>-2343.75</v>
      </c>
    </row>
    <row r="1342" spans="1:12">
      <c r="A1342" t="s">
        <v>2334</v>
      </c>
      <c r="B1342" t="s">
        <v>100</v>
      </c>
      <c r="C1342" t="s">
        <v>31</v>
      </c>
      <c r="D1342">
        <v>-31880</v>
      </c>
      <c r="E1342" t="s">
        <v>23</v>
      </c>
      <c r="F1342" t="s">
        <v>32</v>
      </c>
      <c r="G1342" t="s">
        <v>33</v>
      </c>
      <c r="H1342" t="s">
        <v>39</v>
      </c>
      <c r="I1342" t="s">
        <v>40</v>
      </c>
      <c r="J1342" s="11">
        <v>45901</v>
      </c>
      <c r="K1342" t="str">
        <f>TEXT(Transactions_Clean[[#This Row],[Date]],"MMM-YYYY")</f>
        <v>Sep-2025</v>
      </c>
      <c r="L1342">
        <f>IF(Transactions_Clean[[#This Row],[Category]]="Revenue",Transactions_Clean[[#This Row],[Amount(₹)]],Transactions_Clean[[#This Row],[Amount(₹)]]/8)</f>
        <v>-3985</v>
      </c>
    </row>
    <row r="1343" spans="1:12">
      <c r="A1343" t="s">
        <v>2335</v>
      </c>
      <c r="B1343" t="s">
        <v>87</v>
      </c>
      <c r="C1343" t="s">
        <v>22</v>
      </c>
      <c r="D1343">
        <v>-213593</v>
      </c>
      <c r="E1343" t="s">
        <v>23</v>
      </c>
      <c r="F1343" t="s">
        <v>32</v>
      </c>
      <c r="G1343" t="s">
        <v>25</v>
      </c>
      <c r="H1343" t="s">
        <v>39</v>
      </c>
      <c r="I1343" t="s">
        <v>48</v>
      </c>
      <c r="J1343" s="11">
        <v>46015</v>
      </c>
      <c r="K1343" t="str">
        <f>TEXT(Transactions_Clean[[#This Row],[Date]],"MMM-YYYY")</f>
        <v>Dec-2025</v>
      </c>
      <c r="L1343">
        <f>IF(Transactions_Clean[[#This Row],[Category]]="Revenue",Transactions_Clean[[#This Row],[Amount(₹)]],Transactions_Clean[[#This Row],[Amount(₹)]]/8)</f>
        <v>-26699.125</v>
      </c>
    </row>
    <row r="1344" spans="1:12">
      <c r="A1344" t="s">
        <v>2336</v>
      </c>
      <c r="B1344" t="s">
        <v>106</v>
      </c>
      <c r="C1344" t="s">
        <v>31</v>
      </c>
      <c r="D1344">
        <v>-21015</v>
      </c>
      <c r="E1344" t="s">
        <v>23</v>
      </c>
      <c r="F1344" t="s">
        <v>24</v>
      </c>
      <c r="G1344" t="s">
        <v>33</v>
      </c>
      <c r="H1344" t="s">
        <v>39</v>
      </c>
      <c r="I1344" t="s">
        <v>40</v>
      </c>
      <c r="J1344" s="11">
        <v>45884</v>
      </c>
      <c r="K1344" t="str">
        <f>TEXT(Transactions_Clean[[#This Row],[Date]],"MMM-YYYY")</f>
        <v>Aug-2025</v>
      </c>
      <c r="L1344">
        <f>IF(Transactions_Clean[[#This Row],[Category]]="Revenue",Transactions_Clean[[#This Row],[Amount(₹)]],Transactions_Clean[[#This Row],[Amount(₹)]]/8)</f>
        <v>-2626.875</v>
      </c>
    </row>
    <row r="1345" spans="1:12">
      <c r="A1345" t="s">
        <v>2338</v>
      </c>
      <c r="B1345" t="s">
        <v>72</v>
      </c>
      <c r="C1345" t="s">
        <v>73</v>
      </c>
      <c r="D1345">
        <v>-55652</v>
      </c>
      <c r="E1345" t="s">
        <v>74</v>
      </c>
      <c r="F1345" t="s">
        <v>32</v>
      </c>
      <c r="G1345" t="s">
        <v>25</v>
      </c>
      <c r="H1345" t="s">
        <v>45</v>
      </c>
      <c r="I1345" t="s">
        <v>48</v>
      </c>
      <c r="J1345" s="11">
        <v>45618</v>
      </c>
      <c r="K1345" t="str">
        <f>TEXT(Transactions_Clean[[#This Row],[Date]],"MMM-YYYY")</f>
        <v>Nov-2024</v>
      </c>
      <c r="L1345">
        <f>IF(Transactions_Clean[[#This Row],[Category]]="Revenue",Transactions_Clean[[#This Row],[Amount(₹)]],Transactions_Clean[[#This Row],[Amount(₹)]]/8)</f>
        <v>-6956.5</v>
      </c>
    </row>
    <row r="1346" spans="1:12">
      <c r="A1346" t="s">
        <v>2340</v>
      </c>
      <c r="B1346" t="s">
        <v>212</v>
      </c>
      <c r="C1346" t="s">
        <v>73</v>
      </c>
      <c r="D1346">
        <v>-92815</v>
      </c>
      <c r="E1346" t="s">
        <v>74</v>
      </c>
      <c r="F1346" t="s">
        <v>24</v>
      </c>
      <c r="G1346" t="s">
        <v>25</v>
      </c>
      <c r="H1346" t="s">
        <v>45</v>
      </c>
      <c r="I1346" t="s">
        <v>48</v>
      </c>
      <c r="J1346" s="11">
        <v>45652</v>
      </c>
      <c r="K1346" t="str">
        <f>TEXT(Transactions_Clean[[#This Row],[Date]],"MMM-YYYY")</f>
        <v>Dec-2024</v>
      </c>
      <c r="L1346">
        <f>IF(Transactions_Clean[[#This Row],[Category]]="Revenue",Transactions_Clean[[#This Row],[Amount(₹)]],Transactions_Clean[[#This Row],[Amount(₹)]]/8)</f>
        <v>-11601.875</v>
      </c>
    </row>
    <row r="1347" spans="1:12">
      <c r="A1347" t="s">
        <v>2342</v>
      </c>
      <c r="B1347" t="s">
        <v>51</v>
      </c>
      <c r="C1347" t="s">
        <v>4750</v>
      </c>
      <c r="D1347">
        <v>-23694</v>
      </c>
      <c r="E1347" t="s">
        <v>23</v>
      </c>
      <c r="F1347" t="s">
        <v>24</v>
      </c>
      <c r="G1347" t="s">
        <v>33</v>
      </c>
      <c r="H1347" t="s">
        <v>39</v>
      </c>
      <c r="I1347" t="s">
        <v>27</v>
      </c>
      <c r="J1347" s="11">
        <v>46085</v>
      </c>
      <c r="K1347" t="str">
        <f>TEXT(Transactions_Clean[[#This Row],[Date]],"MMM-YYYY")</f>
        <v>Mar-2026</v>
      </c>
      <c r="L1347">
        <f>IF(Transactions_Clean[[#This Row],[Category]]="Revenue",Transactions_Clean[[#This Row],[Amount(₹)]],Transactions_Clean[[#This Row],[Amount(₹)]]/8)</f>
        <v>-2961.75</v>
      </c>
    </row>
    <row r="1348" spans="1:12">
      <c r="A1348" t="s">
        <v>2343</v>
      </c>
      <c r="B1348" t="s">
        <v>310</v>
      </c>
      <c r="C1348" t="s">
        <v>22</v>
      </c>
      <c r="D1348">
        <v>-157229</v>
      </c>
      <c r="E1348" t="s">
        <v>23</v>
      </c>
      <c r="F1348" t="s">
        <v>32</v>
      </c>
      <c r="G1348" t="s">
        <v>25</v>
      </c>
      <c r="H1348" t="s">
        <v>39</v>
      </c>
      <c r="I1348" t="s">
        <v>48</v>
      </c>
      <c r="J1348" s="11">
        <v>46002</v>
      </c>
      <c r="K1348" t="str">
        <f>TEXT(Transactions_Clean[[#This Row],[Date]],"MMM-YYYY")</f>
        <v>Dec-2025</v>
      </c>
      <c r="L1348">
        <f>IF(Transactions_Clean[[#This Row],[Category]]="Revenue",Transactions_Clean[[#This Row],[Amount(₹)]],Transactions_Clean[[#This Row],[Amount(₹)]]/8)</f>
        <v>-19653.625</v>
      </c>
    </row>
    <row r="1349" spans="1:12">
      <c r="A1349" t="s">
        <v>2344</v>
      </c>
      <c r="B1349" t="s">
        <v>4756</v>
      </c>
      <c r="C1349" t="s">
        <v>73</v>
      </c>
      <c r="D1349">
        <v>-28836</v>
      </c>
      <c r="E1349" t="s">
        <v>74</v>
      </c>
      <c r="F1349" t="s">
        <v>32</v>
      </c>
      <c r="G1349" t="s">
        <v>25</v>
      </c>
      <c r="H1349" t="s">
        <v>26</v>
      </c>
      <c r="I1349" t="s">
        <v>40</v>
      </c>
      <c r="J1349" s="11">
        <v>45172</v>
      </c>
      <c r="K1349" t="str">
        <f>TEXT(Transactions_Clean[[#This Row],[Date]],"MMM-YYYY")</f>
        <v>Sep-2023</v>
      </c>
      <c r="L1349">
        <f>IF(Transactions_Clean[[#This Row],[Category]]="Revenue",Transactions_Clean[[#This Row],[Amount(₹)]],Transactions_Clean[[#This Row],[Amount(₹)]]/8)</f>
        <v>-3604.5</v>
      </c>
    </row>
    <row r="1350" spans="1:12">
      <c r="A1350" t="s">
        <v>2345</v>
      </c>
      <c r="B1350" t="s">
        <v>51</v>
      </c>
      <c r="C1350" t="s">
        <v>31</v>
      </c>
      <c r="D1350">
        <v>-28677</v>
      </c>
      <c r="E1350" t="s">
        <v>23</v>
      </c>
      <c r="F1350" t="s">
        <v>32</v>
      </c>
      <c r="G1350" t="s">
        <v>33</v>
      </c>
      <c r="H1350" t="s">
        <v>45</v>
      </c>
      <c r="I1350" t="s">
        <v>34</v>
      </c>
      <c r="J1350" s="11">
        <v>45443</v>
      </c>
      <c r="K1350" t="str">
        <f>TEXT(Transactions_Clean[[#This Row],[Date]],"MMM-YYYY")</f>
        <v>May-2024</v>
      </c>
      <c r="L1350">
        <f>IF(Transactions_Clean[[#This Row],[Category]]="Revenue",Transactions_Clean[[#This Row],[Amount(₹)]],Transactions_Clean[[#This Row],[Amount(₹)]]/8)</f>
        <v>-3584.625</v>
      </c>
    </row>
    <row r="1351" spans="1:12">
      <c r="A1351" t="s">
        <v>2346</v>
      </c>
      <c r="B1351" t="s">
        <v>4760</v>
      </c>
      <c r="C1351" t="s">
        <v>73</v>
      </c>
      <c r="D1351">
        <v>-94833</v>
      </c>
      <c r="E1351" t="s">
        <v>74</v>
      </c>
      <c r="F1351" t="s">
        <v>32</v>
      </c>
      <c r="G1351" t="s">
        <v>25</v>
      </c>
      <c r="H1351" t="s">
        <v>39</v>
      </c>
      <c r="I1351" t="s">
        <v>40</v>
      </c>
      <c r="J1351" s="11">
        <v>45905</v>
      </c>
      <c r="K1351" t="str">
        <f>TEXT(Transactions_Clean[[#This Row],[Date]],"MMM-YYYY")</f>
        <v>Sep-2025</v>
      </c>
      <c r="L1351">
        <f>IF(Transactions_Clean[[#This Row],[Category]]="Revenue",Transactions_Clean[[#This Row],[Amount(₹)]],Transactions_Clean[[#This Row],[Amount(₹)]]/8)</f>
        <v>-11854.125</v>
      </c>
    </row>
    <row r="1352" spans="1:12">
      <c r="A1352" t="s">
        <v>2347</v>
      </c>
      <c r="B1352" t="s">
        <v>72</v>
      </c>
      <c r="C1352" t="s">
        <v>73</v>
      </c>
      <c r="D1352">
        <v>-14198</v>
      </c>
      <c r="E1352" t="s">
        <v>74</v>
      </c>
      <c r="F1352" t="s">
        <v>32</v>
      </c>
      <c r="G1352" t="s">
        <v>25</v>
      </c>
      <c r="H1352" t="s">
        <v>45</v>
      </c>
      <c r="I1352" t="s">
        <v>27</v>
      </c>
      <c r="J1352" s="11">
        <v>45698</v>
      </c>
      <c r="K1352" t="str">
        <f>TEXT(Transactions_Clean[[#This Row],[Date]],"MMM-YYYY")</f>
        <v>Feb-2025</v>
      </c>
      <c r="L1352">
        <f>IF(Transactions_Clean[[#This Row],[Category]]="Revenue",Transactions_Clean[[#This Row],[Amount(₹)]],Transactions_Clean[[#This Row],[Amount(₹)]]/8)</f>
        <v>-1774.75</v>
      </c>
    </row>
    <row r="1353" spans="1:12">
      <c r="A1353" t="s">
        <v>2348</v>
      </c>
      <c r="B1353" t="s">
        <v>66</v>
      </c>
      <c r="C1353" t="s">
        <v>61</v>
      </c>
      <c r="D1353">
        <v>-39237</v>
      </c>
      <c r="E1353" t="s">
        <v>62</v>
      </c>
      <c r="F1353" t="s">
        <v>24</v>
      </c>
      <c r="G1353" t="s">
        <v>63</v>
      </c>
      <c r="H1353" t="s">
        <v>26</v>
      </c>
      <c r="I1353" t="s">
        <v>27</v>
      </c>
      <c r="J1353" s="11">
        <v>45348</v>
      </c>
      <c r="K1353" t="str">
        <f>TEXT(Transactions_Clean[[#This Row],[Date]],"MMM-YYYY")</f>
        <v>Feb-2024</v>
      </c>
      <c r="L1353">
        <f>IF(Transactions_Clean[[#This Row],[Category]]="Revenue",Transactions_Clean[[#This Row],[Amount(₹)]],Transactions_Clean[[#This Row],[Amount(₹)]]/8)</f>
        <v>-4904.625</v>
      </c>
    </row>
    <row r="1354" spans="1:12">
      <c r="A1354" t="s">
        <v>2349</v>
      </c>
      <c r="B1354" t="s">
        <v>177</v>
      </c>
      <c r="C1354" t="s">
        <v>78</v>
      </c>
      <c r="D1354">
        <v>-112948</v>
      </c>
      <c r="E1354" t="s">
        <v>23</v>
      </c>
      <c r="F1354" t="s">
        <v>32</v>
      </c>
      <c r="G1354" t="s">
        <v>79</v>
      </c>
      <c r="H1354" t="s">
        <v>26</v>
      </c>
      <c r="I1354" t="s">
        <v>27</v>
      </c>
      <c r="J1354" s="11">
        <v>45310</v>
      </c>
      <c r="K1354" t="str">
        <f>TEXT(Transactions_Clean[[#This Row],[Date]],"MMM-YYYY")</f>
        <v>Jan-2024</v>
      </c>
      <c r="L1354">
        <f>IF(Transactions_Clean[[#This Row],[Category]]="Revenue",Transactions_Clean[[#This Row],[Amount(₹)]],Transactions_Clean[[#This Row],[Amount(₹)]]/8)</f>
        <v>-14118.5</v>
      </c>
    </row>
    <row r="1355" spans="1:12">
      <c r="A1355" t="s">
        <v>2350</v>
      </c>
      <c r="B1355" t="s">
        <v>169</v>
      </c>
      <c r="C1355" t="s">
        <v>73</v>
      </c>
      <c r="D1355">
        <v>-63269</v>
      </c>
      <c r="E1355" t="s">
        <v>74</v>
      </c>
      <c r="F1355" t="s">
        <v>24</v>
      </c>
      <c r="G1355" t="s">
        <v>25</v>
      </c>
      <c r="H1355" t="s">
        <v>45</v>
      </c>
      <c r="I1355" t="s">
        <v>48</v>
      </c>
      <c r="J1355" s="11">
        <v>45628</v>
      </c>
      <c r="K1355" t="str">
        <f>TEXT(Transactions_Clean[[#This Row],[Date]],"MMM-YYYY")</f>
        <v>Dec-2024</v>
      </c>
      <c r="L1355">
        <f>IF(Transactions_Clean[[#This Row],[Category]]="Revenue",Transactions_Clean[[#This Row],[Amount(₹)]],Transactions_Clean[[#This Row],[Amount(₹)]]/8)</f>
        <v>-7908.625</v>
      </c>
    </row>
    <row r="1356" spans="1:12">
      <c r="A1356" t="s">
        <v>2351</v>
      </c>
      <c r="B1356" t="s">
        <v>60</v>
      </c>
      <c r="C1356" t="s">
        <v>61</v>
      </c>
      <c r="D1356">
        <v>-33066</v>
      </c>
      <c r="E1356" t="s">
        <v>62</v>
      </c>
      <c r="F1356" t="s">
        <v>32</v>
      </c>
      <c r="G1356" t="s">
        <v>63</v>
      </c>
      <c r="H1356" t="s">
        <v>45</v>
      </c>
      <c r="I1356" t="s">
        <v>48</v>
      </c>
      <c r="J1356" s="11">
        <v>45588</v>
      </c>
      <c r="K1356" t="str">
        <f>TEXT(Transactions_Clean[[#This Row],[Date]],"MMM-YYYY")</f>
        <v>Oct-2024</v>
      </c>
      <c r="L1356">
        <f>IF(Transactions_Clean[[#This Row],[Category]]="Revenue",Transactions_Clean[[#This Row],[Amount(₹)]],Transactions_Clean[[#This Row],[Amount(₹)]]/8)</f>
        <v>-4133.25</v>
      </c>
    </row>
    <row r="1357" spans="1:12">
      <c r="A1357" t="s">
        <v>2353</v>
      </c>
      <c r="B1357" t="s">
        <v>4757</v>
      </c>
      <c r="C1357" t="s">
        <v>73</v>
      </c>
      <c r="D1357">
        <v>-10091</v>
      </c>
      <c r="E1357" t="s">
        <v>74</v>
      </c>
      <c r="F1357" t="s">
        <v>32</v>
      </c>
      <c r="G1357" t="s">
        <v>25</v>
      </c>
      <c r="H1357" t="s">
        <v>45</v>
      </c>
      <c r="I1357" t="s">
        <v>27</v>
      </c>
      <c r="J1357" s="11">
        <v>45677</v>
      </c>
      <c r="K1357" t="str">
        <f>TEXT(Transactions_Clean[[#This Row],[Date]],"MMM-YYYY")</f>
        <v>Jan-2025</v>
      </c>
      <c r="L1357">
        <f>IF(Transactions_Clean[[#This Row],[Category]]="Revenue",Transactions_Clean[[#This Row],[Amount(₹)]],Transactions_Clean[[#This Row],[Amount(₹)]]/8)</f>
        <v>-1261.375</v>
      </c>
    </row>
    <row r="1358" spans="1:12">
      <c r="A1358" t="s">
        <v>2354</v>
      </c>
      <c r="B1358" t="s">
        <v>310</v>
      </c>
      <c r="C1358" t="s">
        <v>22</v>
      </c>
      <c r="D1358">
        <v>-46888</v>
      </c>
      <c r="E1358" t="s">
        <v>23</v>
      </c>
      <c r="F1358" t="s">
        <v>24</v>
      </c>
      <c r="G1358" t="s">
        <v>25</v>
      </c>
      <c r="H1358" t="s">
        <v>45</v>
      </c>
      <c r="I1358" t="s">
        <v>40</v>
      </c>
      <c r="J1358" s="11">
        <v>45512</v>
      </c>
      <c r="K1358" t="str">
        <f>TEXT(Transactions_Clean[[#This Row],[Date]],"MMM-YYYY")</f>
        <v>Aug-2024</v>
      </c>
      <c r="L1358">
        <f>IF(Transactions_Clean[[#This Row],[Category]]="Revenue",Transactions_Clean[[#This Row],[Amount(₹)]],Transactions_Clean[[#This Row],[Amount(₹)]]/8)</f>
        <v>-5861</v>
      </c>
    </row>
    <row r="1359" spans="1:12">
      <c r="A1359" t="s">
        <v>2356</v>
      </c>
      <c r="B1359" t="s">
        <v>87</v>
      </c>
      <c r="C1359" t="s">
        <v>22</v>
      </c>
      <c r="D1359">
        <v>-166476</v>
      </c>
      <c r="E1359" t="s">
        <v>23</v>
      </c>
      <c r="F1359" t="s">
        <v>24</v>
      </c>
      <c r="G1359" t="s">
        <v>25</v>
      </c>
      <c r="H1359" t="s">
        <v>39</v>
      </c>
      <c r="I1359" t="s">
        <v>48</v>
      </c>
      <c r="J1359" s="11">
        <v>45961</v>
      </c>
      <c r="K1359" t="str">
        <f>TEXT(Transactions_Clean[[#This Row],[Date]],"MMM-YYYY")</f>
        <v>Oct-2025</v>
      </c>
      <c r="L1359">
        <f>IF(Transactions_Clean[[#This Row],[Category]]="Revenue",Transactions_Clean[[#This Row],[Amount(₹)]],Transactions_Clean[[#This Row],[Amount(₹)]]/8)</f>
        <v>-20809.5</v>
      </c>
    </row>
    <row r="1360" spans="1:12">
      <c r="A1360" t="s">
        <v>2358</v>
      </c>
      <c r="B1360" t="s">
        <v>4768</v>
      </c>
      <c r="C1360" t="s">
        <v>157</v>
      </c>
      <c r="D1360">
        <v>751034</v>
      </c>
      <c r="E1360" t="s">
        <v>62</v>
      </c>
      <c r="F1360" t="s">
        <v>32</v>
      </c>
      <c r="G1360" t="s">
        <v>25</v>
      </c>
      <c r="H1360" t="s">
        <v>39</v>
      </c>
      <c r="I1360" t="s">
        <v>48</v>
      </c>
      <c r="J1360" s="11">
        <v>45975</v>
      </c>
      <c r="K1360" t="str">
        <f>TEXT(Transactions_Clean[[#This Row],[Date]],"MMM-YYYY")</f>
        <v>Nov-2025</v>
      </c>
      <c r="L1360">
        <f>IF(Transactions_Clean[[#This Row],[Category]]="Revenue",Transactions_Clean[[#This Row],[Amount(₹)]],Transactions_Clean[[#This Row],[Amount(₹)]]/8)</f>
        <v>751034</v>
      </c>
    </row>
    <row r="1361" spans="1:12">
      <c r="A1361" t="s">
        <v>2360</v>
      </c>
      <c r="B1361" t="s">
        <v>935</v>
      </c>
      <c r="C1361" t="s">
        <v>22</v>
      </c>
      <c r="D1361">
        <v>-18648</v>
      </c>
      <c r="E1361" t="s">
        <v>23</v>
      </c>
      <c r="F1361" t="s">
        <v>24</v>
      </c>
      <c r="G1361" t="s">
        <v>25</v>
      </c>
      <c r="H1361" t="s">
        <v>26</v>
      </c>
      <c r="I1361" t="s">
        <v>40</v>
      </c>
      <c r="J1361" s="11">
        <v>45166</v>
      </c>
      <c r="K1361" t="str">
        <f>TEXT(Transactions_Clean[[#This Row],[Date]],"MMM-YYYY")</f>
        <v>Aug-2023</v>
      </c>
      <c r="L1361">
        <f>IF(Transactions_Clean[[#This Row],[Category]]="Revenue",Transactions_Clean[[#This Row],[Amount(₹)]],Transactions_Clean[[#This Row],[Amount(₹)]]/8)</f>
        <v>-2331</v>
      </c>
    </row>
    <row r="1362" spans="1:12">
      <c r="A1362" t="s">
        <v>2361</v>
      </c>
      <c r="B1362" t="s">
        <v>215</v>
      </c>
      <c r="C1362" t="s">
        <v>61</v>
      </c>
      <c r="D1362">
        <v>-23437</v>
      </c>
      <c r="E1362" t="s">
        <v>62</v>
      </c>
      <c r="F1362" t="s">
        <v>24</v>
      </c>
      <c r="G1362" t="s">
        <v>63</v>
      </c>
      <c r="H1362" t="s">
        <v>39</v>
      </c>
      <c r="I1362" t="s">
        <v>48</v>
      </c>
      <c r="J1362" s="11">
        <v>45943</v>
      </c>
      <c r="K1362" t="str">
        <f>TEXT(Transactions_Clean[[#This Row],[Date]],"MMM-YYYY")</f>
        <v>Oct-2025</v>
      </c>
      <c r="L1362">
        <f>IF(Transactions_Clean[[#This Row],[Category]]="Revenue",Transactions_Clean[[#This Row],[Amount(₹)]],Transactions_Clean[[#This Row],[Amount(₹)]]/8)</f>
        <v>-2929.625</v>
      </c>
    </row>
    <row r="1363" spans="1:12">
      <c r="A1363" t="s">
        <v>2362</v>
      </c>
      <c r="B1363" t="s">
        <v>283</v>
      </c>
      <c r="C1363" t="s">
        <v>44</v>
      </c>
      <c r="D1363">
        <v>-159364</v>
      </c>
      <c r="E1363" t="s">
        <v>23</v>
      </c>
      <c r="F1363" t="s">
        <v>24</v>
      </c>
      <c r="G1363" t="s">
        <v>33</v>
      </c>
      <c r="H1363" t="s">
        <v>26</v>
      </c>
      <c r="I1363" t="s">
        <v>27</v>
      </c>
      <c r="J1363" s="11">
        <v>45307</v>
      </c>
      <c r="K1363" t="str">
        <f>TEXT(Transactions_Clean[[#This Row],[Date]],"MMM-YYYY")</f>
        <v>Jan-2024</v>
      </c>
      <c r="L1363">
        <f>IF(Transactions_Clean[[#This Row],[Category]]="Revenue",Transactions_Clean[[#This Row],[Amount(₹)]],Transactions_Clean[[#This Row],[Amount(₹)]]/8)</f>
        <v>-19920.5</v>
      </c>
    </row>
    <row r="1364" spans="1:12">
      <c r="A1364" t="s">
        <v>2364</v>
      </c>
      <c r="B1364" t="s">
        <v>202</v>
      </c>
      <c r="C1364" t="s">
        <v>22</v>
      </c>
      <c r="D1364">
        <v>-38062</v>
      </c>
      <c r="E1364" t="s">
        <v>23</v>
      </c>
      <c r="F1364" t="s">
        <v>24</v>
      </c>
      <c r="G1364" t="s">
        <v>25</v>
      </c>
      <c r="H1364" t="s">
        <v>26</v>
      </c>
      <c r="I1364" t="s">
        <v>27</v>
      </c>
      <c r="J1364" s="11">
        <v>45381</v>
      </c>
      <c r="K1364" t="str">
        <f>TEXT(Transactions_Clean[[#This Row],[Date]],"MMM-YYYY")</f>
        <v>Mar-2024</v>
      </c>
      <c r="L1364">
        <f>IF(Transactions_Clean[[#This Row],[Category]]="Revenue",Transactions_Clean[[#This Row],[Amount(₹)]],Transactions_Clean[[#This Row],[Amount(₹)]]/8)</f>
        <v>-4757.75</v>
      </c>
    </row>
    <row r="1365" spans="1:12">
      <c r="A1365" t="s">
        <v>2366</v>
      </c>
      <c r="B1365" t="s">
        <v>4785</v>
      </c>
      <c r="C1365" t="s">
        <v>136</v>
      </c>
      <c r="D1365">
        <v>-10557403</v>
      </c>
      <c r="E1365" t="s">
        <v>62</v>
      </c>
      <c r="F1365" t="s">
        <v>32</v>
      </c>
      <c r="G1365" t="s">
        <v>63</v>
      </c>
      <c r="H1365" t="s">
        <v>45</v>
      </c>
      <c r="I1365" t="s">
        <v>34</v>
      </c>
      <c r="J1365" s="11">
        <v>45440</v>
      </c>
      <c r="K1365" t="str">
        <f>TEXT(Transactions_Clean[[#This Row],[Date]],"MMM-YYYY")</f>
        <v>May-2024</v>
      </c>
      <c r="L1365">
        <f>IF(Transactions_Clean[[#This Row],[Category]]="Revenue",Transactions_Clean[[#This Row],[Amount(₹)]],Transactions_Clean[[#This Row],[Amount(₹)]]/8)</f>
        <v>-1319675.375</v>
      </c>
    </row>
    <row r="1366" spans="1:12">
      <c r="A1366" t="s">
        <v>2369</v>
      </c>
      <c r="B1366" t="s">
        <v>4753</v>
      </c>
      <c r="C1366" t="s">
        <v>38</v>
      </c>
      <c r="D1366">
        <v>-39415</v>
      </c>
      <c r="E1366" t="s">
        <v>23</v>
      </c>
      <c r="F1366" t="s">
        <v>32</v>
      </c>
      <c r="G1366" t="s">
        <v>33</v>
      </c>
      <c r="H1366" t="s">
        <v>45</v>
      </c>
      <c r="I1366" t="s">
        <v>27</v>
      </c>
      <c r="J1366" s="11">
        <v>45708</v>
      </c>
      <c r="K1366" t="str">
        <f>TEXT(Transactions_Clean[[#This Row],[Date]],"MMM-YYYY")</f>
        <v>Feb-2025</v>
      </c>
      <c r="L1366">
        <f>IF(Transactions_Clean[[#This Row],[Category]]="Revenue",Transactions_Clean[[#This Row],[Amount(₹)]],Transactions_Clean[[#This Row],[Amount(₹)]]/8)</f>
        <v>-4926.875</v>
      </c>
    </row>
    <row r="1367" spans="1:12">
      <c r="A1367" t="s">
        <v>2370</v>
      </c>
      <c r="B1367" t="s">
        <v>4756</v>
      </c>
      <c r="C1367" t="s">
        <v>73</v>
      </c>
      <c r="D1367">
        <v>-75733</v>
      </c>
      <c r="E1367" t="s">
        <v>74</v>
      </c>
      <c r="F1367" t="s">
        <v>24</v>
      </c>
      <c r="G1367" t="s">
        <v>25</v>
      </c>
      <c r="H1367" t="s">
        <v>39</v>
      </c>
      <c r="I1367" t="s">
        <v>40</v>
      </c>
      <c r="J1367" s="11">
        <v>45902</v>
      </c>
      <c r="K1367" t="str">
        <f>TEXT(Transactions_Clean[[#This Row],[Date]],"MMM-YYYY")</f>
        <v>Sep-2025</v>
      </c>
      <c r="L1367">
        <f>IF(Transactions_Clean[[#This Row],[Category]]="Revenue",Transactions_Clean[[#This Row],[Amount(₹)]],Transactions_Clean[[#This Row],[Amount(₹)]]/8)</f>
        <v>-9466.625</v>
      </c>
    </row>
    <row r="1368" spans="1:12">
      <c r="A1368" t="s">
        <v>2371</v>
      </c>
      <c r="B1368" t="s">
        <v>66</v>
      </c>
      <c r="C1368" t="s">
        <v>61</v>
      </c>
      <c r="D1368">
        <v>-55470</v>
      </c>
      <c r="E1368" t="s">
        <v>62</v>
      </c>
      <c r="F1368" t="s">
        <v>24</v>
      </c>
      <c r="G1368" t="s">
        <v>63</v>
      </c>
      <c r="H1368" t="s">
        <v>39</v>
      </c>
      <c r="I1368" t="s">
        <v>34</v>
      </c>
      <c r="J1368" s="11">
        <v>45749</v>
      </c>
      <c r="K1368" t="str">
        <f>TEXT(Transactions_Clean[[#This Row],[Date]],"MMM-YYYY")</f>
        <v>Apr-2025</v>
      </c>
      <c r="L1368">
        <f>IF(Transactions_Clean[[#This Row],[Category]]="Revenue",Transactions_Clean[[#This Row],[Amount(₹)]],Transactions_Clean[[#This Row],[Amount(₹)]]/8)</f>
        <v>-6933.75</v>
      </c>
    </row>
    <row r="1369" spans="1:12">
      <c r="A1369" t="s">
        <v>2373</v>
      </c>
      <c r="B1369" t="s">
        <v>51</v>
      </c>
      <c r="C1369" t="s">
        <v>31</v>
      </c>
      <c r="D1369">
        <v>-20213</v>
      </c>
      <c r="E1369" t="s">
        <v>23</v>
      </c>
      <c r="F1369" t="s">
        <v>32</v>
      </c>
      <c r="G1369" t="s">
        <v>33</v>
      </c>
      <c r="H1369" t="s">
        <v>39</v>
      </c>
      <c r="I1369" t="s">
        <v>48</v>
      </c>
      <c r="J1369" s="11">
        <v>45946</v>
      </c>
      <c r="K1369" t="str">
        <f>TEXT(Transactions_Clean[[#This Row],[Date]],"MMM-YYYY")</f>
        <v>Oct-2025</v>
      </c>
      <c r="L1369">
        <f>IF(Transactions_Clean[[#This Row],[Category]]="Revenue",Transactions_Clean[[#This Row],[Amount(₹)]],Transactions_Clean[[#This Row],[Amount(₹)]]/8)</f>
        <v>-2526.625</v>
      </c>
    </row>
    <row r="1370" spans="1:12">
      <c r="A1370" t="s">
        <v>2375</v>
      </c>
      <c r="B1370" t="s">
        <v>129</v>
      </c>
      <c r="C1370" t="s">
        <v>38</v>
      </c>
      <c r="D1370">
        <v>-18798</v>
      </c>
      <c r="E1370" t="s">
        <v>23</v>
      </c>
      <c r="F1370" t="s">
        <v>32</v>
      </c>
      <c r="G1370" t="s">
        <v>33</v>
      </c>
      <c r="H1370" t="s">
        <v>26</v>
      </c>
      <c r="I1370" t="s">
        <v>27</v>
      </c>
      <c r="J1370" s="11">
        <v>45300</v>
      </c>
      <c r="K1370" t="str">
        <f>TEXT(Transactions_Clean[[#This Row],[Date]],"MMM-YYYY")</f>
        <v>Jan-2024</v>
      </c>
      <c r="L1370">
        <f>IF(Transactions_Clean[[#This Row],[Category]]="Revenue",Transactions_Clean[[#This Row],[Amount(₹)]],Transactions_Clean[[#This Row],[Amount(₹)]]/8)</f>
        <v>-2349.75</v>
      </c>
    </row>
    <row r="1371" spans="1:12">
      <c r="A1371" t="s">
        <v>2377</v>
      </c>
      <c r="B1371" t="s">
        <v>4786</v>
      </c>
      <c r="C1371" t="s">
        <v>136</v>
      </c>
      <c r="D1371">
        <v>-10473844</v>
      </c>
      <c r="E1371" t="s">
        <v>62</v>
      </c>
      <c r="F1371" t="s">
        <v>32</v>
      </c>
      <c r="G1371" t="s">
        <v>63</v>
      </c>
      <c r="H1371" t="s">
        <v>45</v>
      </c>
      <c r="I1371" t="s">
        <v>48</v>
      </c>
      <c r="J1371" s="11">
        <v>45654</v>
      </c>
      <c r="K1371" t="str">
        <f>TEXT(Transactions_Clean[[#This Row],[Date]],"MMM-YYYY")</f>
        <v>Dec-2024</v>
      </c>
      <c r="L1371">
        <f>IF(Transactions_Clean[[#This Row],[Category]]="Revenue",Transactions_Clean[[#This Row],[Amount(₹)]],Transactions_Clean[[#This Row],[Amount(₹)]]/8)</f>
        <v>-1309230.5</v>
      </c>
    </row>
    <row r="1372" spans="1:12">
      <c r="A1372" t="s">
        <v>2379</v>
      </c>
      <c r="B1372" t="s">
        <v>345</v>
      </c>
      <c r="C1372" t="s">
        <v>22</v>
      </c>
      <c r="D1372">
        <v>-130065</v>
      </c>
      <c r="E1372" t="s">
        <v>23</v>
      </c>
      <c r="F1372" t="s">
        <v>32</v>
      </c>
      <c r="G1372" t="s">
        <v>25</v>
      </c>
      <c r="H1372" t="s">
        <v>39</v>
      </c>
      <c r="I1372" t="s">
        <v>40</v>
      </c>
      <c r="J1372" s="11">
        <v>45871</v>
      </c>
      <c r="K1372" t="str">
        <f>TEXT(Transactions_Clean[[#This Row],[Date]],"MMM-YYYY")</f>
        <v>Aug-2025</v>
      </c>
      <c r="L1372">
        <f>IF(Transactions_Clean[[#This Row],[Category]]="Revenue",Transactions_Clean[[#This Row],[Amount(₹)]],Transactions_Clean[[#This Row],[Amount(₹)]]/8)</f>
        <v>-16258.125</v>
      </c>
    </row>
    <row r="1373" spans="1:12">
      <c r="A1373" t="s">
        <v>2380</v>
      </c>
      <c r="B1373" t="s">
        <v>4759</v>
      </c>
      <c r="C1373" t="s">
        <v>31</v>
      </c>
      <c r="D1373">
        <v>-9914</v>
      </c>
      <c r="E1373" t="s">
        <v>23</v>
      </c>
      <c r="F1373" t="s">
        <v>32</v>
      </c>
      <c r="G1373" t="s">
        <v>33</v>
      </c>
      <c r="H1373" t="s">
        <v>45</v>
      </c>
      <c r="I1373" t="s">
        <v>40</v>
      </c>
      <c r="J1373" s="11">
        <v>45560</v>
      </c>
      <c r="K1373" t="str">
        <f>TEXT(Transactions_Clean[[#This Row],[Date]],"MMM-YYYY")</f>
        <v>Sep-2024</v>
      </c>
      <c r="L1373">
        <f>IF(Transactions_Clean[[#This Row],[Category]]="Revenue",Transactions_Clean[[#This Row],[Amount(₹)]],Transactions_Clean[[#This Row],[Amount(₹)]]/8)</f>
        <v>-1239.25</v>
      </c>
    </row>
    <row r="1374" spans="1:12">
      <c r="A1374" t="s">
        <v>2382</v>
      </c>
      <c r="B1374" t="s">
        <v>4753</v>
      </c>
      <c r="C1374" t="s">
        <v>38</v>
      </c>
      <c r="D1374">
        <v>-9840</v>
      </c>
      <c r="E1374" t="s">
        <v>23</v>
      </c>
      <c r="F1374" t="s">
        <v>24</v>
      </c>
      <c r="G1374" t="s">
        <v>33</v>
      </c>
      <c r="H1374" t="s">
        <v>39</v>
      </c>
      <c r="I1374" t="s">
        <v>34</v>
      </c>
      <c r="J1374" s="11">
        <v>45834</v>
      </c>
      <c r="K1374" t="str">
        <f>TEXT(Transactions_Clean[[#This Row],[Date]],"MMM-YYYY")</f>
        <v>Jun-2025</v>
      </c>
      <c r="L1374">
        <f>IF(Transactions_Clean[[#This Row],[Category]]="Revenue",Transactions_Clean[[#This Row],[Amount(₹)]],Transactions_Clean[[#This Row],[Amount(₹)]]/8)</f>
        <v>-1230</v>
      </c>
    </row>
    <row r="1375" spans="1:12">
      <c r="A1375" t="s">
        <v>2383</v>
      </c>
      <c r="B1375" t="s">
        <v>60</v>
      </c>
      <c r="C1375" t="s">
        <v>61</v>
      </c>
      <c r="D1375">
        <v>-48671</v>
      </c>
      <c r="E1375" t="s">
        <v>62</v>
      </c>
      <c r="F1375" t="s">
        <v>24</v>
      </c>
      <c r="G1375" t="s">
        <v>63</v>
      </c>
      <c r="H1375" t="s">
        <v>26</v>
      </c>
      <c r="I1375" t="s">
        <v>27</v>
      </c>
      <c r="J1375" s="11">
        <v>45353</v>
      </c>
      <c r="K1375" t="str">
        <f>TEXT(Transactions_Clean[[#This Row],[Date]],"MMM-YYYY")</f>
        <v>Mar-2024</v>
      </c>
      <c r="L1375">
        <f>IF(Transactions_Clean[[#This Row],[Category]]="Revenue",Transactions_Clean[[#This Row],[Amount(₹)]],Transactions_Clean[[#This Row],[Amount(₹)]]/8)</f>
        <v>-6083.875</v>
      </c>
    </row>
    <row r="1376" spans="1:12">
      <c r="A1376" t="s">
        <v>2384</v>
      </c>
      <c r="B1376" t="s">
        <v>215</v>
      </c>
      <c r="C1376" t="s">
        <v>61</v>
      </c>
      <c r="D1376">
        <v>-12628</v>
      </c>
      <c r="E1376" t="s">
        <v>62</v>
      </c>
      <c r="F1376" t="s">
        <v>24</v>
      </c>
      <c r="G1376" t="s">
        <v>63</v>
      </c>
      <c r="H1376" t="s">
        <v>26</v>
      </c>
      <c r="I1376" t="s">
        <v>40</v>
      </c>
      <c r="J1376" s="11">
        <v>45154</v>
      </c>
      <c r="K1376" t="str">
        <f>TEXT(Transactions_Clean[[#This Row],[Date]],"MMM-YYYY")</f>
        <v>Aug-2023</v>
      </c>
      <c r="L1376">
        <f>IF(Transactions_Clean[[#This Row],[Category]]="Revenue",Transactions_Clean[[#This Row],[Amount(₹)]],Transactions_Clean[[#This Row],[Amount(₹)]]/8)</f>
        <v>-1578.5</v>
      </c>
    </row>
    <row r="1377" spans="1:12">
      <c r="A1377" t="s">
        <v>2385</v>
      </c>
      <c r="B1377" t="s">
        <v>4771</v>
      </c>
      <c r="C1377" t="s">
        <v>440</v>
      </c>
      <c r="D1377">
        <v>-140852</v>
      </c>
      <c r="E1377" t="s">
        <v>23</v>
      </c>
      <c r="F1377" t="s">
        <v>32</v>
      </c>
      <c r="G1377" t="s">
        <v>33</v>
      </c>
      <c r="H1377" t="s">
        <v>45</v>
      </c>
      <c r="I1377" t="s">
        <v>48</v>
      </c>
      <c r="J1377" s="11">
        <v>45596</v>
      </c>
      <c r="K1377" t="str">
        <f>TEXT(Transactions_Clean[[#This Row],[Date]],"MMM-YYYY")</f>
        <v>Oct-2024</v>
      </c>
      <c r="L1377">
        <f>IF(Transactions_Clean[[#This Row],[Category]]="Revenue",Transactions_Clean[[#This Row],[Amount(₹)]],Transactions_Clean[[#This Row],[Amount(₹)]]/8)</f>
        <v>-17606.5</v>
      </c>
    </row>
    <row r="1378" spans="1:12">
      <c r="A1378" t="s">
        <v>2387</v>
      </c>
      <c r="B1378" t="s">
        <v>212</v>
      </c>
      <c r="C1378" t="s">
        <v>73</v>
      </c>
      <c r="D1378">
        <v>-43665</v>
      </c>
      <c r="E1378" t="s">
        <v>74</v>
      </c>
      <c r="F1378" t="s">
        <v>24</v>
      </c>
      <c r="G1378" t="s">
        <v>25</v>
      </c>
      <c r="H1378" t="s">
        <v>45</v>
      </c>
      <c r="I1378" t="s">
        <v>48</v>
      </c>
      <c r="J1378" s="11">
        <v>45657</v>
      </c>
      <c r="K1378" t="str">
        <f>TEXT(Transactions_Clean[[#This Row],[Date]],"MMM-YYYY")</f>
        <v>Dec-2024</v>
      </c>
      <c r="L1378">
        <f>IF(Transactions_Clean[[#This Row],[Category]]="Revenue",Transactions_Clean[[#This Row],[Amount(₹)]],Transactions_Clean[[#This Row],[Amount(₹)]]/8)</f>
        <v>-5458.125</v>
      </c>
    </row>
    <row r="1379" spans="1:12">
      <c r="A1379" t="s">
        <v>2389</v>
      </c>
      <c r="B1379" t="s">
        <v>4751</v>
      </c>
      <c r="C1379" t="s">
        <v>38</v>
      </c>
      <c r="D1379">
        <v>-50877</v>
      </c>
      <c r="E1379" t="s">
        <v>23</v>
      </c>
      <c r="F1379" t="s">
        <v>24</v>
      </c>
      <c r="G1379" t="s">
        <v>33</v>
      </c>
      <c r="H1379" t="s">
        <v>26</v>
      </c>
      <c r="I1379" t="s">
        <v>34</v>
      </c>
      <c r="J1379" s="11">
        <v>45099</v>
      </c>
      <c r="K1379" t="str">
        <f>TEXT(Transactions_Clean[[#This Row],[Date]],"MMM-YYYY")</f>
        <v>Jun-2023</v>
      </c>
      <c r="L1379">
        <f>IF(Transactions_Clean[[#This Row],[Category]]="Revenue",Transactions_Clean[[#This Row],[Amount(₹)]],Transactions_Clean[[#This Row],[Amount(₹)]]/8)</f>
        <v>-6359.625</v>
      </c>
    </row>
    <row r="1380" spans="1:12">
      <c r="A1380" t="s">
        <v>2391</v>
      </c>
      <c r="B1380" t="s">
        <v>4757</v>
      </c>
      <c r="C1380" t="s">
        <v>73</v>
      </c>
      <c r="D1380">
        <v>-70530</v>
      </c>
      <c r="E1380" t="s">
        <v>74</v>
      </c>
      <c r="F1380" t="s">
        <v>24</v>
      </c>
      <c r="G1380" t="s">
        <v>25</v>
      </c>
      <c r="H1380" t="s">
        <v>26</v>
      </c>
      <c r="I1380" t="s">
        <v>48</v>
      </c>
      <c r="J1380" s="11">
        <v>45240</v>
      </c>
      <c r="K1380" t="str">
        <f>TEXT(Transactions_Clean[[#This Row],[Date]],"MMM-YYYY")</f>
        <v>Nov-2023</v>
      </c>
      <c r="L1380">
        <f>IF(Transactions_Clean[[#This Row],[Category]]="Revenue",Transactions_Clean[[#This Row],[Amount(₹)]],Transactions_Clean[[#This Row],[Amount(₹)]]/8)</f>
        <v>-8816.25</v>
      </c>
    </row>
    <row r="1381" spans="1:12">
      <c r="A1381" t="s">
        <v>2393</v>
      </c>
      <c r="B1381" t="s">
        <v>100</v>
      </c>
      <c r="C1381" t="s">
        <v>4750</v>
      </c>
      <c r="D1381">
        <v>-21757</v>
      </c>
      <c r="E1381" t="s">
        <v>23</v>
      </c>
      <c r="F1381" t="s">
        <v>24</v>
      </c>
      <c r="G1381" t="s">
        <v>33</v>
      </c>
      <c r="H1381" t="s">
        <v>39</v>
      </c>
      <c r="I1381" t="s">
        <v>48</v>
      </c>
      <c r="J1381" s="11">
        <v>45945</v>
      </c>
      <c r="K1381" t="str">
        <f>TEXT(Transactions_Clean[[#This Row],[Date]],"MMM-YYYY")</f>
        <v>Oct-2025</v>
      </c>
      <c r="L1381">
        <f>IF(Transactions_Clean[[#This Row],[Category]]="Revenue",Transactions_Clean[[#This Row],[Amount(₹)]],Transactions_Clean[[#This Row],[Amount(₹)]]/8)</f>
        <v>-2719.625</v>
      </c>
    </row>
    <row r="1382" spans="1:12">
      <c r="A1382" t="s">
        <v>2395</v>
      </c>
      <c r="B1382" t="s">
        <v>4748</v>
      </c>
      <c r="C1382" t="s">
        <v>22</v>
      </c>
      <c r="D1382">
        <v>-46481</v>
      </c>
      <c r="E1382" t="s">
        <v>23</v>
      </c>
      <c r="F1382" t="s">
        <v>24</v>
      </c>
      <c r="G1382" t="s">
        <v>25</v>
      </c>
      <c r="H1382" t="s">
        <v>45</v>
      </c>
      <c r="I1382" t="s">
        <v>27</v>
      </c>
      <c r="J1382" s="11">
        <v>45675</v>
      </c>
      <c r="K1382" t="str">
        <f>TEXT(Transactions_Clean[[#This Row],[Date]],"MMM-YYYY")</f>
        <v>Jan-2025</v>
      </c>
      <c r="L1382">
        <f>IF(Transactions_Clean[[#This Row],[Category]]="Revenue",Transactions_Clean[[#This Row],[Amount(₹)]],Transactions_Clean[[#This Row],[Amount(₹)]]/8)</f>
        <v>-5810.125</v>
      </c>
    </row>
    <row r="1383" spans="1:12">
      <c r="A1383" t="s">
        <v>2396</v>
      </c>
      <c r="B1383" t="s">
        <v>87</v>
      </c>
      <c r="C1383" t="s">
        <v>22</v>
      </c>
      <c r="D1383">
        <v>-98121</v>
      </c>
      <c r="E1383" t="s">
        <v>23</v>
      </c>
      <c r="F1383" t="s">
        <v>32</v>
      </c>
      <c r="G1383" t="s">
        <v>25</v>
      </c>
      <c r="H1383" t="s">
        <v>39</v>
      </c>
      <c r="I1383" t="s">
        <v>48</v>
      </c>
      <c r="J1383" s="11">
        <v>45984</v>
      </c>
      <c r="K1383" t="str">
        <f>TEXT(Transactions_Clean[[#This Row],[Date]],"MMM-YYYY")</f>
        <v>Nov-2025</v>
      </c>
      <c r="L1383">
        <f>IF(Transactions_Clean[[#This Row],[Category]]="Revenue",Transactions_Clean[[#This Row],[Amount(₹)]],Transactions_Clean[[#This Row],[Amount(₹)]]/8)</f>
        <v>-12265.125</v>
      </c>
    </row>
    <row r="1384" spans="1:12">
      <c r="A1384" t="s">
        <v>2398</v>
      </c>
      <c r="B1384" t="s">
        <v>116</v>
      </c>
      <c r="C1384" t="s">
        <v>73</v>
      </c>
      <c r="D1384">
        <v>-71641</v>
      </c>
      <c r="E1384" t="s">
        <v>74</v>
      </c>
      <c r="F1384" t="s">
        <v>24</v>
      </c>
      <c r="G1384" t="s">
        <v>25</v>
      </c>
      <c r="H1384" t="s">
        <v>45</v>
      </c>
      <c r="I1384" t="s">
        <v>48</v>
      </c>
      <c r="J1384" s="11">
        <v>45634</v>
      </c>
      <c r="K1384" t="str">
        <f>TEXT(Transactions_Clean[[#This Row],[Date]],"MMM-YYYY")</f>
        <v>Dec-2024</v>
      </c>
      <c r="L1384">
        <f>IF(Transactions_Clean[[#This Row],[Category]]="Revenue",Transactions_Clean[[#This Row],[Amount(₹)]],Transactions_Clean[[#This Row],[Amount(₹)]]/8)</f>
        <v>-8955.125</v>
      </c>
    </row>
    <row r="1385" spans="1:12">
      <c r="A1385" t="s">
        <v>2400</v>
      </c>
      <c r="B1385" t="s">
        <v>4756</v>
      </c>
      <c r="C1385" t="s">
        <v>73</v>
      </c>
      <c r="D1385">
        <v>-62380</v>
      </c>
      <c r="E1385" t="s">
        <v>74</v>
      </c>
      <c r="F1385" t="s">
        <v>24</v>
      </c>
      <c r="G1385" t="s">
        <v>25</v>
      </c>
      <c r="H1385" t="s">
        <v>45</v>
      </c>
      <c r="I1385" t="s">
        <v>34</v>
      </c>
      <c r="J1385" s="11">
        <v>45433</v>
      </c>
      <c r="K1385" t="str">
        <f>TEXT(Transactions_Clean[[#This Row],[Date]],"MMM-YYYY")</f>
        <v>May-2024</v>
      </c>
      <c r="L1385">
        <f>IF(Transactions_Clean[[#This Row],[Category]]="Revenue",Transactions_Clean[[#This Row],[Amount(₹)]],Transactions_Clean[[#This Row],[Amount(₹)]]/8)</f>
        <v>-7797.5</v>
      </c>
    </row>
    <row r="1386" spans="1:12">
      <c r="A1386" t="s">
        <v>2402</v>
      </c>
      <c r="B1386" t="s">
        <v>4763</v>
      </c>
      <c r="C1386" t="s">
        <v>22</v>
      </c>
      <c r="D1386">
        <v>-178271</v>
      </c>
      <c r="E1386" t="s">
        <v>23</v>
      </c>
      <c r="F1386" t="s">
        <v>24</v>
      </c>
      <c r="G1386" t="s">
        <v>25</v>
      </c>
      <c r="H1386" t="s">
        <v>39</v>
      </c>
      <c r="I1386" t="s">
        <v>34</v>
      </c>
      <c r="J1386" s="11">
        <v>45818</v>
      </c>
      <c r="K1386" t="str">
        <f>TEXT(Transactions_Clean[[#This Row],[Date]],"MMM-YYYY")</f>
        <v>Jun-2025</v>
      </c>
      <c r="L1386">
        <f>IF(Transactions_Clean[[#This Row],[Category]]="Revenue",Transactions_Clean[[#This Row],[Amount(₹)]],Transactions_Clean[[#This Row],[Amount(₹)]]/8)</f>
        <v>-22283.875</v>
      </c>
    </row>
    <row r="1387" spans="1:12">
      <c r="A1387" t="s">
        <v>2403</v>
      </c>
      <c r="B1387" t="s">
        <v>66</v>
      </c>
      <c r="C1387" t="s">
        <v>61</v>
      </c>
      <c r="D1387">
        <v>-15364</v>
      </c>
      <c r="E1387" t="s">
        <v>62</v>
      </c>
      <c r="F1387" t="s">
        <v>32</v>
      </c>
      <c r="G1387" t="s">
        <v>63</v>
      </c>
      <c r="H1387" t="s">
        <v>39</v>
      </c>
      <c r="I1387" t="s">
        <v>48</v>
      </c>
      <c r="J1387" s="11">
        <v>45997</v>
      </c>
      <c r="K1387" t="str">
        <f>TEXT(Transactions_Clean[[#This Row],[Date]],"MMM-YYYY")</f>
        <v>Dec-2025</v>
      </c>
      <c r="L1387">
        <f>IF(Transactions_Clean[[#This Row],[Category]]="Revenue",Transactions_Clean[[#This Row],[Amount(₹)]],Transactions_Clean[[#This Row],[Amount(₹)]]/8)</f>
        <v>-1920.5</v>
      </c>
    </row>
    <row r="1388" spans="1:12">
      <c r="A1388" t="s">
        <v>2404</v>
      </c>
      <c r="B1388" t="s">
        <v>4758</v>
      </c>
      <c r="C1388" t="s">
        <v>78</v>
      </c>
      <c r="D1388">
        <v>-119046</v>
      </c>
      <c r="E1388" t="s">
        <v>23</v>
      </c>
      <c r="F1388" t="s">
        <v>24</v>
      </c>
      <c r="G1388" t="s">
        <v>79</v>
      </c>
      <c r="H1388" t="s">
        <v>26</v>
      </c>
      <c r="I1388" t="s">
        <v>40</v>
      </c>
      <c r="J1388" s="11">
        <v>45143</v>
      </c>
      <c r="K1388" t="str">
        <f>TEXT(Transactions_Clean[[#This Row],[Date]],"MMM-YYYY")</f>
        <v>Aug-2023</v>
      </c>
      <c r="L1388">
        <f>IF(Transactions_Clean[[#This Row],[Category]]="Revenue",Transactions_Clean[[#This Row],[Amount(₹)]],Transactions_Clean[[#This Row],[Amount(₹)]]/8)</f>
        <v>-14880.75</v>
      </c>
    </row>
    <row r="1389" spans="1:12">
      <c r="A1389" t="s">
        <v>2405</v>
      </c>
      <c r="B1389" t="s">
        <v>283</v>
      </c>
      <c r="C1389" t="s">
        <v>44</v>
      </c>
      <c r="D1389">
        <v>-54412</v>
      </c>
      <c r="E1389" t="s">
        <v>23</v>
      </c>
      <c r="F1389" t="s">
        <v>24</v>
      </c>
      <c r="G1389" t="s">
        <v>33</v>
      </c>
      <c r="H1389" t="s">
        <v>26</v>
      </c>
      <c r="I1389" t="s">
        <v>34</v>
      </c>
      <c r="J1389" s="11">
        <v>45092</v>
      </c>
      <c r="K1389" t="str">
        <f>TEXT(Transactions_Clean[[#This Row],[Date]],"MMM-YYYY")</f>
        <v>Jun-2023</v>
      </c>
      <c r="L1389">
        <f>IF(Transactions_Clean[[#This Row],[Category]]="Revenue",Transactions_Clean[[#This Row],[Amount(₹)]],Transactions_Clean[[#This Row],[Amount(₹)]]/8)</f>
        <v>-6801.5</v>
      </c>
    </row>
    <row r="1390" spans="1:12">
      <c r="A1390" t="s">
        <v>2406</v>
      </c>
      <c r="B1390" t="s">
        <v>4756</v>
      </c>
      <c r="C1390" t="s">
        <v>73</v>
      </c>
      <c r="D1390">
        <v>-35215</v>
      </c>
      <c r="E1390" t="s">
        <v>74</v>
      </c>
      <c r="F1390" t="s">
        <v>32</v>
      </c>
      <c r="G1390" t="s">
        <v>25</v>
      </c>
      <c r="H1390" t="s">
        <v>26</v>
      </c>
      <c r="I1390" t="s">
        <v>48</v>
      </c>
      <c r="J1390" s="11">
        <v>45262</v>
      </c>
      <c r="K1390" t="str">
        <f>TEXT(Transactions_Clean[[#This Row],[Date]],"MMM-YYYY")</f>
        <v>Dec-2023</v>
      </c>
      <c r="L1390">
        <f>IF(Transactions_Clean[[#This Row],[Category]]="Revenue",Transactions_Clean[[#This Row],[Amount(₹)]],Transactions_Clean[[#This Row],[Amount(₹)]]/8)</f>
        <v>-4401.875</v>
      </c>
    </row>
    <row r="1391" spans="1:12">
      <c r="A1391" t="s">
        <v>2407</v>
      </c>
      <c r="B1391" t="s">
        <v>4759</v>
      </c>
      <c r="C1391" t="s">
        <v>31</v>
      </c>
      <c r="D1391">
        <v>-37988</v>
      </c>
      <c r="E1391" t="s">
        <v>23</v>
      </c>
      <c r="F1391" t="s">
        <v>32</v>
      </c>
      <c r="G1391" t="s">
        <v>33</v>
      </c>
      <c r="H1391" t="s">
        <v>39</v>
      </c>
      <c r="I1391" t="s">
        <v>34</v>
      </c>
      <c r="J1391" s="11">
        <v>45825</v>
      </c>
      <c r="K1391" t="str">
        <f>TEXT(Transactions_Clean[[#This Row],[Date]],"MMM-YYYY")</f>
        <v>Jun-2025</v>
      </c>
      <c r="L1391">
        <f>IF(Transactions_Clean[[#This Row],[Category]]="Revenue",Transactions_Clean[[#This Row],[Amount(₹)]],Transactions_Clean[[#This Row],[Amount(₹)]]/8)</f>
        <v>-4748.5</v>
      </c>
    </row>
    <row r="1392" spans="1:12">
      <c r="A1392" t="s">
        <v>2408</v>
      </c>
      <c r="B1392" t="s">
        <v>4768</v>
      </c>
      <c r="C1392" t="s">
        <v>157</v>
      </c>
      <c r="D1392">
        <v>561472</v>
      </c>
      <c r="E1392" t="s">
        <v>62</v>
      </c>
      <c r="F1392" t="s">
        <v>32</v>
      </c>
      <c r="G1392" t="s">
        <v>25</v>
      </c>
      <c r="H1392" t="s">
        <v>26</v>
      </c>
      <c r="I1392" t="s">
        <v>40</v>
      </c>
      <c r="J1392" s="11">
        <v>45149</v>
      </c>
      <c r="K1392" t="str">
        <f>TEXT(Transactions_Clean[[#This Row],[Date]],"MMM-YYYY")</f>
        <v>Aug-2023</v>
      </c>
      <c r="L1392">
        <f>IF(Transactions_Clean[[#This Row],[Category]]="Revenue",Transactions_Clean[[#This Row],[Amount(₹)]],Transactions_Clean[[#This Row],[Amount(₹)]]/8)</f>
        <v>561472</v>
      </c>
    </row>
    <row r="1393" spans="1:12">
      <c r="A1393" t="s">
        <v>2409</v>
      </c>
      <c r="B1393" t="s">
        <v>215</v>
      </c>
      <c r="C1393" t="s">
        <v>61</v>
      </c>
      <c r="D1393">
        <v>-29391</v>
      </c>
      <c r="E1393" t="s">
        <v>62</v>
      </c>
      <c r="F1393" t="s">
        <v>24</v>
      </c>
      <c r="G1393" t="s">
        <v>63</v>
      </c>
      <c r="H1393" t="s">
        <v>39</v>
      </c>
      <c r="I1393" t="s">
        <v>34</v>
      </c>
      <c r="J1393" s="11">
        <v>45748</v>
      </c>
      <c r="K1393" t="str">
        <f>TEXT(Transactions_Clean[[#This Row],[Date]],"MMM-YYYY")</f>
        <v>Apr-2025</v>
      </c>
      <c r="L1393">
        <f>IF(Transactions_Clean[[#This Row],[Category]]="Revenue",Transactions_Clean[[#This Row],[Amount(₹)]],Transactions_Clean[[#This Row],[Amount(₹)]]/8)</f>
        <v>-3673.875</v>
      </c>
    </row>
    <row r="1394" spans="1:12">
      <c r="A1394" t="s">
        <v>2410</v>
      </c>
      <c r="B1394" t="s">
        <v>4764</v>
      </c>
      <c r="C1394" t="s">
        <v>157</v>
      </c>
      <c r="D1394">
        <v>752139</v>
      </c>
      <c r="E1394" t="s">
        <v>62</v>
      </c>
      <c r="F1394" t="s">
        <v>32</v>
      </c>
      <c r="G1394" t="s">
        <v>25</v>
      </c>
      <c r="H1394" t="s">
        <v>39</v>
      </c>
      <c r="I1394" t="s">
        <v>48</v>
      </c>
      <c r="J1394" s="11">
        <v>45969</v>
      </c>
      <c r="K1394" t="str">
        <f>TEXT(Transactions_Clean[[#This Row],[Date]],"MMM-YYYY")</f>
        <v>Nov-2025</v>
      </c>
      <c r="L1394">
        <f>IF(Transactions_Clean[[#This Row],[Category]]="Revenue",Transactions_Clean[[#This Row],[Amount(₹)]],Transactions_Clean[[#This Row],[Amount(₹)]]/8)</f>
        <v>752139</v>
      </c>
    </row>
    <row r="1395" spans="1:12">
      <c r="A1395" t="s">
        <v>2412</v>
      </c>
      <c r="B1395" t="s">
        <v>215</v>
      </c>
      <c r="C1395" t="s">
        <v>61</v>
      </c>
      <c r="D1395">
        <v>-49373</v>
      </c>
      <c r="E1395" t="s">
        <v>62</v>
      </c>
      <c r="F1395" t="s">
        <v>24</v>
      </c>
      <c r="G1395" t="s">
        <v>63</v>
      </c>
      <c r="H1395" t="s">
        <v>39</v>
      </c>
      <c r="I1395" t="s">
        <v>27</v>
      </c>
      <c r="J1395" s="11">
        <v>46106</v>
      </c>
      <c r="K1395" t="str">
        <f>TEXT(Transactions_Clean[[#This Row],[Date]],"MMM-YYYY")</f>
        <v>Mar-2026</v>
      </c>
      <c r="L1395">
        <f>IF(Transactions_Clean[[#This Row],[Category]]="Revenue",Transactions_Clean[[#This Row],[Amount(₹)]],Transactions_Clean[[#This Row],[Amount(₹)]]/8)</f>
        <v>-6171.625</v>
      </c>
    </row>
    <row r="1396" spans="1:12">
      <c r="A1396" t="s">
        <v>2413</v>
      </c>
      <c r="B1396" t="s">
        <v>129</v>
      </c>
      <c r="C1396" t="s">
        <v>38</v>
      </c>
      <c r="D1396">
        <v>-34310</v>
      </c>
      <c r="E1396" t="s">
        <v>23</v>
      </c>
      <c r="F1396" t="s">
        <v>32</v>
      </c>
      <c r="G1396" t="s">
        <v>33</v>
      </c>
      <c r="H1396" t="s">
        <v>45</v>
      </c>
      <c r="I1396" t="s">
        <v>48</v>
      </c>
      <c r="J1396" s="11">
        <v>45615</v>
      </c>
      <c r="K1396" t="str">
        <f>TEXT(Transactions_Clean[[#This Row],[Date]],"MMM-YYYY")</f>
        <v>Nov-2024</v>
      </c>
      <c r="L1396">
        <f>IF(Transactions_Clean[[#This Row],[Category]]="Revenue",Transactions_Clean[[#This Row],[Amount(₹)]],Transactions_Clean[[#This Row],[Amount(₹)]]/8)</f>
        <v>-4288.75</v>
      </c>
    </row>
    <row r="1397" spans="1:12">
      <c r="A1397" t="s">
        <v>2414</v>
      </c>
      <c r="B1397" t="s">
        <v>4755</v>
      </c>
      <c r="C1397" t="s">
        <v>78</v>
      </c>
      <c r="D1397">
        <v>-84794</v>
      </c>
      <c r="E1397" t="s">
        <v>23</v>
      </c>
      <c r="F1397" t="s">
        <v>32</v>
      </c>
      <c r="G1397" t="s">
        <v>79</v>
      </c>
      <c r="H1397" t="s">
        <v>39</v>
      </c>
      <c r="I1397" t="s">
        <v>34</v>
      </c>
      <c r="J1397" s="11">
        <v>45758</v>
      </c>
      <c r="K1397" t="str">
        <f>TEXT(Transactions_Clean[[#This Row],[Date]],"MMM-YYYY")</f>
        <v>Apr-2025</v>
      </c>
      <c r="L1397">
        <f>IF(Transactions_Clean[[#This Row],[Category]]="Revenue",Transactions_Clean[[#This Row],[Amount(₹)]],Transactions_Clean[[#This Row],[Amount(₹)]]/8)</f>
        <v>-10599.25</v>
      </c>
    </row>
    <row r="1398" spans="1:12">
      <c r="A1398" t="s">
        <v>2415</v>
      </c>
      <c r="B1398" t="s">
        <v>255</v>
      </c>
      <c r="C1398" t="s">
        <v>22</v>
      </c>
      <c r="D1398">
        <v>-202242</v>
      </c>
      <c r="E1398" t="s">
        <v>23</v>
      </c>
      <c r="F1398" t="s">
        <v>24</v>
      </c>
      <c r="G1398" t="s">
        <v>25</v>
      </c>
      <c r="H1398" t="s">
        <v>26</v>
      </c>
      <c r="I1398" t="s">
        <v>34</v>
      </c>
      <c r="J1398" s="11">
        <v>45104</v>
      </c>
      <c r="K1398" t="str">
        <f>TEXT(Transactions_Clean[[#This Row],[Date]],"MMM-YYYY")</f>
        <v>Jun-2023</v>
      </c>
      <c r="L1398">
        <f>IF(Transactions_Clean[[#This Row],[Category]]="Revenue",Transactions_Clean[[#This Row],[Amount(₹)]],Transactions_Clean[[#This Row],[Amount(₹)]]/8)</f>
        <v>-25280.25</v>
      </c>
    </row>
    <row r="1399" spans="1:12">
      <c r="A1399" t="s">
        <v>2417</v>
      </c>
      <c r="B1399" t="s">
        <v>37</v>
      </c>
      <c r="C1399" t="s">
        <v>38</v>
      </c>
      <c r="D1399">
        <v>-30325</v>
      </c>
      <c r="E1399" t="s">
        <v>23</v>
      </c>
      <c r="F1399" t="s">
        <v>24</v>
      </c>
      <c r="G1399" t="s">
        <v>33</v>
      </c>
      <c r="H1399" t="s">
        <v>45</v>
      </c>
      <c r="I1399" t="s">
        <v>34</v>
      </c>
      <c r="J1399" s="11">
        <v>45408</v>
      </c>
      <c r="K1399" t="str">
        <f>TEXT(Transactions_Clean[[#This Row],[Date]],"MMM-YYYY")</f>
        <v>Apr-2024</v>
      </c>
      <c r="L1399">
        <f>IF(Transactions_Clean[[#This Row],[Category]]="Revenue",Transactions_Clean[[#This Row],[Amount(₹)]],Transactions_Clean[[#This Row],[Amount(₹)]]/8)</f>
        <v>-3790.625</v>
      </c>
    </row>
    <row r="1400" spans="1:12">
      <c r="A1400" t="s">
        <v>2419</v>
      </c>
      <c r="B1400" t="s">
        <v>106</v>
      </c>
      <c r="C1400" t="s">
        <v>31</v>
      </c>
      <c r="D1400">
        <v>-13283</v>
      </c>
      <c r="E1400" t="s">
        <v>23</v>
      </c>
      <c r="F1400" t="s">
        <v>32</v>
      </c>
      <c r="G1400" t="s">
        <v>33</v>
      </c>
      <c r="H1400" t="s">
        <v>26</v>
      </c>
      <c r="I1400" t="s">
        <v>40</v>
      </c>
      <c r="J1400" s="11">
        <v>45163</v>
      </c>
      <c r="K1400" t="str">
        <f>TEXT(Transactions_Clean[[#This Row],[Date]],"MMM-YYYY")</f>
        <v>Aug-2023</v>
      </c>
      <c r="L1400">
        <f>IF(Transactions_Clean[[#This Row],[Category]]="Revenue",Transactions_Clean[[#This Row],[Amount(₹)]],Transactions_Clean[[#This Row],[Amount(₹)]]/8)</f>
        <v>-1660.375</v>
      </c>
    </row>
    <row r="1401" spans="1:12">
      <c r="A1401" t="s">
        <v>2420</v>
      </c>
      <c r="B1401" t="s">
        <v>4769</v>
      </c>
      <c r="C1401" t="s">
        <v>44</v>
      </c>
      <c r="D1401">
        <v>-35015</v>
      </c>
      <c r="E1401" t="s">
        <v>23</v>
      </c>
      <c r="F1401" t="s">
        <v>32</v>
      </c>
      <c r="G1401" t="s">
        <v>33</v>
      </c>
      <c r="H1401" t="s">
        <v>39</v>
      </c>
      <c r="I1401" t="s">
        <v>40</v>
      </c>
      <c r="J1401" s="11">
        <v>45892</v>
      </c>
      <c r="K1401" t="str">
        <f>TEXT(Transactions_Clean[[#This Row],[Date]],"MMM-YYYY")</f>
        <v>Aug-2025</v>
      </c>
      <c r="L1401">
        <f>IF(Transactions_Clean[[#This Row],[Category]]="Revenue",Transactions_Clean[[#This Row],[Amount(₹)]],Transactions_Clean[[#This Row],[Amount(₹)]]/8)</f>
        <v>-4376.875</v>
      </c>
    </row>
    <row r="1402" spans="1:12">
      <c r="A1402" t="s">
        <v>2421</v>
      </c>
      <c r="B1402" t="s">
        <v>37</v>
      </c>
      <c r="C1402" t="s">
        <v>38</v>
      </c>
      <c r="D1402">
        <v>-31741</v>
      </c>
      <c r="E1402" t="s">
        <v>23</v>
      </c>
      <c r="F1402" t="s">
        <v>24</v>
      </c>
      <c r="G1402" t="s">
        <v>33</v>
      </c>
      <c r="H1402" t="s">
        <v>26</v>
      </c>
      <c r="I1402" t="s">
        <v>48</v>
      </c>
      <c r="J1402" s="11">
        <v>45203</v>
      </c>
      <c r="K1402" t="str">
        <f>TEXT(Transactions_Clean[[#This Row],[Date]],"MMM-YYYY")</f>
        <v>Oct-2023</v>
      </c>
      <c r="L1402">
        <f>IF(Transactions_Clean[[#This Row],[Category]]="Revenue",Transactions_Clean[[#This Row],[Amount(₹)]],Transactions_Clean[[#This Row],[Amount(₹)]]/8)</f>
        <v>-3967.625</v>
      </c>
    </row>
    <row r="1403" spans="1:12">
      <c r="A1403" t="s">
        <v>2422</v>
      </c>
      <c r="B1403" t="s">
        <v>310</v>
      </c>
      <c r="C1403" t="s">
        <v>22</v>
      </c>
      <c r="D1403">
        <v>-42605</v>
      </c>
      <c r="E1403" t="s">
        <v>23</v>
      </c>
      <c r="F1403" t="s">
        <v>32</v>
      </c>
      <c r="G1403" t="s">
        <v>25</v>
      </c>
      <c r="H1403" t="s">
        <v>39</v>
      </c>
      <c r="I1403" t="s">
        <v>27</v>
      </c>
      <c r="J1403" s="11">
        <v>46091</v>
      </c>
      <c r="K1403" t="str">
        <f>TEXT(Transactions_Clean[[#This Row],[Date]],"MMM-YYYY")</f>
        <v>Mar-2026</v>
      </c>
      <c r="L1403">
        <f>IF(Transactions_Clean[[#This Row],[Category]]="Revenue",Transactions_Clean[[#This Row],[Amount(₹)]],Transactions_Clean[[#This Row],[Amount(₹)]]/8)</f>
        <v>-5325.625</v>
      </c>
    </row>
    <row r="1404" spans="1:12">
      <c r="A1404" t="s">
        <v>2424</v>
      </c>
      <c r="B1404" t="s">
        <v>4776</v>
      </c>
      <c r="C1404" t="s">
        <v>440</v>
      </c>
      <c r="D1404">
        <v>-136550</v>
      </c>
      <c r="E1404" t="s">
        <v>23</v>
      </c>
      <c r="F1404" t="s">
        <v>32</v>
      </c>
      <c r="G1404" t="s">
        <v>33</v>
      </c>
      <c r="H1404" t="s">
        <v>39</v>
      </c>
      <c r="I1404" t="s">
        <v>27</v>
      </c>
      <c r="J1404" s="11">
        <v>46094</v>
      </c>
      <c r="K1404" t="str">
        <f>TEXT(Transactions_Clean[[#This Row],[Date]],"MMM-YYYY")</f>
        <v>Mar-2026</v>
      </c>
      <c r="L1404">
        <f>IF(Transactions_Clean[[#This Row],[Category]]="Revenue",Transactions_Clean[[#This Row],[Amount(₹)]],Transactions_Clean[[#This Row],[Amount(₹)]]/8)</f>
        <v>-17068.75</v>
      </c>
    </row>
    <row r="1405" spans="1:12">
      <c r="A1405" t="s">
        <v>2425</v>
      </c>
      <c r="B1405" t="s">
        <v>283</v>
      </c>
      <c r="C1405" t="s">
        <v>4750</v>
      </c>
      <c r="D1405">
        <v>-93506</v>
      </c>
      <c r="E1405" t="s">
        <v>23</v>
      </c>
      <c r="F1405" t="s">
        <v>24</v>
      </c>
      <c r="G1405" t="s">
        <v>33</v>
      </c>
      <c r="H1405" t="s">
        <v>26</v>
      </c>
      <c r="I1405" t="s">
        <v>40</v>
      </c>
      <c r="J1405" s="11">
        <v>45164</v>
      </c>
      <c r="K1405" t="str">
        <f>TEXT(Transactions_Clean[[#This Row],[Date]],"MMM-YYYY")</f>
        <v>Aug-2023</v>
      </c>
      <c r="L1405">
        <f>IF(Transactions_Clean[[#This Row],[Category]]="Revenue",Transactions_Clean[[#This Row],[Amount(₹)]],Transactions_Clean[[#This Row],[Amount(₹)]]/8)</f>
        <v>-11688.25</v>
      </c>
    </row>
    <row r="1406" spans="1:12">
      <c r="A1406" t="s">
        <v>2426</v>
      </c>
      <c r="B1406" t="s">
        <v>215</v>
      </c>
      <c r="C1406" t="s">
        <v>61</v>
      </c>
      <c r="D1406">
        <v>-48213</v>
      </c>
      <c r="E1406" t="s">
        <v>62</v>
      </c>
      <c r="F1406" t="s">
        <v>32</v>
      </c>
      <c r="G1406" t="s">
        <v>63</v>
      </c>
      <c r="H1406" t="s">
        <v>45</v>
      </c>
      <c r="I1406" t="s">
        <v>27</v>
      </c>
      <c r="J1406" s="11">
        <v>45704</v>
      </c>
      <c r="K1406" t="str">
        <f>TEXT(Transactions_Clean[[#This Row],[Date]],"MMM-YYYY")</f>
        <v>Feb-2025</v>
      </c>
      <c r="L1406">
        <f>IF(Transactions_Clean[[#This Row],[Category]]="Revenue",Transactions_Clean[[#This Row],[Amount(₹)]],Transactions_Clean[[#This Row],[Amount(₹)]]/8)</f>
        <v>-6026.625</v>
      </c>
    </row>
    <row r="1407" spans="1:12">
      <c r="A1407" t="s">
        <v>2428</v>
      </c>
      <c r="B1407" t="s">
        <v>72</v>
      </c>
      <c r="C1407" t="s">
        <v>73</v>
      </c>
      <c r="D1407">
        <v>-47817</v>
      </c>
      <c r="E1407" t="s">
        <v>74</v>
      </c>
      <c r="F1407" t="s">
        <v>24</v>
      </c>
      <c r="G1407" t="s">
        <v>25</v>
      </c>
      <c r="H1407" t="s">
        <v>45</v>
      </c>
      <c r="I1407" t="s">
        <v>27</v>
      </c>
      <c r="J1407" s="11">
        <v>45702</v>
      </c>
      <c r="K1407" t="str">
        <f>TEXT(Transactions_Clean[[#This Row],[Date]],"MMM-YYYY")</f>
        <v>Feb-2025</v>
      </c>
      <c r="L1407">
        <f>IF(Transactions_Clean[[#This Row],[Category]]="Revenue",Transactions_Clean[[#This Row],[Amount(₹)]],Transactions_Clean[[#This Row],[Amount(₹)]]/8)</f>
        <v>-5977.125</v>
      </c>
    </row>
    <row r="1408" spans="1:12">
      <c r="A1408" t="s">
        <v>2429</v>
      </c>
      <c r="B1408" t="s">
        <v>4787</v>
      </c>
      <c r="C1408" t="s">
        <v>136</v>
      </c>
      <c r="D1408">
        <v>-10315047</v>
      </c>
      <c r="E1408" t="s">
        <v>62</v>
      </c>
      <c r="F1408" t="s">
        <v>32</v>
      </c>
      <c r="G1408" t="s">
        <v>63</v>
      </c>
      <c r="H1408" t="s">
        <v>26</v>
      </c>
      <c r="I1408" t="s">
        <v>34</v>
      </c>
      <c r="J1408" s="11">
        <v>45074</v>
      </c>
      <c r="K1408" t="str">
        <f>TEXT(Transactions_Clean[[#This Row],[Date]],"MMM-YYYY")</f>
        <v>May-2023</v>
      </c>
      <c r="L1408">
        <f>IF(Transactions_Clean[[#This Row],[Category]]="Revenue",Transactions_Clean[[#This Row],[Amount(₹)]],Transactions_Clean[[#This Row],[Amount(₹)]]/8)</f>
        <v>-1289380.875</v>
      </c>
    </row>
    <row r="1409" spans="1:12">
      <c r="A1409" t="s">
        <v>2432</v>
      </c>
      <c r="B1409" t="s">
        <v>4754</v>
      </c>
      <c r="C1409" t="s">
        <v>78</v>
      </c>
      <c r="D1409">
        <v>-95293</v>
      </c>
      <c r="E1409" t="s">
        <v>23</v>
      </c>
      <c r="F1409" t="s">
        <v>32</v>
      </c>
      <c r="G1409" t="s">
        <v>79</v>
      </c>
      <c r="H1409" t="s">
        <v>45</v>
      </c>
      <c r="I1409" t="s">
        <v>34</v>
      </c>
      <c r="J1409" s="11">
        <v>45438</v>
      </c>
      <c r="K1409" t="str">
        <f>TEXT(Transactions_Clean[[#This Row],[Date]],"MMM-YYYY")</f>
        <v>May-2024</v>
      </c>
      <c r="L1409">
        <f>IF(Transactions_Clean[[#This Row],[Category]]="Revenue",Transactions_Clean[[#This Row],[Amount(₹)]],Transactions_Clean[[#This Row],[Amount(₹)]]/8)</f>
        <v>-11911.625</v>
      </c>
    </row>
    <row r="1410" spans="1:12">
      <c r="A1410" t="s">
        <v>2433</v>
      </c>
      <c r="B1410" t="s">
        <v>4753</v>
      </c>
      <c r="C1410" t="s">
        <v>38</v>
      </c>
      <c r="D1410">
        <v>-37232</v>
      </c>
      <c r="E1410" t="s">
        <v>23</v>
      </c>
      <c r="F1410" t="s">
        <v>24</v>
      </c>
      <c r="G1410" t="s">
        <v>33</v>
      </c>
      <c r="H1410" t="s">
        <v>45</v>
      </c>
      <c r="I1410" t="s">
        <v>34</v>
      </c>
      <c r="J1410" s="11">
        <v>45451</v>
      </c>
      <c r="K1410" t="str">
        <f>TEXT(Transactions_Clean[[#This Row],[Date]],"MMM-YYYY")</f>
        <v>Jun-2024</v>
      </c>
      <c r="L1410">
        <f>IF(Transactions_Clean[[#This Row],[Category]]="Revenue",Transactions_Clean[[#This Row],[Amount(₹)]],Transactions_Clean[[#This Row],[Amount(₹)]]/8)</f>
        <v>-4654</v>
      </c>
    </row>
    <row r="1411" spans="1:12">
      <c r="A1411" t="s">
        <v>2435</v>
      </c>
      <c r="B1411" t="s">
        <v>30</v>
      </c>
      <c r="C1411" t="s">
        <v>31</v>
      </c>
      <c r="D1411">
        <v>-14755</v>
      </c>
      <c r="E1411" t="s">
        <v>23</v>
      </c>
      <c r="F1411" t="s">
        <v>32</v>
      </c>
      <c r="G1411" t="s">
        <v>33</v>
      </c>
      <c r="H1411" t="s">
        <v>39</v>
      </c>
      <c r="I1411" t="s">
        <v>40</v>
      </c>
      <c r="J1411" s="11">
        <v>45859</v>
      </c>
      <c r="K1411" t="str">
        <f>TEXT(Transactions_Clean[[#This Row],[Date]],"MMM-YYYY")</f>
        <v>Jul-2025</v>
      </c>
      <c r="L1411">
        <f>IF(Transactions_Clean[[#This Row],[Category]]="Revenue",Transactions_Clean[[#This Row],[Amount(₹)]],Transactions_Clean[[#This Row],[Amount(₹)]]/8)</f>
        <v>-1844.375</v>
      </c>
    </row>
    <row r="1412" spans="1:12">
      <c r="A1412" t="s">
        <v>2437</v>
      </c>
      <c r="B1412" t="s">
        <v>224</v>
      </c>
      <c r="C1412" t="s">
        <v>78</v>
      </c>
      <c r="D1412">
        <v>-112162</v>
      </c>
      <c r="E1412" t="s">
        <v>23</v>
      </c>
      <c r="F1412" t="s">
        <v>24</v>
      </c>
      <c r="G1412" t="s">
        <v>79</v>
      </c>
      <c r="H1412" t="s">
        <v>45</v>
      </c>
      <c r="I1412" t="s">
        <v>34</v>
      </c>
      <c r="J1412" s="11">
        <v>45469</v>
      </c>
      <c r="K1412" t="str">
        <f>TEXT(Transactions_Clean[[#This Row],[Date]],"MMM-YYYY")</f>
        <v>Jun-2024</v>
      </c>
      <c r="L1412">
        <f>IF(Transactions_Clean[[#This Row],[Category]]="Revenue",Transactions_Clean[[#This Row],[Amount(₹)]],Transactions_Clean[[#This Row],[Amount(₹)]]/8)</f>
        <v>-14020.25</v>
      </c>
    </row>
    <row r="1413" spans="1:12">
      <c r="A1413" t="s">
        <v>2439</v>
      </c>
      <c r="B1413" t="s">
        <v>161</v>
      </c>
      <c r="C1413" t="s">
        <v>22</v>
      </c>
      <c r="D1413">
        <v>-203137</v>
      </c>
      <c r="E1413" t="s">
        <v>23</v>
      </c>
      <c r="F1413" t="s">
        <v>32</v>
      </c>
      <c r="G1413" t="s">
        <v>25</v>
      </c>
      <c r="H1413" t="s">
        <v>45</v>
      </c>
      <c r="I1413" t="s">
        <v>48</v>
      </c>
      <c r="J1413" s="11">
        <v>45581</v>
      </c>
      <c r="K1413" t="str">
        <f>TEXT(Transactions_Clean[[#This Row],[Date]],"MMM-YYYY")</f>
        <v>Oct-2024</v>
      </c>
      <c r="L1413">
        <f>IF(Transactions_Clean[[#This Row],[Category]]="Revenue",Transactions_Clean[[#This Row],[Amount(₹)]],Transactions_Clean[[#This Row],[Amount(₹)]]/8)</f>
        <v>-25392.125</v>
      </c>
    </row>
    <row r="1414" spans="1:12">
      <c r="A1414" t="s">
        <v>2441</v>
      </c>
      <c r="B1414" t="s">
        <v>4755</v>
      </c>
      <c r="C1414" t="s">
        <v>78</v>
      </c>
      <c r="D1414">
        <v>-16957</v>
      </c>
      <c r="E1414" t="s">
        <v>23</v>
      </c>
      <c r="F1414" t="s">
        <v>32</v>
      </c>
      <c r="G1414" t="s">
        <v>79</v>
      </c>
      <c r="H1414" t="s">
        <v>39</v>
      </c>
      <c r="I1414" t="s">
        <v>34</v>
      </c>
      <c r="J1414" s="11">
        <v>45795</v>
      </c>
      <c r="K1414" t="str">
        <f>TEXT(Transactions_Clean[[#This Row],[Date]],"MMM-YYYY")</f>
        <v>May-2025</v>
      </c>
      <c r="L1414">
        <f>IF(Transactions_Clean[[#This Row],[Category]]="Revenue",Transactions_Clean[[#This Row],[Amount(₹)]],Transactions_Clean[[#This Row],[Amount(₹)]]/8)</f>
        <v>-2119.625</v>
      </c>
    </row>
    <row r="1415" spans="1:12">
      <c r="A1415" t="s">
        <v>2442</v>
      </c>
      <c r="B1415" t="s">
        <v>224</v>
      </c>
      <c r="C1415" t="s">
        <v>4750</v>
      </c>
      <c r="D1415">
        <v>-75928</v>
      </c>
      <c r="E1415" t="s">
        <v>23</v>
      </c>
      <c r="F1415" t="s">
        <v>24</v>
      </c>
      <c r="G1415" t="s">
        <v>79</v>
      </c>
      <c r="H1415" t="s">
        <v>39</v>
      </c>
      <c r="I1415" t="s">
        <v>48</v>
      </c>
      <c r="J1415" s="11">
        <v>46007</v>
      </c>
      <c r="K1415" t="str">
        <f>TEXT(Transactions_Clean[[#This Row],[Date]],"MMM-YYYY")</f>
        <v>Dec-2025</v>
      </c>
      <c r="L1415">
        <f>IF(Transactions_Clean[[#This Row],[Category]]="Revenue",Transactions_Clean[[#This Row],[Amount(₹)]],Transactions_Clean[[#This Row],[Amount(₹)]]/8)</f>
        <v>-9491</v>
      </c>
    </row>
    <row r="1416" spans="1:12">
      <c r="A1416" t="s">
        <v>2443</v>
      </c>
      <c r="B1416" t="s">
        <v>66</v>
      </c>
      <c r="C1416" t="s">
        <v>61</v>
      </c>
      <c r="D1416">
        <v>-12665</v>
      </c>
      <c r="E1416" t="s">
        <v>62</v>
      </c>
      <c r="F1416" t="s">
        <v>24</v>
      </c>
      <c r="G1416" t="s">
        <v>63</v>
      </c>
      <c r="H1416" t="s">
        <v>26</v>
      </c>
      <c r="I1416" t="s">
        <v>34</v>
      </c>
      <c r="J1416" s="11">
        <v>45063</v>
      </c>
      <c r="K1416" t="str">
        <f>TEXT(Transactions_Clean[[#This Row],[Date]],"MMM-YYYY")</f>
        <v>May-2023</v>
      </c>
      <c r="L1416">
        <f>IF(Transactions_Clean[[#This Row],[Category]]="Revenue",Transactions_Clean[[#This Row],[Amount(₹)]],Transactions_Clean[[#This Row],[Amount(₹)]]/8)</f>
        <v>-1583.125</v>
      </c>
    </row>
    <row r="1417" spans="1:12">
      <c r="A1417" t="s">
        <v>2444</v>
      </c>
      <c r="B1417" t="s">
        <v>100</v>
      </c>
      <c r="C1417" t="s">
        <v>31</v>
      </c>
      <c r="D1417">
        <v>-20268</v>
      </c>
      <c r="E1417" t="s">
        <v>23</v>
      </c>
      <c r="F1417" t="s">
        <v>24</v>
      </c>
      <c r="G1417" t="s">
        <v>33</v>
      </c>
      <c r="H1417" t="s">
        <v>26</v>
      </c>
      <c r="I1417" t="s">
        <v>40</v>
      </c>
      <c r="J1417" s="11">
        <v>45129</v>
      </c>
      <c r="K1417" t="str">
        <f>TEXT(Transactions_Clean[[#This Row],[Date]],"MMM-YYYY")</f>
        <v>Jul-2023</v>
      </c>
      <c r="L1417">
        <f>IF(Transactions_Clean[[#This Row],[Category]]="Revenue",Transactions_Clean[[#This Row],[Amount(₹)]],Transactions_Clean[[#This Row],[Amount(₹)]]/8)</f>
        <v>-2533.5</v>
      </c>
    </row>
    <row r="1418" spans="1:12">
      <c r="A1418" t="s">
        <v>2445</v>
      </c>
      <c r="B1418" t="s">
        <v>100</v>
      </c>
      <c r="C1418" t="s">
        <v>31</v>
      </c>
      <c r="D1418">
        <v>-13405</v>
      </c>
      <c r="E1418" t="s">
        <v>23</v>
      </c>
      <c r="F1418" t="s">
        <v>24</v>
      </c>
      <c r="G1418" t="s">
        <v>33</v>
      </c>
      <c r="H1418" t="s">
        <v>45</v>
      </c>
      <c r="I1418" t="s">
        <v>34</v>
      </c>
      <c r="J1418" s="11">
        <v>45446</v>
      </c>
      <c r="K1418" t="str">
        <f>TEXT(Transactions_Clean[[#This Row],[Date]],"MMM-YYYY")</f>
        <v>Jun-2024</v>
      </c>
      <c r="L1418">
        <f>IF(Transactions_Clean[[#This Row],[Category]]="Revenue",Transactions_Clean[[#This Row],[Amount(₹)]],Transactions_Clean[[#This Row],[Amount(₹)]]/8)</f>
        <v>-1675.625</v>
      </c>
    </row>
    <row r="1419" spans="1:12">
      <c r="A1419" t="s">
        <v>2447</v>
      </c>
      <c r="B1419" t="s">
        <v>180</v>
      </c>
      <c r="C1419" t="s">
        <v>44</v>
      </c>
      <c r="D1419">
        <v>-141659</v>
      </c>
      <c r="E1419" t="s">
        <v>23</v>
      </c>
      <c r="F1419" t="s">
        <v>32</v>
      </c>
      <c r="G1419" t="s">
        <v>33</v>
      </c>
      <c r="H1419" t="s">
        <v>39</v>
      </c>
      <c r="I1419" t="s">
        <v>48</v>
      </c>
      <c r="J1419" s="11">
        <v>45998</v>
      </c>
      <c r="K1419" t="str">
        <f>TEXT(Transactions_Clean[[#This Row],[Date]],"MMM-YYYY")</f>
        <v>Dec-2025</v>
      </c>
      <c r="L1419">
        <f>IF(Transactions_Clean[[#This Row],[Category]]="Revenue",Transactions_Clean[[#This Row],[Amount(₹)]],Transactions_Clean[[#This Row],[Amount(₹)]]/8)</f>
        <v>-17707.375</v>
      </c>
    </row>
    <row r="1420" spans="1:12">
      <c r="A1420" t="s">
        <v>2449</v>
      </c>
      <c r="B1420" t="s">
        <v>4753</v>
      </c>
      <c r="C1420" t="s">
        <v>38</v>
      </c>
      <c r="D1420">
        <v>-46302</v>
      </c>
      <c r="E1420" t="s">
        <v>23</v>
      </c>
      <c r="F1420" t="s">
        <v>24</v>
      </c>
      <c r="G1420" t="s">
        <v>33</v>
      </c>
      <c r="H1420" t="s">
        <v>39</v>
      </c>
      <c r="I1420" t="s">
        <v>48</v>
      </c>
      <c r="J1420" s="11">
        <v>45983</v>
      </c>
      <c r="K1420" t="str">
        <f>TEXT(Transactions_Clean[[#This Row],[Date]],"MMM-YYYY")</f>
        <v>Nov-2025</v>
      </c>
      <c r="L1420">
        <f>IF(Transactions_Clean[[#This Row],[Category]]="Revenue",Transactions_Clean[[#This Row],[Amount(₹)]],Transactions_Clean[[#This Row],[Amount(₹)]]/8)</f>
        <v>-5787.75</v>
      </c>
    </row>
    <row r="1421" spans="1:12">
      <c r="A1421" t="s">
        <v>2450</v>
      </c>
      <c r="B1421" t="s">
        <v>66</v>
      </c>
      <c r="C1421" t="s">
        <v>61</v>
      </c>
      <c r="D1421">
        <v>-62235</v>
      </c>
      <c r="E1421" t="s">
        <v>62</v>
      </c>
      <c r="F1421" t="s">
        <v>32</v>
      </c>
      <c r="G1421" t="s">
        <v>63</v>
      </c>
      <c r="H1421" t="s">
        <v>45</v>
      </c>
      <c r="I1421" t="s">
        <v>34</v>
      </c>
      <c r="J1421" s="11">
        <v>45437</v>
      </c>
      <c r="K1421" t="str">
        <f>TEXT(Transactions_Clean[[#This Row],[Date]],"MMM-YYYY")</f>
        <v>May-2024</v>
      </c>
      <c r="L1421">
        <f>IF(Transactions_Clean[[#This Row],[Category]]="Revenue",Transactions_Clean[[#This Row],[Amount(₹)]],Transactions_Clean[[#This Row],[Amount(₹)]]/8)</f>
        <v>-7779.375</v>
      </c>
    </row>
    <row r="1422" spans="1:12">
      <c r="A1422" t="s">
        <v>2451</v>
      </c>
      <c r="B1422" t="s">
        <v>212</v>
      </c>
      <c r="C1422" t="s">
        <v>73</v>
      </c>
      <c r="D1422">
        <v>-19142</v>
      </c>
      <c r="E1422" t="s">
        <v>74</v>
      </c>
      <c r="F1422" t="s">
        <v>32</v>
      </c>
      <c r="G1422" t="s">
        <v>25</v>
      </c>
      <c r="H1422" t="s">
        <v>45</v>
      </c>
      <c r="I1422" t="s">
        <v>27</v>
      </c>
      <c r="J1422" s="11">
        <v>45686</v>
      </c>
      <c r="K1422" t="str">
        <f>TEXT(Transactions_Clean[[#This Row],[Date]],"MMM-YYYY")</f>
        <v>Jan-2025</v>
      </c>
      <c r="L1422">
        <f>IF(Transactions_Clean[[#This Row],[Category]]="Revenue",Transactions_Clean[[#This Row],[Amount(₹)]],Transactions_Clean[[#This Row],[Amount(₹)]]/8)</f>
        <v>-2392.75</v>
      </c>
    </row>
    <row r="1423" spans="1:12">
      <c r="A1423" t="s">
        <v>2453</v>
      </c>
      <c r="B1423" t="s">
        <v>100</v>
      </c>
      <c r="C1423" t="s">
        <v>31</v>
      </c>
      <c r="D1423">
        <v>-9559</v>
      </c>
      <c r="E1423" t="s">
        <v>23</v>
      </c>
      <c r="F1423" t="s">
        <v>24</v>
      </c>
      <c r="G1423" t="s">
        <v>33</v>
      </c>
      <c r="H1423" t="s">
        <v>39</v>
      </c>
      <c r="I1423" t="s">
        <v>34</v>
      </c>
      <c r="J1423" s="11">
        <v>45772</v>
      </c>
      <c r="K1423" t="str">
        <f>TEXT(Transactions_Clean[[#This Row],[Date]],"MMM-YYYY")</f>
        <v>Apr-2025</v>
      </c>
      <c r="L1423">
        <f>IF(Transactions_Clean[[#This Row],[Category]]="Revenue",Transactions_Clean[[#This Row],[Amount(₹)]],Transactions_Clean[[#This Row],[Amount(₹)]]/8)</f>
        <v>-1194.875</v>
      </c>
    </row>
    <row r="1424" spans="1:12">
      <c r="A1424" t="s">
        <v>2454</v>
      </c>
      <c r="B1424" t="s">
        <v>224</v>
      </c>
      <c r="C1424" t="s">
        <v>78</v>
      </c>
      <c r="D1424">
        <v>-82561</v>
      </c>
      <c r="E1424" t="s">
        <v>23</v>
      </c>
      <c r="F1424" t="s">
        <v>24</v>
      </c>
      <c r="G1424" t="s">
        <v>79</v>
      </c>
      <c r="H1424" t="s">
        <v>26</v>
      </c>
      <c r="I1424" t="s">
        <v>34</v>
      </c>
      <c r="J1424" s="11">
        <v>45038</v>
      </c>
      <c r="K1424" t="str">
        <f>TEXT(Transactions_Clean[[#This Row],[Date]],"MMM-YYYY")</f>
        <v>Apr-2023</v>
      </c>
      <c r="L1424">
        <f>IF(Transactions_Clean[[#This Row],[Category]]="Revenue",Transactions_Clean[[#This Row],[Amount(₹)]],Transactions_Clean[[#This Row],[Amount(₹)]]/8)</f>
        <v>-10320.125</v>
      </c>
    </row>
    <row r="1425" spans="1:12">
      <c r="A1425" t="s">
        <v>2455</v>
      </c>
      <c r="B1425" t="s">
        <v>4755</v>
      </c>
      <c r="C1425" t="s">
        <v>78</v>
      </c>
      <c r="D1425">
        <v>-62227</v>
      </c>
      <c r="E1425" t="s">
        <v>23</v>
      </c>
      <c r="F1425" t="s">
        <v>32</v>
      </c>
      <c r="G1425" t="s">
        <v>79</v>
      </c>
      <c r="H1425" t="s">
        <v>39</v>
      </c>
      <c r="I1425" t="s">
        <v>40</v>
      </c>
      <c r="J1425" s="11">
        <v>45868</v>
      </c>
      <c r="K1425" t="str">
        <f>TEXT(Transactions_Clean[[#This Row],[Date]],"MMM-YYYY")</f>
        <v>Jul-2025</v>
      </c>
      <c r="L1425">
        <f>IF(Transactions_Clean[[#This Row],[Category]]="Revenue",Transactions_Clean[[#This Row],[Amount(₹)]],Transactions_Clean[[#This Row],[Amount(₹)]]/8)</f>
        <v>-7778.375</v>
      </c>
    </row>
    <row r="1426" spans="1:12">
      <c r="A1426" t="s">
        <v>2456</v>
      </c>
      <c r="B1426" t="s">
        <v>4763</v>
      </c>
      <c r="C1426" t="s">
        <v>22</v>
      </c>
      <c r="D1426">
        <v>-59615</v>
      </c>
      <c r="E1426" t="s">
        <v>23</v>
      </c>
      <c r="F1426" t="s">
        <v>32</v>
      </c>
      <c r="G1426" t="s">
        <v>25</v>
      </c>
      <c r="H1426" t="s">
        <v>45</v>
      </c>
      <c r="I1426" t="s">
        <v>48</v>
      </c>
      <c r="J1426" s="11">
        <v>45630</v>
      </c>
      <c r="K1426" t="str">
        <f>TEXT(Transactions_Clean[[#This Row],[Date]],"MMM-YYYY")</f>
        <v>Dec-2024</v>
      </c>
      <c r="L1426">
        <f>IF(Transactions_Clean[[#This Row],[Category]]="Revenue",Transactions_Clean[[#This Row],[Amount(₹)]],Transactions_Clean[[#This Row],[Amount(₹)]]/8)</f>
        <v>-7451.875</v>
      </c>
    </row>
    <row r="1427" spans="1:12">
      <c r="A1427" t="s">
        <v>2457</v>
      </c>
      <c r="B1427" t="s">
        <v>224</v>
      </c>
      <c r="C1427" t="s">
        <v>78</v>
      </c>
      <c r="D1427">
        <v>-85568</v>
      </c>
      <c r="E1427" t="s">
        <v>23</v>
      </c>
      <c r="F1427" t="s">
        <v>24</v>
      </c>
      <c r="G1427" t="s">
        <v>79</v>
      </c>
      <c r="H1427" t="s">
        <v>45</v>
      </c>
      <c r="I1427" t="s">
        <v>48</v>
      </c>
      <c r="J1427" s="11">
        <v>45649</v>
      </c>
      <c r="K1427" t="str">
        <f>TEXT(Transactions_Clean[[#This Row],[Date]],"MMM-YYYY")</f>
        <v>Dec-2024</v>
      </c>
      <c r="L1427">
        <f>IF(Transactions_Clean[[#This Row],[Category]]="Revenue",Transactions_Clean[[#This Row],[Amount(₹)]],Transactions_Clean[[#This Row],[Amount(₹)]]/8)</f>
        <v>-10696</v>
      </c>
    </row>
    <row r="1428" spans="1:12">
      <c r="A1428" t="s">
        <v>2458</v>
      </c>
      <c r="B1428" t="s">
        <v>4765</v>
      </c>
      <c r="C1428" t="s">
        <v>73</v>
      </c>
      <c r="D1428">
        <v>-44633</v>
      </c>
      <c r="E1428" t="s">
        <v>74</v>
      </c>
      <c r="F1428" t="s">
        <v>32</v>
      </c>
      <c r="G1428" t="s">
        <v>25</v>
      </c>
      <c r="H1428" t="s">
        <v>39</v>
      </c>
      <c r="I1428" t="s">
        <v>27</v>
      </c>
      <c r="J1428" s="11">
        <v>46062</v>
      </c>
      <c r="K1428" t="str">
        <f>TEXT(Transactions_Clean[[#This Row],[Date]],"MMM-YYYY")</f>
        <v>Feb-2026</v>
      </c>
      <c r="L1428">
        <f>IF(Transactions_Clean[[#This Row],[Category]]="Revenue",Transactions_Clean[[#This Row],[Amount(₹)]],Transactions_Clean[[#This Row],[Amount(₹)]]/8)</f>
        <v>-5579.125</v>
      </c>
    </row>
    <row r="1429" spans="1:12">
      <c r="A1429" t="s">
        <v>2459</v>
      </c>
      <c r="B1429" t="s">
        <v>60</v>
      </c>
      <c r="C1429" t="s">
        <v>61</v>
      </c>
      <c r="D1429">
        <v>-62292</v>
      </c>
      <c r="E1429" t="s">
        <v>62</v>
      </c>
      <c r="F1429" t="s">
        <v>32</v>
      </c>
      <c r="G1429" t="s">
        <v>63</v>
      </c>
      <c r="H1429" t="s">
        <v>45</v>
      </c>
      <c r="I1429" t="s">
        <v>48</v>
      </c>
      <c r="J1429" s="11">
        <v>45581</v>
      </c>
      <c r="K1429" t="str">
        <f>TEXT(Transactions_Clean[[#This Row],[Date]],"MMM-YYYY")</f>
        <v>Oct-2024</v>
      </c>
      <c r="L1429">
        <f>IF(Transactions_Clean[[#This Row],[Category]]="Revenue",Transactions_Clean[[#This Row],[Amount(₹)]],Transactions_Clean[[#This Row],[Amount(₹)]]/8)</f>
        <v>-7786.5</v>
      </c>
    </row>
    <row r="1430" spans="1:12">
      <c r="A1430" t="s">
        <v>2460</v>
      </c>
      <c r="B1430" t="s">
        <v>283</v>
      </c>
      <c r="C1430" t="s">
        <v>44</v>
      </c>
      <c r="D1430">
        <v>-37040</v>
      </c>
      <c r="E1430" t="s">
        <v>23</v>
      </c>
      <c r="F1430" t="s">
        <v>32</v>
      </c>
      <c r="G1430" t="s">
        <v>33</v>
      </c>
      <c r="H1430" t="s">
        <v>45</v>
      </c>
      <c r="I1430" t="s">
        <v>40</v>
      </c>
      <c r="J1430" s="11">
        <v>45554</v>
      </c>
      <c r="K1430" t="str">
        <f>TEXT(Transactions_Clean[[#This Row],[Date]],"MMM-YYYY")</f>
        <v>Sep-2024</v>
      </c>
      <c r="L1430">
        <f>IF(Transactions_Clean[[#This Row],[Category]]="Revenue",Transactions_Clean[[#This Row],[Amount(₹)]],Transactions_Clean[[#This Row],[Amount(₹)]]/8)</f>
        <v>-4630</v>
      </c>
    </row>
    <row r="1431" spans="1:12">
      <c r="A1431" t="s">
        <v>2461</v>
      </c>
      <c r="B1431" t="s">
        <v>4757</v>
      </c>
      <c r="C1431" t="s">
        <v>73</v>
      </c>
      <c r="D1431">
        <v>-25191</v>
      </c>
      <c r="E1431" t="s">
        <v>74</v>
      </c>
      <c r="F1431" t="s">
        <v>24</v>
      </c>
      <c r="G1431" t="s">
        <v>25</v>
      </c>
      <c r="H1431" t="s">
        <v>26</v>
      </c>
      <c r="I1431" t="s">
        <v>27</v>
      </c>
      <c r="J1431" s="11">
        <v>45380</v>
      </c>
      <c r="K1431" t="str">
        <f>TEXT(Transactions_Clean[[#This Row],[Date]],"MMM-YYYY")</f>
        <v>Mar-2024</v>
      </c>
      <c r="L1431">
        <f>IF(Transactions_Clean[[#This Row],[Category]]="Revenue",Transactions_Clean[[#This Row],[Amount(₹)]],Transactions_Clean[[#This Row],[Amount(₹)]]/8)</f>
        <v>-3148.875</v>
      </c>
    </row>
    <row r="1432" spans="1:12">
      <c r="A1432" t="s">
        <v>2462</v>
      </c>
      <c r="B1432" t="s">
        <v>4770</v>
      </c>
      <c r="C1432" t="s">
        <v>440</v>
      </c>
      <c r="D1432">
        <v>-111719</v>
      </c>
      <c r="E1432" t="s">
        <v>23</v>
      </c>
      <c r="F1432" t="s">
        <v>32</v>
      </c>
      <c r="G1432" t="s">
        <v>33</v>
      </c>
      <c r="H1432" t="s">
        <v>26</v>
      </c>
      <c r="I1432" t="s">
        <v>40</v>
      </c>
      <c r="J1432" s="11">
        <v>45163</v>
      </c>
      <c r="K1432" t="str">
        <f>TEXT(Transactions_Clean[[#This Row],[Date]],"MMM-YYYY")</f>
        <v>Aug-2023</v>
      </c>
      <c r="L1432">
        <f>IF(Transactions_Clean[[#This Row],[Category]]="Revenue",Transactions_Clean[[#This Row],[Amount(₹)]],Transactions_Clean[[#This Row],[Amount(₹)]]/8)</f>
        <v>-13964.875</v>
      </c>
    </row>
    <row r="1433" spans="1:12">
      <c r="A1433" t="s">
        <v>2463</v>
      </c>
      <c r="B1433" t="s">
        <v>687</v>
      </c>
      <c r="C1433" t="s">
        <v>44</v>
      </c>
      <c r="D1433">
        <v>-79560</v>
      </c>
      <c r="E1433" t="s">
        <v>23</v>
      </c>
      <c r="F1433" t="s">
        <v>24</v>
      </c>
      <c r="G1433" t="s">
        <v>33</v>
      </c>
      <c r="H1433" t="s">
        <v>26</v>
      </c>
      <c r="I1433" t="s">
        <v>40</v>
      </c>
      <c r="J1433" s="11">
        <v>45196</v>
      </c>
      <c r="K1433" t="str">
        <f>TEXT(Transactions_Clean[[#This Row],[Date]],"MMM-YYYY")</f>
        <v>Sep-2023</v>
      </c>
      <c r="L1433">
        <f>IF(Transactions_Clean[[#This Row],[Category]]="Revenue",Transactions_Clean[[#This Row],[Amount(₹)]],Transactions_Clean[[#This Row],[Amount(₹)]]/8)</f>
        <v>-9945</v>
      </c>
    </row>
    <row r="1434" spans="1:12">
      <c r="A1434" t="s">
        <v>2465</v>
      </c>
      <c r="B1434" t="s">
        <v>4757</v>
      </c>
      <c r="C1434" t="s">
        <v>73</v>
      </c>
      <c r="D1434">
        <v>-65653</v>
      </c>
      <c r="E1434" t="s">
        <v>74</v>
      </c>
      <c r="F1434" t="s">
        <v>24</v>
      </c>
      <c r="G1434" t="s">
        <v>25</v>
      </c>
      <c r="H1434" t="s">
        <v>45</v>
      </c>
      <c r="I1434" t="s">
        <v>48</v>
      </c>
      <c r="J1434" s="11">
        <v>45618</v>
      </c>
      <c r="K1434" t="str">
        <f>TEXT(Transactions_Clean[[#This Row],[Date]],"MMM-YYYY")</f>
        <v>Nov-2024</v>
      </c>
      <c r="L1434">
        <f>IF(Transactions_Clean[[#This Row],[Category]]="Revenue",Transactions_Clean[[#This Row],[Amount(₹)]],Transactions_Clean[[#This Row],[Amount(₹)]]/8)</f>
        <v>-8206.625</v>
      </c>
    </row>
    <row r="1435" spans="1:12">
      <c r="A1435" t="s">
        <v>2466</v>
      </c>
      <c r="B1435" t="s">
        <v>51</v>
      </c>
      <c r="C1435" t="s">
        <v>31</v>
      </c>
      <c r="D1435">
        <v>-40400</v>
      </c>
      <c r="E1435" t="s">
        <v>23</v>
      </c>
      <c r="F1435" t="s">
        <v>24</v>
      </c>
      <c r="G1435" t="s">
        <v>33</v>
      </c>
      <c r="H1435" t="s">
        <v>26</v>
      </c>
      <c r="I1435" t="s">
        <v>48</v>
      </c>
      <c r="J1435" s="11">
        <v>45273</v>
      </c>
      <c r="K1435" t="str">
        <f>TEXT(Transactions_Clean[[#This Row],[Date]],"MMM-YYYY")</f>
        <v>Dec-2023</v>
      </c>
      <c r="L1435">
        <f>IF(Transactions_Clean[[#This Row],[Category]]="Revenue",Transactions_Clean[[#This Row],[Amount(₹)]],Transactions_Clean[[#This Row],[Amount(₹)]]/8)</f>
        <v>-5050</v>
      </c>
    </row>
    <row r="1436" spans="1:12">
      <c r="A1436" t="s">
        <v>2467</v>
      </c>
      <c r="B1436" t="s">
        <v>4773</v>
      </c>
      <c r="C1436" t="s">
        <v>157</v>
      </c>
      <c r="D1436">
        <v>628135</v>
      </c>
      <c r="E1436" t="s">
        <v>62</v>
      </c>
      <c r="F1436" t="s">
        <v>32</v>
      </c>
      <c r="G1436" t="s">
        <v>25</v>
      </c>
      <c r="H1436" t="s">
        <v>45</v>
      </c>
      <c r="I1436" t="s">
        <v>40</v>
      </c>
      <c r="J1436" s="11">
        <v>45511</v>
      </c>
      <c r="K1436" t="str">
        <f>TEXT(Transactions_Clean[[#This Row],[Date]],"MMM-YYYY")</f>
        <v>Aug-2024</v>
      </c>
      <c r="L1436">
        <f>IF(Transactions_Clean[[#This Row],[Category]]="Revenue",Transactions_Clean[[#This Row],[Amount(₹)]],Transactions_Clean[[#This Row],[Amount(₹)]]/8)</f>
        <v>628135</v>
      </c>
    </row>
    <row r="1437" spans="1:12">
      <c r="A1437" t="s">
        <v>2468</v>
      </c>
      <c r="B1437" t="s">
        <v>4760</v>
      </c>
      <c r="C1437" t="s">
        <v>73</v>
      </c>
      <c r="D1437">
        <v>-16981</v>
      </c>
      <c r="E1437" t="s">
        <v>74</v>
      </c>
      <c r="F1437" t="s">
        <v>32</v>
      </c>
      <c r="G1437" t="s">
        <v>25</v>
      </c>
      <c r="H1437" t="s">
        <v>26</v>
      </c>
      <c r="I1437" t="s">
        <v>34</v>
      </c>
      <c r="J1437" s="11">
        <v>45036</v>
      </c>
      <c r="K1437" t="str">
        <f>TEXT(Transactions_Clean[[#This Row],[Date]],"MMM-YYYY")</f>
        <v>Apr-2023</v>
      </c>
      <c r="L1437">
        <f>IF(Transactions_Clean[[#This Row],[Category]]="Revenue",Transactions_Clean[[#This Row],[Amount(₹)]],Transactions_Clean[[#This Row],[Amount(₹)]]/8)</f>
        <v>-2122.625</v>
      </c>
    </row>
    <row r="1438" spans="1:12">
      <c r="A1438" t="s">
        <v>2470</v>
      </c>
      <c r="B1438" t="s">
        <v>51</v>
      </c>
      <c r="C1438" t="s">
        <v>31</v>
      </c>
      <c r="D1438">
        <v>-28217</v>
      </c>
      <c r="E1438" t="s">
        <v>23</v>
      </c>
      <c r="F1438" t="s">
        <v>32</v>
      </c>
      <c r="G1438" t="s">
        <v>33</v>
      </c>
      <c r="H1438" t="s">
        <v>39</v>
      </c>
      <c r="I1438" t="s">
        <v>40</v>
      </c>
      <c r="J1438" s="11">
        <v>45847</v>
      </c>
      <c r="K1438" t="str">
        <f>TEXT(Transactions_Clean[[#This Row],[Date]],"MMM-YYYY")</f>
        <v>Jul-2025</v>
      </c>
      <c r="L1438">
        <f>IF(Transactions_Clean[[#This Row],[Category]]="Revenue",Transactions_Clean[[#This Row],[Amount(₹)]],Transactions_Clean[[#This Row],[Amount(₹)]]/8)</f>
        <v>-3527.125</v>
      </c>
    </row>
    <row r="1439" spans="1:12">
      <c r="A1439" t="s">
        <v>2471</v>
      </c>
      <c r="B1439" t="s">
        <v>87</v>
      </c>
      <c r="C1439" t="s">
        <v>22</v>
      </c>
      <c r="D1439">
        <v>-19411</v>
      </c>
      <c r="E1439" t="s">
        <v>23</v>
      </c>
      <c r="F1439" t="s">
        <v>24</v>
      </c>
      <c r="G1439" t="s">
        <v>25</v>
      </c>
      <c r="H1439" t="s">
        <v>39</v>
      </c>
      <c r="I1439" t="s">
        <v>48</v>
      </c>
      <c r="J1439" s="11">
        <v>45973</v>
      </c>
      <c r="K1439" t="str">
        <f>TEXT(Transactions_Clean[[#This Row],[Date]],"MMM-YYYY")</f>
        <v>Nov-2025</v>
      </c>
      <c r="L1439">
        <f>IF(Transactions_Clean[[#This Row],[Category]]="Revenue",Transactions_Clean[[#This Row],[Amount(₹)]],Transactions_Clean[[#This Row],[Amount(₹)]]/8)</f>
        <v>-2426.375</v>
      </c>
    </row>
    <row r="1440" spans="1:12">
      <c r="A1440" t="s">
        <v>2472</v>
      </c>
      <c r="B1440" t="s">
        <v>129</v>
      </c>
      <c r="C1440" t="s">
        <v>38</v>
      </c>
      <c r="D1440">
        <v>-19720</v>
      </c>
      <c r="E1440" t="s">
        <v>23</v>
      </c>
      <c r="F1440" t="s">
        <v>32</v>
      </c>
      <c r="G1440" t="s">
        <v>33</v>
      </c>
      <c r="H1440" t="s">
        <v>45</v>
      </c>
      <c r="I1440" t="s">
        <v>48</v>
      </c>
      <c r="J1440" s="11">
        <v>45579</v>
      </c>
      <c r="K1440" t="str">
        <f>TEXT(Transactions_Clean[[#This Row],[Date]],"MMM-YYYY")</f>
        <v>Oct-2024</v>
      </c>
      <c r="L1440">
        <f>IF(Transactions_Clean[[#This Row],[Category]]="Revenue",Transactions_Clean[[#This Row],[Amount(₹)]],Transactions_Clean[[#This Row],[Amount(₹)]]/8)</f>
        <v>-2465</v>
      </c>
    </row>
    <row r="1441" spans="1:12">
      <c r="A1441" t="s">
        <v>2473</v>
      </c>
      <c r="B1441" t="s">
        <v>4767</v>
      </c>
      <c r="C1441" t="s">
        <v>157</v>
      </c>
      <c r="D1441">
        <v>700862</v>
      </c>
      <c r="E1441" t="s">
        <v>62</v>
      </c>
      <c r="F1441" t="s">
        <v>32</v>
      </c>
      <c r="G1441" t="s">
        <v>25</v>
      </c>
      <c r="H1441" t="s">
        <v>39</v>
      </c>
      <c r="I1441" t="s">
        <v>40</v>
      </c>
      <c r="J1441" s="11">
        <v>45886</v>
      </c>
      <c r="K1441" t="str">
        <f>TEXT(Transactions_Clean[[#This Row],[Date]],"MMM-YYYY")</f>
        <v>Aug-2025</v>
      </c>
      <c r="L1441">
        <f>IF(Transactions_Clean[[#This Row],[Category]]="Revenue",Transactions_Clean[[#This Row],[Amount(₹)]],Transactions_Clean[[#This Row],[Amount(₹)]]/8)</f>
        <v>700862</v>
      </c>
    </row>
    <row r="1442" spans="1:12">
      <c r="A1442" t="s">
        <v>2475</v>
      </c>
      <c r="B1442" t="s">
        <v>4758</v>
      </c>
      <c r="C1442" t="s">
        <v>4750</v>
      </c>
      <c r="D1442">
        <v>-63049</v>
      </c>
      <c r="E1442" t="s">
        <v>23</v>
      </c>
      <c r="F1442" t="s">
        <v>32</v>
      </c>
      <c r="G1442" t="s">
        <v>79</v>
      </c>
      <c r="H1442" t="s">
        <v>26</v>
      </c>
      <c r="I1442" t="s">
        <v>40</v>
      </c>
      <c r="J1442" s="11">
        <v>45192</v>
      </c>
      <c r="K1442" t="str">
        <f>TEXT(Transactions_Clean[[#This Row],[Date]],"MMM-YYYY")</f>
        <v>Sep-2023</v>
      </c>
      <c r="L1442">
        <f>IF(Transactions_Clean[[#This Row],[Category]]="Revenue",Transactions_Clean[[#This Row],[Amount(₹)]],Transactions_Clean[[#This Row],[Amount(₹)]]/8)</f>
        <v>-7881.125</v>
      </c>
    </row>
    <row r="1443" spans="1:12">
      <c r="A1443" t="s">
        <v>2476</v>
      </c>
      <c r="B1443" t="s">
        <v>224</v>
      </c>
      <c r="C1443" t="s">
        <v>78</v>
      </c>
      <c r="D1443">
        <v>-19288</v>
      </c>
      <c r="E1443" t="s">
        <v>23</v>
      </c>
      <c r="F1443" t="s">
        <v>32</v>
      </c>
      <c r="G1443" t="s">
        <v>79</v>
      </c>
      <c r="H1443" t="s">
        <v>26</v>
      </c>
      <c r="I1443" t="s">
        <v>34</v>
      </c>
      <c r="J1443" s="11">
        <v>45069</v>
      </c>
      <c r="K1443" t="str">
        <f>TEXT(Transactions_Clean[[#This Row],[Date]],"MMM-YYYY")</f>
        <v>May-2023</v>
      </c>
      <c r="L1443">
        <f>IF(Transactions_Clean[[#This Row],[Category]]="Revenue",Transactions_Clean[[#This Row],[Amount(₹)]],Transactions_Clean[[#This Row],[Amount(₹)]]/8)</f>
        <v>-2411</v>
      </c>
    </row>
    <row r="1444" spans="1:12">
      <c r="A1444" t="s">
        <v>2477</v>
      </c>
      <c r="B1444" t="s">
        <v>4773</v>
      </c>
      <c r="C1444" t="s">
        <v>157</v>
      </c>
      <c r="D1444">
        <v>613458</v>
      </c>
      <c r="E1444" t="s">
        <v>62</v>
      </c>
      <c r="F1444" t="s">
        <v>32</v>
      </c>
      <c r="G1444" t="s">
        <v>25</v>
      </c>
      <c r="H1444" t="s">
        <v>26</v>
      </c>
      <c r="I1444" t="s">
        <v>48</v>
      </c>
      <c r="J1444" s="11">
        <v>45258</v>
      </c>
      <c r="K1444" t="str">
        <f>TEXT(Transactions_Clean[[#This Row],[Date]],"MMM-YYYY")</f>
        <v>Nov-2023</v>
      </c>
      <c r="L1444">
        <f>IF(Transactions_Clean[[#This Row],[Category]]="Revenue",Transactions_Clean[[#This Row],[Amount(₹)]],Transactions_Clean[[#This Row],[Amount(₹)]]/8)</f>
        <v>613458</v>
      </c>
    </row>
    <row r="1445" spans="1:12">
      <c r="A1445" t="s">
        <v>2479</v>
      </c>
      <c r="B1445" t="s">
        <v>310</v>
      </c>
      <c r="C1445" t="s">
        <v>22</v>
      </c>
      <c r="D1445">
        <v>-135683</v>
      </c>
      <c r="E1445" t="s">
        <v>23</v>
      </c>
      <c r="F1445" t="s">
        <v>32</v>
      </c>
      <c r="G1445" t="s">
        <v>25</v>
      </c>
      <c r="H1445" t="s">
        <v>26</v>
      </c>
      <c r="I1445" t="s">
        <v>34</v>
      </c>
      <c r="J1445" s="11">
        <v>45085</v>
      </c>
      <c r="K1445" t="str">
        <f>TEXT(Transactions_Clean[[#This Row],[Date]],"MMM-YYYY")</f>
        <v>Jun-2023</v>
      </c>
      <c r="L1445">
        <f>IF(Transactions_Clean[[#This Row],[Category]]="Revenue",Transactions_Clean[[#This Row],[Amount(₹)]],Transactions_Clean[[#This Row],[Amount(₹)]]/8)</f>
        <v>-16960.375</v>
      </c>
    </row>
    <row r="1446" spans="1:12">
      <c r="A1446" t="s">
        <v>2480</v>
      </c>
      <c r="B1446" t="s">
        <v>60</v>
      </c>
      <c r="C1446" t="s">
        <v>61</v>
      </c>
      <c r="D1446">
        <v>-51763</v>
      </c>
      <c r="E1446" t="s">
        <v>62</v>
      </c>
      <c r="F1446" t="s">
        <v>24</v>
      </c>
      <c r="G1446" t="s">
        <v>63</v>
      </c>
      <c r="H1446" t="s">
        <v>39</v>
      </c>
      <c r="I1446" t="s">
        <v>40</v>
      </c>
      <c r="J1446" s="11">
        <v>45895</v>
      </c>
      <c r="K1446" t="str">
        <f>TEXT(Transactions_Clean[[#This Row],[Date]],"MMM-YYYY")</f>
        <v>Aug-2025</v>
      </c>
      <c r="L1446">
        <f>IF(Transactions_Clean[[#This Row],[Category]]="Revenue",Transactions_Clean[[#This Row],[Amount(₹)]],Transactions_Clean[[#This Row],[Amount(₹)]]/8)</f>
        <v>-6470.375</v>
      </c>
    </row>
    <row r="1447" spans="1:12">
      <c r="A1447" t="s">
        <v>2482</v>
      </c>
      <c r="B1447" t="s">
        <v>116</v>
      </c>
      <c r="C1447" t="s">
        <v>73</v>
      </c>
      <c r="D1447">
        <v>-11823</v>
      </c>
      <c r="E1447" t="s">
        <v>74</v>
      </c>
      <c r="F1447" t="s">
        <v>24</v>
      </c>
      <c r="G1447" t="s">
        <v>25</v>
      </c>
      <c r="H1447" t="s">
        <v>39</v>
      </c>
      <c r="I1447" t="s">
        <v>40</v>
      </c>
      <c r="J1447" s="11">
        <v>45909</v>
      </c>
      <c r="K1447" t="str">
        <f>TEXT(Transactions_Clean[[#This Row],[Date]],"MMM-YYYY")</f>
        <v>Sep-2025</v>
      </c>
      <c r="L1447">
        <f>IF(Transactions_Clean[[#This Row],[Category]]="Revenue",Transactions_Clean[[#This Row],[Amount(₹)]],Transactions_Clean[[#This Row],[Amount(₹)]]/8)</f>
        <v>-1477.875</v>
      </c>
    </row>
    <row r="1448" spans="1:12">
      <c r="A1448" t="s">
        <v>2484</v>
      </c>
      <c r="B1448" t="s">
        <v>66</v>
      </c>
      <c r="C1448" t="s">
        <v>61</v>
      </c>
      <c r="D1448">
        <v>-31120</v>
      </c>
      <c r="E1448" t="s">
        <v>62</v>
      </c>
      <c r="F1448" t="s">
        <v>32</v>
      </c>
      <c r="G1448" t="s">
        <v>63</v>
      </c>
      <c r="H1448" t="s">
        <v>26</v>
      </c>
      <c r="I1448" t="s">
        <v>27</v>
      </c>
      <c r="J1448" s="11">
        <v>45317</v>
      </c>
      <c r="K1448" t="str">
        <f>TEXT(Transactions_Clean[[#This Row],[Date]],"MMM-YYYY")</f>
        <v>Jan-2024</v>
      </c>
      <c r="L1448">
        <f>IF(Transactions_Clean[[#This Row],[Category]]="Revenue",Transactions_Clean[[#This Row],[Amount(₹)]],Transactions_Clean[[#This Row],[Amount(₹)]]/8)</f>
        <v>-3890</v>
      </c>
    </row>
    <row r="1449" spans="1:12">
      <c r="A1449" t="s">
        <v>2486</v>
      </c>
      <c r="B1449" t="s">
        <v>72</v>
      </c>
      <c r="C1449" t="s">
        <v>73</v>
      </c>
      <c r="D1449">
        <v>-32673</v>
      </c>
      <c r="E1449" t="s">
        <v>74</v>
      </c>
      <c r="F1449" t="s">
        <v>24</v>
      </c>
      <c r="G1449" t="s">
        <v>25</v>
      </c>
      <c r="H1449" t="s">
        <v>45</v>
      </c>
      <c r="I1449" t="s">
        <v>48</v>
      </c>
      <c r="J1449" s="11">
        <v>45574</v>
      </c>
      <c r="K1449" t="str">
        <f>TEXT(Transactions_Clean[[#This Row],[Date]],"MMM-YYYY")</f>
        <v>Oct-2024</v>
      </c>
      <c r="L1449">
        <f>IF(Transactions_Clean[[#This Row],[Category]]="Revenue",Transactions_Clean[[#This Row],[Amount(₹)]],Transactions_Clean[[#This Row],[Amount(₹)]]/8)</f>
        <v>-4084.125</v>
      </c>
    </row>
    <row r="1450" spans="1:12">
      <c r="A1450" t="s">
        <v>2487</v>
      </c>
      <c r="B1450" t="s">
        <v>116</v>
      </c>
      <c r="C1450" t="s">
        <v>73</v>
      </c>
      <c r="D1450">
        <v>-52754</v>
      </c>
      <c r="E1450" t="s">
        <v>74</v>
      </c>
      <c r="F1450" t="s">
        <v>32</v>
      </c>
      <c r="G1450" t="s">
        <v>25</v>
      </c>
      <c r="H1450" t="s">
        <v>45</v>
      </c>
      <c r="I1450" t="s">
        <v>48</v>
      </c>
      <c r="J1450" s="11">
        <v>45580</v>
      </c>
      <c r="K1450" t="str">
        <f>TEXT(Transactions_Clean[[#This Row],[Date]],"MMM-YYYY")</f>
        <v>Oct-2024</v>
      </c>
      <c r="L1450">
        <f>IF(Transactions_Clean[[#This Row],[Category]]="Revenue",Transactions_Clean[[#This Row],[Amount(₹)]],Transactions_Clean[[#This Row],[Amount(₹)]]/8)</f>
        <v>-6594.25</v>
      </c>
    </row>
    <row r="1451" spans="1:12">
      <c r="A1451" t="s">
        <v>2489</v>
      </c>
      <c r="B1451" t="s">
        <v>169</v>
      </c>
      <c r="C1451" t="s">
        <v>73</v>
      </c>
      <c r="D1451">
        <v>-80856</v>
      </c>
      <c r="E1451" t="s">
        <v>74</v>
      </c>
      <c r="F1451" t="s">
        <v>24</v>
      </c>
      <c r="G1451" t="s">
        <v>25</v>
      </c>
      <c r="H1451" t="s">
        <v>26</v>
      </c>
      <c r="I1451" t="s">
        <v>40</v>
      </c>
      <c r="J1451" s="11">
        <v>45123</v>
      </c>
      <c r="K1451" t="str">
        <f>TEXT(Transactions_Clean[[#This Row],[Date]],"MMM-YYYY")</f>
        <v>Jul-2023</v>
      </c>
      <c r="L1451">
        <f>IF(Transactions_Clean[[#This Row],[Category]]="Revenue",Transactions_Clean[[#This Row],[Amount(₹)]],Transactions_Clean[[#This Row],[Amount(₹)]]/8)</f>
        <v>-10107</v>
      </c>
    </row>
    <row r="1452" spans="1:12">
      <c r="A1452" t="s">
        <v>2490</v>
      </c>
      <c r="B1452" t="s">
        <v>4748</v>
      </c>
      <c r="C1452" t="s">
        <v>22</v>
      </c>
      <c r="D1452">
        <v>-115253</v>
      </c>
      <c r="E1452" t="s">
        <v>23</v>
      </c>
      <c r="F1452" t="s">
        <v>24</v>
      </c>
      <c r="G1452" t="s">
        <v>25</v>
      </c>
      <c r="H1452" t="s">
        <v>39</v>
      </c>
      <c r="I1452" t="s">
        <v>27</v>
      </c>
      <c r="J1452" s="11">
        <v>46074</v>
      </c>
      <c r="K1452" t="str">
        <f>TEXT(Transactions_Clean[[#This Row],[Date]],"MMM-YYYY")</f>
        <v>Feb-2026</v>
      </c>
      <c r="L1452">
        <f>IF(Transactions_Clean[[#This Row],[Category]]="Revenue",Transactions_Clean[[#This Row],[Amount(₹)]],Transactions_Clean[[#This Row],[Amount(₹)]]/8)</f>
        <v>-14406.625</v>
      </c>
    </row>
    <row r="1453" spans="1:12">
      <c r="A1453" t="s">
        <v>2491</v>
      </c>
      <c r="B1453" t="s">
        <v>60</v>
      </c>
      <c r="C1453" t="s">
        <v>61</v>
      </c>
      <c r="D1453">
        <v>-40820</v>
      </c>
      <c r="E1453" t="s">
        <v>62</v>
      </c>
      <c r="F1453" t="s">
        <v>32</v>
      </c>
      <c r="G1453" t="s">
        <v>63</v>
      </c>
      <c r="H1453" t="s">
        <v>26</v>
      </c>
      <c r="I1453" t="s">
        <v>34</v>
      </c>
      <c r="J1453" s="11">
        <v>45080</v>
      </c>
      <c r="K1453" t="str">
        <f>TEXT(Transactions_Clean[[#This Row],[Date]],"MMM-YYYY")</f>
        <v>Jun-2023</v>
      </c>
      <c r="L1453">
        <f>IF(Transactions_Clean[[#This Row],[Category]]="Revenue",Transactions_Clean[[#This Row],[Amount(₹)]],Transactions_Clean[[#This Row],[Amount(₹)]]/8)</f>
        <v>-5102.5</v>
      </c>
    </row>
    <row r="1454" spans="1:12">
      <c r="A1454" t="s">
        <v>2492</v>
      </c>
      <c r="B1454" t="s">
        <v>66</v>
      </c>
      <c r="C1454" t="s">
        <v>61</v>
      </c>
      <c r="D1454">
        <v>-48994</v>
      </c>
      <c r="E1454" t="s">
        <v>62</v>
      </c>
      <c r="F1454" t="s">
        <v>24</v>
      </c>
      <c r="G1454" t="s">
        <v>63</v>
      </c>
      <c r="H1454" t="s">
        <v>26</v>
      </c>
      <c r="I1454" t="s">
        <v>34</v>
      </c>
      <c r="J1454" s="11">
        <v>45098</v>
      </c>
      <c r="K1454" t="str">
        <f>TEXT(Transactions_Clean[[#This Row],[Date]],"MMM-YYYY")</f>
        <v>Jun-2023</v>
      </c>
      <c r="L1454">
        <f>IF(Transactions_Clean[[#This Row],[Category]]="Revenue",Transactions_Clean[[#This Row],[Amount(₹)]],Transactions_Clean[[#This Row],[Amount(₹)]]/8)</f>
        <v>-6124.25</v>
      </c>
    </row>
    <row r="1455" spans="1:12">
      <c r="A1455" t="s">
        <v>2493</v>
      </c>
      <c r="B1455" t="s">
        <v>177</v>
      </c>
      <c r="C1455" t="s">
        <v>78</v>
      </c>
      <c r="D1455">
        <v>-85505</v>
      </c>
      <c r="E1455" t="s">
        <v>23</v>
      </c>
      <c r="F1455" t="s">
        <v>24</v>
      </c>
      <c r="G1455" t="s">
        <v>79</v>
      </c>
      <c r="H1455" t="s">
        <v>45</v>
      </c>
      <c r="I1455" t="s">
        <v>40</v>
      </c>
      <c r="J1455" s="11">
        <v>45561</v>
      </c>
      <c r="K1455" t="str">
        <f>TEXT(Transactions_Clean[[#This Row],[Date]],"MMM-YYYY")</f>
        <v>Sep-2024</v>
      </c>
      <c r="L1455">
        <f>IF(Transactions_Clean[[#This Row],[Category]]="Revenue",Transactions_Clean[[#This Row],[Amount(₹)]],Transactions_Clean[[#This Row],[Amount(₹)]]/8)</f>
        <v>-10688.125</v>
      </c>
    </row>
    <row r="1456" spans="1:12">
      <c r="A1456" t="s">
        <v>2494</v>
      </c>
      <c r="B1456" t="s">
        <v>100</v>
      </c>
      <c r="C1456" t="s">
        <v>31</v>
      </c>
      <c r="D1456">
        <v>-4693</v>
      </c>
      <c r="E1456" t="s">
        <v>23</v>
      </c>
      <c r="F1456" t="s">
        <v>32</v>
      </c>
      <c r="G1456" t="s">
        <v>33</v>
      </c>
      <c r="H1456" t="s">
        <v>39</v>
      </c>
      <c r="I1456" t="s">
        <v>40</v>
      </c>
      <c r="J1456" s="11">
        <v>45875</v>
      </c>
      <c r="K1456" t="str">
        <f>TEXT(Transactions_Clean[[#This Row],[Date]],"MMM-YYYY")</f>
        <v>Aug-2025</v>
      </c>
      <c r="L1456">
        <f>IF(Transactions_Clean[[#This Row],[Category]]="Revenue",Transactions_Clean[[#This Row],[Amount(₹)]],Transactions_Clean[[#This Row],[Amount(₹)]]/8)</f>
        <v>-586.625</v>
      </c>
    </row>
    <row r="1457" spans="1:12">
      <c r="A1457" t="s">
        <v>2495</v>
      </c>
      <c r="B1457" t="s">
        <v>66</v>
      </c>
      <c r="C1457" t="s">
        <v>61</v>
      </c>
      <c r="D1457">
        <v>-27259</v>
      </c>
      <c r="E1457" t="s">
        <v>62</v>
      </c>
      <c r="F1457" t="s">
        <v>32</v>
      </c>
      <c r="G1457" t="s">
        <v>63</v>
      </c>
      <c r="H1457" t="s">
        <v>26</v>
      </c>
      <c r="I1457" t="s">
        <v>40</v>
      </c>
      <c r="J1457" s="11">
        <v>45109</v>
      </c>
      <c r="K1457" t="str">
        <f>TEXT(Transactions_Clean[[#This Row],[Date]],"MMM-YYYY")</f>
        <v>Jul-2023</v>
      </c>
      <c r="L1457">
        <f>IF(Transactions_Clean[[#This Row],[Category]]="Revenue",Transactions_Clean[[#This Row],[Amount(₹)]],Transactions_Clean[[#This Row],[Amount(₹)]]/8)</f>
        <v>-3407.375</v>
      </c>
    </row>
    <row r="1458" spans="1:12">
      <c r="A1458" t="s">
        <v>2496</v>
      </c>
      <c r="B1458" t="s">
        <v>87</v>
      </c>
      <c r="C1458" t="s">
        <v>22</v>
      </c>
      <c r="D1458">
        <v>-125940</v>
      </c>
      <c r="E1458" t="s">
        <v>23</v>
      </c>
      <c r="F1458" t="s">
        <v>32</v>
      </c>
      <c r="G1458" t="s">
        <v>25</v>
      </c>
      <c r="H1458" t="s">
        <v>26</v>
      </c>
      <c r="I1458" t="s">
        <v>48</v>
      </c>
      <c r="J1458" s="11">
        <v>45234</v>
      </c>
      <c r="K1458" t="str">
        <f>TEXT(Transactions_Clean[[#This Row],[Date]],"MMM-YYYY")</f>
        <v>Nov-2023</v>
      </c>
      <c r="L1458">
        <f>IF(Transactions_Clean[[#This Row],[Category]]="Revenue",Transactions_Clean[[#This Row],[Amount(₹)]],Transactions_Clean[[#This Row],[Amount(₹)]]/8)</f>
        <v>-15742.5</v>
      </c>
    </row>
    <row r="1459" spans="1:12">
      <c r="A1459" t="s">
        <v>2498</v>
      </c>
      <c r="B1459" t="s">
        <v>215</v>
      </c>
      <c r="C1459" t="s">
        <v>61</v>
      </c>
      <c r="D1459">
        <v>-13910</v>
      </c>
      <c r="E1459" t="s">
        <v>62</v>
      </c>
      <c r="F1459" t="s">
        <v>32</v>
      </c>
      <c r="G1459" t="s">
        <v>63</v>
      </c>
      <c r="H1459" t="s">
        <v>39</v>
      </c>
      <c r="I1459" t="s">
        <v>34</v>
      </c>
      <c r="J1459" s="11">
        <v>45819</v>
      </c>
      <c r="K1459" t="str">
        <f>TEXT(Transactions_Clean[[#This Row],[Date]],"MMM-YYYY")</f>
        <v>Jun-2025</v>
      </c>
      <c r="L1459">
        <f>IF(Transactions_Clean[[#This Row],[Category]]="Revenue",Transactions_Clean[[#This Row],[Amount(₹)]],Transactions_Clean[[#This Row],[Amount(₹)]]/8)</f>
        <v>-1738.75</v>
      </c>
    </row>
    <row r="1460" spans="1:12">
      <c r="A1460" t="s">
        <v>2499</v>
      </c>
      <c r="B1460" t="s">
        <v>4765</v>
      </c>
      <c r="C1460" t="s">
        <v>73</v>
      </c>
      <c r="D1460">
        <v>-14572</v>
      </c>
      <c r="E1460" t="s">
        <v>74</v>
      </c>
      <c r="F1460" t="s">
        <v>32</v>
      </c>
      <c r="G1460" t="s">
        <v>25</v>
      </c>
      <c r="H1460" t="s">
        <v>26</v>
      </c>
      <c r="I1460" t="s">
        <v>34</v>
      </c>
      <c r="J1460" s="11">
        <v>45035</v>
      </c>
      <c r="K1460" t="str">
        <f>TEXT(Transactions_Clean[[#This Row],[Date]],"MMM-YYYY")</f>
        <v>Apr-2023</v>
      </c>
      <c r="L1460">
        <f>IF(Transactions_Clean[[#This Row],[Category]]="Revenue",Transactions_Clean[[#This Row],[Amount(₹)]],Transactions_Clean[[#This Row],[Amount(₹)]]/8)</f>
        <v>-1821.5</v>
      </c>
    </row>
    <row r="1461" spans="1:12">
      <c r="A1461" t="s">
        <v>2501</v>
      </c>
      <c r="B1461" t="s">
        <v>66</v>
      </c>
      <c r="C1461" t="s">
        <v>61</v>
      </c>
      <c r="D1461">
        <v>-64019</v>
      </c>
      <c r="E1461" t="s">
        <v>62</v>
      </c>
      <c r="F1461" t="s">
        <v>24</v>
      </c>
      <c r="G1461" t="s">
        <v>63</v>
      </c>
      <c r="H1461" t="s">
        <v>39</v>
      </c>
      <c r="I1461" t="s">
        <v>48</v>
      </c>
      <c r="J1461" s="11">
        <v>45957</v>
      </c>
      <c r="K1461" t="str">
        <f>TEXT(Transactions_Clean[[#This Row],[Date]],"MMM-YYYY")</f>
        <v>Oct-2025</v>
      </c>
      <c r="L1461">
        <f>IF(Transactions_Clean[[#This Row],[Category]]="Revenue",Transactions_Clean[[#This Row],[Amount(₹)]],Transactions_Clean[[#This Row],[Amount(₹)]]/8)</f>
        <v>-8002.375</v>
      </c>
    </row>
    <row r="1462" spans="1:12">
      <c r="A1462" t="s">
        <v>2502</v>
      </c>
      <c r="B1462" t="s">
        <v>215</v>
      </c>
      <c r="C1462" t="s">
        <v>61</v>
      </c>
      <c r="D1462">
        <v>-13168</v>
      </c>
      <c r="E1462" t="s">
        <v>62</v>
      </c>
      <c r="F1462" t="s">
        <v>24</v>
      </c>
      <c r="G1462" t="s">
        <v>63</v>
      </c>
      <c r="H1462" t="s">
        <v>45</v>
      </c>
      <c r="I1462" t="s">
        <v>40</v>
      </c>
      <c r="J1462" s="11">
        <v>45525</v>
      </c>
      <c r="K1462" t="str">
        <f>TEXT(Transactions_Clean[[#This Row],[Date]],"MMM-YYYY")</f>
        <v>Aug-2024</v>
      </c>
      <c r="L1462">
        <f>IF(Transactions_Clean[[#This Row],[Category]]="Revenue",Transactions_Clean[[#This Row],[Amount(₹)]],Transactions_Clean[[#This Row],[Amount(₹)]]/8)</f>
        <v>-1646</v>
      </c>
    </row>
    <row r="1463" spans="1:12">
      <c r="A1463" t="s">
        <v>2504</v>
      </c>
      <c r="B1463" t="s">
        <v>116</v>
      </c>
      <c r="C1463" t="s">
        <v>73</v>
      </c>
      <c r="D1463">
        <v>-19248</v>
      </c>
      <c r="E1463" t="s">
        <v>74</v>
      </c>
      <c r="F1463" t="s">
        <v>32</v>
      </c>
      <c r="G1463" t="s">
        <v>25</v>
      </c>
      <c r="H1463" t="s">
        <v>45</v>
      </c>
      <c r="I1463" t="s">
        <v>40</v>
      </c>
      <c r="J1463" s="11">
        <v>45479</v>
      </c>
      <c r="K1463" t="str">
        <f>TEXT(Transactions_Clean[[#This Row],[Date]],"MMM-YYYY")</f>
        <v>Jul-2024</v>
      </c>
      <c r="L1463">
        <f>IF(Transactions_Clean[[#This Row],[Category]]="Revenue",Transactions_Clean[[#This Row],[Amount(₹)]],Transactions_Clean[[#This Row],[Amount(₹)]]/8)</f>
        <v>-2406</v>
      </c>
    </row>
    <row r="1464" spans="1:12">
      <c r="A1464" t="s">
        <v>2505</v>
      </c>
      <c r="B1464" t="s">
        <v>4759</v>
      </c>
      <c r="C1464" t="s">
        <v>31</v>
      </c>
      <c r="D1464">
        <v>-44624</v>
      </c>
      <c r="E1464" t="s">
        <v>23</v>
      </c>
      <c r="F1464" t="s">
        <v>32</v>
      </c>
      <c r="G1464" t="s">
        <v>33</v>
      </c>
      <c r="H1464" t="s">
        <v>39</v>
      </c>
      <c r="I1464" t="s">
        <v>40</v>
      </c>
      <c r="J1464" s="11">
        <v>45880</v>
      </c>
      <c r="K1464" t="str">
        <f>TEXT(Transactions_Clean[[#This Row],[Date]],"MMM-YYYY")</f>
        <v>Aug-2025</v>
      </c>
      <c r="L1464">
        <f>IF(Transactions_Clean[[#This Row],[Category]]="Revenue",Transactions_Clean[[#This Row],[Amount(₹)]],Transactions_Clean[[#This Row],[Amount(₹)]]/8)</f>
        <v>-5578</v>
      </c>
    </row>
    <row r="1465" spans="1:12">
      <c r="A1465" t="s">
        <v>2506</v>
      </c>
      <c r="B1465" t="s">
        <v>237</v>
      </c>
      <c r="C1465" t="s">
        <v>22</v>
      </c>
      <c r="D1465">
        <v>-75445</v>
      </c>
      <c r="E1465" t="s">
        <v>23</v>
      </c>
      <c r="F1465" t="s">
        <v>32</v>
      </c>
      <c r="G1465" t="s">
        <v>25</v>
      </c>
      <c r="H1465" t="s">
        <v>45</v>
      </c>
      <c r="I1465" t="s">
        <v>27</v>
      </c>
      <c r="J1465" s="11">
        <v>45744</v>
      </c>
      <c r="K1465" t="str">
        <f>TEXT(Transactions_Clean[[#This Row],[Date]],"MMM-YYYY")</f>
        <v>Mar-2025</v>
      </c>
      <c r="L1465">
        <f>IF(Transactions_Clean[[#This Row],[Category]]="Revenue",Transactions_Clean[[#This Row],[Amount(₹)]],Transactions_Clean[[#This Row],[Amount(₹)]]/8)</f>
        <v>-9430.625</v>
      </c>
    </row>
    <row r="1466" spans="1:12">
      <c r="A1466" t="s">
        <v>2507</v>
      </c>
      <c r="B1466" t="s">
        <v>215</v>
      </c>
      <c r="C1466" t="s">
        <v>61</v>
      </c>
      <c r="D1466">
        <v>-43379</v>
      </c>
      <c r="E1466" t="s">
        <v>62</v>
      </c>
      <c r="F1466" t="s">
        <v>32</v>
      </c>
      <c r="G1466" t="s">
        <v>63</v>
      </c>
      <c r="H1466" t="s">
        <v>45</v>
      </c>
      <c r="I1466" t="s">
        <v>27</v>
      </c>
      <c r="J1466" s="11">
        <v>45661</v>
      </c>
      <c r="K1466" t="str">
        <f>TEXT(Transactions_Clean[[#This Row],[Date]],"MMM-YYYY")</f>
        <v>Jan-2025</v>
      </c>
      <c r="L1466">
        <f>IF(Transactions_Clean[[#This Row],[Category]]="Revenue",Transactions_Clean[[#This Row],[Amount(₹)]],Transactions_Clean[[#This Row],[Amount(₹)]]/8)</f>
        <v>-5422.375</v>
      </c>
    </row>
    <row r="1467" spans="1:12">
      <c r="A1467" t="s">
        <v>2508</v>
      </c>
      <c r="B1467" t="s">
        <v>100</v>
      </c>
      <c r="C1467" t="s">
        <v>31</v>
      </c>
      <c r="D1467">
        <v>-42149</v>
      </c>
      <c r="E1467" t="s">
        <v>23</v>
      </c>
      <c r="F1467" t="s">
        <v>32</v>
      </c>
      <c r="G1467" t="s">
        <v>33</v>
      </c>
      <c r="H1467" t="s">
        <v>45</v>
      </c>
      <c r="I1467" t="s">
        <v>40</v>
      </c>
      <c r="J1467" s="11">
        <v>45505</v>
      </c>
      <c r="K1467" t="str">
        <f>TEXT(Transactions_Clean[[#This Row],[Date]],"MMM-YYYY")</f>
        <v>Aug-2024</v>
      </c>
      <c r="L1467">
        <f>IF(Transactions_Clean[[#This Row],[Category]]="Revenue",Transactions_Clean[[#This Row],[Amount(₹)]],Transactions_Clean[[#This Row],[Amount(₹)]]/8)</f>
        <v>-5268.625</v>
      </c>
    </row>
    <row r="1468" spans="1:12">
      <c r="A1468" t="s">
        <v>2509</v>
      </c>
      <c r="B1468" t="s">
        <v>616</v>
      </c>
      <c r="C1468" t="s">
        <v>22</v>
      </c>
      <c r="D1468">
        <v>-62614</v>
      </c>
      <c r="E1468" t="s">
        <v>23</v>
      </c>
      <c r="F1468" t="s">
        <v>32</v>
      </c>
      <c r="G1468" t="s">
        <v>25</v>
      </c>
      <c r="H1468" t="s">
        <v>45</v>
      </c>
      <c r="I1468" t="s">
        <v>40</v>
      </c>
      <c r="J1468" s="11">
        <v>45507</v>
      </c>
      <c r="K1468" t="str">
        <f>TEXT(Transactions_Clean[[#This Row],[Date]],"MMM-YYYY")</f>
        <v>Aug-2024</v>
      </c>
      <c r="L1468">
        <f>IF(Transactions_Clean[[#This Row],[Category]]="Revenue",Transactions_Clean[[#This Row],[Amount(₹)]],Transactions_Clean[[#This Row],[Amount(₹)]]/8)</f>
        <v>-7826.75</v>
      </c>
    </row>
    <row r="1469" spans="1:12">
      <c r="A1469" t="s">
        <v>2511</v>
      </c>
      <c r="B1469" t="s">
        <v>169</v>
      </c>
      <c r="C1469" t="s">
        <v>73</v>
      </c>
      <c r="D1469">
        <v>-61511</v>
      </c>
      <c r="E1469" t="s">
        <v>74</v>
      </c>
      <c r="F1469" t="s">
        <v>32</v>
      </c>
      <c r="G1469" t="s">
        <v>25</v>
      </c>
      <c r="H1469" t="s">
        <v>26</v>
      </c>
      <c r="I1469" t="s">
        <v>40</v>
      </c>
      <c r="J1469" s="11">
        <v>45112</v>
      </c>
      <c r="K1469" t="str">
        <f>TEXT(Transactions_Clean[[#This Row],[Date]],"MMM-YYYY")</f>
        <v>Jul-2023</v>
      </c>
      <c r="L1469">
        <f>IF(Transactions_Clean[[#This Row],[Category]]="Revenue",Transactions_Clean[[#This Row],[Amount(₹)]],Transactions_Clean[[#This Row],[Amount(₹)]]/8)</f>
        <v>-7688.875</v>
      </c>
    </row>
    <row r="1470" spans="1:12">
      <c r="A1470" t="s">
        <v>2512</v>
      </c>
      <c r="B1470" t="s">
        <v>87</v>
      </c>
      <c r="C1470" t="s">
        <v>22</v>
      </c>
      <c r="D1470">
        <v>-130145</v>
      </c>
      <c r="E1470" t="s">
        <v>23</v>
      </c>
      <c r="F1470" t="s">
        <v>24</v>
      </c>
      <c r="G1470" t="s">
        <v>25</v>
      </c>
      <c r="H1470" t="s">
        <v>26</v>
      </c>
      <c r="I1470" t="s">
        <v>40</v>
      </c>
      <c r="J1470" s="11">
        <v>45145</v>
      </c>
      <c r="K1470" t="str">
        <f>TEXT(Transactions_Clean[[#This Row],[Date]],"MMM-YYYY")</f>
        <v>Aug-2023</v>
      </c>
      <c r="L1470">
        <f>IF(Transactions_Clean[[#This Row],[Category]]="Revenue",Transactions_Clean[[#This Row],[Amount(₹)]],Transactions_Clean[[#This Row],[Amount(₹)]]/8)</f>
        <v>-16268.125</v>
      </c>
    </row>
    <row r="1471" spans="1:12">
      <c r="A1471" t="s">
        <v>2514</v>
      </c>
      <c r="B1471" t="s">
        <v>215</v>
      </c>
      <c r="C1471" t="s">
        <v>61</v>
      </c>
      <c r="D1471">
        <v>-24173</v>
      </c>
      <c r="E1471" t="s">
        <v>62</v>
      </c>
      <c r="F1471" t="s">
        <v>32</v>
      </c>
      <c r="G1471" t="s">
        <v>63</v>
      </c>
      <c r="H1471" t="s">
        <v>26</v>
      </c>
      <c r="I1471" t="s">
        <v>40</v>
      </c>
      <c r="J1471" s="11">
        <v>45154</v>
      </c>
      <c r="K1471" t="str">
        <f>TEXT(Transactions_Clean[[#This Row],[Date]],"MMM-YYYY")</f>
        <v>Aug-2023</v>
      </c>
      <c r="L1471">
        <f>IF(Transactions_Clean[[#This Row],[Category]]="Revenue",Transactions_Clean[[#This Row],[Amount(₹)]],Transactions_Clean[[#This Row],[Amount(₹)]]/8)</f>
        <v>-3021.625</v>
      </c>
    </row>
    <row r="1472" spans="1:12">
      <c r="A1472" t="s">
        <v>2515</v>
      </c>
      <c r="B1472" t="s">
        <v>215</v>
      </c>
      <c r="C1472" t="s">
        <v>61</v>
      </c>
      <c r="D1472">
        <v>-40730</v>
      </c>
      <c r="E1472" t="s">
        <v>62</v>
      </c>
      <c r="F1472" t="s">
        <v>24</v>
      </c>
      <c r="G1472" t="s">
        <v>63</v>
      </c>
      <c r="H1472" t="s">
        <v>39</v>
      </c>
      <c r="I1472" t="s">
        <v>40</v>
      </c>
      <c r="J1472" s="11">
        <v>45898</v>
      </c>
      <c r="K1472" t="str">
        <f>TEXT(Transactions_Clean[[#This Row],[Date]],"MMM-YYYY")</f>
        <v>Aug-2025</v>
      </c>
      <c r="L1472">
        <f>IF(Transactions_Clean[[#This Row],[Category]]="Revenue",Transactions_Clean[[#This Row],[Amount(₹)]],Transactions_Clean[[#This Row],[Amount(₹)]]/8)</f>
        <v>-5091.25</v>
      </c>
    </row>
    <row r="1473" spans="1:12">
      <c r="A1473" t="s">
        <v>2516</v>
      </c>
      <c r="B1473" t="s">
        <v>4758</v>
      </c>
      <c r="C1473" t="s">
        <v>78</v>
      </c>
      <c r="D1473">
        <v>-74829</v>
      </c>
      <c r="E1473" t="s">
        <v>23</v>
      </c>
      <c r="F1473" t="s">
        <v>24</v>
      </c>
      <c r="G1473" t="s">
        <v>79</v>
      </c>
      <c r="H1473" t="s">
        <v>26</v>
      </c>
      <c r="I1473" t="s">
        <v>34</v>
      </c>
      <c r="J1473" s="11">
        <v>45021</v>
      </c>
      <c r="K1473" t="str">
        <f>TEXT(Transactions_Clean[[#This Row],[Date]],"MMM-YYYY")</f>
        <v>Apr-2023</v>
      </c>
      <c r="L1473">
        <f>IF(Transactions_Clean[[#This Row],[Category]]="Revenue",Transactions_Clean[[#This Row],[Amount(₹)]],Transactions_Clean[[#This Row],[Amount(₹)]]/8)</f>
        <v>-9353.625</v>
      </c>
    </row>
    <row r="1474" spans="1:12">
      <c r="A1474" t="s">
        <v>2518</v>
      </c>
      <c r="B1474" t="s">
        <v>4788</v>
      </c>
      <c r="C1474" t="s">
        <v>136</v>
      </c>
      <c r="D1474">
        <v>-10523191</v>
      </c>
      <c r="E1474" t="s">
        <v>62</v>
      </c>
      <c r="F1474" t="s">
        <v>32</v>
      </c>
      <c r="G1474" t="s">
        <v>63</v>
      </c>
      <c r="H1474" t="s">
        <v>26</v>
      </c>
      <c r="I1474" t="s">
        <v>27</v>
      </c>
      <c r="J1474" s="11">
        <v>45319</v>
      </c>
      <c r="K1474" t="str">
        <f>TEXT(Transactions_Clean[[#This Row],[Date]],"MMM-YYYY")</f>
        <v>Jan-2024</v>
      </c>
      <c r="L1474">
        <f>IF(Transactions_Clean[[#This Row],[Category]]="Revenue",Transactions_Clean[[#This Row],[Amount(₹)]],Transactions_Clean[[#This Row],[Amount(₹)]]/8)</f>
        <v>-1315398.875</v>
      </c>
    </row>
    <row r="1475" spans="1:12">
      <c r="A1475" t="s">
        <v>2521</v>
      </c>
      <c r="B1475" t="s">
        <v>616</v>
      </c>
      <c r="C1475" t="s">
        <v>22</v>
      </c>
      <c r="D1475">
        <v>-166729</v>
      </c>
      <c r="E1475" t="s">
        <v>23</v>
      </c>
      <c r="F1475" t="s">
        <v>32</v>
      </c>
      <c r="G1475" t="s">
        <v>25</v>
      </c>
      <c r="H1475" t="s">
        <v>26</v>
      </c>
      <c r="I1475" t="s">
        <v>34</v>
      </c>
      <c r="J1475" s="11">
        <v>45019</v>
      </c>
      <c r="K1475" t="str">
        <f>TEXT(Transactions_Clean[[#This Row],[Date]],"MMM-YYYY")</f>
        <v>Apr-2023</v>
      </c>
      <c r="L1475">
        <f>IF(Transactions_Clean[[#This Row],[Category]]="Revenue",Transactions_Clean[[#This Row],[Amount(₹)]],Transactions_Clean[[#This Row],[Amount(₹)]]/8)</f>
        <v>-20841.125</v>
      </c>
    </row>
    <row r="1476" spans="1:12">
      <c r="A1476" t="s">
        <v>2522</v>
      </c>
      <c r="B1476" t="s">
        <v>255</v>
      </c>
      <c r="C1476" t="s">
        <v>22</v>
      </c>
      <c r="D1476">
        <v>-98087</v>
      </c>
      <c r="E1476" t="s">
        <v>23</v>
      </c>
      <c r="F1476" t="s">
        <v>32</v>
      </c>
      <c r="G1476" t="s">
        <v>25</v>
      </c>
      <c r="H1476" t="s">
        <v>26</v>
      </c>
      <c r="I1476" t="s">
        <v>40</v>
      </c>
      <c r="J1476" s="11">
        <v>45162</v>
      </c>
      <c r="K1476" t="str">
        <f>TEXT(Transactions_Clean[[#This Row],[Date]],"MMM-YYYY")</f>
        <v>Aug-2023</v>
      </c>
      <c r="L1476">
        <f>IF(Transactions_Clean[[#This Row],[Category]]="Revenue",Transactions_Clean[[#This Row],[Amount(₹)]],Transactions_Clean[[#This Row],[Amount(₹)]]/8)</f>
        <v>-12260.875</v>
      </c>
    </row>
    <row r="1477" spans="1:12">
      <c r="A1477" t="s">
        <v>2523</v>
      </c>
      <c r="B1477" t="s">
        <v>51</v>
      </c>
      <c r="C1477" t="s">
        <v>31</v>
      </c>
      <c r="D1477">
        <v>-43207</v>
      </c>
      <c r="E1477" t="s">
        <v>23</v>
      </c>
      <c r="F1477" t="s">
        <v>24</v>
      </c>
      <c r="G1477" t="s">
        <v>33</v>
      </c>
      <c r="H1477" t="s">
        <v>39</v>
      </c>
      <c r="I1477" t="s">
        <v>48</v>
      </c>
      <c r="J1477" s="11">
        <v>45935</v>
      </c>
      <c r="K1477" t="str">
        <f>TEXT(Transactions_Clean[[#This Row],[Date]],"MMM-YYYY")</f>
        <v>Oct-2025</v>
      </c>
      <c r="L1477">
        <f>IF(Transactions_Clean[[#This Row],[Category]]="Revenue",Transactions_Clean[[#This Row],[Amount(₹)]],Transactions_Clean[[#This Row],[Amount(₹)]]/8)</f>
        <v>-5400.875</v>
      </c>
    </row>
    <row r="1478" spans="1:12">
      <c r="A1478" t="s">
        <v>2525</v>
      </c>
      <c r="B1478" t="s">
        <v>4766</v>
      </c>
      <c r="C1478" t="s">
        <v>73</v>
      </c>
      <c r="D1478">
        <v>-38408</v>
      </c>
      <c r="E1478" t="s">
        <v>74</v>
      </c>
      <c r="F1478" t="s">
        <v>32</v>
      </c>
      <c r="G1478" t="s">
        <v>25</v>
      </c>
      <c r="H1478" t="s">
        <v>39</v>
      </c>
      <c r="I1478" t="s">
        <v>27</v>
      </c>
      <c r="J1478" s="11">
        <v>46099</v>
      </c>
      <c r="K1478" t="str">
        <f>TEXT(Transactions_Clean[[#This Row],[Date]],"MMM-YYYY")</f>
        <v>Mar-2026</v>
      </c>
      <c r="L1478">
        <f>IF(Transactions_Clean[[#This Row],[Category]]="Revenue",Transactions_Clean[[#This Row],[Amount(₹)]],Transactions_Clean[[#This Row],[Amount(₹)]]/8)</f>
        <v>-4801</v>
      </c>
    </row>
    <row r="1479" spans="1:12">
      <c r="A1479" t="s">
        <v>2526</v>
      </c>
      <c r="B1479" t="s">
        <v>87</v>
      </c>
      <c r="C1479" t="s">
        <v>22</v>
      </c>
      <c r="D1479">
        <v>-70274</v>
      </c>
      <c r="E1479" t="s">
        <v>23</v>
      </c>
      <c r="F1479" t="s">
        <v>24</v>
      </c>
      <c r="G1479" t="s">
        <v>25</v>
      </c>
      <c r="H1479" t="s">
        <v>45</v>
      </c>
      <c r="I1479" t="s">
        <v>27</v>
      </c>
      <c r="J1479" s="11">
        <v>45664</v>
      </c>
      <c r="K1479" t="str">
        <f>TEXT(Transactions_Clean[[#This Row],[Date]],"MMM-YYYY")</f>
        <v>Jan-2025</v>
      </c>
      <c r="L1479">
        <f>IF(Transactions_Clean[[#This Row],[Category]]="Revenue",Transactions_Clean[[#This Row],[Amount(₹)]],Transactions_Clean[[#This Row],[Amount(₹)]]/8)</f>
        <v>-8784.25</v>
      </c>
    </row>
    <row r="1480" spans="1:12">
      <c r="A1480" t="s">
        <v>2527</v>
      </c>
      <c r="B1480" t="s">
        <v>4749</v>
      </c>
      <c r="C1480" t="s">
        <v>44</v>
      </c>
      <c r="D1480">
        <v>-112468</v>
      </c>
      <c r="E1480" t="s">
        <v>23</v>
      </c>
      <c r="F1480" t="s">
        <v>24</v>
      </c>
      <c r="G1480" t="s">
        <v>33</v>
      </c>
      <c r="H1480" t="s">
        <v>39</v>
      </c>
      <c r="I1480" t="s">
        <v>40</v>
      </c>
      <c r="J1480" s="11">
        <v>45905</v>
      </c>
      <c r="K1480" t="str">
        <f>TEXT(Transactions_Clean[[#This Row],[Date]],"MMM-YYYY")</f>
        <v>Sep-2025</v>
      </c>
      <c r="L1480">
        <f>IF(Transactions_Clean[[#This Row],[Category]]="Revenue",Transactions_Clean[[#This Row],[Amount(₹)]],Transactions_Clean[[#This Row],[Amount(₹)]]/8)</f>
        <v>-14058.5</v>
      </c>
    </row>
    <row r="1481" spans="1:12">
      <c r="A1481" t="s">
        <v>2528</v>
      </c>
      <c r="B1481" t="s">
        <v>4758</v>
      </c>
      <c r="C1481" t="s">
        <v>78</v>
      </c>
      <c r="D1481">
        <v>-104392</v>
      </c>
      <c r="E1481" t="s">
        <v>23</v>
      </c>
      <c r="F1481" t="s">
        <v>32</v>
      </c>
      <c r="G1481" t="s">
        <v>79</v>
      </c>
      <c r="H1481" t="s">
        <v>45</v>
      </c>
      <c r="I1481" t="s">
        <v>48</v>
      </c>
      <c r="J1481" s="11">
        <v>45638</v>
      </c>
      <c r="K1481" t="str">
        <f>TEXT(Transactions_Clean[[#This Row],[Date]],"MMM-YYYY")</f>
        <v>Dec-2024</v>
      </c>
      <c r="L1481">
        <f>IF(Transactions_Clean[[#This Row],[Category]]="Revenue",Transactions_Clean[[#This Row],[Amount(₹)]],Transactions_Clean[[#This Row],[Amount(₹)]]/8)</f>
        <v>-13049</v>
      </c>
    </row>
    <row r="1482" spans="1:12">
      <c r="A1482" t="s">
        <v>2529</v>
      </c>
      <c r="B1482" t="s">
        <v>87</v>
      </c>
      <c r="C1482" t="s">
        <v>22</v>
      </c>
      <c r="D1482">
        <v>-121108</v>
      </c>
      <c r="E1482" t="s">
        <v>23</v>
      </c>
      <c r="F1482" t="s">
        <v>32</v>
      </c>
      <c r="G1482" t="s">
        <v>25</v>
      </c>
      <c r="H1482" t="s">
        <v>45</v>
      </c>
      <c r="I1482" t="s">
        <v>40</v>
      </c>
      <c r="J1482" s="11">
        <v>45514</v>
      </c>
      <c r="K1482" t="str">
        <f>TEXT(Transactions_Clean[[#This Row],[Date]],"MMM-YYYY")</f>
        <v>Aug-2024</v>
      </c>
      <c r="L1482">
        <f>IF(Transactions_Clean[[#This Row],[Category]]="Revenue",Transactions_Clean[[#This Row],[Amount(₹)]],Transactions_Clean[[#This Row],[Amount(₹)]]/8)</f>
        <v>-15138.5</v>
      </c>
    </row>
    <row r="1483" spans="1:12">
      <c r="A1483" t="s">
        <v>2530</v>
      </c>
      <c r="B1483" t="s">
        <v>212</v>
      </c>
      <c r="C1483" t="s">
        <v>73</v>
      </c>
      <c r="D1483">
        <v>-29432</v>
      </c>
      <c r="E1483" t="s">
        <v>74</v>
      </c>
      <c r="F1483" t="s">
        <v>24</v>
      </c>
      <c r="G1483" t="s">
        <v>25</v>
      </c>
      <c r="H1483" t="s">
        <v>26</v>
      </c>
      <c r="I1483" t="s">
        <v>40</v>
      </c>
      <c r="J1483" s="11">
        <v>45196</v>
      </c>
      <c r="K1483" t="str">
        <f>TEXT(Transactions_Clean[[#This Row],[Date]],"MMM-YYYY")</f>
        <v>Sep-2023</v>
      </c>
      <c r="L1483">
        <f>IF(Transactions_Clean[[#This Row],[Category]]="Revenue",Transactions_Clean[[#This Row],[Amount(₹)]],Transactions_Clean[[#This Row],[Amount(₹)]]/8)</f>
        <v>-3679</v>
      </c>
    </row>
    <row r="1484" spans="1:12">
      <c r="A1484" t="s">
        <v>2531</v>
      </c>
      <c r="B1484" t="s">
        <v>4752</v>
      </c>
      <c r="C1484" t="s">
        <v>44</v>
      </c>
      <c r="D1484">
        <v>-177439</v>
      </c>
      <c r="E1484" t="s">
        <v>23</v>
      </c>
      <c r="F1484" t="s">
        <v>32</v>
      </c>
      <c r="G1484" t="s">
        <v>33</v>
      </c>
      <c r="H1484" t="s">
        <v>39</v>
      </c>
      <c r="I1484" t="s">
        <v>34</v>
      </c>
      <c r="J1484" s="11">
        <v>45834</v>
      </c>
      <c r="K1484" t="str">
        <f>TEXT(Transactions_Clean[[#This Row],[Date]],"MMM-YYYY")</f>
        <v>Jun-2025</v>
      </c>
      <c r="L1484">
        <f>IF(Transactions_Clean[[#This Row],[Category]]="Revenue",Transactions_Clean[[#This Row],[Amount(₹)]],Transactions_Clean[[#This Row],[Amount(₹)]]/8)</f>
        <v>-22179.875</v>
      </c>
    </row>
    <row r="1485" spans="1:12">
      <c r="A1485" t="s">
        <v>2533</v>
      </c>
      <c r="B1485" t="s">
        <v>100</v>
      </c>
      <c r="C1485" t="s">
        <v>31</v>
      </c>
      <c r="D1485">
        <v>-9419</v>
      </c>
      <c r="E1485" t="s">
        <v>23</v>
      </c>
      <c r="F1485" t="s">
        <v>24</v>
      </c>
      <c r="G1485" t="s">
        <v>33</v>
      </c>
      <c r="H1485" t="s">
        <v>39</v>
      </c>
      <c r="I1485" t="s">
        <v>40</v>
      </c>
      <c r="J1485" s="11">
        <v>45891</v>
      </c>
      <c r="K1485" t="str">
        <f>TEXT(Transactions_Clean[[#This Row],[Date]],"MMM-YYYY")</f>
        <v>Aug-2025</v>
      </c>
      <c r="L1485">
        <f>IF(Transactions_Clean[[#This Row],[Category]]="Revenue",Transactions_Clean[[#This Row],[Amount(₹)]],Transactions_Clean[[#This Row],[Amount(₹)]]/8)</f>
        <v>-1177.375</v>
      </c>
    </row>
    <row r="1486" spans="1:12">
      <c r="A1486" t="s">
        <v>2534</v>
      </c>
      <c r="B1486" t="s">
        <v>4752</v>
      </c>
      <c r="C1486" t="s">
        <v>44</v>
      </c>
      <c r="D1486">
        <v>-97941</v>
      </c>
      <c r="E1486" t="s">
        <v>23</v>
      </c>
      <c r="F1486" t="s">
        <v>24</v>
      </c>
      <c r="G1486" t="s">
        <v>33</v>
      </c>
      <c r="H1486" t="s">
        <v>39</v>
      </c>
      <c r="I1486" t="s">
        <v>40</v>
      </c>
      <c r="J1486" s="11">
        <v>45924</v>
      </c>
      <c r="K1486" t="str">
        <f>TEXT(Transactions_Clean[[#This Row],[Date]],"MMM-YYYY")</f>
        <v>Sep-2025</v>
      </c>
      <c r="L1486">
        <f>IF(Transactions_Clean[[#This Row],[Category]]="Revenue",Transactions_Clean[[#This Row],[Amount(₹)]],Transactions_Clean[[#This Row],[Amount(₹)]]/8)</f>
        <v>-12242.625</v>
      </c>
    </row>
    <row r="1487" spans="1:12">
      <c r="A1487" t="s">
        <v>2535</v>
      </c>
      <c r="B1487" t="s">
        <v>4752</v>
      </c>
      <c r="C1487" t="s">
        <v>44</v>
      </c>
      <c r="D1487">
        <v>-159783</v>
      </c>
      <c r="E1487" t="s">
        <v>23</v>
      </c>
      <c r="F1487" t="s">
        <v>32</v>
      </c>
      <c r="G1487" t="s">
        <v>33</v>
      </c>
      <c r="H1487" t="s">
        <v>26</v>
      </c>
      <c r="I1487" t="s">
        <v>27</v>
      </c>
      <c r="J1487" s="11">
        <v>45314</v>
      </c>
      <c r="K1487" t="str">
        <f>TEXT(Transactions_Clean[[#This Row],[Date]],"MMM-YYYY")</f>
        <v>Jan-2024</v>
      </c>
      <c r="L1487">
        <f>IF(Transactions_Clean[[#This Row],[Category]]="Revenue",Transactions_Clean[[#This Row],[Amount(₹)]],Transactions_Clean[[#This Row],[Amount(₹)]]/8)</f>
        <v>-19972.875</v>
      </c>
    </row>
    <row r="1488" spans="1:12">
      <c r="A1488" t="s">
        <v>2536</v>
      </c>
      <c r="B1488" t="s">
        <v>4767</v>
      </c>
      <c r="C1488" t="s">
        <v>157</v>
      </c>
      <c r="D1488">
        <v>677999</v>
      </c>
      <c r="E1488" t="s">
        <v>62</v>
      </c>
      <c r="F1488" t="s">
        <v>32</v>
      </c>
      <c r="G1488" t="s">
        <v>25</v>
      </c>
      <c r="H1488" t="s">
        <v>39</v>
      </c>
      <c r="I1488" t="s">
        <v>34</v>
      </c>
      <c r="J1488" s="11">
        <v>45823</v>
      </c>
      <c r="K1488" t="str">
        <f>TEXT(Transactions_Clean[[#This Row],[Date]],"MMM-YYYY")</f>
        <v>Jun-2025</v>
      </c>
      <c r="L1488">
        <f>IF(Transactions_Clean[[#This Row],[Category]]="Revenue",Transactions_Clean[[#This Row],[Amount(₹)]],Transactions_Clean[[#This Row],[Amount(₹)]]/8)</f>
        <v>677999</v>
      </c>
    </row>
    <row r="1489" spans="1:12">
      <c r="A1489" t="s">
        <v>2537</v>
      </c>
      <c r="B1489" t="s">
        <v>106</v>
      </c>
      <c r="C1489" t="s">
        <v>31</v>
      </c>
      <c r="D1489">
        <v>-43773</v>
      </c>
      <c r="E1489" t="s">
        <v>23</v>
      </c>
      <c r="F1489" t="s">
        <v>24</v>
      </c>
      <c r="G1489" t="s">
        <v>33</v>
      </c>
      <c r="H1489" t="s">
        <v>39</v>
      </c>
      <c r="I1489" t="s">
        <v>34</v>
      </c>
      <c r="J1489" s="11">
        <v>45765</v>
      </c>
      <c r="K1489" t="str">
        <f>TEXT(Transactions_Clean[[#This Row],[Date]],"MMM-YYYY")</f>
        <v>Apr-2025</v>
      </c>
      <c r="L1489">
        <f>IF(Transactions_Clean[[#This Row],[Category]]="Revenue",Transactions_Clean[[#This Row],[Amount(₹)]],Transactions_Clean[[#This Row],[Amount(₹)]]/8)</f>
        <v>-5471.625</v>
      </c>
    </row>
    <row r="1490" spans="1:12">
      <c r="A1490" t="s">
        <v>2538</v>
      </c>
      <c r="B1490" t="s">
        <v>4755</v>
      </c>
      <c r="C1490" t="s">
        <v>78</v>
      </c>
      <c r="D1490">
        <v>-117227</v>
      </c>
      <c r="E1490" t="s">
        <v>23</v>
      </c>
      <c r="F1490" t="s">
        <v>24</v>
      </c>
      <c r="G1490" t="s">
        <v>79</v>
      </c>
      <c r="H1490" t="s">
        <v>26</v>
      </c>
      <c r="I1490" t="s">
        <v>40</v>
      </c>
      <c r="J1490" s="11">
        <v>45163</v>
      </c>
      <c r="K1490" t="str">
        <f>TEXT(Transactions_Clean[[#This Row],[Date]],"MMM-YYYY")</f>
        <v>Aug-2023</v>
      </c>
      <c r="L1490">
        <f>IF(Transactions_Clean[[#This Row],[Category]]="Revenue",Transactions_Clean[[#This Row],[Amount(₹)]],Transactions_Clean[[#This Row],[Amount(₹)]]/8)</f>
        <v>-14653.375</v>
      </c>
    </row>
    <row r="1491" spans="1:12">
      <c r="A1491" t="s">
        <v>2539</v>
      </c>
      <c r="B1491" t="s">
        <v>215</v>
      </c>
      <c r="C1491" t="s">
        <v>61</v>
      </c>
      <c r="D1491">
        <v>-51181</v>
      </c>
      <c r="E1491" t="s">
        <v>62</v>
      </c>
      <c r="F1491" t="s">
        <v>32</v>
      </c>
      <c r="G1491" t="s">
        <v>63</v>
      </c>
      <c r="H1491" t="s">
        <v>45</v>
      </c>
      <c r="I1491" t="s">
        <v>34</v>
      </c>
      <c r="J1491" s="11">
        <v>45391</v>
      </c>
      <c r="K1491" t="str">
        <f>TEXT(Transactions_Clean[[#This Row],[Date]],"MMM-YYYY")</f>
        <v>Apr-2024</v>
      </c>
      <c r="L1491">
        <f>IF(Transactions_Clean[[#This Row],[Category]]="Revenue",Transactions_Clean[[#This Row],[Amount(₹)]],Transactions_Clean[[#This Row],[Amount(₹)]]/8)</f>
        <v>-6397.625</v>
      </c>
    </row>
    <row r="1492" spans="1:12">
      <c r="A1492" t="s">
        <v>2541</v>
      </c>
      <c r="B1492" t="s">
        <v>106</v>
      </c>
      <c r="C1492" t="s">
        <v>31</v>
      </c>
      <c r="D1492">
        <v>-13576</v>
      </c>
      <c r="E1492" t="s">
        <v>23</v>
      </c>
      <c r="F1492" t="s">
        <v>32</v>
      </c>
      <c r="G1492" t="s">
        <v>33</v>
      </c>
      <c r="H1492" t="s">
        <v>45</v>
      </c>
      <c r="I1492" t="s">
        <v>27</v>
      </c>
      <c r="J1492" s="11">
        <v>45683</v>
      </c>
      <c r="K1492" t="str">
        <f>TEXT(Transactions_Clean[[#This Row],[Date]],"MMM-YYYY")</f>
        <v>Jan-2025</v>
      </c>
      <c r="L1492">
        <f>IF(Transactions_Clean[[#This Row],[Category]]="Revenue",Transactions_Clean[[#This Row],[Amount(₹)]],Transactions_Clean[[#This Row],[Amount(₹)]]/8)</f>
        <v>-1697</v>
      </c>
    </row>
    <row r="1493" spans="1:12">
      <c r="A1493" t="s">
        <v>2543</v>
      </c>
      <c r="B1493" t="s">
        <v>215</v>
      </c>
      <c r="C1493" t="s">
        <v>61</v>
      </c>
      <c r="D1493">
        <v>-45878</v>
      </c>
      <c r="E1493" t="s">
        <v>62</v>
      </c>
      <c r="F1493" t="s">
        <v>32</v>
      </c>
      <c r="G1493" t="s">
        <v>63</v>
      </c>
      <c r="H1493" t="s">
        <v>26</v>
      </c>
      <c r="I1493" t="s">
        <v>27</v>
      </c>
      <c r="J1493" s="11">
        <v>45294</v>
      </c>
      <c r="K1493" t="str">
        <f>TEXT(Transactions_Clean[[#This Row],[Date]],"MMM-YYYY")</f>
        <v>Jan-2024</v>
      </c>
      <c r="L1493">
        <f>IF(Transactions_Clean[[#This Row],[Category]]="Revenue",Transactions_Clean[[#This Row],[Amount(₹)]],Transactions_Clean[[#This Row],[Amount(₹)]]/8)</f>
        <v>-5734.75</v>
      </c>
    </row>
    <row r="1494" spans="1:12">
      <c r="A1494" t="s">
        <v>2545</v>
      </c>
      <c r="B1494" t="s">
        <v>30</v>
      </c>
      <c r="C1494" t="s">
        <v>31</v>
      </c>
      <c r="D1494">
        <v>-21295</v>
      </c>
      <c r="E1494" t="s">
        <v>23</v>
      </c>
      <c r="F1494" t="s">
        <v>32</v>
      </c>
      <c r="G1494" t="s">
        <v>33</v>
      </c>
      <c r="H1494" t="s">
        <v>45</v>
      </c>
      <c r="I1494" t="s">
        <v>27</v>
      </c>
      <c r="J1494" s="11">
        <v>45708</v>
      </c>
      <c r="K1494" t="str">
        <f>TEXT(Transactions_Clean[[#This Row],[Date]],"MMM-YYYY")</f>
        <v>Feb-2025</v>
      </c>
      <c r="L1494">
        <f>IF(Transactions_Clean[[#This Row],[Category]]="Revenue",Transactions_Clean[[#This Row],[Amount(₹)]],Transactions_Clean[[#This Row],[Amount(₹)]]/8)</f>
        <v>-2661.875</v>
      </c>
    </row>
    <row r="1495" spans="1:12">
      <c r="A1495" t="s">
        <v>2546</v>
      </c>
      <c r="B1495" t="s">
        <v>66</v>
      </c>
      <c r="C1495" t="s">
        <v>61</v>
      </c>
      <c r="D1495">
        <v>-39144</v>
      </c>
      <c r="E1495" t="s">
        <v>62</v>
      </c>
      <c r="F1495" t="s">
        <v>24</v>
      </c>
      <c r="G1495" t="s">
        <v>63</v>
      </c>
      <c r="H1495" t="s">
        <v>26</v>
      </c>
      <c r="I1495" t="s">
        <v>27</v>
      </c>
      <c r="J1495" s="11">
        <v>45327</v>
      </c>
      <c r="K1495" t="str">
        <f>TEXT(Transactions_Clean[[#This Row],[Date]],"MMM-YYYY")</f>
        <v>Feb-2024</v>
      </c>
      <c r="L1495">
        <f>IF(Transactions_Clean[[#This Row],[Category]]="Revenue",Transactions_Clean[[#This Row],[Amount(₹)]],Transactions_Clean[[#This Row],[Amount(₹)]]/8)</f>
        <v>-4893</v>
      </c>
    </row>
    <row r="1496" spans="1:12">
      <c r="A1496" t="s">
        <v>2548</v>
      </c>
      <c r="B1496" t="s">
        <v>4766</v>
      </c>
      <c r="C1496" t="s">
        <v>73</v>
      </c>
      <c r="D1496">
        <v>-27564</v>
      </c>
      <c r="E1496" t="s">
        <v>74</v>
      </c>
      <c r="F1496" t="s">
        <v>32</v>
      </c>
      <c r="G1496" t="s">
        <v>25</v>
      </c>
      <c r="H1496" t="s">
        <v>39</v>
      </c>
      <c r="I1496" t="s">
        <v>40</v>
      </c>
      <c r="J1496" s="11">
        <v>45908</v>
      </c>
      <c r="K1496" t="str">
        <f>TEXT(Transactions_Clean[[#This Row],[Date]],"MMM-YYYY")</f>
        <v>Sep-2025</v>
      </c>
      <c r="L1496">
        <f>IF(Transactions_Clean[[#This Row],[Category]]="Revenue",Transactions_Clean[[#This Row],[Amount(₹)]],Transactions_Clean[[#This Row],[Amount(₹)]]/8)</f>
        <v>-3445.5</v>
      </c>
    </row>
    <row r="1497" spans="1:12">
      <c r="A1497" t="s">
        <v>2549</v>
      </c>
      <c r="B1497" t="s">
        <v>4776</v>
      </c>
      <c r="C1497" t="s">
        <v>440</v>
      </c>
      <c r="D1497">
        <v>-105690</v>
      </c>
      <c r="E1497" t="s">
        <v>23</v>
      </c>
      <c r="F1497" t="s">
        <v>24</v>
      </c>
      <c r="G1497" t="s">
        <v>33</v>
      </c>
      <c r="H1497" t="s">
        <v>45</v>
      </c>
      <c r="I1497" t="s">
        <v>48</v>
      </c>
      <c r="J1497" s="11">
        <v>45602</v>
      </c>
      <c r="K1497" t="str">
        <f>TEXT(Transactions_Clean[[#This Row],[Date]],"MMM-YYYY")</f>
        <v>Nov-2024</v>
      </c>
      <c r="L1497">
        <f>IF(Transactions_Clean[[#This Row],[Category]]="Revenue",Transactions_Clean[[#This Row],[Amount(₹)]],Transactions_Clean[[#This Row],[Amount(₹)]]/8)</f>
        <v>-13211.25</v>
      </c>
    </row>
    <row r="1498" spans="1:12">
      <c r="A1498" t="s">
        <v>2550</v>
      </c>
      <c r="B1498" t="s">
        <v>4769</v>
      </c>
      <c r="C1498" t="s">
        <v>44</v>
      </c>
      <c r="D1498">
        <v>-81563</v>
      </c>
      <c r="E1498" t="s">
        <v>23</v>
      </c>
      <c r="F1498" t="s">
        <v>24</v>
      </c>
      <c r="G1498" t="s">
        <v>33</v>
      </c>
      <c r="H1498" t="s">
        <v>39</v>
      </c>
      <c r="I1498" t="s">
        <v>40</v>
      </c>
      <c r="J1498" s="11">
        <v>45886</v>
      </c>
      <c r="K1498" t="str">
        <f>TEXT(Transactions_Clean[[#This Row],[Date]],"MMM-YYYY")</f>
        <v>Aug-2025</v>
      </c>
      <c r="L1498">
        <f>IF(Transactions_Clean[[#This Row],[Category]]="Revenue",Transactions_Clean[[#This Row],[Amount(₹)]],Transactions_Clean[[#This Row],[Amount(₹)]]/8)</f>
        <v>-10195.375</v>
      </c>
    </row>
    <row r="1499" spans="1:12">
      <c r="A1499" t="s">
        <v>2551</v>
      </c>
      <c r="B1499" t="s">
        <v>51</v>
      </c>
      <c r="C1499" t="s">
        <v>31</v>
      </c>
      <c r="D1499">
        <v>-30083</v>
      </c>
      <c r="E1499" t="s">
        <v>23</v>
      </c>
      <c r="F1499" t="s">
        <v>32</v>
      </c>
      <c r="G1499" t="s">
        <v>33</v>
      </c>
      <c r="H1499" t="s">
        <v>39</v>
      </c>
      <c r="I1499" t="s">
        <v>40</v>
      </c>
      <c r="J1499" s="11">
        <v>45917</v>
      </c>
      <c r="K1499" t="str">
        <f>TEXT(Transactions_Clean[[#This Row],[Date]],"MMM-YYYY")</f>
        <v>Sep-2025</v>
      </c>
      <c r="L1499">
        <f>IF(Transactions_Clean[[#This Row],[Category]]="Revenue",Transactions_Clean[[#This Row],[Amount(₹)]],Transactions_Clean[[#This Row],[Amount(₹)]]/8)</f>
        <v>-3760.375</v>
      </c>
    </row>
    <row r="1500" spans="1:12">
      <c r="A1500" t="s">
        <v>2553</v>
      </c>
      <c r="B1500" t="s">
        <v>215</v>
      </c>
      <c r="C1500" t="s">
        <v>61</v>
      </c>
      <c r="D1500">
        <v>-36326</v>
      </c>
      <c r="E1500" t="s">
        <v>62</v>
      </c>
      <c r="F1500" t="s">
        <v>24</v>
      </c>
      <c r="G1500" t="s">
        <v>63</v>
      </c>
      <c r="H1500" t="s">
        <v>26</v>
      </c>
      <c r="I1500" t="s">
        <v>48</v>
      </c>
      <c r="J1500" s="11">
        <v>45250</v>
      </c>
      <c r="K1500" t="str">
        <f>TEXT(Transactions_Clean[[#This Row],[Date]],"MMM-YYYY")</f>
        <v>Nov-2023</v>
      </c>
      <c r="L1500">
        <f>IF(Transactions_Clean[[#This Row],[Category]]="Revenue",Transactions_Clean[[#This Row],[Amount(₹)]],Transactions_Clean[[#This Row],[Amount(₹)]]/8)</f>
        <v>-4540.75</v>
      </c>
    </row>
    <row r="1501" spans="1:12">
      <c r="A1501" t="s">
        <v>2555</v>
      </c>
      <c r="B1501" t="s">
        <v>60</v>
      </c>
      <c r="C1501" t="s">
        <v>61</v>
      </c>
      <c r="D1501">
        <v>-20518</v>
      </c>
      <c r="E1501" t="s">
        <v>62</v>
      </c>
      <c r="F1501" t="s">
        <v>32</v>
      </c>
      <c r="G1501" t="s">
        <v>63</v>
      </c>
      <c r="H1501" t="s">
        <v>39</v>
      </c>
      <c r="I1501" t="s">
        <v>40</v>
      </c>
      <c r="J1501" s="11">
        <v>45843</v>
      </c>
      <c r="K1501" t="str">
        <f>TEXT(Transactions_Clean[[#This Row],[Date]],"MMM-YYYY")</f>
        <v>Jul-2025</v>
      </c>
      <c r="L1501">
        <f>IF(Transactions_Clean[[#This Row],[Category]]="Revenue",Transactions_Clean[[#This Row],[Amount(₹)]],Transactions_Clean[[#This Row],[Amount(₹)]]/8)</f>
        <v>-2564.75</v>
      </c>
    </row>
    <row r="1502" spans="1:12">
      <c r="A1502" t="s">
        <v>2556</v>
      </c>
      <c r="B1502" t="s">
        <v>4767</v>
      </c>
      <c r="C1502" t="s">
        <v>157</v>
      </c>
      <c r="D1502">
        <v>712264</v>
      </c>
      <c r="E1502" t="s">
        <v>62</v>
      </c>
      <c r="F1502" t="s">
        <v>32</v>
      </c>
      <c r="G1502" t="s">
        <v>25</v>
      </c>
      <c r="H1502" t="s">
        <v>39</v>
      </c>
      <c r="I1502" t="s">
        <v>40</v>
      </c>
      <c r="J1502" s="11">
        <v>45904</v>
      </c>
      <c r="K1502" t="str">
        <f>TEXT(Transactions_Clean[[#This Row],[Date]],"MMM-YYYY")</f>
        <v>Sep-2025</v>
      </c>
      <c r="L1502">
        <f>IF(Transactions_Clean[[#This Row],[Category]]="Revenue",Transactions_Clean[[#This Row],[Amount(₹)]],Transactions_Clean[[#This Row],[Amount(₹)]]/8)</f>
        <v>712264</v>
      </c>
    </row>
    <row r="1503" spans="1:12">
      <c r="A1503" t="s">
        <v>2557</v>
      </c>
      <c r="B1503" t="s">
        <v>215</v>
      </c>
      <c r="C1503" t="s">
        <v>61</v>
      </c>
      <c r="D1503">
        <v>-47793</v>
      </c>
      <c r="E1503" t="s">
        <v>62</v>
      </c>
      <c r="F1503" t="s">
        <v>24</v>
      </c>
      <c r="G1503" t="s">
        <v>63</v>
      </c>
      <c r="H1503" t="s">
        <v>26</v>
      </c>
      <c r="I1503" t="s">
        <v>27</v>
      </c>
      <c r="J1503" s="11">
        <v>45310</v>
      </c>
      <c r="K1503" t="str">
        <f>TEXT(Transactions_Clean[[#This Row],[Date]],"MMM-YYYY")</f>
        <v>Jan-2024</v>
      </c>
      <c r="L1503">
        <f>IF(Transactions_Clean[[#This Row],[Category]]="Revenue",Transactions_Clean[[#This Row],[Amount(₹)]],Transactions_Clean[[#This Row],[Amount(₹)]]/8)</f>
        <v>-5974.125</v>
      </c>
    </row>
    <row r="1504" spans="1:12">
      <c r="A1504" t="s">
        <v>2558</v>
      </c>
      <c r="B1504" t="s">
        <v>60</v>
      </c>
      <c r="C1504" t="s">
        <v>61</v>
      </c>
      <c r="D1504">
        <v>-35625</v>
      </c>
      <c r="E1504" t="s">
        <v>62</v>
      </c>
      <c r="F1504" t="s">
        <v>32</v>
      </c>
      <c r="G1504" t="s">
        <v>63</v>
      </c>
      <c r="H1504" t="s">
        <v>45</v>
      </c>
      <c r="I1504" t="s">
        <v>40</v>
      </c>
      <c r="J1504" s="11">
        <v>45503</v>
      </c>
      <c r="K1504" t="str">
        <f>TEXT(Transactions_Clean[[#This Row],[Date]],"MMM-YYYY")</f>
        <v>Jul-2024</v>
      </c>
      <c r="L1504">
        <f>IF(Transactions_Clean[[#This Row],[Category]]="Revenue",Transactions_Clean[[#This Row],[Amount(₹)]],Transactions_Clean[[#This Row],[Amount(₹)]]/8)</f>
        <v>-4453.125</v>
      </c>
    </row>
    <row r="1505" spans="1:12">
      <c r="A1505" t="s">
        <v>2560</v>
      </c>
      <c r="B1505" t="s">
        <v>4756</v>
      </c>
      <c r="C1505" t="s">
        <v>73</v>
      </c>
      <c r="D1505">
        <v>-94164</v>
      </c>
      <c r="E1505" t="s">
        <v>74</v>
      </c>
      <c r="F1505" t="s">
        <v>24</v>
      </c>
      <c r="G1505" t="s">
        <v>25</v>
      </c>
      <c r="H1505" t="s">
        <v>39</v>
      </c>
      <c r="I1505" t="s">
        <v>48</v>
      </c>
      <c r="J1505" s="11">
        <v>45953</v>
      </c>
      <c r="K1505" t="str">
        <f>TEXT(Transactions_Clean[[#This Row],[Date]],"MMM-YYYY")</f>
        <v>Oct-2025</v>
      </c>
      <c r="L1505">
        <f>IF(Transactions_Clean[[#This Row],[Category]]="Revenue",Transactions_Clean[[#This Row],[Amount(₹)]],Transactions_Clean[[#This Row],[Amount(₹)]]/8)</f>
        <v>-11770.5</v>
      </c>
    </row>
    <row r="1506" spans="1:12">
      <c r="A1506" t="s">
        <v>2562</v>
      </c>
      <c r="B1506" t="s">
        <v>66</v>
      </c>
      <c r="C1506" t="s">
        <v>61</v>
      </c>
      <c r="D1506">
        <v>-47076</v>
      </c>
      <c r="E1506" t="s">
        <v>62</v>
      </c>
      <c r="F1506" t="s">
        <v>24</v>
      </c>
      <c r="G1506" t="s">
        <v>63</v>
      </c>
      <c r="H1506" t="s">
        <v>45</v>
      </c>
      <c r="I1506" t="s">
        <v>27</v>
      </c>
      <c r="J1506" s="11">
        <v>45725</v>
      </c>
      <c r="K1506" t="str">
        <f>TEXT(Transactions_Clean[[#This Row],[Date]],"MMM-YYYY")</f>
        <v>Mar-2025</v>
      </c>
      <c r="L1506">
        <f>IF(Transactions_Clean[[#This Row],[Category]]="Revenue",Transactions_Clean[[#This Row],[Amount(₹)]],Transactions_Clean[[#This Row],[Amount(₹)]]/8)</f>
        <v>-5884.5</v>
      </c>
    </row>
    <row r="1507" spans="1:12">
      <c r="A1507" t="s">
        <v>2563</v>
      </c>
      <c r="B1507" t="s">
        <v>215</v>
      </c>
      <c r="C1507" t="s">
        <v>61</v>
      </c>
      <c r="D1507">
        <v>-50032</v>
      </c>
      <c r="E1507" t="s">
        <v>62</v>
      </c>
      <c r="F1507" t="s">
        <v>32</v>
      </c>
      <c r="G1507" t="s">
        <v>63</v>
      </c>
      <c r="H1507" t="s">
        <v>26</v>
      </c>
      <c r="I1507" t="s">
        <v>34</v>
      </c>
      <c r="J1507" s="11">
        <v>45095</v>
      </c>
      <c r="K1507" t="str">
        <f>TEXT(Transactions_Clean[[#This Row],[Date]],"MMM-YYYY")</f>
        <v>Jun-2023</v>
      </c>
      <c r="L1507">
        <f>IF(Transactions_Clean[[#This Row],[Category]]="Revenue",Transactions_Clean[[#This Row],[Amount(₹)]],Transactions_Clean[[#This Row],[Amount(₹)]]/8)</f>
        <v>-6254</v>
      </c>
    </row>
    <row r="1508" spans="1:12">
      <c r="A1508" t="s">
        <v>2565</v>
      </c>
      <c r="B1508" t="s">
        <v>66</v>
      </c>
      <c r="C1508" t="s">
        <v>61</v>
      </c>
      <c r="D1508">
        <v>-31917</v>
      </c>
      <c r="E1508" t="s">
        <v>62</v>
      </c>
      <c r="F1508" t="s">
        <v>32</v>
      </c>
      <c r="G1508" t="s">
        <v>63</v>
      </c>
      <c r="H1508" t="s">
        <v>26</v>
      </c>
      <c r="I1508" t="s">
        <v>27</v>
      </c>
      <c r="J1508" s="11">
        <v>45338</v>
      </c>
      <c r="K1508" t="str">
        <f>TEXT(Transactions_Clean[[#This Row],[Date]],"MMM-YYYY")</f>
        <v>Feb-2024</v>
      </c>
      <c r="L1508">
        <f>IF(Transactions_Clean[[#This Row],[Category]]="Revenue",Transactions_Clean[[#This Row],[Amount(₹)]],Transactions_Clean[[#This Row],[Amount(₹)]]/8)</f>
        <v>-3989.625</v>
      </c>
    </row>
    <row r="1509" spans="1:12">
      <c r="A1509" t="s">
        <v>2566</v>
      </c>
      <c r="B1509" t="s">
        <v>4763</v>
      </c>
      <c r="C1509" t="s">
        <v>22</v>
      </c>
      <c r="D1509">
        <v>-154519</v>
      </c>
      <c r="E1509" t="s">
        <v>23</v>
      </c>
      <c r="F1509" t="s">
        <v>24</v>
      </c>
      <c r="G1509" t="s">
        <v>25</v>
      </c>
      <c r="H1509" t="s">
        <v>39</v>
      </c>
      <c r="I1509" t="s">
        <v>48</v>
      </c>
      <c r="J1509" s="11">
        <v>45972</v>
      </c>
      <c r="K1509" t="str">
        <f>TEXT(Transactions_Clean[[#This Row],[Date]],"MMM-YYYY")</f>
        <v>Nov-2025</v>
      </c>
      <c r="L1509">
        <f>IF(Transactions_Clean[[#This Row],[Category]]="Revenue",Transactions_Clean[[#This Row],[Amount(₹)]],Transactions_Clean[[#This Row],[Amount(₹)]]/8)</f>
        <v>-19314.875</v>
      </c>
    </row>
    <row r="1510" spans="1:12">
      <c r="A1510" t="s">
        <v>2567</v>
      </c>
      <c r="B1510" t="s">
        <v>4755</v>
      </c>
      <c r="C1510" t="s">
        <v>4750</v>
      </c>
      <c r="D1510">
        <v>-58064</v>
      </c>
      <c r="E1510" t="s">
        <v>23</v>
      </c>
      <c r="F1510" t="s">
        <v>32</v>
      </c>
      <c r="G1510" t="s">
        <v>79</v>
      </c>
      <c r="H1510" t="s">
        <v>26</v>
      </c>
      <c r="I1510" t="s">
        <v>34</v>
      </c>
      <c r="J1510" s="11">
        <v>45071</v>
      </c>
      <c r="K1510" t="str">
        <f>TEXT(Transactions_Clean[[#This Row],[Date]],"MMM-YYYY")</f>
        <v>May-2023</v>
      </c>
      <c r="L1510">
        <f>IF(Transactions_Clean[[#This Row],[Category]]="Revenue",Transactions_Clean[[#This Row],[Amount(₹)]],Transactions_Clean[[#This Row],[Amount(₹)]]/8)</f>
        <v>-7258</v>
      </c>
    </row>
    <row r="1511" spans="1:12">
      <c r="A1511" t="s">
        <v>2568</v>
      </c>
      <c r="B1511" t="s">
        <v>66</v>
      </c>
      <c r="C1511" t="s">
        <v>4750</v>
      </c>
      <c r="D1511">
        <v>-45444</v>
      </c>
      <c r="E1511" t="s">
        <v>62</v>
      </c>
      <c r="F1511" t="s">
        <v>24</v>
      </c>
      <c r="G1511" t="s">
        <v>63</v>
      </c>
      <c r="H1511" t="s">
        <v>45</v>
      </c>
      <c r="I1511" t="s">
        <v>34</v>
      </c>
      <c r="J1511" s="11">
        <v>45392</v>
      </c>
      <c r="K1511" t="str">
        <f>TEXT(Transactions_Clean[[#This Row],[Date]],"MMM-YYYY")</f>
        <v>Apr-2024</v>
      </c>
      <c r="L1511">
        <f>IF(Transactions_Clean[[#This Row],[Category]]="Revenue",Transactions_Clean[[#This Row],[Amount(₹)]],Transactions_Clean[[#This Row],[Amount(₹)]]/8)</f>
        <v>-5680.5</v>
      </c>
    </row>
    <row r="1512" spans="1:12">
      <c r="A1512" t="s">
        <v>2569</v>
      </c>
      <c r="B1512" t="s">
        <v>4764</v>
      </c>
      <c r="C1512" t="s">
        <v>157</v>
      </c>
      <c r="D1512">
        <v>630565</v>
      </c>
      <c r="E1512" t="s">
        <v>62</v>
      </c>
      <c r="F1512" t="s">
        <v>32</v>
      </c>
      <c r="G1512" t="s">
        <v>25</v>
      </c>
      <c r="H1512" t="s">
        <v>45</v>
      </c>
      <c r="I1512" t="s">
        <v>48</v>
      </c>
      <c r="J1512" s="11">
        <v>45361</v>
      </c>
      <c r="K1512" t="str">
        <f>TEXT(Transactions_Clean[[#This Row],[Date]],"MMM-YYYY")</f>
        <v>Mar-2024</v>
      </c>
      <c r="L1512">
        <f>IF(Transactions_Clean[[#This Row],[Category]]="Revenue",Transactions_Clean[[#This Row],[Amount(₹)]],Transactions_Clean[[#This Row],[Amount(₹)]]/8)</f>
        <v>630565</v>
      </c>
    </row>
    <row r="1513" spans="1:12">
      <c r="A1513" t="s">
        <v>2571</v>
      </c>
      <c r="B1513" t="s">
        <v>4753</v>
      </c>
      <c r="C1513" t="s">
        <v>38</v>
      </c>
      <c r="D1513">
        <v>-35606</v>
      </c>
      <c r="E1513" t="s">
        <v>23</v>
      </c>
      <c r="F1513" t="s">
        <v>32</v>
      </c>
      <c r="G1513" t="s">
        <v>33</v>
      </c>
      <c r="H1513" t="s">
        <v>39</v>
      </c>
      <c r="I1513" t="s">
        <v>40</v>
      </c>
      <c r="J1513" s="11">
        <v>45849</v>
      </c>
      <c r="K1513" t="str">
        <f>TEXT(Transactions_Clean[[#This Row],[Date]],"MMM-YYYY")</f>
        <v>Jul-2025</v>
      </c>
      <c r="L1513">
        <f>IF(Transactions_Clean[[#This Row],[Category]]="Revenue",Transactions_Clean[[#This Row],[Amount(₹)]],Transactions_Clean[[#This Row],[Amount(₹)]]/8)</f>
        <v>-4450.75</v>
      </c>
    </row>
    <row r="1514" spans="1:12">
      <c r="A1514" t="s">
        <v>2573</v>
      </c>
      <c r="B1514" t="s">
        <v>72</v>
      </c>
      <c r="C1514" t="s">
        <v>73</v>
      </c>
      <c r="D1514">
        <v>-10832</v>
      </c>
      <c r="E1514" t="s">
        <v>74</v>
      </c>
      <c r="F1514" t="s">
        <v>32</v>
      </c>
      <c r="G1514" t="s">
        <v>25</v>
      </c>
      <c r="H1514" t="s">
        <v>39</v>
      </c>
      <c r="I1514" t="s">
        <v>48</v>
      </c>
      <c r="J1514" s="11">
        <v>46010</v>
      </c>
      <c r="K1514" t="str">
        <f>TEXT(Transactions_Clean[[#This Row],[Date]],"MMM-YYYY")</f>
        <v>Dec-2025</v>
      </c>
      <c r="L1514">
        <f>IF(Transactions_Clean[[#This Row],[Category]]="Revenue",Transactions_Clean[[#This Row],[Amount(₹)]],Transactions_Clean[[#This Row],[Amount(₹)]]/8)</f>
        <v>-1354</v>
      </c>
    </row>
    <row r="1515" spans="1:12">
      <c r="A1515" t="s">
        <v>2575</v>
      </c>
      <c r="B1515" t="s">
        <v>215</v>
      </c>
      <c r="C1515" t="s">
        <v>61</v>
      </c>
      <c r="D1515">
        <v>-48441</v>
      </c>
      <c r="E1515" t="s">
        <v>62</v>
      </c>
      <c r="F1515" t="s">
        <v>32</v>
      </c>
      <c r="G1515" t="s">
        <v>63</v>
      </c>
      <c r="H1515" t="s">
        <v>45</v>
      </c>
      <c r="I1515" t="s">
        <v>34</v>
      </c>
      <c r="J1515" s="11">
        <v>45470</v>
      </c>
      <c r="K1515" t="str">
        <f>TEXT(Transactions_Clean[[#This Row],[Date]],"MMM-YYYY")</f>
        <v>Jun-2024</v>
      </c>
      <c r="L1515">
        <f>IF(Transactions_Clean[[#This Row],[Category]]="Revenue",Transactions_Clean[[#This Row],[Amount(₹)]],Transactions_Clean[[#This Row],[Amount(₹)]]/8)</f>
        <v>-6055.125</v>
      </c>
    </row>
    <row r="1516" spans="1:12">
      <c r="A1516" t="s">
        <v>2577</v>
      </c>
      <c r="B1516" t="s">
        <v>129</v>
      </c>
      <c r="C1516" t="s">
        <v>38</v>
      </c>
      <c r="D1516">
        <v>-31666</v>
      </c>
      <c r="E1516" t="s">
        <v>23</v>
      </c>
      <c r="F1516" t="s">
        <v>32</v>
      </c>
      <c r="G1516" t="s">
        <v>33</v>
      </c>
      <c r="H1516" t="s">
        <v>26</v>
      </c>
      <c r="I1516" t="s">
        <v>40</v>
      </c>
      <c r="J1516" s="11">
        <v>45116</v>
      </c>
      <c r="K1516" t="str">
        <f>TEXT(Transactions_Clean[[#This Row],[Date]],"MMM-YYYY")</f>
        <v>Jul-2023</v>
      </c>
      <c r="L1516">
        <f>IF(Transactions_Clean[[#This Row],[Category]]="Revenue",Transactions_Clean[[#This Row],[Amount(₹)]],Transactions_Clean[[#This Row],[Amount(₹)]]/8)</f>
        <v>-3958.25</v>
      </c>
    </row>
    <row r="1517" spans="1:12">
      <c r="A1517" t="s">
        <v>2579</v>
      </c>
      <c r="B1517" t="s">
        <v>60</v>
      </c>
      <c r="C1517" t="s">
        <v>61</v>
      </c>
      <c r="D1517">
        <v>-54091</v>
      </c>
      <c r="E1517" t="s">
        <v>62</v>
      </c>
      <c r="F1517" t="s">
        <v>24</v>
      </c>
      <c r="G1517" t="s">
        <v>63</v>
      </c>
      <c r="H1517" t="s">
        <v>26</v>
      </c>
      <c r="I1517" t="s">
        <v>27</v>
      </c>
      <c r="J1517" s="11">
        <v>45300</v>
      </c>
      <c r="K1517" t="str">
        <f>TEXT(Transactions_Clean[[#This Row],[Date]],"MMM-YYYY")</f>
        <v>Jan-2024</v>
      </c>
      <c r="L1517">
        <f>IF(Transactions_Clean[[#This Row],[Category]]="Revenue",Transactions_Clean[[#This Row],[Amount(₹)]],Transactions_Clean[[#This Row],[Amount(₹)]]/8)</f>
        <v>-6761.375</v>
      </c>
    </row>
    <row r="1518" spans="1:12">
      <c r="A1518" t="s">
        <v>2580</v>
      </c>
      <c r="B1518" t="s">
        <v>4751</v>
      </c>
      <c r="C1518" t="s">
        <v>38</v>
      </c>
      <c r="D1518">
        <v>-34779</v>
      </c>
      <c r="E1518" t="s">
        <v>23</v>
      </c>
      <c r="F1518" t="s">
        <v>32</v>
      </c>
      <c r="G1518" t="s">
        <v>33</v>
      </c>
      <c r="H1518" t="s">
        <v>26</v>
      </c>
      <c r="I1518" t="s">
        <v>27</v>
      </c>
      <c r="J1518" s="11">
        <v>45385</v>
      </c>
      <c r="K1518" t="str">
        <f>TEXT(Transactions_Clean[[#This Row],[Date]],"MMM-YYYY")</f>
        <v>Apr-2024</v>
      </c>
      <c r="L1518">
        <f>IF(Transactions_Clean[[#This Row],[Category]]="Revenue",Transactions_Clean[[#This Row],[Amount(₹)]],Transactions_Clean[[#This Row],[Amount(₹)]]/8)</f>
        <v>-4347.375</v>
      </c>
    </row>
    <row r="1519" spans="1:12">
      <c r="A1519" t="s">
        <v>2581</v>
      </c>
      <c r="B1519" t="s">
        <v>177</v>
      </c>
      <c r="C1519" t="s">
        <v>78</v>
      </c>
      <c r="D1519">
        <v>-90235</v>
      </c>
      <c r="E1519" t="s">
        <v>23</v>
      </c>
      <c r="F1519" t="s">
        <v>32</v>
      </c>
      <c r="G1519" t="s">
        <v>79</v>
      </c>
      <c r="H1519" t="s">
        <v>39</v>
      </c>
      <c r="I1519" t="s">
        <v>40</v>
      </c>
      <c r="J1519" s="11">
        <v>45895</v>
      </c>
      <c r="K1519" t="str">
        <f>TEXT(Transactions_Clean[[#This Row],[Date]],"MMM-YYYY")</f>
        <v>Aug-2025</v>
      </c>
      <c r="L1519">
        <f>IF(Transactions_Clean[[#This Row],[Category]]="Revenue",Transactions_Clean[[#This Row],[Amount(₹)]],Transactions_Clean[[#This Row],[Amount(₹)]]/8)</f>
        <v>-11279.375</v>
      </c>
    </row>
    <row r="1520" spans="1:12">
      <c r="A1520" t="s">
        <v>2582</v>
      </c>
      <c r="B1520" t="s">
        <v>4754</v>
      </c>
      <c r="C1520" t="s">
        <v>78</v>
      </c>
      <c r="D1520">
        <v>-89536</v>
      </c>
      <c r="E1520" t="s">
        <v>23</v>
      </c>
      <c r="F1520" t="s">
        <v>24</v>
      </c>
      <c r="G1520" t="s">
        <v>79</v>
      </c>
      <c r="H1520" t="s">
        <v>26</v>
      </c>
      <c r="I1520" t="s">
        <v>27</v>
      </c>
      <c r="J1520" s="11">
        <v>45293</v>
      </c>
      <c r="K1520" t="str">
        <f>TEXT(Transactions_Clean[[#This Row],[Date]],"MMM-YYYY")</f>
        <v>Jan-2024</v>
      </c>
      <c r="L1520">
        <f>IF(Transactions_Clean[[#This Row],[Category]]="Revenue",Transactions_Clean[[#This Row],[Amount(₹)]],Transactions_Clean[[#This Row],[Amount(₹)]]/8)</f>
        <v>-11192</v>
      </c>
    </row>
    <row r="1521" spans="1:12">
      <c r="A1521" t="s">
        <v>2583</v>
      </c>
      <c r="B1521" t="s">
        <v>4752</v>
      </c>
      <c r="C1521" t="s">
        <v>44</v>
      </c>
      <c r="D1521">
        <v>-78761</v>
      </c>
      <c r="E1521" t="s">
        <v>23</v>
      </c>
      <c r="F1521" t="s">
        <v>24</v>
      </c>
      <c r="G1521" t="s">
        <v>33</v>
      </c>
      <c r="H1521" t="s">
        <v>45</v>
      </c>
      <c r="I1521" t="s">
        <v>40</v>
      </c>
      <c r="J1521" s="11">
        <v>45538</v>
      </c>
      <c r="K1521" t="str">
        <f>TEXT(Transactions_Clean[[#This Row],[Date]],"MMM-YYYY")</f>
        <v>Sep-2024</v>
      </c>
      <c r="L1521">
        <f>IF(Transactions_Clean[[#This Row],[Category]]="Revenue",Transactions_Clean[[#This Row],[Amount(₹)]],Transactions_Clean[[#This Row],[Amount(₹)]]/8)</f>
        <v>-9845.125</v>
      </c>
    </row>
    <row r="1522" spans="1:12">
      <c r="A1522" t="s">
        <v>2584</v>
      </c>
      <c r="B1522" t="s">
        <v>4752</v>
      </c>
      <c r="C1522" t="s">
        <v>44</v>
      </c>
      <c r="D1522">
        <v>-82990</v>
      </c>
      <c r="E1522" t="s">
        <v>23</v>
      </c>
      <c r="F1522" t="s">
        <v>24</v>
      </c>
      <c r="G1522" t="s">
        <v>33</v>
      </c>
      <c r="H1522" t="s">
        <v>26</v>
      </c>
      <c r="I1522" t="s">
        <v>40</v>
      </c>
      <c r="J1522" s="11">
        <v>45191</v>
      </c>
      <c r="K1522" t="str">
        <f>TEXT(Transactions_Clean[[#This Row],[Date]],"MMM-YYYY")</f>
        <v>Sep-2023</v>
      </c>
      <c r="L1522">
        <f>IF(Transactions_Clean[[#This Row],[Category]]="Revenue",Transactions_Clean[[#This Row],[Amount(₹)]],Transactions_Clean[[#This Row],[Amount(₹)]]/8)</f>
        <v>-10373.75</v>
      </c>
    </row>
    <row r="1523" spans="1:12">
      <c r="A1523" t="s">
        <v>2585</v>
      </c>
      <c r="B1523" t="s">
        <v>72</v>
      </c>
      <c r="C1523" t="s">
        <v>73</v>
      </c>
      <c r="D1523">
        <v>-91101</v>
      </c>
      <c r="E1523" t="s">
        <v>74</v>
      </c>
      <c r="F1523" t="s">
        <v>32</v>
      </c>
      <c r="G1523" t="s">
        <v>25</v>
      </c>
      <c r="H1523" t="s">
        <v>39</v>
      </c>
      <c r="I1523" t="s">
        <v>27</v>
      </c>
      <c r="J1523" s="11">
        <v>46296</v>
      </c>
      <c r="K1523" t="str">
        <f>TEXT(Transactions_Clean[[#This Row],[Date]],"MMM-YYYY")</f>
        <v>Oct-2026</v>
      </c>
      <c r="L1523">
        <f>IF(Transactions_Clean[[#This Row],[Category]]="Revenue",Transactions_Clean[[#This Row],[Amount(₹)]],Transactions_Clean[[#This Row],[Amount(₹)]]/8)</f>
        <v>-11387.625</v>
      </c>
    </row>
    <row r="1524" spans="1:12">
      <c r="A1524" t="s">
        <v>2587</v>
      </c>
      <c r="B1524" t="s">
        <v>66</v>
      </c>
      <c r="C1524" t="s">
        <v>61</v>
      </c>
      <c r="D1524">
        <v>-40133</v>
      </c>
      <c r="E1524" t="s">
        <v>62</v>
      </c>
      <c r="F1524" t="s">
        <v>24</v>
      </c>
      <c r="G1524" t="s">
        <v>63</v>
      </c>
      <c r="H1524" t="s">
        <v>26</v>
      </c>
      <c r="I1524" t="s">
        <v>34</v>
      </c>
      <c r="J1524" s="11">
        <v>45096</v>
      </c>
      <c r="K1524" t="str">
        <f>TEXT(Transactions_Clean[[#This Row],[Date]],"MMM-YYYY")</f>
        <v>Jun-2023</v>
      </c>
      <c r="L1524">
        <f>IF(Transactions_Clean[[#This Row],[Category]]="Revenue",Transactions_Clean[[#This Row],[Amount(₹)]],Transactions_Clean[[#This Row],[Amount(₹)]]/8)</f>
        <v>-5016.625</v>
      </c>
    </row>
    <row r="1525" spans="1:12">
      <c r="A1525" t="s">
        <v>2588</v>
      </c>
      <c r="B1525" t="s">
        <v>4751</v>
      </c>
      <c r="C1525" t="s">
        <v>38</v>
      </c>
      <c r="D1525">
        <v>-45962</v>
      </c>
      <c r="E1525" t="s">
        <v>23</v>
      </c>
      <c r="F1525" t="s">
        <v>32</v>
      </c>
      <c r="G1525" t="s">
        <v>33</v>
      </c>
      <c r="H1525" t="s">
        <v>39</v>
      </c>
      <c r="I1525" t="s">
        <v>40</v>
      </c>
      <c r="J1525" s="11">
        <v>45847</v>
      </c>
      <c r="K1525" t="str">
        <f>TEXT(Transactions_Clean[[#This Row],[Date]],"MMM-YYYY")</f>
        <v>Jul-2025</v>
      </c>
      <c r="L1525">
        <f>IF(Transactions_Clean[[#This Row],[Category]]="Revenue",Transactions_Clean[[#This Row],[Amount(₹)]],Transactions_Clean[[#This Row],[Amount(₹)]]/8)</f>
        <v>-5745.25</v>
      </c>
    </row>
    <row r="1526" spans="1:12">
      <c r="A1526" t="s">
        <v>2589</v>
      </c>
      <c r="B1526" t="s">
        <v>51</v>
      </c>
      <c r="C1526" t="s">
        <v>31</v>
      </c>
      <c r="D1526">
        <v>-11092</v>
      </c>
      <c r="E1526" t="s">
        <v>23</v>
      </c>
      <c r="F1526" t="s">
        <v>32</v>
      </c>
      <c r="G1526" t="s">
        <v>33</v>
      </c>
      <c r="H1526" t="s">
        <v>26</v>
      </c>
      <c r="I1526" t="s">
        <v>34</v>
      </c>
      <c r="J1526" s="11">
        <v>45058</v>
      </c>
      <c r="K1526" t="str">
        <f>TEXT(Transactions_Clean[[#This Row],[Date]],"MMM-YYYY")</f>
        <v>May-2023</v>
      </c>
      <c r="L1526">
        <f>IF(Transactions_Clean[[#This Row],[Category]]="Revenue",Transactions_Clean[[#This Row],[Amount(₹)]],Transactions_Clean[[#This Row],[Amount(₹)]]/8)</f>
        <v>-1386.5</v>
      </c>
    </row>
    <row r="1527" spans="1:12">
      <c r="A1527" t="s">
        <v>2590</v>
      </c>
      <c r="B1527" t="s">
        <v>106</v>
      </c>
      <c r="C1527" t="s">
        <v>31</v>
      </c>
      <c r="D1527">
        <v>-43936</v>
      </c>
      <c r="E1527" t="s">
        <v>23</v>
      </c>
      <c r="F1527" t="s">
        <v>32</v>
      </c>
      <c r="G1527" t="s">
        <v>33</v>
      </c>
      <c r="H1527" t="s">
        <v>45</v>
      </c>
      <c r="I1527" t="s">
        <v>27</v>
      </c>
      <c r="J1527" s="11">
        <v>45665</v>
      </c>
      <c r="K1527" t="str">
        <f>TEXT(Transactions_Clean[[#This Row],[Date]],"MMM-YYYY")</f>
        <v>Jan-2025</v>
      </c>
      <c r="L1527">
        <f>IF(Transactions_Clean[[#This Row],[Category]]="Revenue",Transactions_Clean[[#This Row],[Amount(₹)]],Transactions_Clean[[#This Row],[Amount(₹)]]/8)</f>
        <v>-5492</v>
      </c>
    </row>
    <row r="1528" spans="1:12">
      <c r="A1528" t="s">
        <v>2591</v>
      </c>
      <c r="B1528" t="s">
        <v>4749</v>
      </c>
      <c r="C1528" t="s">
        <v>44</v>
      </c>
      <c r="D1528">
        <v>-46544</v>
      </c>
      <c r="E1528" t="s">
        <v>23</v>
      </c>
      <c r="F1528" t="s">
        <v>32</v>
      </c>
      <c r="G1528" t="s">
        <v>33</v>
      </c>
      <c r="H1528" t="s">
        <v>26</v>
      </c>
      <c r="I1528" t="s">
        <v>40</v>
      </c>
      <c r="J1528" s="11">
        <v>45166</v>
      </c>
      <c r="K1528" t="str">
        <f>TEXT(Transactions_Clean[[#This Row],[Date]],"MMM-YYYY")</f>
        <v>Aug-2023</v>
      </c>
      <c r="L1528">
        <f>IF(Transactions_Clean[[#This Row],[Category]]="Revenue",Transactions_Clean[[#This Row],[Amount(₹)]],Transactions_Clean[[#This Row],[Amount(₹)]]/8)</f>
        <v>-5818</v>
      </c>
    </row>
    <row r="1529" spans="1:12">
      <c r="A1529" t="s">
        <v>2592</v>
      </c>
      <c r="B1529" t="s">
        <v>100</v>
      </c>
      <c r="C1529" t="s">
        <v>31</v>
      </c>
      <c r="D1529">
        <v>-22083</v>
      </c>
      <c r="E1529" t="s">
        <v>23</v>
      </c>
      <c r="F1529" t="s">
        <v>32</v>
      </c>
      <c r="G1529" t="s">
        <v>33</v>
      </c>
      <c r="H1529" t="s">
        <v>26</v>
      </c>
      <c r="I1529" t="s">
        <v>48</v>
      </c>
      <c r="J1529" s="11">
        <v>45224</v>
      </c>
      <c r="K1529" t="str">
        <f>TEXT(Transactions_Clean[[#This Row],[Date]],"MMM-YYYY")</f>
        <v>Oct-2023</v>
      </c>
      <c r="L1529">
        <f>IF(Transactions_Clean[[#This Row],[Category]]="Revenue",Transactions_Clean[[#This Row],[Amount(₹)]],Transactions_Clean[[#This Row],[Amount(₹)]]/8)</f>
        <v>-2760.375</v>
      </c>
    </row>
    <row r="1530" spans="1:12">
      <c r="A1530" t="s">
        <v>2593</v>
      </c>
      <c r="B1530" t="s">
        <v>30</v>
      </c>
      <c r="C1530" t="s">
        <v>31</v>
      </c>
      <c r="D1530">
        <v>-4400</v>
      </c>
      <c r="E1530" t="s">
        <v>23</v>
      </c>
      <c r="F1530" t="s">
        <v>32</v>
      </c>
      <c r="G1530" t="s">
        <v>33</v>
      </c>
      <c r="H1530" t="s">
        <v>26</v>
      </c>
      <c r="I1530" t="s">
        <v>34</v>
      </c>
      <c r="J1530" s="11">
        <v>45052</v>
      </c>
      <c r="K1530" t="str">
        <f>TEXT(Transactions_Clean[[#This Row],[Date]],"MMM-YYYY")</f>
        <v>May-2023</v>
      </c>
      <c r="L1530">
        <f>IF(Transactions_Clean[[#This Row],[Category]]="Revenue",Transactions_Clean[[#This Row],[Amount(₹)]],Transactions_Clean[[#This Row],[Amount(₹)]]/8)</f>
        <v>-550</v>
      </c>
    </row>
    <row r="1531" spans="1:12">
      <c r="A1531" t="s">
        <v>2594</v>
      </c>
      <c r="B1531" t="s">
        <v>72</v>
      </c>
      <c r="C1531" t="s">
        <v>73</v>
      </c>
      <c r="D1531">
        <v>-43910</v>
      </c>
      <c r="E1531" t="s">
        <v>74</v>
      </c>
      <c r="F1531" t="s">
        <v>32</v>
      </c>
      <c r="G1531" t="s">
        <v>25</v>
      </c>
      <c r="H1531" t="s">
        <v>26</v>
      </c>
      <c r="I1531" t="s">
        <v>40</v>
      </c>
      <c r="J1531" s="11">
        <v>45181</v>
      </c>
      <c r="K1531" t="str">
        <f>TEXT(Transactions_Clean[[#This Row],[Date]],"MMM-YYYY")</f>
        <v>Sep-2023</v>
      </c>
      <c r="L1531">
        <f>IF(Transactions_Clean[[#This Row],[Category]]="Revenue",Transactions_Clean[[#This Row],[Amount(₹)]],Transactions_Clean[[#This Row],[Amount(₹)]]/8)</f>
        <v>-5488.75</v>
      </c>
    </row>
    <row r="1532" spans="1:12">
      <c r="A1532" t="s">
        <v>2595</v>
      </c>
      <c r="B1532" t="s">
        <v>30</v>
      </c>
      <c r="C1532" t="s">
        <v>31</v>
      </c>
      <c r="D1532">
        <v>-5609</v>
      </c>
      <c r="E1532" t="s">
        <v>23</v>
      </c>
      <c r="F1532" t="s">
        <v>32</v>
      </c>
      <c r="G1532" t="s">
        <v>33</v>
      </c>
      <c r="H1532" t="s">
        <v>26</v>
      </c>
      <c r="I1532" t="s">
        <v>40</v>
      </c>
      <c r="J1532" s="11">
        <v>45123</v>
      </c>
      <c r="K1532" t="str">
        <f>TEXT(Transactions_Clean[[#This Row],[Date]],"MMM-YYYY")</f>
        <v>Jul-2023</v>
      </c>
      <c r="L1532">
        <f>IF(Transactions_Clean[[#This Row],[Category]]="Revenue",Transactions_Clean[[#This Row],[Amount(₹)]],Transactions_Clean[[#This Row],[Amount(₹)]]/8)</f>
        <v>-701.125</v>
      </c>
    </row>
    <row r="1533" spans="1:12">
      <c r="A1533" t="s">
        <v>2596</v>
      </c>
      <c r="B1533" t="s">
        <v>4753</v>
      </c>
      <c r="C1533" t="s">
        <v>38</v>
      </c>
      <c r="D1533">
        <v>-49504</v>
      </c>
      <c r="E1533" t="s">
        <v>23</v>
      </c>
      <c r="F1533" t="s">
        <v>32</v>
      </c>
      <c r="G1533" t="s">
        <v>33</v>
      </c>
      <c r="H1533" t="s">
        <v>39</v>
      </c>
      <c r="I1533" t="s">
        <v>48</v>
      </c>
      <c r="J1533" s="11">
        <v>45976</v>
      </c>
      <c r="K1533" t="str">
        <f>TEXT(Transactions_Clean[[#This Row],[Date]],"MMM-YYYY")</f>
        <v>Nov-2025</v>
      </c>
      <c r="L1533">
        <f>IF(Transactions_Clean[[#This Row],[Category]]="Revenue",Transactions_Clean[[#This Row],[Amount(₹)]],Transactions_Clean[[#This Row],[Amount(₹)]]/8)</f>
        <v>-6188</v>
      </c>
    </row>
    <row r="1534" spans="1:12">
      <c r="A1534" t="s">
        <v>2597</v>
      </c>
      <c r="B1534" t="s">
        <v>4760</v>
      </c>
      <c r="C1534" t="s">
        <v>73</v>
      </c>
      <c r="D1534">
        <v>-76843</v>
      </c>
      <c r="E1534" t="s">
        <v>74</v>
      </c>
      <c r="F1534" t="s">
        <v>24</v>
      </c>
      <c r="G1534" t="s">
        <v>25</v>
      </c>
      <c r="H1534" t="s">
        <v>45</v>
      </c>
      <c r="I1534" t="s">
        <v>48</v>
      </c>
      <c r="J1534" s="11">
        <v>45612</v>
      </c>
      <c r="K1534" t="str">
        <f>TEXT(Transactions_Clean[[#This Row],[Date]],"MMM-YYYY")</f>
        <v>Nov-2024</v>
      </c>
      <c r="L1534">
        <f>IF(Transactions_Clean[[#This Row],[Category]]="Revenue",Transactions_Clean[[#This Row],[Amount(₹)]],Transactions_Clean[[#This Row],[Amount(₹)]]/8)</f>
        <v>-9605.375</v>
      </c>
    </row>
    <row r="1535" spans="1:12">
      <c r="A1535" t="s">
        <v>2598</v>
      </c>
      <c r="B1535" t="s">
        <v>72</v>
      </c>
      <c r="C1535" t="s">
        <v>73</v>
      </c>
      <c r="D1535">
        <v>-10215</v>
      </c>
      <c r="E1535" t="s">
        <v>74</v>
      </c>
      <c r="F1535" t="s">
        <v>24</v>
      </c>
      <c r="G1535" t="s">
        <v>25</v>
      </c>
      <c r="H1535" t="s">
        <v>39</v>
      </c>
      <c r="I1535" t="s">
        <v>40</v>
      </c>
      <c r="J1535" s="11">
        <v>45884</v>
      </c>
      <c r="K1535" t="str">
        <f>TEXT(Transactions_Clean[[#This Row],[Date]],"MMM-YYYY")</f>
        <v>Aug-2025</v>
      </c>
      <c r="L1535">
        <f>IF(Transactions_Clean[[#This Row],[Category]]="Revenue",Transactions_Clean[[#This Row],[Amount(₹)]],Transactions_Clean[[#This Row],[Amount(₹)]]/8)</f>
        <v>-1276.875</v>
      </c>
    </row>
    <row r="1536" spans="1:12">
      <c r="A1536" t="s">
        <v>2600</v>
      </c>
      <c r="B1536" t="s">
        <v>4763</v>
      </c>
      <c r="C1536" t="s">
        <v>22</v>
      </c>
      <c r="D1536">
        <v>-39365</v>
      </c>
      <c r="E1536" t="s">
        <v>23</v>
      </c>
      <c r="F1536" t="s">
        <v>24</v>
      </c>
      <c r="G1536" t="s">
        <v>25</v>
      </c>
      <c r="H1536" t="s">
        <v>26</v>
      </c>
      <c r="I1536" t="s">
        <v>34</v>
      </c>
      <c r="J1536" s="11">
        <v>45096</v>
      </c>
      <c r="K1536" t="str">
        <f>TEXT(Transactions_Clean[[#This Row],[Date]],"MMM-YYYY")</f>
        <v>Jun-2023</v>
      </c>
      <c r="L1536">
        <f>IF(Transactions_Clean[[#This Row],[Category]]="Revenue",Transactions_Clean[[#This Row],[Amount(₹)]],Transactions_Clean[[#This Row],[Amount(₹)]]/8)</f>
        <v>-4920.625</v>
      </c>
    </row>
    <row r="1537" spans="1:12">
      <c r="A1537" t="s">
        <v>2601</v>
      </c>
      <c r="B1537" t="s">
        <v>4765</v>
      </c>
      <c r="C1537" t="s">
        <v>73</v>
      </c>
      <c r="D1537">
        <v>-32586</v>
      </c>
      <c r="E1537" t="s">
        <v>74</v>
      </c>
      <c r="F1537" t="s">
        <v>32</v>
      </c>
      <c r="G1537" t="s">
        <v>25</v>
      </c>
      <c r="H1537" t="s">
        <v>26</v>
      </c>
      <c r="I1537" t="s">
        <v>34</v>
      </c>
      <c r="J1537" s="11">
        <v>45063</v>
      </c>
      <c r="K1537" t="str">
        <f>TEXT(Transactions_Clean[[#This Row],[Date]],"MMM-YYYY")</f>
        <v>May-2023</v>
      </c>
      <c r="L1537">
        <f>IF(Transactions_Clean[[#This Row],[Category]]="Revenue",Transactions_Clean[[#This Row],[Amount(₹)]],Transactions_Clean[[#This Row],[Amount(₹)]]/8)</f>
        <v>-4073.25</v>
      </c>
    </row>
    <row r="1538" spans="1:12">
      <c r="A1538" t="s">
        <v>2602</v>
      </c>
      <c r="B1538" t="s">
        <v>106</v>
      </c>
      <c r="C1538" t="s">
        <v>31</v>
      </c>
      <c r="D1538">
        <v>-37038</v>
      </c>
      <c r="E1538" t="s">
        <v>23</v>
      </c>
      <c r="F1538" t="s">
        <v>32</v>
      </c>
      <c r="G1538" t="s">
        <v>33</v>
      </c>
      <c r="H1538" t="s">
        <v>45</v>
      </c>
      <c r="I1538" t="s">
        <v>27</v>
      </c>
      <c r="J1538" s="11">
        <v>45667</v>
      </c>
      <c r="K1538" t="str">
        <f>TEXT(Transactions_Clean[[#This Row],[Date]],"MMM-YYYY")</f>
        <v>Jan-2025</v>
      </c>
      <c r="L1538">
        <f>IF(Transactions_Clean[[#This Row],[Category]]="Revenue",Transactions_Clean[[#This Row],[Amount(₹)]],Transactions_Clean[[#This Row],[Amount(₹)]]/8)</f>
        <v>-4629.75</v>
      </c>
    </row>
    <row r="1539" spans="1:12">
      <c r="A1539" t="s">
        <v>2603</v>
      </c>
      <c r="B1539" t="s">
        <v>4768</v>
      </c>
      <c r="C1539" t="s">
        <v>157</v>
      </c>
      <c r="D1539">
        <v>699647</v>
      </c>
      <c r="E1539" t="s">
        <v>62</v>
      </c>
      <c r="F1539" t="s">
        <v>32</v>
      </c>
      <c r="G1539" t="s">
        <v>25</v>
      </c>
      <c r="H1539" t="s">
        <v>39</v>
      </c>
      <c r="I1539" t="s">
        <v>34</v>
      </c>
      <c r="J1539" s="11">
        <v>45801</v>
      </c>
      <c r="K1539" t="str">
        <f>TEXT(Transactions_Clean[[#This Row],[Date]],"MMM-YYYY")</f>
        <v>May-2025</v>
      </c>
      <c r="L1539">
        <f>IF(Transactions_Clean[[#This Row],[Category]]="Revenue",Transactions_Clean[[#This Row],[Amount(₹)]],Transactions_Clean[[#This Row],[Amount(₹)]]/8)</f>
        <v>699647</v>
      </c>
    </row>
    <row r="1540" spans="1:12">
      <c r="A1540" t="s">
        <v>2604</v>
      </c>
      <c r="B1540" t="s">
        <v>4759</v>
      </c>
      <c r="C1540" t="s">
        <v>31</v>
      </c>
      <c r="D1540">
        <v>-42637</v>
      </c>
      <c r="E1540" t="s">
        <v>23</v>
      </c>
      <c r="F1540" t="s">
        <v>32</v>
      </c>
      <c r="G1540" t="s">
        <v>33</v>
      </c>
      <c r="H1540" t="s">
        <v>45</v>
      </c>
      <c r="I1540" t="s">
        <v>27</v>
      </c>
      <c r="J1540" s="11">
        <v>45711</v>
      </c>
      <c r="K1540" t="str">
        <f>TEXT(Transactions_Clean[[#This Row],[Date]],"MMM-YYYY")</f>
        <v>Feb-2025</v>
      </c>
      <c r="L1540">
        <f>IF(Transactions_Clean[[#This Row],[Category]]="Revenue",Transactions_Clean[[#This Row],[Amount(₹)]],Transactions_Clean[[#This Row],[Amount(₹)]]/8)</f>
        <v>-5329.625</v>
      </c>
    </row>
    <row r="1541" spans="1:12">
      <c r="A1541" t="s">
        <v>2605</v>
      </c>
      <c r="B1541" t="s">
        <v>4765</v>
      </c>
      <c r="C1541" t="s">
        <v>73</v>
      </c>
      <c r="D1541">
        <v>-31494</v>
      </c>
      <c r="E1541" t="s">
        <v>74</v>
      </c>
      <c r="F1541" t="s">
        <v>32</v>
      </c>
      <c r="G1541" t="s">
        <v>25</v>
      </c>
      <c r="H1541" t="s">
        <v>39</v>
      </c>
      <c r="I1541" t="s">
        <v>48</v>
      </c>
      <c r="J1541" s="11">
        <v>45942</v>
      </c>
      <c r="K1541" t="str">
        <f>TEXT(Transactions_Clean[[#This Row],[Date]],"MMM-YYYY")</f>
        <v>Oct-2025</v>
      </c>
      <c r="L1541">
        <f>IF(Transactions_Clean[[#This Row],[Category]]="Revenue",Transactions_Clean[[#This Row],[Amount(₹)]],Transactions_Clean[[#This Row],[Amount(₹)]]/8)</f>
        <v>-3936.75</v>
      </c>
    </row>
    <row r="1542" spans="1:12">
      <c r="A1542" t="s">
        <v>2606</v>
      </c>
      <c r="B1542" t="s">
        <v>143</v>
      </c>
      <c r="C1542" t="s">
        <v>78</v>
      </c>
      <c r="D1542">
        <v>-68790</v>
      </c>
      <c r="E1542" t="s">
        <v>23</v>
      </c>
      <c r="F1542" t="s">
        <v>32</v>
      </c>
      <c r="G1542" t="s">
        <v>79</v>
      </c>
      <c r="H1542" t="s">
        <v>45</v>
      </c>
      <c r="I1542" t="s">
        <v>40</v>
      </c>
      <c r="J1542" s="11">
        <v>45485</v>
      </c>
      <c r="K1542" t="str">
        <f>TEXT(Transactions_Clean[[#This Row],[Date]],"MMM-YYYY")</f>
        <v>Jul-2024</v>
      </c>
      <c r="L1542">
        <f>IF(Transactions_Clean[[#This Row],[Category]]="Revenue",Transactions_Clean[[#This Row],[Amount(₹)]],Transactions_Clean[[#This Row],[Amount(₹)]]/8)</f>
        <v>-8598.75</v>
      </c>
    </row>
    <row r="1543" spans="1:12">
      <c r="A1543" t="s">
        <v>2607</v>
      </c>
      <c r="B1543" t="s">
        <v>215</v>
      </c>
      <c r="C1543" t="s">
        <v>61</v>
      </c>
      <c r="D1543">
        <v>-43308</v>
      </c>
      <c r="E1543" t="s">
        <v>62</v>
      </c>
      <c r="F1543" t="s">
        <v>32</v>
      </c>
      <c r="G1543" t="s">
        <v>63</v>
      </c>
      <c r="H1543" t="s">
        <v>26</v>
      </c>
      <c r="I1543" t="s">
        <v>34</v>
      </c>
      <c r="J1543" s="11">
        <v>45021</v>
      </c>
      <c r="K1543" t="str">
        <f>TEXT(Transactions_Clean[[#This Row],[Date]],"MMM-YYYY")</f>
        <v>Apr-2023</v>
      </c>
      <c r="L1543">
        <f>IF(Transactions_Clean[[#This Row],[Category]]="Revenue",Transactions_Clean[[#This Row],[Amount(₹)]],Transactions_Clean[[#This Row],[Amount(₹)]]/8)</f>
        <v>-5413.5</v>
      </c>
    </row>
    <row r="1544" spans="1:12">
      <c r="A1544" t="s">
        <v>2609</v>
      </c>
      <c r="B1544" t="s">
        <v>4765</v>
      </c>
      <c r="C1544" t="s">
        <v>73</v>
      </c>
      <c r="D1544">
        <v>-61307</v>
      </c>
      <c r="E1544" t="s">
        <v>74</v>
      </c>
      <c r="F1544" t="s">
        <v>24</v>
      </c>
      <c r="G1544" t="s">
        <v>25</v>
      </c>
      <c r="H1544" t="s">
        <v>39</v>
      </c>
      <c r="I1544" t="s">
        <v>48</v>
      </c>
      <c r="J1544" s="11">
        <v>45879</v>
      </c>
      <c r="K1544" t="str">
        <f>TEXT(Transactions_Clean[[#This Row],[Date]],"MMM-YYYY")</f>
        <v>Aug-2025</v>
      </c>
      <c r="L1544">
        <f>IF(Transactions_Clean[[#This Row],[Category]]="Revenue",Transactions_Clean[[#This Row],[Amount(₹)]],Transactions_Clean[[#This Row],[Amount(₹)]]/8)</f>
        <v>-7663.375</v>
      </c>
    </row>
    <row r="1545" spans="1:12">
      <c r="A1545" t="s">
        <v>2611</v>
      </c>
      <c r="B1545" t="s">
        <v>116</v>
      </c>
      <c r="C1545" t="s">
        <v>73</v>
      </c>
      <c r="D1545">
        <v>-64858</v>
      </c>
      <c r="E1545" t="s">
        <v>74</v>
      </c>
      <c r="F1545" t="s">
        <v>24</v>
      </c>
      <c r="G1545" t="s">
        <v>25</v>
      </c>
      <c r="H1545" t="s">
        <v>26</v>
      </c>
      <c r="I1545" t="s">
        <v>27</v>
      </c>
      <c r="J1545" s="11">
        <v>45369</v>
      </c>
      <c r="K1545" t="str">
        <f>TEXT(Transactions_Clean[[#This Row],[Date]],"MMM-YYYY")</f>
        <v>Mar-2024</v>
      </c>
      <c r="L1545">
        <f>IF(Transactions_Clean[[#This Row],[Category]]="Revenue",Transactions_Clean[[#This Row],[Amount(₹)]],Transactions_Clean[[#This Row],[Amount(₹)]]/8)</f>
        <v>-8107.25</v>
      </c>
    </row>
    <row r="1546" spans="1:12">
      <c r="A1546" t="s">
        <v>2613</v>
      </c>
      <c r="B1546" t="s">
        <v>60</v>
      </c>
      <c r="C1546" t="s">
        <v>61</v>
      </c>
      <c r="D1546">
        <v>-62649</v>
      </c>
      <c r="E1546" t="s">
        <v>62</v>
      </c>
      <c r="F1546" t="s">
        <v>24</v>
      </c>
      <c r="G1546" t="s">
        <v>63</v>
      </c>
      <c r="H1546" t="s">
        <v>26</v>
      </c>
      <c r="I1546" t="s">
        <v>34</v>
      </c>
      <c r="J1546" s="11">
        <v>45098</v>
      </c>
      <c r="K1546" t="str">
        <f>TEXT(Transactions_Clean[[#This Row],[Date]],"MMM-YYYY")</f>
        <v>Jun-2023</v>
      </c>
      <c r="L1546">
        <f>IF(Transactions_Clean[[#This Row],[Category]]="Revenue",Transactions_Clean[[#This Row],[Amount(₹)]],Transactions_Clean[[#This Row],[Amount(₹)]]/8)</f>
        <v>-7831.125</v>
      </c>
    </row>
    <row r="1547" spans="1:12">
      <c r="A1547" t="s">
        <v>2614</v>
      </c>
      <c r="B1547" t="s">
        <v>129</v>
      </c>
      <c r="C1547" t="s">
        <v>38</v>
      </c>
      <c r="D1547">
        <v>-15368</v>
      </c>
      <c r="E1547" t="s">
        <v>23</v>
      </c>
      <c r="F1547" t="s">
        <v>32</v>
      </c>
      <c r="G1547" t="s">
        <v>33</v>
      </c>
      <c r="H1547" t="s">
        <v>39</v>
      </c>
      <c r="I1547" t="s">
        <v>40</v>
      </c>
      <c r="J1547" s="11">
        <v>45916</v>
      </c>
      <c r="K1547" t="str">
        <f>TEXT(Transactions_Clean[[#This Row],[Date]],"MMM-YYYY")</f>
        <v>Sep-2025</v>
      </c>
      <c r="L1547">
        <f>IF(Transactions_Clean[[#This Row],[Category]]="Revenue",Transactions_Clean[[#This Row],[Amount(₹)]],Transactions_Clean[[#This Row],[Amount(₹)]]/8)</f>
        <v>-1921</v>
      </c>
    </row>
    <row r="1548" spans="1:12">
      <c r="A1548" t="s">
        <v>2615</v>
      </c>
      <c r="B1548" t="s">
        <v>215</v>
      </c>
      <c r="C1548" t="s">
        <v>61</v>
      </c>
      <c r="D1548">
        <v>-38406</v>
      </c>
      <c r="E1548" t="s">
        <v>62</v>
      </c>
      <c r="F1548" t="s">
        <v>24</v>
      </c>
      <c r="G1548" t="s">
        <v>63</v>
      </c>
      <c r="H1548" t="s">
        <v>45</v>
      </c>
      <c r="I1548" t="s">
        <v>48</v>
      </c>
      <c r="J1548" s="11">
        <v>45333</v>
      </c>
      <c r="K1548" t="str">
        <f>TEXT(Transactions_Clean[[#This Row],[Date]],"MMM-YYYY")</f>
        <v>Feb-2024</v>
      </c>
      <c r="L1548">
        <f>IF(Transactions_Clean[[#This Row],[Category]]="Revenue",Transactions_Clean[[#This Row],[Amount(₹)]],Transactions_Clean[[#This Row],[Amount(₹)]]/8)</f>
        <v>-4800.75</v>
      </c>
    </row>
    <row r="1549" spans="1:12">
      <c r="A1549" t="s">
        <v>2617</v>
      </c>
      <c r="B1549" t="s">
        <v>4769</v>
      </c>
      <c r="C1549" t="s">
        <v>44</v>
      </c>
      <c r="D1549">
        <v>-110881</v>
      </c>
      <c r="E1549" t="s">
        <v>23</v>
      </c>
      <c r="F1549" t="s">
        <v>32</v>
      </c>
      <c r="G1549" t="s">
        <v>33</v>
      </c>
      <c r="H1549" t="s">
        <v>45</v>
      </c>
      <c r="I1549" t="s">
        <v>34</v>
      </c>
      <c r="J1549" s="11">
        <v>45453</v>
      </c>
      <c r="K1549" t="str">
        <f>TEXT(Transactions_Clean[[#This Row],[Date]],"MMM-YYYY")</f>
        <v>Jun-2024</v>
      </c>
      <c r="L1549">
        <f>IF(Transactions_Clean[[#This Row],[Category]]="Revenue",Transactions_Clean[[#This Row],[Amount(₹)]],Transactions_Clean[[#This Row],[Amount(₹)]]/8)</f>
        <v>-13860.125</v>
      </c>
    </row>
    <row r="1550" spans="1:12">
      <c r="A1550" t="s">
        <v>2618</v>
      </c>
      <c r="B1550" t="s">
        <v>4759</v>
      </c>
      <c r="C1550" t="s">
        <v>31</v>
      </c>
      <c r="D1550">
        <v>-36384</v>
      </c>
      <c r="E1550" t="s">
        <v>23</v>
      </c>
      <c r="F1550" t="s">
        <v>24</v>
      </c>
      <c r="G1550" t="s">
        <v>33</v>
      </c>
      <c r="H1550" t="s">
        <v>26</v>
      </c>
      <c r="I1550" t="s">
        <v>27</v>
      </c>
      <c r="J1550" s="11">
        <v>45326</v>
      </c>
      <c r="K1550" t="str">
        <f>TEXT(Transactions_Clean[[#This Row],[Date]],"MMM-YYYY")</f>
        <v>Feb-2024</v>
      </c>
      <c r="L1550">
        <f>IF(Transactions_Clean[[#This Row],[Category]]="Revenue",Transactions_Clean[[#This Row],[Amount(₹)]],Transactions_Clean[[#This Row],[Amount(₹)]]/8)</f>
        <v>-4548</v>
      </c>
    </row>
    <row r="1551" spans="1:12">
      <c r="A1551" t="s">
        <v>2620</v>
      </c>
      <c r="B1551" t="s">
        <v>4753</v>
      </c>
      <c r="C1551" t="s">
        <v>38</v>
      </c>
      <c r="D1551">
        <v>-29001</v>
      </c>
      <c r="E1551" t="s">
        <v>23</v>
      </c>
      <c r="F1551" t="s">
        <v>32</v>
      </c>
      <c r="G1551" t="s">
        <v>33</v>
      </c>
      <c r="H1551" t="s">
        <v>26</v>
      </c>
      <c r="I1551" t="s">
        <v>27</v>
      </c>
      <c r="J1551" s="11">
        <v>45303</v>
      </c>
      <c r="K1551" t="str">
        <f>TEXT(Transactions_Clean[[#This Row],[Date]],"MMM-YYYY")</f>
        <v>Jan-2024</v>
      </c>
      <c r="L1551">
        <f>IF(Transactions_Clean[[#This Row],[Category]]="Revenue",Transactions_Clean[[#This Row],[Amount(₹)]],Transactions_Clean[[#This Row],[Amount(₹)]]/8)</f>
        <v>-3625.125</v>
      </c>
    </row>
    <row r="1552" spans="1:12">
      <c r="A1552" t="s">
        <v>2621</v>
      </c>
      <c r="B1552" t="s">
        <v>72</v>
      </c>
      <c r="C1552" t="s">
        <v>73</v>
      </c>
      <c r="D1552">
        <v>-56819</v>
      </c>
      <c r="E1552" t="s">
        <v>74</v>
      </c>
      <c r="F1552" t="s">
        <v>24</v>
      </c>
      <c r="G1552" t="s">
        <v>25</v>
      </c>
      <c r="H1552" t="s">
        <v>26</v>
      </c>
      <c r="I1552" t="s">
        <v>40</v>
      </c>
      <c r="J1552" s="11">
        <v>45185</v>
      </c>
      <c r="K1552" t="str">
        <f>TEXT(Transactions_Clean[[#This Row],[Date]],"MMM-YYYY")</f>
        <v>Sep-2023</v>
      </c>
      <c r="L1552">
        <f>IF(Transactions_Clean[[#This Row],[Category]]="Revenue",Transactions_Clean[[#This Row],[Amount(₹)]],Transactions_Clean[[#This Row],[Amount(₹)]]/8)</f>
        <v>-7102.375</v>
      </c>
    </row>
    <row r="1553" spans="1:12">
      <c r="A1553" t="s">
        <v>2623</v>
      </c>
      <c r="B1553" t="s">
        <v>255</v>
      </c>
      <c r="C1553" t="s">
        <v>22</v>
      </c>
      <c r="D1553">
        <v>-68465</v>
      </c>
      <c r="E1553" t="s">
        <v>23</v>
      </c>
      <c r="F1553" t="s">
        <v>32</v>
      </c>
      <c r="G1553" t="s">
        <v>25</v>
      </c>
      <c r="H1553" t="s">
        <v>26</v>
      </c>
      <c r="I1553" t="s">
        <v>48</v>
      </c>
      <c r="J1553" s="11">
        <v>45210</v>
      </c>
      <c r="K1553" t="str">
        <f>TEXT(Transactions_Clean[[#This Row],[Date]],"MMM-YYYY")</f>
        <v>Oct-2023</v>
      </c>
      <c r="L1553">
        <f>IF(Transactions_Clean[[#This Row],[Category]]="Revenue",Transactions_Clean[[#This Row],[Amount(₹)]],Transactions_Clean[[#This Row],[Amount(₹)]]/8)</f>
        <v>-8558.125</v>
      </c>
    </row>
    <row r="1554" spans="1:12">
      <c r="A1554" t="s">
        <v>2625</v>
      </c>
      <c r="B1554" t="s">
        <v>215</v>
      </c>
      <c r="C1554" t="s">
        <v>4750</v>
      </c>
      <c r="D1554">
        <v>-57168</v>
      </c>
      <c r="E1554" t="s">
        <v>62</v>
      </c>
      <c r="F1554" t="s">
        <v>24</v>
      </c>
      <c r="G1554" t="s">
        <v>63</v>
      </c>
      <c r="H1554" t="s">
        <v>26</v>
      </c>
      <c r="I1554" t="s">
        <v>48</v>
      </c>
      <c r="J1554" s="11">
        <v>45231</v>
      </c>
      <c r="K1554" t="str">
        <f>TEXT(Transactions_Clean[[#This Row],[Date]],"MMM-YYYY")</f>
        <v>Nov-2023</v>
      </c>
      <c r="L1554">
        <f>IF(Transactions_Clean[[#This Row],[Category]]="Revenue",Transactions_Clean[[#This Row],[Amount(₹)]],Transactions_Clean[[#This Row],[Amount(₹)]]/8)</f>
        <v>-7146</v>
      </c>
    </row>
    <row r="1555" spans="1:12">
      <c r="A1555" t="s">
        <v>2627</v>
      </c>
      <c r="B1555" t="s">
        <v>4753</v>
      </c>
      <c r="C1555" t="s">
        <v>38</v>
      </c>
      <c r="D1555">
        <v>-31966</v>
      </c>
      <c r="E1555" t="s">
        <v>23</v>
      </c>
      <c r="F1555" t="s">
        <v>24</v>
      </c>
      <c r="G1555" t="s">
        <v>33</v>
      </c>
      <c r="H1555" t="s">
        <v>45</v>
      </c>
      <c r="I1555" t="s">
        <v>48</v>
      </c>
      <c r="J1555" s="11">
        <v>45631</v>
      </c>
      <c r="K1555" t="str">
        <f>TEXT(Transactions_Clean[[#This Row],[Date]],"MMM-YYYY")</f>
        <v>Dec-2024</v>
      </c>
      <c r="L1555">
        <f>IF(Transactions_Clean[[#This Row],[Category]]="Revenue",Transactions_Clean[[#This Row],[Amount(₹)]],Transactions_Clean[[#This Row],[Amount(₹)]]/8)</f>
        <v>-3995.75</v>
      </c>
    </row>
    <row r="1556" spans="1:12">
      <c r="A1556" t="s">
        <v>2628</v>
      </c>
      <c r="B1556" t="s">
        <v>66</v>
      </c>
      <c r="C1556" t="s">
        <v>61</v>
      </c>
      <c r="D1556">
        <v>-17069</v>
      </c>
      <c r="E1556" t="s">
        <v>62</v>
      </c>
      <c r="F1556" t="s">
        <v>24</v>
      </c>
      <c r="G1556" t="s">
        <v>63</v>
      </c>
      <c r="H1556" t="s">
        <v>45</v>
      </c>
      <c r="I1556" t="s">
        <v>27</v>
      </c>
      <c r="J1556" s="11">
        <v>45736</v>
      </c>
      <c r="K1556" t="str">
        <f>TEXT(Transactions_Clean[[#This Row],[Date]],"MMM-YYYY")</f>
        <v>Mar-2025</v>
      </c>
      <c r="L1556">
        <f>IF(Transactions_Clean[[#This Row],[Category]]="Revenue",Transactions_Clean[[#This Row],[Amount(₹)]],Transactions_Clean[[#This Row],[Amount(₹)]]/8)</f>
        <v>-2133.625</v>
      </c>
    </row>
    <row r="1557" spans="1:12">
      <c r="A1557" t="s">
        <v>2629</v>
      </c>
      <c r="B1557" t="s">
        <v>4765</v>
      </c>
      <c r="C1557" t="s">
        <v>73</v>
      </c>
      <c r="D1557">
        <v>-80551</v>
      </c>
      <c r="E1557" t="s">
        <v>74</v>
      </c>
      <c r="F1557" t="s">
        <v>32</v>
      </c>
      <c r="G1557" t="s">
        <v>25</v>
      </c>
      <c r="H1557" t="s">
        <v>26</v>
      </c>
      <c r="I1557" t="s">
        <v>48</v>
      </c>
      <c r="J1557" s="11">
        <v>45227</v>
      </c>
      <c r="K1557" t="str">
        <f>TEXT(Transactions_Clean[[#This Row],[Date]],"MMM-YYYY")</f>
        <v>Oct-2023</v>
      </c>
      <c r="L1557">
        <f>IF(Transactions_Clean[[#This Row],[Category]]="Revenue",Transactions_Clean[[#This Row],[Amount(₹)]],Transactions_Clean[[#This Row],[Amount(₹)]]/8)</f>
        <v>-10068.875</v>
      </c>
    </row>
    <row r="1558" spans="1:12">
      <c r="A1558" t="s">
        <v>2630</v>
      </c>
      <c r="B1558" t="s">
        <v>87</v>
      </c>
      <c r="C1558" t="s">
        <v>22</v>
      </c>
      <c r="D1558">
        <v>-139096</v>
      </c>
      <c r="E1558" t="s">
        <v>23</v>
      </c>
      <c r="F1558" t="s">
        <v>24</v>
      </c>
      <c r="G1558" t="s">
        <v>25</v>
      </c>
      <c r="H1558" t="s">
        <v>39</v>
      </c>
      <c r="I1558" t="s">
        <v>40</v>
      </c>
      <c r="J1558" s="11">
        <v>45861</v>
      </c>
      <c r="K1558" t="str">
        <f>TEXT(Transactions_Clean[[#This Row],[Date]],"MMM-YYYY")</f>
        <v>Jul-2025</v>
      </c>
      <c r="L1558">
        <f>IF(Transactions_Clean[[#This Row],[Category]]="Revenue",Transactions_Clean[[#This Row],[Amount(₹)]],Transactions_Clean[[#This Row],[Amount(₹)]]/8)</f>
        <v>-17387</v>
      </c>
    </row>
    <row r="1559" spans="1:12">
      <c r="A1559" t="s">
        <v>2631</v>
      </c>
      <c r="B1559" t="s">
        <v>212</v>
      </c>
      <c r="C1559" t="s">
        <v>73</v>
      </c>
      <c r="D1559">
        <v>-19695</v>
      </c>
      <c r="E1559" t="s">
        <v>74</v>
      </c>
      <c r="F1559" t="s">
        <v>24</v>
      </c>
      <c r="G1559" t="s">
        <v>25</v>
      </c>
      <c r="H1559" t="s">
        <v>45</v>
      </c>
      <c r="I1559" t="s">
        <v>40</v>
      </c>
      <c r="J1559" s="11">
        <v>45476</v>
      </c>
      <c r="K1559" t="str">
        <f>TEXT(Transactions_Clean[[#This Row],[Date]],"MMM-YYYY")</f>
        <v>Jul-2024</v>
      </c>
      <c r="L1559">
        <f>IF(Transactions_Clean[[#This Row],[Category]]="Revenue",Transactions_Clean[[#This Row],[Amount(₹)]],Transactions_Clean[[#This Row],[Amount(₹)]]/8)</f>
        <v>-2461.875</v>
      </c>
    </row>
    <row r="1560" spans="1:12">
      <c r="A1560" t="s">
        <v>2632</v>
      </c>
      <c r="B1560" t="s">
        <v>30</v>
      </c>
      <c r="C1560" t="s">
        <v>31</v>
      </c>
      <c r="D1560">
        <v>-17584</v>
      </c>
      <c r="E1560" t="s">
        <v>23</v>
      </c>
      <c r="F1560" t="s">
        <v>24</v>
      </c>
      <c r="G1560" t="s">
        <v>33</v>
      </c>
      <c r="H1560" t="s">
        <v>26</v>
      </c>
      <c r="I1560" t="s">
        <v>34</v>
      </c>
      <c r="J1560" s="11">
        <v>45100</v>
      </c>
      <c r="K1560" t="str">
        <f>TEXT(Transactions_Clean[[#This Row],[Date]],"MMM-YYYY")</f>
        <v>Jun-2023</v>
      </c>
      <c r="L1560">
        <f>IF(Transactions_Clean[[#This Row],[Category]]="Revenue",Transactions_Clean[[#This Row],[Amount(₹)]],Transactions_Clean[[#This Row],[Amount(₹)]]/8)</f>
        <v>-2198</v>
      </c>
    </row>
    <row r="1561" spans="1:12">
      <c r="A1561" t="s">
        <v>2633</v>
      </c>
      <c r="B1561" t="s">
        <v>169</v>
      </c>
      <c r="C1561" t="s">
        <v>73</v>
      </c>
      <c r="D1561">
        <v>-31672</v>
      </c>
      <c r="E1561" t="s">
        <v>74</v>
      </c>
      <c r="F1561" t="s">
        <v>32</v>
      </c>
      <c r="G1561" t="s">
        <v>25</v>
      </c>
      <c r="H1561" t="s">
        <v>39</v>
      </c>
      <c r="I1561" t="s">
        <v>40</v>
      </c>
      <c r="J1561" s="11">
        <v>45881</v>
      </c>
      <c r="K1561" t="str">
        <f>TEXT(Transactions_Clean[[#This Row],[Date]],"MMM-YYYY")</f>
        <v>Aug-2025</v>
      </c>
      <c r="L1561">
        <f>IF(Transactions_Clean[[#This Row],[Category]]="Revenue",Transactions_Clean[[#This Row],[Amount(₹)]],Transactions_Clean[[#This Row],[Amount(₹)]]/8)</f>
        <v>-3959</v>
      </c>
    </row>
    <row r="1562" spans="1:12">
      <c r="A1562" t="s">
        <v>2635</v>
      </c>
      <c r="B1562" t="s">
        <v>4755</v>
      </c>
      <c r="C1562" t="s">
        <v>78</v>
      </c>
      <c r="D1562">
        <v>-26955</v>
      </c>
      <c r="E1562" t="s">
        <v>23</v>
      </c>
      <c r="F1562" t="s">
        <v>24</v>
      </c>
      <c r="G1562" t="s">
        <v>79</v>
      </c>
      <c r="H1562" t="s">
        <v>26</v>
      </c>
      <c r="I1562" t="s">
        <v>40</v>
      </c>
      <c r="J1562" s="11">
        <v>45161</v>
      </c>
      <c r="K1562" t="str">
        <f>TEXT(Transactions_Clean[[#This Row],[Date]],"MMM-YYYY")</f>
        <v>Aug-2023</v>
      </c>
      <c r="L1562">
        <f>IF(Transactions_Clean[[#This Row],[Category]]="Revenue",Transactions_Clean[[#This Row],[Amount(₹)]],Transactions_Clean[[#This Row],[Amount(₹)]]/8)</f>
        <v>-3369.375</v>
      </c>
    </row>
    <row r="1563" spans="1:12">
      <c r="A1563" t="s">
        <v>2636</v>
      </c>
      <c r="B1563" t="s">
        <v>4764</v>
      </c>
      <c r="C1563" t="s">
        <v>157</v>
      </c>
      <c r="D1563">
        <v>602028</v>
      </c>
      <c r="E1563" t="s">
        <v>62</v>
      </c>
      <c r="F1563" t="s">
        <v>32</v>
      </c>
      <c r="G1563" t="s">
        <v>25</v>
      </c>
      <c r="H1563" t="s">
        <v>26</v>
      </c>
      <c r="I1563" t="s">
        <v>48</v>
      </c>
      <c r="J1563" s="11">
        <v>45242</v>
      </c>
      <c r="K1563" t="str">
        <f>TEXT(Transactions_Clean[[#This Row],[Date]],"MMM-YYYY")</f>
        <v>Nov-2023</v>
      </c>
      <c r="L1563">
        <f>IF(Transactions_Clean[[#This Row],[Category]]="Revenue",Transactions_Clean[[#This Row],[Amount(₹)]],Transactions_Clean[[#This Row],[Amount(₹)]]/8)</f>
        <v>602028</v>
      </c>
    </row>
    <row r="1564" spans="1:12">
      <c r="A1564" t="s">
        <v>2638</v>
      </c>
      <c r="B1564" t="s">
        <v>30</v>
      </c>
      <c r="C1564" t="s">
        <v>31</v>
      </c>
      <c r="D1564">
        <v>-4179</v>
      </c>
      <c r="E1564" t="s">
        <v>23</v>
      </c>
      <c r="F1564" t="s">
        <v>32</v>
      </c>
      <c r="G1564" t="s">
        <v>33</v>
      </c>
      <c r="H1564" t="s">
        <v>45</v>
      </c>
      <c r="I1564" t="s">
        <v>27</v>
      </c>
      <c r="J1564" s="11">
        <v>45720</v>
      </c>
      <c r="K1564" t="str">
        <f>TEXT(Transactions_Clean[[#This Row],[Date]],"MMM-YYYY")</f>
        <v>Mar-2025</v>
      </c>
      <c r="L1564">
        <f>IF(Transactions_Clean[[#This Row],[Category]]="Revenue",Transactions_Clean[[#This Row],[Amount(₹)]],Transactions_Clean[[#This Row],[Amount(₹)]]/8)</f>
        <v>-522.375</v>
      </c>
    </row>
    <row r="1565" spans="1:12">
      <c r="A1565" t="s">
        <v>2640</v>
      </c>
      <c r="B1565" t="s">
        <v>4760</v>
      </c>
      <c r="C1565" t="s">
        <v>73</v>
      </c>
      <c r="D1565">
        <v>-60617</v>
      </c>
      <c r="E1565" t="s">
        <v>74</v>
      </c>
      <c r="F1565" t="s">
        <v>32</v>
      </c>
      <c r="G1565" t="s">
        <v>25</v>
      </c>
      <c r="H1565" t="s">
        <v>45</v>
      </c>
      <c r="I1565" t="s">
        <v>48</v>
      </c>
      <c r="J1565" s="11">
        <v>45630</v>
      </c>
      <c r="K1565" t="str">
        <f>TEXT(Transactions_Clean[[#This Row],[Date]],"MMM-YYYY")</f>
        <v>Dec-2024</v>
      </c>
      <c r="L1565">
        <f>IF(Transactions_Clean[[#This Row],[Category]]="Revenue",Transactions_Clean[[#This Row],[Amount(₹)]],Transactions_Clean[[#This Row],[Amount(₹)]]/8)</f>
        <v>-7577.125</v>
      </c>
    </row>
    <row r="1566" spans="1:12">
      <c r="A1566" t="s">
        <v>2641</v>
      </c>
      <c r="B1566" t="s">
        <v>4765</v>
      </c>
      <c r="C1566" t="s">
        <v>73</v>
      </c>
      <c r="D1566">
        <v>-51758</v>
      </c>
      <c r="E1566" t="s">
        <v>74</v>
      </c>
      <c r="F1566" t="s">
        <v>24</v>
      </c>
      <c r="G1566" t="s">
        <v>25</v>
      </c>
      <c r="H1566" t="s">
        <v>26</v>
      </c>
      <c r="I1566" t="s">
        <v>27</v>
      </c>
      <c r="J1566" s="11">
        <v>45352</v>
      </c>
      <c r="K1566" t="str">
        <f>TEXT(Transactions_Clean[[#This Row],[Date]],"MMM-YYYY")</f>
        <v>Mar-2024</v>
      </c>
      <c r="L1566">
        <f>IF(Transactions_Clean[[#This Row],[Category]]="Revenue",Transactions_Clean[[#This Row],[Amount(₹)]],Transactions_Clean[[#This Row],[Amount(₹)]]/8)</f>
        <v>-6469.75</v>
      </c>
    </row>
    <row r="1567" spans="1:12">
      <c r="A1567" t="s">
        <v>2643</v>
      </c>
      <c r="B1567" t="s">
        <v>4749</v>
      </c>
      <c r="C1567" t="s">
        <v>44</v>
      </c>
      <c r="D1567">
        <v>-151019</v>
      </c>
      <c r="E1567" t="s">
        <v>23</v>
      </c>
      <c r="F1567" t="s">
        <v>24</v>
      </c>
      <c r="G1567" t="s">
        <v>33</v>
      </c>
      <c r="H1567" t="s">
        <v>26</v>
      </c>
      <c r="I1567" t="s">
        <v>27</v>
      </c>
      <c r="J1567" s="11">
        <v>45415</v>
      </c>
      <c r="K1567" t="str">
        <f>TEXT(Transactions_Clean[[#This Row],[Date]],"MMM-YYYY")</f>
        <v>May-2024</v>
      </c>
      <c r="L1567">
        <f>IF(Transactions_Clean[[#This Row],[Category]]="Revenue",Transactions_Clean[[#This Row],[Amount(₹)]],Transactions_Clean[[#This Row],[Amount(₹)]]/8)</f>
        <v>-18877.375</v>
      </c>
    </row>
    <row r="1568" spans="1:12">
      <c r="A1568" t="s">
        <v>2645</v>
      </c>
      <c r="B1568" t="s">
        <v>4766</v>
      </c>
      <c r="C1568" t="s">
        <v>73</v>
      </c>
      <c r="D1568">
        <v>-43936</v>
      </c>
      <c r="E1568" t="s">
        <v>74</v>
      </c>
      <c r="F1568" t="s">
        <v>24</v>
      </c>
      <c r="G1568" t="s">
        <v>25</v>
      </c>
      <c r="H1568" t="s">
        <v>45</v>
      </c>
      <c r="I1568" t="s">
        <v>48</v>
      </c>
      <c r="J1568" s="11">
        <v>45586</v>
      </c>
      <c r="K1568" t="str">
        <f>TEXT(Transactions_Clean[[#This Row],[Date]],"MMM-YYYY")</f>
        <v>Oct-2024</v>
      </c>
      <c r="L1568">
        <f>IF(Transactions_Clean[[#This Row],[Category]]="Revenue",Transactions_Clean[[#This Row],[Amount(₹)]],Transactions_Clean[[#This Row],[Amount(₹)]]/8)</f>
        <v>-5492</v>
      </c>
    </row>
    <row r="1569" spans="1:12">
      <c r="A1569" t="s">
        <v>2647</v>
      </c>
      <c r="B1569" t="s">
        <v>66</v>
      </c>
      <c r="C1569" t="s">
        <v>61</v>
      </c>
      <c r="D1569">
        <v>-38171</v>
      </c>
      <c r="E1569" t="s">
        <v>62</v>
      </c>
      <c r="F1569" t="s">
        <v>32</v>
      </c>
      <c r="G1569" t="s">
        <v>63</v>
      </c>
      <c r="H1569" t="s">
        <v>45</v>
      </c>
      <c r="I1569" t="s">
        <v>34</v>
      </c>
      <c r="J1569" s="11">
        <v>45440</v>
      </c>
      <c r="K1569" t="str">
        <f>TEXT(Transactions_Clean[[#This Row],[Date]],"MMM-YYYY")</f>
        <v>May-2024</v>
      </c>
      <c r="L1569">
        <f>IF(Transactions_Clean[[#This Row],[Category]]="Revenue",Transactions_Clean[[#This Row],[Amount(₹)]],Transactions_Clean[[#This Row],[Amount(₹)]]/8)</f>
        <v>-4771.375</v>
      </c>
    </row>
    <row r="1570" spans="1:12">
      <c r="A1570" t="s">
        <v>2648</v>
      </c>
      <c r="B1570" t="s">
        <v>687</v>
      </c>
      <c r="C1570" t="s">
        <v>44</v>
      </c>
      <c r="D1570">
        <v>-171496</v>
      </c>
      <c r="E1570" t="s">
        <v>23</v>
      </c>
      <c r="F1570" t="s">
        <v>32</v>
      </c>
      <c r="G1570" t="s">
        <v>33</v>
      </c>
      <c r="H1570" t="s">
        <v>45</v>
      </c>
      <c r="I1570" t="s">
        <v>40</v>
      </c>
      <c r="J1570" s="11">
        <v>45497</v>
      </c>
      <c r="K1570" t="str">
        <f>TEXT(Transactions_Clean[[#This Row],[Date]],"MMM-YYYY")</f>
        <v>Jul-2024</v>
      </c>
      <c r="L1570">
        <f>IF(Transactions_Clean[[#This Row],[Category]]="Revenue",Transactions_Clean[[#This Row],[Amount(₹)]],Transactions_Clean[[#This Row],[Amount(₹)]]/8)</f>
        <v>-21437</v>
      </c>
    </row>
    <row r="1571" spans="1:12">
      <c r="A1571" t="s">
        <v>2649</v>
      </c>
      <c r="B1571" t="s">
        <v>305</v>
      </c>
      <c r="C1571" t="s">
        <v>38</v>
      </c>
      <c r="D1571">
        <v>-31607</v>
      </c>
      <c r="E1571" t="s">
        <v>23</v>
      </c>
      <c r="F1571" t="s">
        <v>32</v>
      </c>
      <c r="G1571" t="s">
        <v>33</v>
      </c>
      <c r="H1571" t="s">
        <v>26</v>
      </c>
      <c r="I1571" t="s">
        <v>40</v>
      </c>
      <c r="J1571" s="11">
        <v>45195</v>
      </c>
      <c r="K1571" t="str">
        <f>TEXT(Transactions_Clean[[#This Row],[Date]],"MMM-YYYY")</f>
        <v>Sep-2023</v>
      </c>
      <c r="L1571">
        <f>IF(Transactions_Clean[[#This Row],[Category]]="Revenue",Transactions_Clean[[#This Row],[Amount(₹)]],Transactions_Clean[[#This Row],[Amount(₹)]]/8)</f>
        <v>-3950.875</v>
      </c>
    </row>
    <row r="1572" spans="1:12">
      <c r="A1572" t="s">
        <v>2651</v>
      </c>
      <c r="B1572" t="s">
        <v>180</v>
      </c>
      <c r="C1572" t="s">
        <v>44</v>
      </c>
      <c r="D1572">
        <v>-76939</v>
      </c>
      <c r="E1572" t="s">
        <v>23</v>
      </c>
      <c r="F1572" t="s">
        <v>32</v>
      </c>
      <c r="G1572" t="s">
        <v>33</v>
      </c>
      <c r="H1572" t="s">
        <v>26</v>
      </c>
      <c r="I1572" t="s">
        <v>34</v>
      </c>
      <c r="J1572" s="11">
        <v>45078</v>
      </c>
      <c r="K1572" t="str">
        <f>TEXT(Transactions_Clean[[#This Row],[Date]],"MMM-YYYY")</f>
        <v>Jun-2023</v>
      </c>
      <c r="L1572">
        <f>IF(Transactions_Clean[[#This Row],[Category]]="Revenue",Transactions_Clean[[#This Row],[Amount(₹)]],Transactions_Clean[[#This Row],[Amount(₹)]]/8)</f>
        <v>-9617.375</v>
      </c>
    </row>
    <row r="1573" spans="1:12">
      <c r="A1573" t="s">
        <v>2653</v>
      </c>
      <c r="B1573" t="s">
        <v>60</v>
      </c>
      <c r="C1573" t="s">
        <v>61</v>
      </c>
      <c r="D1573">
        <v>-40620</v>
      </c>
      <c r="E1573" t="s">
        <v>62</v>
      </c>
      <c r="F1573" t="s">
        <v>32</v>
      </c>
      <c r="G1573" t="s">
        <v>63</v>
      </c>
      <c r="H1573" t="s">
        <v>26</v>
      </c>
      <c r="I1573" t="s">
        <v>34</v>
      </c>
      <c r="J1573" s="11">
        <v>45105</v>
      </c>
      <c r="K1573" t="str">
        <f>TEXT(Transactions_Clean[[#This Row],[Date]],"MMM-YYYY")</f>
        <v>Jun-2023</v>
      </c>
      <c r="L1573">
        <f>IF(Transactions_Clean[[#This Row],[Category]]="Revenue",Transactions_Clean[[#This Row],[Amount(₹)]],Transactions_Clean[[#This Row],[Amount(₹)]]/8)</f>
        <v>-5077.5</v>
      </c>
    </row>
    <row r="1574" spans="1:12">
      <c r="A1574" t="s">
        <v>2655</v>
      </c>
      <c r="B1574" t="s">
        <v>174</v>
      </c>
      <c r="C1574" t="s">
        <v>22</v>
      </c>
      <c r="D1574">
        <v>-208004</v>
      </c>
      <c r="E1574" t="s">
        <v>23</v>
      </c>
      <c r="F1574" t="s">
        <v>32</v>
      </c>
      <c r="G1574" t="s">
        <v>25</v>
      </c>
      <c r="H1574" t="s">
        <v>45</v>
      </c>
      <c r="I1574" t="s">
        <v>27</v>
      </c>
      <c r="J1574" s="11">
        <v>45696</v>
      </c>
      <c r="K1574" t="str">
        <f>TEXT(Transactions_Clean[[#This Row],[Date]],"MMM-YYYY")</f>
        <v>Feb-2025</v>
      </c>
      <c r="L1574">
        <f>IF(Transactions_Clean[[#This Row],[Category]]="Revenue",Transactions_Clean[[#This Row],[Amount(₹)]],Transactions_Clean[[#This Row],[Amount(₹)]]/8)</f>
        <v>-26000.5</v>
      </c>
    </row>
    <row r="1575" spans="1:12">
      <c r="A1575" t="s">
        <v>2657</v>
      </c>
      <c r="B1575" t="s">
        <v>935</v>
      </c>
      <c r="C1575" t="s">
        <v>22</v>
      </c>
      <c r="D1575">
        <v>-37144</v>
      </c>
      <c r="E1575" t="s">
        <v>23</v>
      </c>
      <c r="F1575" t="s">
        <v>32</v>
      </c>
      <c r="G1575" t="s">
        <v>25</v>
      </c>
      <c r="H1575" t="s">
        <v>26</v>
      </c>
      <c r="I1575" t="s">
        <v>40</v>
      </c>
      <c r="J1575" s="11">
        <v>44964</v>
      </c>
      <c r="K1575" t="str">
        <f>TEXT(Transactions_Clean[[#This Row],[Date]],"MMM-YYYY")</f>
        <v>Feb-2023</v>
      </c>
      <c r="L1575">
        <f>IF(Transactions_Clean[[#This Row],[Category]]="Revenue",Transactions_Clean[[#This Row],[Amount(₹)]],Transactions_Clean[[#This Row],[Amount(₹)]]/8)</f>
        <v>-4643</v>
      </c>
    </row>
    <row r="1576" spans="1:12">
      <c r="A1576" t="s">
        <v>2659</v>
      </c>
      <c r="B1576" t="s">
        <v>72</v>
      </c>
      <c r="C1576" t="s">
        <v>73</v>
      </c>
      <c r="D1576">
        <v>-8996</v>
      </c>
      <c r="E1576" t="s">
        <v>74</v>
      </c>
      <c r="F1576" t="s">
        <v>32</v>
      </c>
      <c r="G1576" t="s">
        <v>25</v>
      </c>
      <c r="H1576" t="s">
        <v>39</v>
      </c>
      <c r="I1576" t="s">
        <v>34</v>
      </c>
      <c r="J1576" s="11">
        <v>45815</v>
      </c>
      <c r="K1576" t="str">
        <f>TEXT(Transactions_Clean[[#This Row],[Date]],"MMM-YYYY")</f>
        <v>Jun-2025</v>
      </c>
      <c r="L1576">
        <f>IF(Transactions_Clean[[#This Row],[Category]]="Revenue",Transactions_Clean[[#This Row],[Amount(₹)]],Transactions_Clean[[#This Row],[Amount(₹)]]/8)</f>
        <v>-1124.5</v>
      </c>
    </row>
    <row r="1577" spans="1:12">
      <c r="A1577" t="s">
        <v>2660</v>
      </c>
      <c r="B1577" t="s">
        <v>4770</v>
      </c>
      <c r="C1577" t="s">
        <v>440</v>
      </c>
      <c r="D1577">
        <v>-126949</v>
      </c>
      <c r="E1577" t="s">
        <v>23</v>
      </c>
      <c r="F1577" t="s">
        <v>32</v>
      </c>
      <c r="G1577" t="s">
        <v>33</v>
      </c>
      <c r="H1577" t="s">
        <v>39</v>
      </c>
      <c r="I1577" t="s">
        <v>40</v>
      </c>
      <c r="J1577" s="11">
        <v>45848</v>
      </c>
      <c r="K1577" t="str">
        <f>TEXT(Transactions_Clean[[#This Row],[Date]],"MMM-YYYY")</f>
        <v>Jul-2025</v>
      </c>
      <c r="L1577">
        <f>IF(Transactions_Clean[[#This Row],[Category]]="Revenue",Transactions_Clean[[#This Row],[Amount(₹)]],Transactions_Clean[[#This Row],[Amount(₹)]]/8)</f>
        <v>-15868.625</v>
      </c>
    </row>
    <row r="1578" spans="1:12">
      <c r="A1578" t="s">
        <v>2661</v>
      </c>
      <c r="B1578" t="s">
        <v>212</v>
      </c>
      <c r="C1578" t="s">
        <v>73</v>
      </c>
      <c r="D1578">
        <v>-64139</v>
      </c>
      <c r="E1578" t="s">
        <v>74</v>
      </c>
      <c r="F1578" t="s">
        <v>24</v>
      </c>
      <c r="G1578" t="s">
        <v>25</v>
      </c>
      <c r="H1578" t="s">
        <v>26</v>
      </c>
      <c r="I1578" t="s">
        <v>48</v>
      </c>
      <c r="J1578" s="11">
        <v>45205</v>
      </c>
      <c r="K1578" t="str">
        <f>TEXT(Transactions_Clean[[#This Row],[Date]],"MMM-YYYY")</f>
        <v>Oct-2023</v>
      </c>
      <c r="L1578">
        <f>IF(Transactions_Clean[[#This Row],[Category]]="Revenue",Transactions_Clean[[#This Row],[Amount(₹)]],Transactions_Clean[[#This Row],[Amount(₹)]]/8)</f>
        <v>-8017.375</v>
      </c>
    </row>
    <row r="1579" spans="1:12">
      <c r="A1579" t="s">
        <v>2663</v>
      </c>
      <c r="B1579" t="s">
        <v>4756</v>
      </c>
      <c r="C1579" t="s">
        <v>73</v>
      </c>
      <c r="D1579">
        <v>-47755</v>
      </c>
      <c r="E1579" t="s">
        <v>74</v>
      </c>
      <c r="F1579" t="s">
        <v>24</v>
      </c>
      <c r="G1579" t="s">
        <v>25</v>
      </c>
      <c r="H1579" t="s">
        <v>39</v>
      </c>
      <c r="I1579" t="s">
        <v>27</v>
      </c>
      <c r="J1579" s="11">
        <v>46039</v>
      </c>
      <c r="K1579" t="str">
        <f>TEXT(Transactions_Clean[[#This Row],[Date]],"MMM-YYYY")</f>
        <v>Jan-2026</v>
      </c>
      <c r="L1579">
        <f>IF(Transactions_Clean[[#This Row],[Category]]="Revenue",Transactions_Clean[[#This Row],[Amount(₹)]],Transactions_Clean[[#This Row],[Amount(₹)]]/8)</f>
        <v>-5969.375</v>
      </c>
    </row>
    <row r="1580" spans="1:12">
      <c r="A1580" t="s">
        <v>2665</v>
      </c>
      <c r="B1580" t="s">
        <v>72</v>
      </c>
      <c r="C1580" t="s">
        <v>73</v>
      </c>
      <c r="D1580">
        <v>-35370</v>
      </c>
      <c r="E1580" t="s">
        <v>74</v>
      </c>
      <c r="F1580" t="s">
        <v>32</v>
      </c>
      <c r="G1580" t="s">
        <v>25</v>
      </c>
      <c r="H1580" t="s">
        <v>45</v>
      </c>
      <c r="I1580" t="s">
        <v>40</v>
      </c>
      <c r="J1580" s="11">
        <v>45493</v>
      </c>
      <c r="K1580" t="str">
        <f>TEXT(Transactions_Clean[[#This Row],[Date]],"MMM-YYYY")</f>
        <v>Jul-2024</v>
      </c>
      <c r="L1580">
        <f>IF(Transactions_Clean[[#This Row],[Category]]="Revenue",Transactions_Clean[[#This Row],[Amount(₹)]],Transactions_Clean[[#This Row],[Amount(₹)]]/8)</f>
        <v>-4421.25</v>
      </c>
    </row>
    <row r="1581" spans="1:12">
      <c r="A1581" t="s">
        <v>2667</v>
      </c>
      <c r="B1581" t="s">
        <v>169</v>
      </c>
      <c r="C1581" t="s">
        <v>73</v>
      </c>
      <c r="D1581">
        <v>-51970</v>
      </c>
      <c r="E1581" t="s">
        <v>74</v>
      </c>
      <c r="F1581" t="s">
        <v>32</v>
      </c>
      <c r="G1581" t="s">
        <v>25</v>
      </c>
      <c r="H1581" t="s">
        <v>39</v>
      </c>
      <c r="I1581" t="s">
        <v>40</v>
      </c>
      <c r="J1581" s="11">
        <v>45929</v>
      </c>
      <c r="K1581" t="str">
        <f>TEXT(Transactions_Clean[[#This Row],[Date]],"MMM-YYYY")</f>
        <v>Sep-2025</v>
      </c>
      <c r="L1581">
        <f>IF(Transactions_Clean[[#This Row],[Category]]="Revenue",Transactions_Clean[[#This Row],[Amount(₹)]],Transactions_Clean[[#This Row],[Amount(₹)]]/8)</f>
        <v>-6496.25</v>
      </c>
    </row>
    <row r="1582" spans="1:12">
      <c r="A1582" t="s">
        <v>2668</v>
      </c>
      <c r="B1582" t="s">
        <v>4755</v>
      </c>
      <c r="C1582" t="s">
        <v>78</v>
      </c>
      <c r="D1582">
        <v>-67165</v>
      </c>
      <c r="E1582" t="s">
        <v>23</v>
      </c>
      <c r="F1582" t="s">
        <v>32</v>
      </c>
      <c r="G1582" t="s">
        <v>79</v>
      </c>
      <c r="H1582" t="s">
        <v>39</v>
      </c>
      <c r="I1582" t="s">
        <v>34</v>
      </c>
      <c r="J1582" s="11">
        <v>45798</v>
      </c>
      <c r="K1582" t="str">
        <f>TEXT(Transactions_Clean[[#This Row],[Date]],"MMM-YYYY")</f>
        <v>May-2025</v>
      </c>
      <c r="L1582">
        <f>IF(Transactions_Clean[[#This Row],[Category]]="Revenue",Transactions_Clean[[#This Row],[Amount(₹)]],Transactions_Clean[[#This Row],[Amount(₹)]]/8)</f>
        <v>-8395.625</v>
      </c>
    </row>
    <row r="1583" spans="1:12">
      <c r="A1583" t="s">
        <v>2669</v>
      </c>
      <c r="B1583" t="s">
        <v>60</v>
      </c>
      <c r="C1583" t="s">
        <v>61</v>
      </c>
      <c r="D1583">
        <v>-41933</v>
      </c>
      <c r="E1583" t="s">
        <v>62</v>
      </c>
      <c r="F1583" t="s">
        <v>24</v>
      </c>
      <c r="G1583" t="s">
        <v>63</v>
      </c>
      <c r="H1583" t="s">
        <v>39</v>
      </c>
      <c r="I1583" t="s">
        <v>27</v>
      </c>
      <c r="J1583" s="11">
        <v>46046</v>
      </c>
      <c r="K1583" t="str">
        <f>TEXT(Transactions_Clean[[#This Row],[Date]],"MMM-YYYY")</f>
        <v>Jan-2026</v>
      </c>
      <c r="L1583">
        <f>IF(Transactions_Clean[[#This Row],[Category]]="Revenue",Transactions_Clean[[#This Row],[Amount(₹)]],Transactions_Clean[[#This Row],[Amount(₹)]]/8)</f>
        <v>-5241.625</v>
      </c>
    </row>
    <row r="1584" spans="1:12">
      <c r="A1584" t="s">
        <v>2670</v>
      </c>
      <c r="B1584" t="s">
        <v>4756</v>
      </c>
      <c r="C1584" t="s">
        <v>73</v>
      </c>
      <c r="D1584">
        <v>-87513</v>
      </c>
      <c r="E1584" t="s">
        <v>74</v>
      </c>
      <c r="F1584" t="s">
        <v>32</v>
      </c>
      <c r="G1584" t="s">
        <v>25</v>
      </c>
      <c r="H1584" t="s">
        <v>45</v>
      </c>
      <c r="I1584" t="s">
        <v>48</v>
      </c>
      <c r="J1584" s="11">
        <v>45653</v>
      </c>
      <c r="K1584" t="str">
        <f>TEXT(Transactions_Clean[[#This Row],[Date]],"MMM-YYYY")</f>
        <v>Dec-2024</v>
      </c>
      <c r="L1584">
        <f>IF(Transactions_Clean[[#This Row],[Category]]="Revenue",Transactions_Clean[[#This Row],[Amount(₹)]],Transactions_Clean[[#This Row],[Amount(₹)]]/8)</f>
        <v>-10939.125</v>
      </c>
    </row>
    <row r="1585" spans="1:12">
      <c r="A1585" t="s">
        <v>2671</v>
      </c>
      <c r="B1585" t="s">
        <v>212</v>
      </c>
      <c r="C1585" t="s">
        <v>73</v>
      </c>
      <c r="D1585">
        <v>-91479</v>
      </c>
      <c r="E1585" t="s">
        <v>74</v>
      </c>
      <c r="F1585" t="s">
        <v>24</v>
      </c>
      <c r="G1585" t="s">
        <v>25</v>
      </c>
      <c r="H1585" t="s">
        <v>45</v>
      </c>
      <c r="I1585" t="s">
        <v>40</v>
      </c>
      <c r="J1585" s="11">
        <v>45514</v>
      </c>
      <c r="K1585" t="str">
        <f>TEXT(Transactions_Clean[[#This Row],[Date]],"MMM-YYYY")</f>
        <v>Aug-2024</v>
      </c>
      <c r="L1585">
        <f>IF(Transactions_Clean[[#This Row],[Category]]="Revenue",Transactions_Clean[[#This Row],[Amount(₹)]],Transactions_Clean[[#This Row],[Amount(₹)]]/8)</f>
        <v>-11434.875</v>
      </c>
    </row>
    <row r="1586" spans="1:12">
      <c r="A1586" t="s">
        <v>2672</v>
      </c>
      <c r="B1586" t="s">
        <v>4757</v>
      </c>
      <c r="C1586" t="s">
        <v>73</v>
      </c>
      <c r="D1586">
        <v>-67472</v>
      </c>
      <c r="E1586" t="s">
        <v>74</v>
      </c>
      <c r="F1586" t="s">
        <v>24</v>
      </c>
      <c r="G1586" t="s">
        <v>25</v>
      </c>
      <c r="H1586" t="s">
        <v>26</v>
      </c>
      <c r="I1586" t="s">
        <v>48</v>
      </c>
      <c r="J1586" s="11">
        <v>45274</v>
      </c>
      <c r="K1586" t="str">
        <f>TEXT(Transactions_Clean[[#This Row],[Date]],"MMM-YYYY")</f>
        <v>Dec-2023</v>
      </c>
      <c r="L1586">
        <f>IF(Transactions_Clean[[#This Row],[Category]]="Revenue",Transactions_Clean[[#This Row],[Amount(₹)]],Transactions_Clean[[#This Row],[Amount(₹)]]/8)</f>
        <v>-8434</v>
      </c>
    </row>
    <row r="1587" spans="1:12">
      <c r="A1587" t="s">
        <v>2673</v>
      </c>
      <c r="B1587" t="s">
        <v>290</v>
      </c>
      <c r="C1587" t="s">
        <v>440</v>
      </c>
      <c r="D1587">
        <v>-111081</v>
      </c>
      <c r="E1587" t="s">
        <v>23</v>
      </c>
      <c r="F1587" t="s">
        <v>24</v>
      </c>
      <c r="G1587" t="s">
        <v>33</v>
      </c>
      <c r="H1587" t="s">
        <v>45</v>
      </c>
      <c r="I1587" t="s">
        <v>27</v>
      </c>
      <c r="J1587" s="11">
        <v>45712</v>
      </c>
      <c r="K1587" t="str">
        <f>TEXT(Transactions_Clean[[#This Row],[Date]],"MMM-YYYY")</f>
        <v>Feb-2025</v>
      </c>
      <c r="L1587">
        <f>IF(Transactions_Clean[[#This Row],[Category]]="Revenue",Transactions_Clean[[#This Row],[Amount(₹)]],Transactions_Clean[[#This Row],[Amount(₹)]]/8)</f>
        <v>-13885.125</v>
      </c>
    </row>
    <row r="1588" spans="1:12">
      <c r="A1588" t="s">
        <v>2675</v>
      </c>
      <c r="B1588" t="s">
        <v>66</v>
      </c>
      <c r="C1588" t="s">
        <v>61</v>
      </c>
      <c r="D1588">
        <v>-64709</v>
      </c>
      <c r="E1588" t="s">
        <v>62</v>
      </c>
      <c r="F1588" t="s">
        <v>32</v>
      </c>
      <c r="G1588" t="s">
        <v>63</v>
      </c>
      <c r="H1588" t="s">
        <v>26</v>
      </c>
      <c r="I1588" t="s">
        <v>48</v>
      </c>
      <c r="J1588" s="11">
        <v>45264</v>
      </c>
      <c r="K1588" t="str">
        <f>TEXT(Transactions_Clean[[#This Row],[Date]],"MMM-YYYY")</f>
        <v>Dec-2023</v>
      </c>
      <c r="L1588">
        <f>IF(Transactions_Clean[[#This Row],[Category]]="Revenue",Transactions_Clean[[#This Row],[Amount(₹)]],Transactions_Clean[[#This Row],[Amount(₹)]]/8)</f>
        <v>-8088.625</v>
      </c>
    </row>
    <row r="1589" spans="1:12">
      <c r="A1589" t="s">
        <v>2676</v>
      </c>
      <c r="B1589" t="s">
        <v>4769</v>
      </c>
      <c r="C1589" t="s">
        <v>44</v>
      </c>
      <c r="D1589">
        <v>-106703</v>
      </c>
      <c r="E1589" t="s">
        <v>23</v>
      </c>
      <c r="F1589" t="s">
        <v>32</v>
      </c>
      <c r="G1589" t="s">
        <v>33</v>
      </c>
      <c r="H1589" t="s">
        <v>26</v>
      </c>
      <c r="I1589" t="s">
        <v>40</v>
      </c>
      <c r="J1589" s="11">
        <v>45176</v>
      </c>
      <c r="K1589" t="str">
        <f>TEXT(Transactions_Clean[[#This Row],[Date]],"MMM-YYYY")</f>
        <v>Sep-2023</v>
      </c>
      <c r="L1589">
        <f>IF(Transactions_Clean[[#This Row],[Category]]="Revenue",Transactions_Clean[[#This Row],[Amount(₹)]],Transactions_Clean[[#This Row],[Amount(₹)]]/8)</f>
        <v>-13337.875</v>
      </c>
    </row>
    <row r="1590" spans="1:12">
      <c r="A1590" t="s">
        <v>2677</v>
      </c>
      <c r="B1590" t="s">
        <v>100</v>
      </c>
      <c r="C1590" t="s">
        <v>31</v>
      </c>
      <c r="D1590">
        <v>-28140</v>
      </c>
      <c r="E1590" t="s">
        <v>23</v>
      </c>
      <c r="F1590" t="s">
        <v>24</v>
      </c>
      <c r="G1590" t="s">
        <v>33</v>
      </c>
      <c r="H1590" t="s">
        <v>39</v>
      </c>
      <c r="I1590" t="s">
        <v>34</v>
      </c>
      <c r="J1590" s="11">
        <v>45785</v>
      </c>
      <c r="K1590" t="str">
        <f>TEXT(Transactions_Clean[[#This Row],[Date]],"MMM-YYYY")</f>
        <v>May-2025</v>
      </c>
      <c r="L1590">
        <f>IF(Transactions_Clean[[#This Row],[Category]]="Revenue",Transactions_Clean[[#This Row],[Amount(₹)]],Transactions_Clean[[#This Row],[Amount(₹)]]/8)</f>
        <v>-3517.5</v>
      </c>
    </row>
    <row r="1591" spans="1:12">
      <c r="A1591" t="s">
        <v>2679</v>
      </c>
      <c r="B1591" t="s">
        <v>129</v>
      </c>
      <c r="C1591" t="s">
        <v>38</v>
      </c>
      <c r="D1591">
        <v>-19297</v>
      </c>
      <c r="E1591" t="s">
        <v>23</v>
      </c>
      <c r="F1591" t="s">
        <v>24</v>
      </c>
      <c r="G1591" t="s">
        <v>33</v>
      </c>
      <c r="H1591" t="s">
        <v>45</v>
      </c>
      <c r="I1591" t="s">
        <v>48</v>
      </c>
      <c r="J1591" s="11">
        <v>45633</v>
      </c>
      <c r="K1591" t="str">
        <f>TEXT(Transactions_Clean[[#This Row],[Date]],"MMM-YYYY")</f>
        <v>Dec-2024</v>
      </c>
      <c r="L1591">
        <f>IF(Transactions_Clean[[#This Row],[Category]]="Revenue",Transactions_Clean[[#This Row],[Amount(₹)]],Transactions_Clean[[#This Row],[Amount(₹)]]/8)</f>
        <v>-2412.125</v>
      </c>
    </row>
    <row r="1592" spans="1:12">
      <c r="A1592" t="s">
        <v>2680</v>
      </c>
      <c r="B1592" t="s">
        <v>4766</v>
      </c>
      <c r="C1592" t="s">
        <v>73</v>
      </c>
      <c r="D1592">
        <v>-44745</v>
      </c>
      <c r="E1592" t="s">
        <v>74</v>
      </c>
      <c r="F1592" t="s">
        <v>32</v>
      </c>
      <c r="G1592" t="s">
        <v>25</v>
      </c>
      <c r="H1592" t="s">
        <v>26</v>
      </c>
      <c r="I1592" t="s">
        <v>40</v>
      </c>
      <c r="J1592" s="11">
        <v>45196</v>
      </c>
      <c r="K1592" t="str">
        <f>TEXT(Transactions_Clean[[#This Row],[Date]],"MMM-YYYY")</f>
        <v>Sep-2023</v>
      </c>
      <c r="L1592">
        <f>IF(Transactions_Clean[[#This Row],[Category]]="Revenue",Transactions_Clean[[#This Row],[Amount(₹)]],Transactions_Clean[[#This Row],[Amount(₹)]]/8)</f>
        <v>-5593.125</v>
      </c>
    </row>
    <row r="1593" spans="1:12">
      <c r="A1593" t="s">
        <v>2681</v>
      </c>
      <c r="B1593" t="s">
        <v>215</v>
      </c>
      <c r="C1593" t="s">
        <v>61</v>
      </c>
      <c r="D1593">
        <v>-13720</v>
      </c>
      <c r="E1593" t="s">
        <v>62</v>
      </c>
      <c r="F1593" t="s">
        <v>32</v>
      </c>
      <c r="G1593" t="s">
        <v>63</v>
      </c>
      <c r="H1593" t="s">
        <v>39</v>
      </c>
      <c r="I1593" t="s">
        <v>34</v>
      </c>
      <c r="J1593" s="11">
        <v>45779</v>
      </c>
      <c r="K1593" t="str">
        <f>TEXT(Transactions_Clean[[#This Row],[Date]],"MMM-YYYY")</f>
        <v>May-2025</v>
      </c>
      <c r="L1593">
        <f>IF(Transactions_Clean[[#This Row],[Category]]="Revenue",Transactions_Clean[[#This Row],[Amount(₹)]],Transactions_Clean[[#This Row],[Amount(₹)]]/8)</f>
        <v>-1715</v>
      </c>
    </row>
    <row r="1594" spans="1:12">
      <c r="A1594" t="s">
        <v>2682</v>
      </c>
      <c r="B1594" t="s">
        <v>116</v>
      </c>
      <c r="C1594" t="s">
        <v>73</v>
      </c>
      <c r="D1594">
        <v>-26791</v>
      </c>
      <c r="E1594" t="s">
        <v>74</v>
      </c>
      <c r="F1594" t="s">
        <v>32</v>
      </c>
      <c r="G1594" t="s">
        <v>25</v>
      </c>
      <c r="H1594" t="s">
        <v>26</v>
      </c>
      <c r="I1594" t="s">
        <v>27</v>
      </c>
      <c r="J1594" s="11">
        <v>45335</v>
      </c>
      <c r="K1594" t="str">
        <f>TEXT(Transactions_Clean[[#This Row],[Date]],"MMM-YYYY")</f>
        <v>Feb-2024</v>
      </c>
      <c r="L1594">
        <f>IF(Transactions_Clean[[#This Row],[Category]]="Revenue",Transactions_Clean[[#This Row],[Amount(₹)]],Transactions_Clean[[#This Row],[Amount(₹)]]/8)</f>
        <v>-3348.875</v>
      </c>
    </row>
    <row r="1595" spans="1:12">
      <c r="A1595" t="s">
        <v>2683</v>
      </c>
      <c r="B1595" t="s">
        <v>4749</v>
      </c>
      <c r="C1595" t="s">
        <v>44</v>
      </c>
      <c r="D1595">
        <v>-98876</v>
      </c>
      <c r="E1595" t="s">
        <v>23</v>
      </c>
      <c r="F1595" t="s">
        <v>32</v>
      </c>
      <c r="G1595" t="s">
        <v>33</v>
      </c>
      <c r="H1595" t="s">
        <v>26</v>
      </c>
      <c r="I1595" t="s">
        <v>48</v>
      </c>
      <c r="J1595" s="11">
        <v>44967</v>
      </c>
      <c r="K1595" t="str">
        <f>TEXT(Transactions_Clean[[#This Row],[Date]],"MMM-YYYY")</f>
        <v>Feb-2023</v>
      </c>
      <c r="L1595">
        <f>IF(Transactions_Clean[[#This Row],[Category]]="Revenue",Transactions_Clean[[#This Row],[Amount(₹)]],Transactions_Clean[[#This Row],[Amount(₹)]]/8)</f>
        <v>-12359.5</v>
      </c>
    </row>
    <row r="1596" spans="1:12">
      <c r="A1596" t="s">
        <v>2685</v>
      </c>
      <c r="B1596" t="s">
        <v>4768</v>
      </c>
      <c r="C1596" t="s">
        <v>157</v>
      </c>
      <c r="D1596">
        <v>496644</v>
      </c>
      <c r="E1596" t="s">
        <v>62</v>
      </c>
      <c r="F1596" t="s">
        <v>32</v>
      </c>
      <c r="G1596" t="s">
        <v>25</v>
      </c>
      <c r="H1596" t="s">
        <v>26</v>
      </c>
      <c r="I1596" t="s">
        <v>34</v>
      </c>
      <c r="J1596" s="11">
        <v>45040</v>
      </c>
      <c r="K1596" t="str">
        <f>TEXT(Transactions_Clean[[#This Row],[Date]],"MMM-YYYY")</f>
        <v>Apr-2023</v>
      </c>
      <c r="L1596">
        <f>IF(Transactions_Clean[[#This Row],[Category]]="Revenue",Transactions_Clean[[#This Row],[Amount(₹)]],Transactions_Clean[[#This Row],[Amount(₹)]]/8)</f>
        <v>496644</v>
      </c>
    </row>
    <row r="1597" spans="1:12">
      <c r="A1597" t="s">
        <v>2686</v>
      </c>
      <c r="B1597" t="s">
        <v>169</v>
      </c>
      <c r="C1597" t="s">
        <v>73</v>
      </c>
      <c r="D1597">
        <v>-29551</v>
      </c>
      <c r="E1597" t="s">
        <v>74</v>
      </c>
      <c r="F1597" t="s">
        <v>24</v>
      </c>
      <c r="G1597" t="s">
        <v>25</v>
      </c>
      <c r="H1597" t="s">
        <v>39</v>
      </c>
      <c r="I1597" t="s">
        <v>34</v>
      </c>
      <c r="J1597" s="11">
        <v>45817</v>
      </c>
      <c r="K1597" t="str">
        <f>TEXT(Transactions_Clean[[#This Row],[Date]],"MMM-YYYY")</f>
        <v>Jun-2025</v>
      </c>
      <c r="L1597">
        <f>IF(Transactions_Clean[[#This Row],[Category]]="Revenue",Transactions_Clean[[#This Row],[Amount(₹)]],Transactions_Clean[[#This Row],[Amount(₹)]]/8)</f>
        <v>-3693.875</v>
      </c>
    </row>
    <row r="1598" spans="1:12">
      <c r="A1598" t="s">
        <v>2687</v>
      </c>
      <c r="B1598" t="s">
        <v>60</v>
      </c>
      <c r="C1598" t="s">
        <v>61</v>
      </c>
      <c r="D1598">
        <v>-57427</v>
      </c>
      <c r="E1598" t="s">
        <v>62</v>
      </c>
      <c r="F1598" t="s">
        <v>32</v>
      </c>
      <c r="G1598" t="s">
        <v>63</v>
      </c>
      <c r="H1598" t="s">
        <v>26</v>
      </c>
      <c r="I1598" t="s">
        <v>40</v>
      </c>
      <c r="J1598" s="11">
        <v>45172</v>
      </c>
      <c r="K1598" t="str">
        <f>TEXT(Transactions_Clean[[#This Row],[Date]],"MMM-YYYY")</f>
        <v>Sep-2023</v>
      </c>
      <c r="L1598">
        <f>IF(Transactions_Clean[[#This Row],[Category]]="Revenue",Transactions_Clean[[#This Row],[Amount(₹)]],Transactions_Clean[[#This Row],[Amount(₹)]]/8)</f>
        <v>-7178.375</v>
      </c>
    </row>
    <row r="1599" spans="1:12">
      <c r="A1599" t="s">
        <v>2688</v>
      </c>
      <c r="B1599" t="s">
        <v>66</v>
      </c>
      <c r="C1599" t="s">
        <v>61</v>
      </c>
      <c r="D1599">
        <v>-23122</v>
      </c>
      <c r="E1599" t="s">
        <v>62</v>
      </c>
      <c r="F1599" t="s">
        <v>32</v>
      </c>
      <c r="G1599" t="s">
        <v>63</v>
      </c>
      <c r="H1599" t="s">
        <v>39</v>
      </c>
      <c r="I1599" t="s">
        <v>40</v>
      </c>
      <c r="J1599" s="11">
        <v>45896</v>
      </c>
      <c r="K1599" t="str">
        <f>TEXT(Transactions_Clean[[#This Row],[Date]],"MMM-YYYY")</f>
        <v>Aug-2025</v>
      </c>
      <c r="L1599">
        <f>IF(Transactions_Clean[[#This Row],[Category]]="Revenue",Transactions_Clean[[#This Row],[Amount(₹)]],Transactions_Clean[[#This Row],[Amount(₹)]]/8)</f>
        <v>-2890.25</v>
      </c>
    </row>
    <row r="1600" spans="1:12">
      <c r="A1600" t="s">
        <v>2689</v>
      </c>
      <c r="B1600" t="s">
        <v>305</v>
      </c>
      <c r="C1600" t="s">
        <v>38</v>
      </c>
      <c r="D1600">
        <v>-46292</v>
      </c>
      <c r="E1600" t="s">
        <v>23</v>
      </c>
      <c r="F1600" t="s">
        <v>24</v>
      </c>
      <c r="G1600" t="s">
        <v>33</v>
      </c>
      <c r="H1600" t="s">
        <v>26</v>
      </c>
      <c r="I1600" t="s">
        <v>27</v>
      </c>
      <c r="J1600" s="11">
        <v>45367</v>
      </c>
      <c r="K1600" t="str">
        <f>TEXT(Transactions_Clean[[#This Row],[Date]],"MMM-YYYY")</f>
        <v>Mar-2024</v>
      </c>
      <c r="L1600">
        <f>IF(Transactions_Clean[[#This Row],[Category]]="Revenue",Transactions_Clean[[#This Row],[Amount(₹)]],Transactions_Clean[[#This Row],[Amount(₹)]]/8)</f>
        <v>-5786.5</v>
      </c>
    </row>
    <row r="1601" spans="1:12">
      <c r="A1601" t="s">
        <v>2690</v>
      </c>
      <c r="B1601" t="s">
        <v>116</v>
      </c>
      <c r="C1601" t="s">
        <v>73</v>
      </c>
      <c r="D1601">
        <v>-87118</v>
      </c>
      <c r="E1601" t="s">
        <v>74</v>
      </c>
      <c r="F1601" t="s">
        <v>24</v>
      </c>
      <c r="G1601" t="s">
        <v>25</v>
      </c>
      <c r="H1601" t="s">
        <v>39</v>
      </c>
      <c r="I1601" t="s">
        <v>27</v>
      </c>
      <c r="J1601" s="11">
        <v>46061</v>
      </c>
      <c r="K1601" t="str">
        <f>TEXT(Transactions_Clean[[#This Row],[Date]],"MMM-YYYY")</f>
        <v>Feb-2026</v>
      </c>
      <c r="L1601">
        <f>IF(Transactions_Clean[[#This Row],[Category]]="Revenue",Transactions_Clean[[#This Row],[Amount(₹)]],Transactions_Clean[[#This Row],[Amount(₹)]]/8)</f>
        <v>-10889.75</v>
      </c>
    </row>
    <row r="1602" spans="1:12">
      <c r="A1602" t="s">
        <v>2692</v>
      </c>
      <c r="B1602" t="s">
        <v>60</v>
      </c>
      <c r="C1602" t="s">
        <v>61</v>
      </c>
      <c r="D1602">
        <v>-31555</v>
      </c>
      <c r="E1602" t="s">
        <v>62</v>
      </c>
      <c r="F1602" t="s">
        <v>24</v>
      </c>
      <c r="G1602" t="s">
        <v>63</v>
      </c>
      <c r="H1602" t="s">
        <v>26</v>
      </c>
      <c r="I1602" t="s">
        <v>40</v>
      </c>
      <c r="J1602" s="11">
        <v>45126</v>
      </c>
      <c r="K1602" t="str">
        <f>TEXT(Transactions_Clean[[#This Row],[Date]],"MMM-YYYY")</f>
        <v>Jul-2023</v>
      </c>
      <c r="L1602">
        <f>IF(Transactions_Clean[[#This Row],[Category]]="Revenue",Transactions_Clean[[#This Row],[Amount(₹)]],Transactions_Clean[[#This Row],[Amount(₹)]]/8)</f>
        <v>-3944.375</v>
      </c>
    </row>
    <row r="1603" spans="1:12">
      <c r="A1603" t="s">
        <v>2693</v>
      </c>
      <c r="B1603" t="s">
        <v>687</v>
      </c>
      <c r="C1603" t="s">
        <v>44</v>
      </c>
      <c r="D1603">
        <v>-174649</v>
      </c>
      <c r="E1603" t="s">
        <v>23</v>
      </c>
      <c r="F1603" t="s">
        <v>32</v>
      </c>
      <c r="G1603" t="s">
        <v>33</v>
      </c>
      <c r="H1603" t="s">
        <v>26</v>
      </c>
      <c r="I1603" t="s">
        <v>27</v>
      </c>
      <c r="J1603" s="11">
        <v>45348</v>
      </c>
      <c r="K1603" t="str">
        <f>TEXT(Transactions_Clean[[#This Row],[Date]],"MMM-YYYY")</f>
        <v>Feb-2024</v>
      </c>
      <c r="L1603">
        <f>IF(Transactions_Clean[[#This Row],[Category]]="Revenue",Transactions_Clean[[#This Row],[Amount(₹)]],Transactions_Clean[[#This Row],[Amount(₹)]]/8)</f>
        <v>-21831.125</v>
      </c>
    </row>
    <row r="1604" spans="1:12">
      <c r="A1604" t="s">
        <v>2694</v>
      </c>
      <c r="B1604" t="s">
        <v>4754</v>
      </c>
      <c r="C1604" t="s">
        <v>78</v>
      </c>
      <c r="D1604">
        <v>-76165</v>
      </c>
      <c r="E1604" t="s">
        <v>23</v>
      </c>
      <c r="F1604" t="s">
        <v>32</v>
      </c>
      <c r="G1604" t="s">
        <v>79</v>
      </c>
      <c r="H1604" t="s">
        <v>39</v>
      </c>
      <c r="I1604" t="s">
        <v>27</v>
      </c>
      <c r="J1604" s="11">
        <v>46049</v>
      </c>
      <c r="K1604" t="str">
        <f>TEXT(Transactions_Clean[[#This Row],[Date]],"MMM-YYYY")</f>
        <v>Jan-2026</v>
      </c>
      <c r="L1604">
        <f>IF(Transactions_Clean[[#This Row],[Category]]="Revenue",Transactions_Clean[[#This Row],[Amount(₹)]],Transactions_Clean[[#This Row],[Amount(₹)]]/8)</f>
        <v>-9520.625</v>
      </c>
    </row>
    <row r="1605" spans="1:12">
      <c r="A1605" t="s">
        <v>2695</v>
      </c>
      <c r="B1605" t="s">
        <v>4751</v>
      </c>
      <c r="C1605" t="s">
        <v>38</v>
      </c>
      <c r="D1605">
        <v>-20973</v>
      </c>
      <c r="E1605" t="s">
        <v>23</v>
      </c>
      <c r="F1605" t="s">
        <v>24</v>
      </c>
      <c r="G1605" t="s">
        <v>33</v>
      </c>
      <c r="H1605" t="s">
        <v>39</v>
      </c>
      <c r="I1605" t="s">
        <v>27</v>
      </c>
      <c r="J1605" s="11">
        <v>46038</v>
      </c>
      <c r="K1605" t="str">
        <f>TEXT(Transactions_Clean[[#This Row],[Date]],"MMM-YYYY")</f>
        <v>Jan-2026</v>
      </c>
      <c r="L1605">
        <f>IF(Transactions_Clean[[#This Row],[Category]]="Revenue",Transactions_Clean[[#This Row],[Amount(₹)]],Transactions_Clean[[#This Row],[Amount(₹)]]/8)</f>
        <v>-2621.625</v>
      </c>
    </row>
    <row r="1606" spans="1:12">
      <c r="A1606" t="s">
        <v>2696</v>
      </c>
      <c r="B1606" t="s">
        <v>4758</v>
      </c>
      <c r="C1606" t="s">
        <v>78</v>
      </c>
      <c r="D1606">
        <v>-44939</v>
      </c>
      <c r="E1606" t="s">
        <v>23</v>
      </c>
      <c r="F1606" t="s">
        <v>32</v>
      </c>
      <c r="G1606" t="s">
        <v>79</v>
      </c>
      <c r="H1606" t="s">
        <v>26</v>
      </c>
      <c r="I1606" t="s">
        <v>40</v>
      </c>
      <c r="J1606" s="11">
        <v>45177</v>
      </c>
      <c r="K1606" t="str">
        <f>TEXT(Transactions_Clean[[#This Row],[Date]],"MMM-YYYY")</f>
        <v>Sep-2023</v>
      </c>
      <c r="L1606">
        <f>IF(Transactions_Clean[[#This Row],[Category]]="Revenue",Transactions_Clean[[#This Row],[Amount(₹)]],Transactions_Clean[[#This Row],[Amount(₹)]]/8)</f>
        <v>-5617.375</v>
      </c>
    </row>
    <row r="1607" spans="1:12">
      <c r="A1607" t="s">
        <v>2698</v>
      </c>
      <c r="B1607" t="s">
        <v>4756</v>
      </c>
      <c r="C1607" t="s">
        <v>73</v>
      </c>
      <c r="D1607">
        <v>-34440</v>
      </c>
      <c r="E1607" t="s">
        <v>74</v>
      </c>
      <c r="F1607" t="s">
        <v>32</v>
      </c>
      <c r="G1607" t="s">
        <v>25</v>
      </c>
      <c r="H1607" t="s">
        <v>45</v>
      </c>
      <c r="I1607" t="s">
        <v>40</v>
      </c>
      <c r="J1607" s="11">
        <v>45494</v>
      </c>
      <c r="K1607" t="str">
        <f>TEXT(Transactions_Clean[[#This Row],[Date]],"MMM-YYYY")</f>
        <v>Jul-2024</v>
      </c>
      <c r="L1607">
        <f>IF(Transactions_Clean[[#This Row],[Category]]="Revenue",Transactions_Clean[[#This Row],[Amount(₹)]],Transactions_Clean[[#This Row],[Amount(₹)]]/8)</f>
        <v>-4305</v>
      </c>
    </row>
    <row r="1608" spans="1:12">
      <c r="A1608" t="s">
        <v>2700</v>
      </c>
      <c r="B1608" t="s">
        <v>4766</v>
      </c>
      <c r="C1608" t="s">
        <v>73</v>
      </c>
      <c r="D1608">
        <v>-65367</v>
      </c>
      <c r="E1608" t="s">
        <v>74</v>
      </c>
      <c r="F1608" t="s">
        <v>32</v>
      </c>
      <c r="G1608" t="s">
        <v>25</v>
      </c>
      <c r="H1608" t="s">
        <v>26</v>
      </c>
      <c r="I1608" t="s">
        <v>48</v>
      </c>
      <c r="J1608" s="11">
        <v>45212</v>
      </c>
      <c r="K1608" t="str">
        <f>TEXT(Transactions_Clean[[#This Row],[Date]],"MMM-YYYY")</f>
        <v>Oct-2023</v>
      </c>
      <c r="L1608">
        <f>IF(Transactions_Clean[[#This Row],[Category]]="Revenue",Transactions_Clean[[#This Row],[Amount(₹)]],Transactions_Clean[[#This Row],[Amount(₹)]]/8)</f>
        <v>-8170.875</v>
      </c>
    </row>
    <row r="1609" spans="1:12">
      <c r="A1609" t="s">
        <v>2702</v>
      </c>
      <c r="B1609" t="s">
        <v>4758</v>
      </c>
      <c r="C1609" t="s">
        <v>78</v>
      </c>
      <c r="D1609">
        <v>-46549</v>
      </c>
      <c r="E1609" t="s">
        <v>23</v>
      </c>
      <c r="F1609" t="s">
        <v>24</v>
      </c>
      <c r="G1609" t="s">
        <v>79</v>
      </c>
      <c r="H1609" t="s">
        <v>39</v>
      </c>
      <c r="I1609" t="s">
        <v>27</v>
      </c>
      <c r="J1609" s="11">
        <v>46026</v>
      </c>
      <c r="K1609" t="str">
        <f>TEXT(Transactions_Clean[[#This Row],[Date]],"MMM-YYYY")</f>
        <v>Jan-2026</v>
      </c>
      <c r="L1609">
        <f>IF(Transactions_Clean[[#This Row],[Category]]="Revenue",Transactions_Clean[[#This Row],[Amount(₹)]],Transactions_Clean[[#This Row],[Amount(₹)]]/8)</f>
        <v>-5818.625</v>
      </c>
    </row>
    <row r="1610" spans="1:12">
      <c r="A1610" t="s">
        <v>2704</v>
      </c>
      <c r="B1610" t="s">
        <v>4789</v>
      </c>
      <c r="C1610" t="s">
        <v>136</v>
      </c>
      <c r="D1610">
        <v>-10675839</v>
      </c>
      <c r="E1610" t="s">
        <v>62</v>
      </c>
      <c r="F1610" t="s">
        <v>32</v>
      </c>
      <c r="G1610" t="s">
        <v>63</v>
      </c>
      <c r="H1610" t="s">
        <v>26</v>
      </c>
      <c r="I1610" t="s">
        <v>48</v>
      </c>
      <c r="J1610" s="11">
        <v>45227</v>
      </c>
      <c r="K1610" t="str">
        <f>TEXT(Transactions_Clean[[#This Row],[Date]],"MMM-YYYY")</f>
        <v>Oct-2023</v>
      </c>
      <c r="L1610">
        <f>IF(Transactions_Clean[[#This Row],[Category]]="Revenue",Transactions_Clean[[#This Row],[Amount(₹)]],Transactions_Clean[[#This Row],[Amount(₹)]]/8)</f>
        <v>-1334479.875</v>
      </c>
    </row>
    <row r="1611" spans="1:12">
      <c r="A1611" t="s">
        <v>2706</v>
      </c>
      <c r="B1611" t="s">
        <v>212</v>
      </c>
      <c r="C1611" t="s">
        <v>73</v>
      </c>
      <c r="D1611">
        <v>-93633</v>
      </c>
      <c r="E1611" t="s">
        <v>74</v>
      </c>
      <c r="F1611" t="s">
        <v>32</v>
      </c>
      <c r="G1611" t="s">
        <v>25</v>
      </c>
      <c r="H1611" t="s">
        <v>45</v>
      </c>
      <c r="I1611" t="s">
        <v>40</v>
      </c>
      <c r="J1611" s="11">
        <v>45551</v>
      </c>
      <c r="K1611" t="str">
        <f>TEXT(Transactions_Clean[[#This Row],[Date]],"MMM-YYYY")</f>
        <v>Sep-2024</v>
      </c>
      <c r="L1611">
        <f>IF(Transactions_Clean[[#This Row],[Category]]="Revenue",Transactions_Clean[[#This Row],[Amount(₹)]],Transactions_Clean[[#This Row],[Amount(₹)]]/8)</f>
        <v>-11704.125</v>
      </c>
    </row>
    <row r="1612" spans="1:12">
      <c r="A1612" t="s">
        <v>2707</v>
      </c>
      <c r="B1612" t="s">
        <v>4754</v>
      </c>
      <c r="C1612" t="s">
        <v>78</v>
      </c>
      <c r="D1612">
        <v>-36129</v>
      </c>
      <c r="E1612" t="s">
        <v>23</v>
      </c>
      <c r="F1612" t="s">
        <v>32</v>
      </c>
      <c r="G1612" t="s">
        <v>79</v>
      </c>
      <c r="H1612" t="s">
        <v>45</v>
      </c>
      <c r="I1612" t="s">
        <v>48</v>
      </c>
      <c r="J1612" s="11">
        <v>45650</v>
      </c>
      <c r="K1612" t="str">
        <f>TEXT(Transactions_Clean[[#This Row],[Date]],"MMM-YYYY")</f>
        <v>Dec-2024</v>
      </c>
      <c r="L1612">
        <f>IF(Transactions_Clean[[#This Row],[Category]]="Revenue",Transactions_Clean[[#This Row],[Amount(₹)]],Transactions_Clean[[#This Row],[Amount(₹)]]/8)</f>
        <v>-4516.125</v>
      </c>
    </row>
    <row r="1613" spans="1:12">
      <c r="A1613" t="s">
        <v>2708</v>
      </c>
      <c r="B1613" t="s">
        <v>4763</v>
      </c>
      <c r="C1613" t="s">
        <v>22</v>
      </c>
      <c r="D1613">
        <v>-179998</v>
      </c>
      <c r="E1613" t="s">
        <v>23</v>
      </c>
      <c r="F1613" t="s">
        <v>24</v>
      </c>
      <c r="G1613" t="s">
        <v>25</v>
      </c>
      <c r="H1613" t="s">
        <v>45</v>
      </c>
      <c r="I1613" t="s">
        <v>40</v>
      </c>
      <c r="J1613" s="11">
        <v>45508</v>
      </c>
      <c r="K1613" t="str">
        <f>TEXT(Transactions_Clean[[#This Row],[Date]],"MMM-YYYY")</f>
        <v>Aug-2024</v>
      </c>
      <c r="L1613">
        <f>IF(Transactions_Clean[[#This Row],[Category]]="Revenue",Transactions_Clean[[#This Row],[Amount(₹)]],Transactions_Clean[[#This Row],[Amount(₹)]]/8)</f>
        <v>-22499.75</v>
      </c>
    </row>
    <row r="1614" spans="1:12">
      <c r="A1614" t="s">
        <v>2709</v>
      </c>
      <c r="B1614" t="s">
        <v>4756</v>
      </c>
      <c r="C1614" t="s">
        <v>73</v>
      </c>
      <c r="D1614">
        <v>-51743</v>
      </c>
      <c r="E1614" t="s">
        <v>74</v>
      </c>
      <c r="F1614" t="s">
        <v>24</v>
      </c>
      <c r="G1614" t="s">
        <v>25</v>
      </c>
      <c r="H1614" t="s">
        <v>45</v>
      </c>
      <c r="I1614" t="s">
        <v>40</v>
      </c>
      <c r="J1614" s="11">
        <v>45506</v>
      </c>
      <c r="K1614" t="str">
        <f>TEXT(Transactions_Clean[[#This Row],[Date]],"MMM-YYYY")</f>
        <v>Aug-2024</v>
      </c>
      <c r="L1614">
        <f>IF(Transactions_Clean[[#This Row],[Category]]="Revenue",Transactions_Clean[[#This Row],[Amount(₹)]],Transactions_Clean[[#This Row],[Amount(₹)]]/8)</f>
        <v>-6467.875</v>
      </c>
    </row>
    <row r="1615" spans="1:12">
      <c r="A1615" t="s">
        <v>2711</v>
      </c>
      <c r="B1615" t="s">
        <v>215</v>
      </c>
      <c r="C1615" t="s">
        <v>61</v>
      </c>
      <c r="D1615">
        <v>-63485</v>
      </c>
      <c r="E1615" t="s">
        <v>62</v>
      </c>
      <c r="F1615" t="s">
        <v>32</v>
      </c>
      <c r="G1615" t="s">
        <v>63</v>
      </c>
      <c r="H1615" t="s">
        <v>39</v>
      </c>
      <c r="I1615" t="s">
        <v>34</v>
      </c>
      <c r="J1615" s="11">
        <v>45831</v>
      </c>
      <c r="K1615" t="str">
        <f>TEXT(Transactions_Clean[[#This Row],[Date]],"MMM-YYYY")</f>
        <v>Jun-2025</v>
      </c>
      <c r="L1615">
        <f>IF(Transactions_Clean[[#This Row],[Category]]="Revenue",Transactions_Clean[[#This Row],[Amount(₹)]],Transactions_Clean[[#This Row],[Amount(₹)]]/8)</f>
        <v>-7935.625</v>
      </c>
    </row>
    <row r="1616" spans="1:12">
      <c r="A1616" t="s">
        <v>2713</v>
      </c>
      <c r="B1616" t="s">
        <v>4758</v>
      </c>
      <c r="C1616" t="s">
        <v>78</v>
      </c>
      <c r="D1616">
        <v>-96229</v>
      </c>
      <c r="E1616" t="s">
        <v>23</v>
      </c>
      <c r="F1616" t="s">
        <v>24</v>
      </c>
      <c r="G1616" t="s">
        <v>79</v>
      </c>
      <c r="H1616" t="s">
        <v>26</v>
      </c>
      <c r="I1616" t="s">
        <v>48</v>
      </c>
      <c r="J1616" s="11">
        <v>45258</v>
      </c>
      <c r="K1616" t="str">
        <f>TEXT(Transactions_Clean[[#This Row],[Date]],"MMM-YYYY")</f>
        <v>Nov-2023</v>
      </c>
      <c r="L1616">
        <f>IF(Transactions_Clean[[#This Row],[Category]]="Revenue",Transactions_Clean[[#This Row],[Amount(₹)]],Transactions_Clean[[#This Row],[Amount(₹)]]/8)</f>
        <v>-12028.625</v>
      </c>
    </row>
    <row r="1617" spans="1:12">
      <c r="A1617" t="s">
        <v>2714</v>
      </c>
      <c r="B1617" t="s">
        <v>215</v>
      </c>
      <c r="C1617" t="s">
        <v>61</v>
      </c>
      <c r="D1617">
        <v>-58063</v>
      </c>
      <c r="E1617" t="s">
        <v>62</v>
      </c>
      <c r="F1617" t="s">
        <v>24</v>
      </c>
      <c r="G1617" t="s">
        <v>63</v>
      </c>
      <c r="H1617" t="s">
        <v>45</v>
      </c>
      <c r="I1617" t="s">
        <v>48</v>
      </c>
      <c r="J1617" s="11">
        <v>45583</v>
      </c>
      <c r="K1617" t="str">
        <f>TEXT(Transactions_Clean[[#This Row],[Date]],"MMM-YYYY")</f>
        <v>Oct-2024</v>
      </c>
      <c r="L1617">
        <f>IF(Transactions_Clean[[#This Row],[Category]]="Revenue",Transactions_Clean[[#This Row],[Amount(₹)]],Transactions_Clean[[#This Row],[Amount(₹)]]/8)</f>
        <v>-7257.875</v>
      </c>
    </row>
    <row r="1618" spans="1:12">
      <c r="A1618" t="s">
        <v>2715</v>
      </c>
      <c r="B1618" t="s">
        <v>60</v>
      </c>
      <c r="C1618" t="s">
        <v>61</v>
      </c>
      <c r="D1618">
        <v>-53591</v>
      </c>
      <c r="E1618" t="s">
        <v>62</v>
      </c>
      <c r="F1618" t="s">
        <v>32</v>
      </c>
      <c r="G1618" t="s">
        <v>63</v>
      </c>
      <c r="H1618" t="s">
        <v>45</v>
      </c>
      <c r="I1618" t="s">
        <v>48</v>
      </c>
      <c r="J1618" s="11">
        <v>45628</v>
      </c>
      <c r="K1618" t="str">
        <f>TEXT(Transactions_Clean[[#This Row],[Date]],"MMM-YYYY")</f>
        <v>Dec-2024</v>
      </c>
      <c r="L1618">
        <f>IF(Transactions_Clean[[#This Row],[Category]]="Revenue",Transactions_Clean[[#This Row],[Amount(₹)]],Transactions_Clean[[#This Row],[Amount(₹)]]/8)</f>
        <v>-6698.875</v>
      </c>
    </row>
    <row r="1619" spans="1:12">
      <c r="A1619" t="s">
        <v>2716</v>
      </c>
      <c r="B1619" t="s">
        <v>100</v>
      </c>
      <c r="C1619" t="s">
        <v>31</v>
      </c>
      <c r="D1619">
        <v>-5480</v>
      </c>
      <c r="E1619" t="s">
        <v>23</v>
      </c>
      <c r="F1619" t="s">
        <v>32</v>
      </c>
      <c r="G1619" t="s">
        <v>33</v>
      </c>
      <c r="H1619" t="s">
        <v>26</v>
      </c>
      <c r="I1619" t="s">
        <v>40</v>
      </c>
      <c r="J1619" s="11">
        <v>45135</v>
      </c>
      <c r="K1619" t="str">
        <f>TEXT(Transactions_Clean[[#This Row],[Date]],"MMM-YYYY")</f>
        <v>Jul-2023</v>
      </c>
      <c r="L1619">
        <f>IF(Transactions_Clean[[#This Row],[Category]]="Revenue",Transactions_Clean[[#This Row],[Amount(₹)]],Transactions_Clean[[#This Row],[Amount(₹)]]/8)</f>
        <v>-685</v>
      </c>
    </row>
    <row r="1620" spans="1:12">
      <c r="A1620" t="s">
        <v>2718</v>
      </c>
      <c r="B1620" t="s">
        <v>161</v>
      </c>
      <c r="C1620" t="s">
        <v>22</v>
      </c>
      <c r="D1620">
        <v>-163084</v>
      </c>
      <c r="E1620" t="s">
        <v>23</v>
      </c>
      <c r="F1620" t="s">
        <v>32</v>
      </c>
      <c r="G1620" t="s">
        <v>25</v>
      </c>
      <c r="H1620" t="s">
        <v>39</v>
      </c>
      <c r="I1620" t="s">
        <v>27</v>
      </c>
      <c r="J1620" s="11">
        <v>46111</v>
      </c>
      <c r="K1620" t="str">
        <f>TEXT(Transactions_Clean[[#This Row],[Date]],"MMM-YYYY")</f>
        <v>Mar-2026</v>
      </c>
      <c r="L1620">
        <f>IF(Transactions_Clean[[#This Row],[Category]]="Revenue",Transactions_Clean[[#This Row],[Amount(₹)]],Transactions_Clean[[#This Row],[Amount(₹)]]/8)</f>
        <v>-20385.5</v>
      </c>
    </row>
    <row r="1621" spans="1:12">
      <c r="A1621" t="s">
        <v>2719</v>
      </c>
      <c r="B1621" t="s">
        <v>215</v>
      </c>
      <c r="C1621" t="s">
        <v>61</v>
      </c>
      <c r="D1621">
        <v>-38253</v>
      </c>
      <c r="E1621" t="s">
        <v>62</v>
      </c>
      <c r="F1621" t="s">
        <v>32</v>
      </c>
      <c r="G1621" t="s">
        <v>63</v>
      </c>
      <c r="H1621" t="s">
        <v>26</v>
      </c>
      <c r="I1621" t="s">
        <v>48</v>
      </c>
      <c r="J1621" s="11">
        <v>45239</v>
      </c>
      <c r="K1621" t="str">
        <f>TEXT(Transactions_Clean[[#This Row],[Date]],"MMM-YYYY")</f>
        <v>Nov-2023</v>
      </c>
      <c r="L1621">
        <f>IF(Transactions_Clean[[#This Row],[Category]]="Revenue",Transactions_Clean[[#This Row],[Amount(₹)]],Transactions_Clean[[#This Row],[Amount(₹)]]/8)</f>
        <v>-4781.625</v>
      </c>
    </row>
    <row r="1622" spans="1:12">
      <c r="A1622" t="s">
        <v>2720</v>
      </c>
      <c r="B1622" t="s">
        <v>66</v>
      </c>
      <c r="C1622" t="s">
        <v>61</v>
      </c>
      <c r="D1622">
        <v>-30956</v>
      </c>
      <c r="E1622" t="s">
        <v>62</v>
      </c>
      <c r="F1622" t="s">
        <v>24</v>
      </c>
      <c r="G1622" t="s">
        <v>63</v>
      </c>
      <c r="H1622" t="s">
        <v>45</v>
      </c>
      <c r="I1622" t="s">
        <v>34</v>
      </c>
      <c r="J1622" s="11">
        <v>45403</v>
      </c>
      <c r="K1622" t="str">
        <f>TEXT(Transactions_Clean[[#This Row],[Date]],"MMM-YYYY")</f>
        <v>Apr-2024</v>
      </c>
      <c r="L1622">
        <f>IF(Transactions_Clean[[#This Row],[Category]]="Revenue",Transactions_Clean[[#This Row],[Amount(₹)]],Transactions_Clean[[#This Row],[Amount(₹)]]/8)</f>
        <v>-3869.5</v>
      </c>
    </row>
    <row r="1623" spans="1:12">
      <c r="A1623" t="s">
        <v>2721</v>
      </c>
      <c r="B1623" t="s">
        <v>51</v>
      </c>
      <c r="C1623" t="s">
        <v>31</v>
      </c>
      <c r="D1623">
        <v>-8306</v>
      </c>
      <c r="E1623" t="s">
        <v>23</v>
      </c>
      <c r="F1623" t="s">
        <v>32</v>
      </c>
      <c r="G1623" t="s">
        <v>33</v>
      </c>
      <c r="H1623" t="s">
        <v>39</v>
      </c>
      <c r="I1623" t="s">
        <v>40</v>
      </c>
      <c r="J1623" s="11">
        <v>45910</v>
      </c>
      <c r="K1623" t="str">
        <f>TEXT(Transactions_Clean[[#This Row],[Date]],"MMM-YYYY")</f>
        <v>Sep-2025</v>
      </c>
      <c r="L1623">
        <f>IF(Transactions_Clean[[#This Row],[Category]]="Revenue",Transactions_Clean[[#This Row],[Amount(₹)]],Transactions_Clean[[#This Row],[Amount(₹)]]/8)</f>
        <v>-1038.25</v>
      </c>
    </row>
    <row r="1624" spans="1:12">
      <c r="A1624" t="s">
        <v>2722</v>
      </c>
      <c r="B1624" t="s">
        <v>37</v>
      </c>
      <c r="C1624" t="s">
        <v>38</v>
      </c>
      <c r="D1624">
        <v>-9932</v>
      </c>
      <c r="E1624" t="s">
        <v>23</v>
      </c>
      <c r="F1624" t="s">
        <v>32</v>
      </c>
      <c r="G1624" t="s">
        <v>33</v>
      </c>
      <c r="H1624" t="s">
        <v>26</v>
      </c>
      <c r="I1624" t="s">
        <v>40</v>
      </c>
      <c r="J1624" s="11">
        <v>45151</v>
      </c>
      <c r="K1624" t="str">
        <f>TEXT(Transactions_Clean[[#This Row],[Date]],"MMM-YYYY")</f>
        <v>Aug-2023</v>
      </c>
      <c r="L1624">
        <f>IF(Transactions_Clean[[#This Row],[Category]]="Revenue",Transactions_Clean[[#This Row],[Amount(₹)]],Transactions_Clean[[#This Row],[Amount(₹)]]/8)</f>
        <v>-1241.5</v>
      </c>
    </row>
    <row r="1625" spans="1:12">
      <c r="A1625" t="s">
        <v>2723</v>
      </c>
      <c r="B1625" t="s">
        <v>60</v>
      </c>
      <c r="C1625" t="s">
        <v>61</v>
      </c>
      <c r="D1625">
        <v>-15978</v>
      </c>
      <c r="E1625" t="s">
        <v>62</v>
      </c>
      <c r="F1625" t="s">
        <v>24</v>
      </c>
      <c r="G1625" t="s">
        <v>63</v>
      </c>
      <c r="H1625" t="s">
        <v>39</v>
      </c>
      <c r="I1625" t="s">
        <v>34</v>
      </c>
      <c r="J1625" s="11">
        <v>45786</v>
      </c>
      <c r="K1625" t="str">
        <f>TEXT(Transactions_Clean[[#This Row],[Date]],"MMM-YYYY")</f>
        <v>May-2025</v>
      </c>
      <c r="L1625">
        <f>IF(Transactions_Clean[[#This Row],[Category]]="Revenue",Transactions_Clean[[#This Row],[Amount(₹)]],Transactions_Clean[[#This Row],[Amount(₹)]]/8)</f>
        <v>-1997.25</v>
      </c>
    </row>
    <row r="1626" spans="1:12">
      <c r="A1626" t="s">
        <v>2724</v>
      </c>
      <c r="B1626" t="s">
        <v>4767</v>
      </c>
      <c r="C1626" t="s">
        <v>157</v>
      </c>
      <c r="D1626">
        <v>518279</v>
      </c>
      <c r="E1626" t="s">
        <v>62</v>
      </c>
      <c r="F1626" t="s">
        <v>32</v>
      </c>
      <c r="G1626" t="s">
        <v>25</v>
      </c>
      <c r="H1626" t="s">
        <v>26</v>
      </c>
      <c r="I1626" t="s">
        <v>34</v>
      </c>
      <c r="J1626" s="11">
        <v>45075</v>
      </c>
      <c r="K1626" t="str">
        <f>TEXT(Transactions_Clean[[#This Row],[Date]],"MMM-YYYY")</f>
        <v>May-2023</v>
      </c>
      <c r="L1626">
        <f>IF(Transactions_Clean[[#This Row],[Category]]="Revenue",Transactions_Clean[[#This Row],[Amount(₹)]],Transactions_Clean[[#This Row],[Amount(₹)]]/8)</f>
        <v>518279</v>
      </c>
    </row>
    <row r="1627" spans="1:12">
      <c r="A1627" t="s">
        <v>2726</v>
      </c>
      <c r="B1627" t="s">
        <v>177</v>
      </c>
      <c r="C1627" t="s">
        <v>78</v>
      </c>
      <c r="D1627">
        <v>-107018</v>
      </c>
      <c r="E1627" t="s">
        <v>23</v>
      </c>
      <c r="F1627" t="s">
        <v>24</v>
      </c>
      <c r="G1627" t="s">
        <v>79</v>
      </c>
      <c r="H1627" t="s">
        <v>45</v>
      </c>
      <c r="I1627" t="s">
        <v>27</v>
      </c>
      <c r="J1627" s="11">
        <v>45702</v>
      </c>
      <c r="K1627" t="str">
        <f>TEXT(Transactions_Clean[[#This Row],[Date]],"MMM-YYYY")</f>
        <v>Feb-2025</v>
      </c>
      <c r="L1627">
        <f>IF(Transactions_Clean[[#This Row],[Category]]="Revenue",Transactions_Clean[[#This Row],[Amount(₹)]],Transactions_Clean[[#This Row],[Amount(₹)]]/8)</f>
        <v>-13377.25</v>
      </c>
    </row>
    <row r="1628" spans="1:12">
      <c r="A1628" t="s">
        <v>2727</v>
      </c>
      <c r="B1628" t="s">
        <v>4764</v>
      </c>
      <c r="C1628" t="s">
        <v>157</v>
      </c>
      <c r="D1628">
        <v>722199</v>
      </c>
      <c r="E1628" t="s">
        <v>62</v>
      </c>
      <c r="F1628" t="s">
        <v>32</v>
      </c>
      <c r="G1628" t="s">
        <v>25</v>
      </c>
      <c r="H1628" t="s">
        <v>39</v>
      </c>
      <c r="I1628" t="s">
        <v>40</v>
      </c>
      <c r="J1628" s="11">
        <v>45901</v>
      </c>
      <c r="K1628" t="str">
        <f>TEXT(Transactions_Clean[[#This Row],[Date]],"MMM-YYYY")</f>
        <v>Sep-2025</v>
      </c>
      <c r="L1628">
        <f>IF(Transactions_Clean[[#This Row],[Category]]="Revenue",Transactions_Clean[[#This Row],[Amount(₹)]],Transactions_Clean[[#This Row],[Amount(₹)]]/8)</f>
        <v>722199</v>
      </c>
    </row>
    <row r="1629" spans="1:12">
      <c r="A1629" t="s">
        <v>2728</v>
      </c>
      <c r="B1629" t="s">
        <v>4749</v>
      </c>
      <c r="C1629" t="s">
        <v>44</v>
      </c>
      <c r="D1629">
        <v>-50312</v>
      </c>
      <c r="E1629" t="s">
        <v>23</v>
      </c>
      <c r="F1629" t="s">
        <v>32</v>
      </c>
      <c r="G1629" t="s">
        <v>33</v>
      </c>
      <c r="H1629" t="s">
        <v>39</v>
      </c>
      <c r="I1629" t="s">
        <v>40</v>
      </c>
      <c r="J1629" s="11">
        <v>45872</v>
      </c>
      <c r="K1629" t="str">
        <f>TEXT(Transactions_Clean[[#This Row],[Date]],"MMM-YYYY")</f>
        <v>Aug-2025</v>
      </c>
      <c r="L1629">
        <f>IF(Transactions_Clean[[#This Row],[Category]]="Revenue",Transactions_Clean[[#This Row],[Amount(₹)]],Transactions_Clean[[#This Row],[Amount(₹)]]/8)</f>
        <v>-6289</v>
      </c>
    </row>
    <row r="1630" spans="1:12">
      <c r="A1630" t="s">
        <v>2730</v>
      </c>
      <c r="B1630" t="s">
        <v>37</v>
      </c>
      <c r="C1630" t="s">
        <v>38</v>
      </c>
      <c r="D1630">
        <v>-46715</v>
      </c>
      <c r="E1630" t="s">
        <v>23</v>
      </c>
      <c r="F1630" t="s">
        <v>24</v>
      </c>
      <c r="G1630" t="s">
        <v>33</v>
      </c>
      <c r="H1630" t="s">
        <v>26</v>
      </c>
      <c r="I1630" t="s">
        <v>40</v>
      </c>
      <c r="J1630" s="11">
        <v>45185</v>
      </c>
      <c r="K1630" t="str">
        <f>TEXT(Transactions_Clean[[#This Row],[Date]],"MMM-YYYY")</f>
        <v>Sep-2023</v>
      </c>
      <c r="L1630">
        <f>IF(Transactions_Clean[[#This Row],[Category]]="Revenue",Transactions_Clean[[#This Row],[Amount(₹)]],Transactions_Clean[[#This Row],[Amount(₹)]]/8)</f>
        <v>-5839.375</v>
      </c>
    </row>
    <row r="1631" spans="1:12">
      <c r="A1631" t="s">
        <v>2731</v>
      </c>
      <c r="B1631" t="s">
        <v>4757</v>
      </c>
      <c r="C1631" t="s">
        <v>73</v>
      </c>
      <c r="D1631">
        <v>-19648</v>
      </c>
      <c r="E1631" t="s">
        <v>74</v>
      </c>
      <c r="F1631" t="s">
        <v>24</v>
      </c>
      <c r="G1631" t="s">
        <v>25</v>
      </c>
      <c r="H1631" t="s">
        <v>45</v>
      </c>
      <c r="I1631" t="s">
        <v>48</v>
      </c>
      <c r="J1631" s="11">
        <v>45637</v>
      </c>
      <c r="K1631" t="str">
        <f>TEXT(Transactions_Clean[[#This Row],[Date]],"MMM-YYYY")</f>
        <v>Dec-2024</v>
      </c>
      <c r="L1631">
        <f>IF(Transactions_Clean[[#This Row],[Category]]="Revenue",Transactions_Clean[[#This Row],[Amount(₹)]],Transactions_Clean[[#This Row],[Amount(₹)]]/8)</f>
        <v>-2456</v>
      </c>
    </row>
    <row r="1632" spans="1:12">
      <c r="A1632" t="s">
        <v>2732</v>
      </c>
      <c r="B1632" t="s">
        <v>202</v>
      </c>
      <c r="C1632" t="s">
        <v>22</v>
      </c>
      <c r="D1632">
        <v>-115718</v>
      </c>
      <c r="E1632" t="s">
        <v>23</v>
      </c>
      <c r="F1632" t="s">
        <v>24</v>
      </c>
      <c r="G1632" t="s">
        <v>25</v>
      </c>
      <c r="H1632" t="s">
        <v>39</v>
      </c>
      <c r="I1632" t="s">
        <v>27</v>
      </c>
      <c r="J1632" s="11">
        <v>46108</v>
      </c>
      <c r="K1632" t="str">
        <f>TEXT(Transactions_Clean[[#This Row],[Date]],"MMM-YYYY")</f>
        <v>Mar-2026</v>
      </c>
      <c r="L1632">
        <f>IF(Transactions_Clean[[#This Row],[Category]]="Revenue",Transactions_Clean[[#This Row],[Amount(₹)]],Transactions_Clean[[#This Row],[Amount(₹)]]/8)</f>
        <v>-14464.75</v>
      </c>
    </row>
    <row r="1633" spans="1:12">
      <c r="A1633" t="s">
        <v>2735</v>
      </c>
      <c r="B1633" t="s">
        <v>66</v>
      </c>
      <c r="C1633" t="s">
        <v>61</v>
      </c>
      <c r="D1633">
        <v>-47945</v>
      </c>
      <c r="E1633" t="s">
        <v>62</v>
      </c>
      <c r="F1633" t="s">
        <v>32</v>
      </c>
      <c r="G1633" t="s">
        <v>63</v>
      </c>
      <c r="H1633" t="s">
        <v>39</v>
      </c>
      <c r="I1633" t="s">
        <v>27</v>
      </c>
      <c r="J1633" s="11">
        <v>46066</v>
      </c>
      <c r="K1633" t="str">
        <f>TEXT(Transactions_Clean[[#This Row],[Date]],"MMM-YYYY")</f>
        <v>Feb-2026</v>
      </c>
      <c r="L1633">
        <f>IF(Transactions_Clean[[#This Row],[Category]]="Revenue",Transactions_Clean[[#This Row],[Amount(₹)]],Transactions_Clean[[#This Row],[Amount(₹)]]/8)</f>
        <v>-5993.125</v>
      </c>
    </row>
    <row r="1634" spans="1:12">
      <c r="A1634" t="s">
        <v>2736</v>
      </c>
      <c r="B1634" t="s">
        <v>4754</v>
      </c>
      <c r="C1634" t="s">
        <v>78</v>
      </c>
      <c r="D1634">
        <v>-112512</v>
      </c>
      <c r="E1634" t="s">
        <v>23</v>
      </c>
      <c r="F1634" t="s">
        <v>24</v>
      </c>
      <c r="G1634" t="s">
        <v>79</v>
      </c>
      <c r="H1634" t="s">
        <v>26</v>
      </c>
      <c r="I1634" t="s">
        <v>27</v>
      </c>
      <c r="J1634" s="11">
        <v>45330</v>
      </c>
      <c r="K1634" t="str">
        <f>TEXT(Transactions_Clean[[#This Row],[Date]],"MMM-YYYY")</f>
        <v>Feb-2024</v>
      </c>
      <c r="L1634">
        <f>IF(Transactions_Clean[[#This Row],[Category]]="Revenue",Transactions_Clean[[#This Row],[Amount(₹)]],Transactions_Clean[[#This Row],[Amount(₹)]]/8)</f>
        <v>-14064</v>
      </c>
    </row>
    <row r="1635" spans="1:12">
      <c r="A1635" t="s">
        <v>2738</v>
      </c>
      <c r="B1635" t="s">
        <v>4790</v>
      </c>
      <c r="C1635" t="s">
        <v>136</v>
      </c>
      <c r="D1635">
        <v>-10505806</v>
      </c>
      <c r="E1635" t="s">
        <v>62</v>
      </c>
      <c r="F1635" t="s">
        <v>32</v>
      </c>
      <c r="G1635" t="s">
        <v>63</v>
      </c>
      <c r="H1635" t="s">
        <v>26</v>
      </c>
      <c r="I1635" t="s">
        <v>40</v>
      </c>
      <c r="J1635" s="11">
        <v>45166</v>
      </c>
      <c r="K1635" t="str">
        <f>TEXT(Transactions_Clean[[#This Row],[Date]],"MMM-YYYY")</f>
        <v>Aug-2023</v>
      </c>
      <c r="L1635">
        <f>IF(Transactions_Clean[[#This Row],[Category]]="Revenue",Transactions_Clean[[#This Row],[Amount(₹)]],Transactions_Clean[[#This Row],[Amount(₹)]]/8)</f>
        <v>-1313225.75</v>
      </c>
    </row>
    <row r="1636" spans="1:12">
      <c r="A1636" t="s">
        <v>2740</v>
      </c>
      <c r="B1636" t="s">
        <v>161</v>
      </c>
      <c r="C1636" t="s">
        <v>22</v>
      </c>
      <c r="D1636">
        <v>-65362</v>
      </c>
      <c r="E1636" t="s">
        <v>23</v>
      </c>
      <c r="F1636" t="s">
        <v>24</v>
      </c>
      <c r="G1636" t="s">
        <v>25</v>
      </c>
      <c r="H1636" t="s">
        <v>45</v>
      </c>
      <c r="I1636" t="s">
        <v>34</v>
      </c>
      <c r="J1636" s="11">
        <v>45455</v>
      </c>
      <c r="K1636" t="str">
        <f>TEXT(Transactions_Clean[[#This Row],[Date]],"MMM-YYYY")</f>
        <v>Jun-2024</v>
      </c>
      <c r="L1636">
        <f>IF(Transactions_Clean[[#This Row],[Category]]="Revenue",Transactions_Clean[[#This Row],[Amount(₹)]],Transactions_Clean[[#This Row],[Amount(₹)]]/8)</f>
        <v>-8170.25</v>
      </c>
    </row>
    <row r="1637" spans="1:12">
      <c r="A1637" t="s">
        <v>2741</v>
      </c>
      <c r="B1637" t="s">
        <v>177</v>
      </c>
      <c r="C1637" t="s">
        <v>78</v>
      </c>
      <c r="D1637">
        <v>-84269</v>
      </c>
      <c r="E1637" t="s">
        <v>23</v>
      </c>
      <c r="F1637" t="s">
        <v>24</v>
      </c>
      <c r="G1637" t="s">
        <v>79</v>
      </c>
      <c r="H1637" t="s">
        <v>39</v>
      </c>
      <c r="I1637" t="s">
        <v>27</v>
      </c>
      <c r="J1637" s="11">
        <v>46044</v>
      </c>
      <c r="K1637" t="str">
        <f>TEXT(Transactions_Clean[[#This Row],[Date]],"MMM-YYYY")</f>
        <v>Jan-2026</v>
      </c>
      <c r="L1637">
        <f>IF(Transactions_Clean[[#This Row],[Category]]="Revenue",Transactions_Clean[[#This Row],[Amount(₹)]],Transactions_Clean[[#This Row],[Amount(₹)]]/8)</f>
        <v>-10533.625</v>
      </c>
    </row>
    <row r="1638" spans="1:12">
      <c r="A1638" t="s">
        <v>2742</v>
      </c>
      <c r="B1638" t="s">
        <v>4759</v>
      </c>
      <c r="C1638" t="s">
        <v>31</v>
      </c>
      <c r="D1638">
        <v>-19110</v>
      </c>
      <c r="E1638" t="s">
        <v>23</v>
      </c>
      <c r="F1638" t="s">
        <v>24</v>
      </c>
      <c r="G1638" t="s">
        <v>33</v>
      </c>
      <c r="H1638" t="s">
        <v>45</v>
      </c>
      <c r="I1638" t="s">
        <v>40</v>
      </c>
      <c r="J1638" s="11">
        <v>45506</v>
      </c>
      <c r="K1638" t="str">
        <f>TEXT(Transactions_Clean[[#This Row],[Date]],"MMM-YYYY")</f>
        <v>Aug-2024</v>
      </c>
      <c r="L1638">
        <f>IF(Transactions_Clean[[#This Row],[Category]]="Revenue",Transactions_Clean[[#This Row],[Amount(₹)]],Transactions_Clean[[#This Row],[Amount(₹)]]/8)</f>
        <v>-2388.75</v>
      </c>
    </row>
    <row r="1639" spans="1:12">
      <c r="A1639" t="s">
        <v>2743</v>
      </c>
      <c r="B1639" t="s">
        <v>4749</v>
      </c>
      <c r="C1639" t="s">
        <v>44</v>
      </c>
      <c r="D1639">
        <v>-59008</v>
      </c>
      <c r="E1639" t="s">
        <v>23</v>
      </c>
      <c r="F1639" t="s">
        <v>24</v>
      </c>
      <c r="G1639" t="s">
        <v>33</v>
      </c>
      <c r="H1639" t="s">
        <v>45</v>
      </c>
      <c r="I1639" t="s">
        <v>27</v>
      </c>
      <c r="J1639" s="11">
        <v>45658</v>
      </c>
      <c r="K1639" t="str">
        <f>TEXT(Transactions_Clean[[#This Row],[Date]],"MMM-YYYY")</f>
        <v>Jan-2025</v>
      </c>
      <c r="L1639">
        <f>IF(Transactions_Clean[[#This Row],[Category]]="Revenue",Transactions_Clean[[#This Row],[Amount(₹)]],Transactions_Clean[[#This Row],[Amount(₹)]]/8)</f>
        <v>-7376</v>
      </c>
    </row>
    <row r="1640" spans="1:12">
      <c r="A1640" t="s">
        <v>2744</v>
      </c>
      <c r="B1640" t="s">
        <v>4754</v>
      </c>
      <c r="C1640" t="s">
        <v>78</v>
      </c>
      <c r="D1640">
        <v>-33305</v>
      </c>
      <c r="E1640" t="s">
        <v>23</v>
      </c>
      <c r="F1640" t="s">
        <v>32</v>
      </c>
      <c r="G1640" t="s">
        <v>79</v>
      </c>
      <c r="H1640" t="s">
        <v>39</v>
      </c>
      <c r="I1640" t="s">
        <v>27</v>
      </c>
      <c r="J1640" s="11">
        <v>46062</v>
      </c>
      <c r="K1640" t="str">
        <f>TEXT(Transactions_Clean[[#This Row],[Date]],"MMM-YYYY")</f>
        <v>Feb-2026</v>
      </c>
      <c r="L1640">
        <f>IF(Transactions_Clean[[#This Row],[Category]]="Revenue",Transactions_Clean[[#This Row],[Amount(₹)]],Transactions_Clean[[#This Row],[Amount(₹)]]/8)</f>
        <v>-4163.125</v>
      </c>
    </row>
    <row r="1641" spans="1:12">
      <c r="A1641" t="s">
        <v>2745</v>
      </c>
      <c r="B1641" t="s">
        <v>4766</v>
      </c>
      <c r="C1641" t="s">
        <v>73</v>
      </c>
      <c r="D1641">
        <v>-92994</v>
      </c>
      <c r="E1641" t="s">
        <v>74</v>
      </c>
      <c r="F1641" t="s">
        <v>32</v>
      </c>
      <c r="G1641" t="s">
        <v>25</v>
      </c>
      <c r="H1641" t="s">
        <v>26</v>
      </c>
      <c r="I1641" t="s">
        <v>48</v>
      </c>
      <c r="J1641" s="11">
        <v>45254</v>
      </c>
      <c r="K1641" t="str">
        <f>TEXT(Transactions_Clean[[#This Row],[Date]],"MMM-YYYY")</f>
        <v>Nov-2023</v>
      </c>
      <c r="L1641">
        <f>IF(Transactions_Clean[[#This Row],[Category]]="Revenue",Transactions_Clean[[#This Row],[Amount(₹)]],Transactions_Clean[[#This Row],[Amount(₹)]]/8)</f>
        <v>-11624.25</v>
      </c>
    </row>
    <row r="1642" spans="1:12">
      <c r="A1642" t="s">
        <v>2747</v>
      </c>
      <c r="B1642" t="s">
        <v>60</v>
      </c>
      <c r="C1642" t="s">
        <v>61</v>
      </c>
      <c r="D1642">
        <v>-46042</v>
      </c>
      <c r="E1642" t="s">
        <v>62</v>
      </c>
      <c r="F1642" t="s">
        <v>24</v>
      </c>
      <c r="G1642" t="s">
        <v>63</v>
      </c>
      <c r="H1642" t="s">
        <v>45</v>
      </c>
      <c r="I1642" t="s">
        <v>34</v>
      </c>
      <c r="J1642" s="11">
        <v>45472</v>
      </c>
      <c r="K1642" t="str">
        <f>TEXT(Transactions_Clean[[#This Row],[Date]],"MMM-YYYY")</f>
        <v>Jun-2024</v>
      </c>
      <c r="L1642">
        <f>IF(Transactions_Clean[[#This Row],[Category]]="Revenue",Transactions_Clean[[#This Row],[Amount(₹)]],Transactions_Clean[[#This Row],[Amount(₹)]]/8)</f>
        <v>-5755.25</v>
      </c>
    </row>
    <row r="1643" spans="1:12">
      <c r="A1643" t="s">
        <v>2749</v>
      </c>
      <c r="B1643" t="s">
        <v>224</v>
      </c>
      <c r="C1643" t="s">
        <v>78</v>
      </c>
      <c r="D1643">
        <v>-106654</v>
      </c>
      <c r="E1643" t="s">
        <v>23</v>
      </c>
      <c r="F1643" t="s">
        <v>24</v>
      </c>
      <c r="G1643" t="s">
        <v>79</v>
      </c>
      <c r="H1643" t="s">
        <v>45</v>
      </c>
      <c r="I1643" t="s">
        <v>34</v>
      </c>
      <c r="J1643" s="11">
        <v>45437</v>
      </c>
      <c r="K1643" t="str">
        <f>TEXT(Transactions_Clean[[#This Row],[Date]],"MMM-YYYY")</f>
        <v>May-2024</v>
      </c>
      <c r="L1643">
        <f>IF(Transactions_Clean[[#This Row],[Category]]="Revenue",Transactions_Clean[[#This Row],[Amount(₹)]],Transactions_Clean[[#This Row],[Amount(₹)]]/8)</f>
        <v>-13331.75</v>
      </c>
    </row>
    <row r="1644" spans="1:12">
      <c r="A1644" t="s">
        <v>2750</v>
      </c>
      <c r="B1644" t="s">
        <v>106</v>
      </c>
      <c r="C1644" t="s">
        <v>31</v>
      </c>
      <c r="D1644">
        <v>-20462</v>
      </c>
      <c r="E1644" t="s">
        <v>23</v>
      </c>
      <c r="F1644" t="s">
        <v>32</v>
      </c>
      <c r="G1644" t="s">
        <v>33</v>
      </c>
      <c r="H1644" t="s">
        <v>39</v>
      </c>
      <c r="I1644" t="s">
        <v>40</v>
      </c>
      <c r="J1644" s="11">
        <v>45856</v>
      </c>
      <c r="K1644" t="str">
        <f>TEXT(Transactions_Clean[[#This Row],[Date]],"MMM-YYYY")</f>
        <v>Jul-2025</v>
      </c>
      <c r="L1644">
        <f>IF(Transactions_Clean[[#This Row],[Category]]="Revenue",Transactions_Clean[[#This Row],[Amount(₹)]],Transactions_Clean[[#This Row],[Amount(₹)]]/8)</f>
        <v>-2557.75</v>
      </c>
    </row>
    <row r="1645" spans="1:12">
      <c r="A1645" t="s">
        <v>2751</v>
      </c>
      <c r="B1645" t="s">
        <v>224</v>
      </c>
      <c r="C1645" t="s">
        <v>78</v>
      </c>
      <c r="D1645">
        <v>-83409</v>
      </c>
      <c r="E1645" t="s">
        <v>23</v>
      </c>
      <c r="F1645" t="s">
        <v>24</v>
      </c>
      <c r="G1645" t="s">
        <v>79</v>
      </c>
      <c r="H1645" t="s">
        <v>39</v>
      </c>
      <c r="I1645" t="s">
        <v>27</v>
      </c>
      <c r="J1645" s="11">
        <v>46103</v>
      </c>
      <c r="K1645" t="str">
        <f>TEXT(Transactions_Clean[[#This Row],[Date]],"MMM-YYYY")</f>
        <v>Mar-2026</v>
      </c>
      <c r="L1645">
        <f>IF(Transactions_Clean[[#This Row],[Category]]="Revenue",Transactions_Clean[[#This Row],[Amount(₹)]],Transactions_Clean[[#This Row],[Amount(₹)]]/8)</f>
        <v>-10426.125</v>
      </c>
    </row>
    <row r="1646" spans="1:12">
      <c r="A1646" t="s">
        <v>2753</v>
      </c>
      <c r="B1646" t="s">
        <v>4760</v>
      </c>
      <c r="C1646" t="s">
        <v>73</v>
      </c>
      <c r="D1646">
        <v>-54818</v>
      </c>
      <c r="E1646" t="s">
        <v>74</v>
      </c>
      <c r="F1646" t="s">
        <v>32</v>
      </c>
      <c r="G1646" t="s">
        <v>25</v>
      </c>
      <c r="H1646" t="s">
        <v>45</v>
      </c>
      <c r="I1646" t="s">
        <v>40</v>
      </c>
      <c r="J1646" s="11">
        <v>45520</v>
      </c>
      <c r="K1646" t="str">
        <f>TEXT(Transactions_Clean[[#This Row],[Date]],"MMM-YYYY")</f>
        <v>Aug-2024</v>
      </c>
      <c r="L1646">
        <f>IF(Transactions_Clean[[#This Row],[Category]]="Revenue",Transactions_Clean[[#This Row],[Amount(₹)]],Transactions_Clean[[#This Row],[Amount(₹)]]/8)</f>
        <v>-6852.25</v>
      </c>
    </row>
    <row r="1647" spans="1:12">
      <c r="A1647" t="s">
        <v>2755</v>
      </c>
      <c r="B1647" t="s">
        <v>687</v>
      </c>
      <c r="C1647" t="s">
        <v>4750</v>
      </c>
      <c r="D1647">
        <v>-149063</v>
      </c>
      <c r="E1647" t="s">
        <v>23</v>
      </c>
      <c r="F1647" t="s">
        <v>24</v>
      </c>
      <c r="G1647" t="s">
        <v>33</v>
      </c>
      <c r="H1647" t="s">
        <v>39</v>
      </c>
      <c r="I1647" t="s">
        <v>40</v>
      </c>
      <c r="J1647" s="11">
        <v>45894</v>
      </c>
      <c r="K1647" t="str">
        <f>TEXT(Transactions_Clean[[#This Row],[Date]],"MMM-YYYY")</f>
        <v>Aug-2025</v>
      </c>
      <c r="L1647">
        <f>IF(Transactions_Clean[[#This Row],[Category]]="Revenue",Transactions_Clean[[#This Row],[Amount(₹)]],Transactions_Clean[[#This Row],[Amount(₹)]]/8)</f>
        <v>-18632.875</v>
      </c>
    </row>
    <row r="1648" spans="1:12">
      <c r="A1648" t="s">
        <v>2757</v>
      </c>
      <c r="B1648" t="s">
        <v>224</v>
      </c>
      <c r="C1648" t="s">
        <v>78</v>
      </c>
      <c r="D1648">
        <v>-115062</v>
      </c>
      <c r="E1648" t="s">
        <v>23</v>
      </c>
      <c r="F1648" t="s">
        <v>32</v>
      </c>
      <c r="G1648" t="s">
        <v>79</v>
      </c>
      <c r="H1648" t="s">
        <v>45</v>
      </c>
      <c r="I1648" t="s">
        <v>27</v>
      </c>
      <c r="J1648" s="11">
        <v>45673</v>
      </c>
      <c r="K1648" t="str">
        <f>TEXT(Transactions_Clean[[#This Row],[Date]],"MMM-YYYY")</f>
        <v>Jan-2025</v>
      </c>
      <c r="L1648">
        <f>IF(Transactions_Clean[[#This Row],[Category]]="Revenue",Transactions_Clean[[#This Row],[Amount(₹)]],Transactions_Clean[[#This Row],[Amount(₹)]]/8)</f>
        <v>-14382.75</v>
      </c>
    </row>
    <row r="1649" spans="1:12">
      <c r="A1649" t="s">
        <v>2758</v>
      </c>
      <c r="B1649" t="s">
        <v>4756</v>
      </c>
      <c r="C1649" t="s">
        <v>73</v>
      </c>
      <c r="D1649">
        <v>-40105</v>
      </c>
      <c r="E1649" t="s">
        <v>74</v>
      </c>
      <c r="F1649" t="s">
        <v>24</v>
      </c>
      <c r="G1649" t="s">
        <v>25</v>
      </c>
      <c r="H1649" t="s">
        <v>45</v>
      </c>
      <c r="I1649" t="s">
        <v>40</v>
      </c>
      <c r="J1649" s="11">
        <v>45560</v>
      </c>
      <c r="K1649" t="str">
        <f>TEXT(Transactions_Clean[[#This Row],[Date]],"MMM-YYYY")</f>
        <v>Sep-2024</v>
      </c>
      <c r="L1649">
        <f>IF(Transactions_Clean[[#This Row],[Category]]="Revenue",Transactions_Clean[[#This Row],[Amount(₹)]],Transactions_Clean[[#This Row],[Amount(₹)]]/8)</f>
        <v>-5013.125</v>
      </c>
    </row>
    <row r="1650" spans="1:12">
      <c r="A1650" t="s">
        <v>2759</v>
      </c>
      <c r="B1650" t="s">
        <v>215</v>
      </c>
      <c r="C1650" t="s">
        <v>61</v>
      </c>
      <c r="D1650">
        <v>-57895</v>
      </c>
      <c r="E1650" t="s">
        <v>62</v>
      </c>
      <c r="F1650" t="s">
        <v>32</v>
      </c>
      <c r="G1650" t="s">
        <v>63</v>
      </c>
      <c r="H1650" t="s">
        <v>45</v>
      </c>
      <c r="I1650" t="s">
        <v>34</v>
      </c>
      <c r="J1650" s="11">
        <v>45439</v>
      </c>
      <c r="K1650" t="str">
        <f>TEXT(Transactions_Clean[[#This Row],[Date]],"MMM-YYYY")</f>
        <v>May-2024</v>
      </c>
      <c r="L1650">
        <f>IF(Transactions_Clean[[#This Row],[Category]]="Revenue",Transactions_Clean[[#This Row],[Amount(₹)]],Transactions_Clean[[#This Row],[Amount(₹)]]/8)</f>
        <v>-7236.875</v>
      </c>
    </row>
    <row r="1651" spans="1:12">
      <c r="A1651" t="s">
        <v>2760</v>
      </c>
      <c r="B1651" t="s">
        <v>180</v>
      </c>
      <c r="C1651" t="s">
        <v>44</v>
      </c>
      <c r="D1651">
        <v>-148696</v>
      </c>
      <c r="E1651" t="s">
        <v>23</v>
      </c>
      <c r="F1651" t="s">
        <v>32</v>
      </c>
      <c r="G1651" t="s">
        <v>33</v>
      </c>
      <c r="H1651" t="s">
        <v>45</v>
      </c>
      <c r="I1651" t="s">
        <v>34</v>
      </c>
      <c r="J1651" s="11">
        <v>45411</v>
      </c>
      <c r="K1651" t="str">
        <f>TEXT(Transactions_Clean[[#This Row],[Date]],"MMM-YYYY")</f>
        <v>Apr-2024</v>
      </c>
      <c r="L1651">
        <f>IF(Transactions_Clean[[#This Row],[Category]]="Revenue",Transactions_Clean[[#This Row],[Amount(₹)]],Transactions_Clean[[#This Row],[Amount(₹)]]/8)</f>
        <v>-18587</v>
      </c>
    </row>
    <row r="1652" spans="1:12">
      <c r="A1652" t="s">
        <v>2761</v>
      </c>
      <c r="B1652" t="s">
        <v>116</v>
      </c>
      <c r="C1652" t="s">
        <v>73</v>
      </c>
      <c r="D1652">
        <v>-66153</v>
      </c>
      <c r="E1652" t="s">
        <v>74</v>
      </c>
      <c r="F1652" t="s">
        <v>24</v>
      </c>
      <c r="G1652" t="s">
        <v>25</v>
      </c>
      <c r="H1652" t="s">
        <v>26</v>
      </c>
      <c r="I1652" t="s">
        <v>34</v>
      </c>
      <c r="J1652" s="11">
        <v>45052</v>
      </c>
      <c r="K1652" t="str">
        <f>TEXT(Transactions_Clean[[#This Row],[Date]],"MMM-YYYY")</f>
        <v>May-2023</v>
      </c>
      <c r="L1652">
        <f>IF(Transactions_Clean[[#This Row],[Category]]="Revenue",Transactions_Clean[[#This Row],[Amount(₹)]],Transactions_Clean[[#This Row],[Amount(₹)]]/8)</f>
        <v>-8269.125</v>
      </c>
    </row>
    <row r="1653" spans="1:12">
      <c r="A1653" t="s">
        <v>2762</v>
      </c>
      <c r="B1653" t="s">
        <v>215</v>
      </c>
      <c r="C1653" t="s">
        <v>61</v>
      </c>
      <c r="D1653">
        <v>-25246</v>
      </c>
      <c r="E1653" t="s">
        <v>62</v>
      </c>
      <c r="F1653" t="s">
        <v>32</v>
      </c>
      <c r="G1653" t="s">
        <v>63</v>
      </c>
      <c r="H1653" t="s">
        <v>45</v>
      </c>
      <c r="I1653" t="s">
        <v>27</v>
      </c>
      <c r="J1653" s="11">
        <v>45688</v>
      </c>
      <c r="K1653" t="str">
        <f>TEXT(Transactions_Clean[[#This Row],[Date]],"MMM-YYYY")</f>
        <v>Jan-2025</v>
      </c>
      <c r="L1653">
        <f>IF(Transactions_Clean[[#This Row],[Category]]="Revenue",Transactions_Clean[[#This Row],[Amount(₹)]],Transactions_Clean[[#This Row],[Amount(₹)]]/8)</f>
        <v>-3155.75</v>
      </c>
    </row>
    <row r="1654" spans="1:12">
      <c r="A1654" t="s">
        <v>2763</v>
      </c>
      <c r="B1654" t="s">
        <v>66</v>
      </c>
      <c r="C1654" t="s">
        <v>61</v>
      </c>
      <c r="D1654">
        <v>-13045</v>
      </c>
      <c r="E1654" t="s">
        <v>62</v>
      </c>
      <c r="F1654" t="s">
        <v>24</v>
      </c>
      <c r="G1654" t="s">
        <v>63</v>
      </c>
      <c r="H1654" t="s">
        <v>39</v>
      </c>
      <c r="I1654" t="s">
        <v>27</v>
      </c>
      <c r="J1654" s="11">
        <v>46078</v>
      </c>
      <c r="K1654" t="str">
        <f>TEXT(Transactions_Clean[[#This Row],[Date]],"MMM-YYYY")</f>
        <v>Feb-2026</v>
      </c>
      <c r="L1654">
        <f>IF(Transactions_Clean[[#This Row],[Category]]="Revenue",Transactions_Clean[[#This Row],[Amount(₹)]],Transactions_Clean[[#This Row],[Amount(₹)]]/8)</f>
        <v>-1630.625</v>
      </c>
    </row>
    <row r="1655" spans="1:12">
      <c r="A1655" t="s">
        <v>2764</v>
      </c>
      <c r="B1655" t="s">
        <v>106</v>
      </c>
      <c r="C1655" t="s">
        <v>31</v>
      </c>
      <c r="D1655">
        <v>-29067</v>
      </c>
      <c r="E1655" t="s">
        <v>23</v>
      </c>
      <c r="F1655" t="s">
        <v>32</v>
      </c>
      <c r="G1655" t="s">
        <v>33</v>
      </c>
      <c r="H1655" t="s">
        <v>39</v>
      </c>
      <c r="I1655" t="s">
        <v>48</v>
      </c>
      <c r="J1655" s="11">
        <v>45958</v>
      </c>
      <c r="K1655" t="str">
        <f>TEXT(Transactions_Clean[[#This Row],[Date]],"MMM-YYYY")</f>
        <v>Oct-2025</v>
      </c>
      <c r="L1655">
        <f>IF(Transactions_Clean[[#This Row],[Category]]="Revenue",Transactions_Clean[[#This Row],[Amount(₹)]],Transactions_Clean[[#This Row],[Amount(₹)]]/8)</f>
        <v>-3633.375</v>
      </c>
    </row>
    <row r="1656" spans="1:12">
      <c r="A1656" t="s">
        <v>2765</v>
      </c>
      <c r="B1656" t="s">
        <v>4754</v>
      </c>
      <c r="C1656" t="s">
        <v>78</v>
      </c>
      <c r="D1656">
        <v>-74175</v>
      </c>
      <c r="E1656" t="s">
        <v>23</v>
      </c>
      <c r="F1656" t="s">
        <v>32</v>
      </c>
      <c r="G1656" t="s">
        <v>79</v>
      </c>
      <c r="H1656" t="s">
        <v>39</v>
      </c>
      <c r="I1656" t="s">
        <v>48</v>
      </c>
      <c r="J1656" s="11">
        <v>45997</v>
      </c>
      <c r="K1656" t="str">
        <f>TEXT(Transactions_Clean[[#This Row],[Date]],"MMM-YYYY")</f>
        <v>Dec-2025</v>
      </c>
      <c r="L1656">
        <f>IF(Transactions_Clean[[#This Row],[Category]]="Revenue",Transactions_Clean[[#This Row],[Amount(₹)]],Transactions_Clean[[#This Row],[Amount(₹)]]/8)</f>
        <v>-9271.875</v>
      </c>
    </row>
    <row r="1657" spans="1:12">
      <c r="A1657" t="s">
        <v>2766</v>
      </c>
      <c r="B1657" t="s">
        <v>116</v>
      </c>
      <c r="C1657" t="s">
        <v>73</v>
      </c>
      <c r="D1657">
        <v>-39475</v>
      </c>
      <c r="E1657" t="s">
        <v>74</v>
      </c>
      <c r="F1657" t="s">
        <v>32</v>
      </c>
      <c r="G1657" t="s">
        <v>25</v>
      </c>
      <c r="H1657" t="s">
        <v>39</v>
      </c>
      <c r="I1657" t="s">
        <v>34</v>
      </c>
      <c r="J1657" s="11">
        <v>45792</v>
      </c>
      <c r="K1657" t="str">
        <f>TEXT(Transactions_Clean[[#This Row],[Date]],"MMM-YYYY")</f>
        <v>May-2025</v>
      </c>
      <c r="L1657">
        <f>IF(Transactions_Clean[[#This Row],[Category]]="Revenue",Transactions_Clean[[#This Row],[Amount(₹)]],Transactions_Clean[[#This Row],[Amount(₹)]]/8)</f>
        <v>-4934.375</v>
      </c>
    </row>
    <row r="1658" spans="1:12">
      <c r="A1658" t="s">
        <v>2767</v>
      </c>
      <c r="B1658" t="s">
        <v>60</v>
      </c>
      <c r="C1658" t="s">
        <v>4750</v>
      </c>
      <c r="D1658">
        <v>-36352</v>
      </c>
      <c r="E1658" t="s">
        <v>62</v>
      </c>
      <c r="F1658" t="s">
        <v>24</v>
      </c>
      <c r="G1658" t="s">
        <v>63</v>
      </c>
      <c r="H1658" t="s">
        <v>39</v>
      </c>
      <c r="I1658" t="s">
        <v>48</v>
      </c>
      <c r="J1658" s="11">
        <v>45951</v>
      </c>
      <c r="K1658" t="str">
        <f>TEXT(Transactions_Clean[[#This Row],[Date]],"MMM-YYYY")</f>
        <v>Oct-2025</v>
      </c>
      <c r="L1658">
        <f>IF(Transactions_Clean[[#This Row],[Category]]="Revenue",Transactions_Clean[[#This Row],[Amount(₹)]],Transactions_Clean[[#This Row],[Amount(₹)]]/8)</f>
        <v>-4544</v>
      </c>
    </row>
    <row r="1659" spans="1:12">
      <c r="A1659" t="s">
        <v>2769</v>
      </c>
      <c r="B1659" t="s">
        <v>4752</v>
      </c>
      <c r="C1659" t="s">
        <v>44</v>
      </c>
      <c r="D1659">
        <v>-108826</v>
      </c>
      <c r="E1659" t="s">
        <v>23</v>
      </c>
      <c r="F1659" t="s">
        <v>32</v>
      </c>
      <c r="G1659" t="s">
        <v>33</v>
      </c>
      <c r="H1659" t="s">
        <v>26</v>
      </c>
      <c r="I1659" t="s">
        <v>48</v>
      </c>
      <c r="J1659" s="11">
        <v>45269</v>
      </c>
      <c r="K1659" t="str">
        <f>TEXT(Transactions_Clean[[#This Row],[Date]],"MMM-YYYY")</f>
        <v>Dec-2023</v>
      </c>
      <c r="L1659">
        <f>IF(Transactions_Clean[[#This Row],[Category]]="Revenue",Transactions_Clean[[#This Row],[Amount(₹)]],Transactions_Clean[[#This Row],[Amount(₹)]]/8)</f>
        <v>-13603.25</v>
      </c>
    </row>
    <row r="1660" spans="1:12">
      <c r="A1660" t="s">
        <v>2770</v>
      </c>
      <c r="B1660" t="s">
        <v>4791</v>
      </c>
      <c r="C1660" t="s">
        <v>136</v>
      </c>
      <c r="D1660">
        <v>-10436103</v>
      </c>
      <c r="E1660" t="s">
        <v>62</v>
      </c>
      <c r="F1660" t="s">
        <v>32</v>
      </c>
      <c r="G1660" t="s">
        <v>63</v>
      </c>
      <c r="H1660" t="s">
        <v>39</v>
      </c>
      <c r="I1660" t="s">
        <v>27</v>
      </c>
      <c r="J1660" s="11">
        <v>46081</v>
      </c>
      <c r="K1660" t="str">
        <f>TEXT(Transactions_Clean[[#This Row],[Date]],"MMM-YYYY")</f>
        <v>Feb-2026</v>
      </c>
      <c r="L1660">
        <f>IF(Transactions_Clean[[#This Row],[Category]]="Revenue",Transactions_Clean[[#This Row],[Amount(₹)]],Transactions_Clean[[#This Row],[Amount(₹)]]/8)</f>
        <v>-1304512.875</v>
      </c>
    </row>
    <row r="1661" spans="1:12">
      <c r="A1661" t="s">
        <v>2772</v>
      </c>
      <c r="B1661" t="s">
        <v>4765</v>
      </c>
      <c r="C1661" t="s">
        <v>73</v>
      </c>
      <c r="D1661">
        <v>-54176</v>
      </c>
      <c r="E1661" t="s">
        <v>74</v>
      </c>
      <c r="F1661" t="s">
        <v>24</v>
      </c>
      <c r="G1661" t="s">
        <v>25</v>
      </c>
      <c r="H1661" t="s">
        <v>26</v>
      </c>
      <c r="I1661" t="s">
        <v>34</v>
      </c>
      <c r="J1661" s="11">
        <v>45095</v>
      </c>
      <c r="K1661" t="str">
        <f>TEXT(Transactions_Clean[[#This Row],[Date]],"MMM-YYYY")</f>
        <v>Jun-2023</v>
      </c>
      <c r="L1661">
        <f>IF(Transactions_Clean[[#This Row],[Category]]="Revenue",Transactions_Clean[[#This Row],[Amount(₹)]],Transactions_Clean[[#This Row],[Amount(₹)]]/8)</f>
        <v>-6772</v>
      </c>
    </row>
    <row r="1662" spans="1:12">
      <c r="A1662" t="s">
        <v>2774</v>
      </c>
      <c r="B1662" t="s">
        <v>60</v>
      </c>
      <c r="C1662" t="s">
        <v>61</v>
      </c>
      <c r="D1662">
        <v>-21777</v>
      </c>
      <c r="E1662" t="s">
        <v>62</v>
      </c>
      <c r="F1662" t="s">
        <v>32</v>
      </c>
      <c r="G1662" t="s">
        <v>63</v>
      </c>
      <c r="H1662" t="s">
        <v>26</v>
      </c>
      <c r="I1662" t="s">
        <v>34</v>
      </c>
      <c r="J1662" s="11">
        <v>45072</v>
      </c>
      <c r="K1662" t="str">
        <f>TEXT(Transactions_Clean[[#This Row],[Date]],"MMM-YYYY")</f>
        <v>May-2023</v>
      </c>
      <c r="L1662">
        <f>IF(Transactions_Clean[[#This Row],[Category]]="Revenue",Transactions_Clean[[#This Row],[Amount(₹)]],Transactions_Clean[[#This Row],[Amount(₹)]]/8)</f>
        <v>-2722.125</v>
      </c>
    </row>
    <row r="1663" spans="1:12">
      <c r="A1663" t="s">
        <v>2775</v>
      </c>
      <c r="B1663" t="s">
        <v>616</v>
      </c>
      <c r="C1663" t="s">
        <v>22</v>
      </c>
      <c r="D1663">
        <v>-199939</v>
      </c>
      <c r="E1663" t="s">
        <v>23</v>
      </c>
      <c r="F1663" t="s">
        <v>32</v>
      </c>
      <c r="G1663" t="s">
        <v>25</v>
      </c>
      <c r="H1663" t="s">
        <v>45</v>
      </c>
      <c r="I1663" t="s">
        <v>48</v>
      </c>
      <c r="J1663" s="11">
        <v>45569</v>
      </c>
      <c r="K1663" t="str">
        <f>TEXT(Transactions_Clean[[#This Row],[Date]],"MMM-YYYY")</f>
        <v>Oct-2024</v>
      </c>
      <c r="L1663">
        <f>IF(Transactions_Clean[[#This Row],[Category]]="Revenue",Transactions_Clean[[#This Row],[Amount(₹)]],Transactions_Clean[[#This Row],[Amount(₹)]]/8)</f>
        <v>-24992.375</v>
      </c>
    </row>
    <row r="1664" spans="1:12">
      <c r="A1664" t="s">
        <v>2776</v>
      </c>
      <c r="B1664" t="s">
        <v>4760</v>
      </c>
      <c r="C1664" t="s">
        <v>73</v>
      </c>
      <c r="D1664">
        <v>-26953</v>
      </c>
      <c r="E1664" t="s">
        <v>74</v>
      </c>
      <c r="F1664" t="s">
        <v>24</v>
      </c>
      <c r="G1664" t="s">
        <v>25</v>
      </c>
      <c r="H1664" t="s">
        <v>26</v>
      </c>
      <c r="I1664" t="s">
        <v>48</v>
      </c>
      <c r="J1664" s="11">
        <v>45266</v>
      </c>
      <c r="K1664" t="str">
        <f>TEXT(Transactions_Clean[[#This Row],[Date]],"MMM-YYYY")</f>
        <v>Dec-2023</v>
      </c>
      <c r="L1664">
        <f>IF(Transactions_Clean[[#This Row],[Category]]="Revenue",Transactions_Clean[[#This Row],[Amount(₹)]],Transactions_Clean[[#This Row],[Amount(₹)]]/8)</f>
        <v>-3369.125</v>
      </c>
    </row>
    <row r="1665" spans="1:12">
      <c r="A1665" t="s">
        <v>2778</v>
      </c>
      <c r="B1665" t="s">
        <v>66</v>
      </c>
      <c r="C1665" t="s">
        <v>61</v>
      </c>
      <c r="D1665">
        <v>-64081</v>
      </c>
      <c r="E1665" t="s">
        <v>62</v>
      </c>
      <c r="F1665" t="s">
        <v>24</v>
      </c>
      <c r="G1665" t="s">
        <v>63</v>
      </c>
      <c r="H1665" t="s">
        <v>45</v>
      </c>
      <c r="I1665" t="s">
        <v>48</v>
      </c>
      <c r="J1665" s="11">
        <v>45581</v>
      </c>
      <c r="K1665" t="str">
        <f>TEXT(Transactions_Clean[[#This Row],[Date]],"MMM-YYYY")</f>
        <v>Oct-2024</v>
      </c>
      <c r="L1665">
        <f>IF(Transactions_Clean[[#This Row],[Category]]="Revenue",Transactions_Clean[[#This Row],[Amount(₹)]],Transactions_Clean[[#This Row],[Amount(₹)]]/8)</f>
        <v>-8010.125</v>
      </c>
    </row>
    <row r="1666" spans="1:12">
      <c r="A1666" t="s">
        <v>2779</v>
      </c>
      <c r="B1666" t="s">
        <v>60</v>
      </c>
      <c r="C1666" t="s">
        <v>61</v>
      </c>
      <c r="D1666">
        <v>-39386</v>
      </c>
      <c r="E1666" t="s">
        <v>62</v>
      </c>
      <c r="F1666" t="s">
        <v>24</v>
      </c>
      <c r="G1666" t="s">
        <v>63</v>
      </c>
      <c r="H1666" t="s">
        <v>26</v>
      </c>
      <c r="I1666" t="s">
        <v>40</v>
      </c>
      <c r="J1666" s="11">
        <v>45136</v>
      </c>
      <c r="K1666" t="str">
        <f>TEXT(Transactions_Clean[[#This Row],[Date]],"MMM-YYYY")</f>
        <v>Jul-2023</v>
      </c>
      <c r="L1666">
        <f>IF(Transactions_Clean[[#This Row],[Category]]="Revenue",Transactions_Clean[[#This Row],[Amount(₹)]],Transactions_Clean[[#This Row],[Amount(₹)]]/8)</f>
        <v>-4923.25</v>
      </c>
    </row>
    <row r="1667" spans="1:12">
      <c r="A1667" t="s">
        <v>2781</v>
      </c>
      <c r="B1667" t="s">
        <v>4758</v>
      </c>
      <c r="C1667" t="s">
        <v>78</v>
      </c>
      <c r="D1667">
        <v>-48614</v>
      </c>
      <c r="E1667" t="s">
        <v>23</v>
      </c>
      <c r="F1667" t="s">
        <v>24</v>
      </c>
      <c r="G1667" t="s">
        <v>79</v>
      </c>
      <c r="H1667" t="s">
        <v>39</v>
      </c>
      <c r="I1667" t="s">
        <v>34</v>
      </c>
      <c r="J1667" s="11">
        <v>45748</v>
      </c>
      <c r="K1667" t="str">
        <f>TEXT(Transactions_Clean[[#This Row],[Date]],"MMM-YYYY")</f>
        <v>Apr-2025</v>
      </c>
      <c r="L1667">
        <f>IF(Transactions_Clean[[#This Row],[Category]]="Revenue",Transactions_Clean[[#This Row],[Amount(₹)]],Transactions_Clean[[#This Row],[Amount(₹)]]/8)</f>
        <v>-6076.75</v>
      </c>
    </row>
    <row r="1668" spans="1:12">
      <c r="A1668" t="s">
        <v>2782</v>
      </c>
      <c r="B1668" t="s">
        <v>4758</v>
      </c>
      <c r="C1668" t="s">
        <v>78</v>
      </c>
      <c r="D1668">
        <v>-68961</v>
      </c>
      <c r="E1668" t="s">
        <v>23</v>
      </c>
      <c r="F1668" t="s">
        <v>24</v>
      </c>
      <c r="G1668" t="s">
        <v>79</v>
      </c>
      <c r="H1668" t="s">
        <v>26</v>
      </c>
      <c r="I1668" t="s">
        <v>27</v>
      </c>
      <c r="J1668" s="11">
        <v>45319</v>
      </c>
      <c r="K1668" t="str">
        <f>TEXT(Transactions_Clean[[#This Row],[Date]],"MMM-YYYY")</f>
        <v>Jan-2024</v>
      </c>
      <c r="L1668">
        <f>IF(Transactions_Clean[[#This Row],[Category]]="Revenue",Transactions_Clean[[#This Row],[Amount(₹)]],Transactions_Clean[[#This Row],[Amount(₹)]]/8)</f>
        <v>-8620.125</v>
      </c>
    </row>
    <row r="1669" spans="1:12">
      <c r="A1669" t="s">
        <v>2783</v>
      </c>
      <c r="B1669" t="s">
        <v>66</v>
      </c>
      <c r="C1669" t="s">
        <v>61</v>
      </c>
      <c r="D1669">
        <v>-19083</v>
      </c>
      <c r="E1669" t="s">
        <v>62</v>
      </c>
      <c r="F1669" t="s">
        <v>32</v>
      </c>
      <c r="G1669" t="s">
        <v>63</v>
      </c>
      <c r="H1669" t="s">
        <v>45</v>
      </c>
      <c r="I1669" t="s">
        <v>27</v>
      </c>
      <c r="J1669" s="11">
        <v>45732</v>
      </c>
      <c r="K1669" t="str">
        <f>TEXT(Transactions_Clean[[#This Row],[Date]],"MMM-YYYY")</f>
        <v>Mar-2025</v>
      </c>
      <c r="L1669">
        <f>IF(Transactions_Clean[[#This Row],[Category]]="Revenue",Transactions_Clean[[#This Row],[Amount(₹)]],Transactions_Clean[[#This Row],[Amount(₹)]]/8)</f>
        <v>-2385.375</v>
      </c>
    </row>
    <row r="1670" spans="1:12">
      <c r="A1670" t="s">
        <v>2784</v>
      </c>
      <c r="B1670" t="s">
        <v>129</v>
      </c>
      <c r="C1670" t="s">
        <v>38</v>
      </c>
      <c r="D1670">
        <v>-29356</v>
      </c>
      <c r="E1670" t="s">
        <v>23</v>
      </c>
      <c r="F1670" t="s">
        <v>24</v>
      </c>
      <c r="G1670" t="s">
        <v>33</v>
      </c>
      <c r="H1670" t="s">
        <v>26</v>
      </c>
      <c r="I1670" t="s">
        <v>48</v>
      </c>
      <c r="J1670" s="11">
        <v>45278</v>
      </c>
      <c r="K1670" t="str">
        <f>TEXT(Transactions_Clean[[#This Row],[Date]],"MMM-YYYY")</f>
        <v>Dec-2023</v>
      </c>
      <c r="L1670">
        <f>IF(Transactions_Clean[[#This Row],[Category]]="Revenue",Transactions_Clean[[#This Row],[Amount(₹)]],Transactions_Clean[[#This Row],[Amount(₹)]]/8)</f>
        <v>-3669.5</v>
      </c>
    </row>
    <row r="1671" spans="1:12">
      <c r="A1671" t="s">
        <v>2786</v>
      </c>
      <c r="B1671" t="s">
        <v>4758</v>
      </c>
      <c r="C1671" t="s">
        <v>78</v>
      </c>
      <c r="D1671">
        <v>-78208</v>
      </c>
      <c r="E1671" t="s">
        <v>23</v>
      </c>
      <c r="F1671" t="s">
        <v>24</v>
      </c>
      <c r="G1671" t="s">
        <v>79</v>
      </c>
      <c r="H1671" t="s">
        <v>26</v>
      </c>
      <c r="I1671" t="s">
        <v>48</v>
      </c>
      <c r="J1671" s="11">
        <v>45221</v>
      </c>
      <c r="K1671" t="str">
        <f>TEXT(Transactions_Clean[[#This Row],[Date]],"MMM-YYYY")</f>
        <v>Oct-2023</v>
      </c>
      <c r="L1671">
        <f>IF(Transactions_Clean[[#This Row],[Category]]="Revenue",Transactions_Clean[[#This Row],[Amount(₹)]],Transactions_Clean[[#This Row],[Amount(₹)]]/8)</f>
        <v>-9776</v>
      </c>
    </row>
    <row r="1672" spans="1:12">
      <c r="A1672" t="s">
        <v>2788</v>
      </c>
      <c r="B1672" t="s">
        <v>215</v>
      </c>
      <c r="C1672" t="s">
        <v>61</v>
      </c>
      <c r="D1672">
        <v>-16372</v>
      </c>
      <c r="E1672" t="s">
        <v>62</v>
      </c>
      <c r="F1672" t="s">
        <v>24</v>
      </c>
      <c r="G1672" t="s">
        <v>63</v>
      </c>
      <c r="H1672" t="s">
        <v>26</v>
      </c>
      <c r="I1672" t="s">
        <v>27</v>
      </c>
      <c r="J1672" s="11">
        <v>45342</v>
      </c>
      <c r="K1672" t="str">
        <f>TEXT(Transactions_Clean[[#This Row],[Date]],"MMM-YYYY")</f>
        <v>Feb-2024</v>
      </c>
      <c r="L1672">
        <f>IF(Transactions_Clean[[#This Row],[Category]]="Revenue",Transactions_Clean[[#This Row],[Amount(₹)]],Transactions_Clean[[#This Row],[Amount(₹)]]/8)</f>
        <v>-2046.5</v>
      </c>
    </row>
    <row r="1673" spans="1:12">
      <c r="A1673" t="s">
        <v>2790</v>
      </c>
      <c r="B1673" t="s">
        <v>4766</v>
      </c>
      <c r="C1673" t="s">
        <v>73</v>
      </c>
      <c r="D1673">
        <v>-47132</v>
      </c>
      <c r="E1673" t="s">
        <v>74</v>
      </c>
      <c r="F1673" t="s">
        <v>24</v>
      </c>
      <c r="G1673" t="s">
        <v>25</v>
      </c>
      <c r="H1673" t="s">
        <v>26</v>
      </c>
      <c r="I1673" t="s">
        <v>34</v>
      </c>
      <c r="J1673" s="11">
        <v>45073</v>
      </c>
      <c r="K1673" t="str">
        <f>TEXT(Transactions_Clean[[#This Row],[Date]],"MMM-YYYY")</f>
        <v>May-2023</v>
      </c>
      <c r="L1673">
        <f>IF(Transactions_Clean[[#This Row],[Category]]="Revenue",Transactions_Clean[[#This Row],[Amount(₹)]],Transactions_Clean[[#This Row],[Amount(₹)]]/8)</f>
        <v>-5891.5</v>
      </c>
    </row>
    <row r="1674" spans="1:12">
      <c r="A1674" t="s">
        <v>2791</v>
      </c>
      <c r="B1674" t="s">
        <v>30</v>
      </c>
      <c r="C1674" t="s">
        <v>31</v>
      </c>
      <c r="D1674">
        <v>-15222</v>
      </c>
      <c r="E1674" t="s">
        <v>23</v>
      </c>
      <c r="F1674" t="s">
        <v>32</v>
      </c>
      <c r="G1674" t="s">
        <v>33</v>
      </c>
      <c r="H1674" t="s">
        <v>39</v>
      </c>
      <c r="I1674" t="s">
        <v>34</v>
      </c>
      <c r="J1674" s="11">
        <v>45784</v>
      </c>
      <c r="K1674" t="str">
        <f>TEXT(Transactions_Clean[[#This Row],[Date]],"MMM-YYYY")</f>
        <v>May-2025</v>
      </c>
      <c r="L1674">
        <f>IF(Transactions_Clean[[#This Row],[Category]]="Revenue",Transactions_Clean[[#This Row],[Amount(₹)]],Transactions_Clean[[#This Row],[Amount(₹)]]/8)</f>
        <v>-1902.75</v>
      </c>
    </row>
    <row r="1675" spans="1:12">
      <c r="A1675" t="s">
        <v>2792</v>
      </c>
      <c r="B1675" t="s">
        <v>4765</v>
      </c>
      <c r="C1675" t="s">
        <v>73</v>
      </c>
      <c r="D1675">
        <v>-41954</v>
      </c>
      <c r="E1675" t="s">
        <v>74</v>
      </c>
      <c r="F1675" t="s">
        <v>32</v>
      </c>
      <c r="G1675" t="s">
        <v>25</v>
      </c>
      <c r="H1675" t="s">
        <v>45</v>
      </c>
      <c r="I1675" t="s">
        <v>40</v>
      </c>
      <c r="J1675" s="11">
        <v>45544</v>
      </c>
      <c r="K1675" t="str">
        <f>TEXT(Transactions_Clean[[#This Row],[Date]],"MMM-YYYY")</f>
        <v>Sep-2024</v>
      </c>
      <c r="L1675">
        <f>IF(Transactions_Clean[[#This Row],[Category]]="Revenue",Transactions_Clean[[#This Row],[Amount(₹)]],Transactions_Clean[[#This Row],[Amount(₹)]]/8)</f>
        <v>-5244.25</v>
      </c>
    </row>
    <row r="1676" spans="1:12">
      <c r="A1676" t="s">
        <v>2793</v>
      </c>
      <c r="B1676" t="s">
        <v>4766</v>
      </c>
      <c r="C1676" t="s">
        <v>73</v>
      </c>
      <c r="D1676">
        <v>-93404</v>
      </c>
      <c r="E1676" t="s">
        <v>74</v>
      </c>
      <c r="F1676" t="s">
        <v>24</v>
      </c>
      <c r="G1676" t="s">
        <v>25</v>
      </c>
      <c r="H1676" t="s">
        <v>26</v>
      </c>
      <c r="I1676" t="s">
        <v>40</v>
      </c>
      <c r="J1676" s="11">
        <v>45183</v>
      </c>
      <c r="K1676" t="str">
        <f>TEXT(Transactions_Clean[[#This Row],[Date]],"MMM-YYYY")</f>
        <v>Sep-2023</v>
      </c>
      <c r="L1676">
        <f>IF(Transactions_Clean[[#This Row],[Category]]="Revenue",Transactions_Clean[[#This Row],[Amount(₹)]],Transactions_Clean[[#This Row],[Amount(₹)]]/8)</f>
        <v>-11675.5</v>
      </c>
    </row>
    <row r="1677" spans="1:12">
      <c r="A1677" t="s">
        <v>2794</v>
      </c>
      <c r="B1677" t="s">
        <v>177</v>
      </c>
      <c r="C1677" t="s">
        <v>78</v>
      </c>
      <c r="D1677">
        <v>-89425</v>
      </c>
      <c r="E1677" t="s">
        <v>23</v>
      </c>
      <c r="F1677" t="s">
        <v>24</v>
      </c>
      <c r="G1677" t="s">
        <v>79</v>
      </c>
      <c r="H1677" t="s">
        <v>26</v>
      </c>
      <c r="I1677" t="s">
        <v>40</v>
      </c>
      <c r="J1677" s="11">
        <v>45140</v>
      </c>
      <c r="K1677" t="str">
        <f>TEXT(Transactions_Clean[[#This Row],[Date]],"MMM-YYYY")</f>
        <v>Aug-2023</v>
      </c>
      <c r="L1677">
        <f>IF(Transactions_Clean[[#This Row],[Category]]="Revenue",Transactions_Clean[[#This Row],[Amount(₹)]],Transactions_Clean[[#This Row],[Amount(₹)]]/8)</f>
        <v>-11178.125</v>
      </c>
    </row>
    <row r="1678" spans="1:12">
      <c r="A1678" t="s">
        <v>2796</v>
      </c>
      <c r="B1678" t="s">
        <v>180</v>
      </c>
      <c r="C1678" t="s">
        <v>44</v>
      </c>
      <c r="D1678">
        <v>-46154</v>
      </c>
      <c r="E1678" t="s">
        <v>23</v>
      </c>
      <c r="F1678" t="s">
        <v>32</v>
      </c>
      <c r="G1678" t="s">
        <v>33</v>
      </c>
      <c r="H1678" t="s">
        <v>26</v>
      </c>
      <c r="I1678" t="s">
        <v>40</v>
      </c>
      <c r="J1678" s="11">
        <v>45115</v>
      </c>
      <c r="K1678" t="str">
        <f>TEXT(Transactions_Clean[[#This Row],[Date]],"MMM-YYYY")</f>
        <v>Jul-2023</v>
      </c>
      <c r="L1678">
        <f>IF(Transactions_Clean[[#This Row],[Category]]="Revenue",Transactions_Clean[[#This Row],[Amount(₹)]],Transactions_Clean[[#This Row],[Amount(₹)]]/8)</f>
        <v>-5769.25</v>
      </c>
    </row>
    <row r="1679" spans="1:12">
      <c r="A1679" t="s">
        <v>2797</v>
      </c>
      <c r="B1679" t="s">
        <v>4758</v>
      </c>
      <c r="C1679" t="s">
        <v>78</v>
      </c>
      <c r="D1679">
        <v>-119273</v>
      </c>
      <c r="E1679" t="s">
        <v>23</v>
      </c>
      <c r="F1679" t="s">
        <v>32</v>
      </c>
      <c r="G1679" t="s">
        <v>79</v>
      </c>
      <c r="H1679" t="s">
        <v>45</v>
      </c>
      <c r="I1679" t="s">
        <v>34</v>
      </c>
      <c r="J1679" s="11">
        <v>45435</v>
      </c>
      <c r="K1679" t="str">
        <f>TEXT(Transactions_Clean[[#This Row],[Date]],"MMM-YYYY")</f>
        <v>May-2024</v>
      </c>
      <c r="L1679">
        <f>IF(Transactions_Clean[[#This Row],[Category]]="Revenue",Transactions_Clean[[#This Row],[Amount(₹)]],Transactions_Clean[[#This Row],[Amount(₹)]]/8)</f>
        <v>-14909.125</v>
      </c>
    </row>
    <row r="1680" spans="1:12">
      <c r="A1680" t="s">
        <v>2798</v>
      </c>
      <c r="B1680" t="s">
        <v>66</v>
      </c>
      <c r="C1680" t="s">
        <v>4750</v>
      </c>
      <c r="D1680">
        <v>-58947</v>
      </c>
      <c r="E1680" t="s">
        <v>62</v>
      </c>
      <c r="F1680" t="s">
        <v>24</v>
      </c>
      <c r="G1680" t="s">
        <v>63</v>
      </c>
      <c r="H1680" t="s">
        <v>39</v>
      </c>
      <c r="I1680" t="s">
        <v>27</v>
      </c>
      <c r="J1680" s="11">
        <v>46042</v>
      </c>
      <c r="K1680" t="str">
        <f>TEXT(Transactions_Clean[[#This Row],[Date]],"MMM-YYYY")</f>
        <v>Jan-2026</v>
      </c>
      <c r="L1680">
        <f>IF(Transactions_Clean[[#This Row],[Category]]="Revenue",Transactions_Clean[[#This Row],[Amount(₹)]],Transactions_Clean[[#This Row],[Amount(₹)]]/8)</f>
        <v>-7368.375</v>
      </c>
    </row>
    <row r="1681" spans="1:12">
      <c r="A1681" t="s">
        <v>2799</v>
      </c>
      <c r="B1681" t="s">
        <v>100</v>
      </c>
      <c r="C1681" t="s">
        <v>31</v>
      </c>
      <c r="D1681">
        <v>-10793</v>
      </c>
      <c r="E1681" t="s">
        <v>23</v>
      </c>
      <c r="F1681" t="s">
        <v>24</v>
      </c>
      <c r="G1681" t="s">
        <v>33</v>
      </c>
      <c r="H1681" t="s">
        <v>39</v>
      </c>
      <c r="I1681" t="s">
        <v>40</v>
      </c>
      <c r="J1681" s="11">
        <v>45723</v>
      </c>
      <c r="K1681" t="str">
        <f>TEXT(Transactions_Clean[[#This Row],[Date]],"MMM-YYYY")</f>
        <v>Mar-2025</v>
      </c>
      <c r="L1681">
        <f>IF(Transactions_Clean[[#This Row],[Category]]="Revenue",Transactions_Clean[[#This Row],[Amount(₹)]],Transactions_Clean[[#This Row],[Amount(₹)]]/8)</f>
        <v>-1349.125</v>
      </c>
    </row>
    <row r="1682" spans="1:12">
      <c r="A1682" t="s">
        <v>2801</v>
      </c>
      <c r="B1682" t="s">
        <v>180</v>
      </c>
      <c r="C1682" t="s">
        <v>44</v>
      </c>
      <c r="D1682">
        <v>-176459</v>
      </c>
      <c r="E1682" t="s">
        <v>23</v>
      </c>
      <c r="F1682" t="s">
        <v>24</v>
      </c>
      <c r="G1682" t="s">
        <v>33</v>
      </c>
      <c r="H1682" t="s">
        <v>39</v>
      </c>
      <c r="I1682" t="s">
        <v>48</v>
      </c>
      <c r="J1682" s="11">
        <v>45980</v>
      </c>
      <c r="K1682" t="str">
        <f>TEXT(Transactions_Clean[[#This Row],[Date]],"MMM-YYYY")</f>
        <v>Nov-2025</v>
      </c>
      <c r="L1682">
        <f>IF(Transactions_Clean[[#This Row],[Category]]="Revenue",Transactions_Clean[[#This Row],[Amount(₹)]],Transactions_Clean[[#This Row],[Amount(₹)]]/8)</f>
        <v>-22057.375</v>
      </c>
    </row>
    <row r="1683" spans="1:12">
      <c r="A1683" t="s">
        <v>2802</v>
      </c>
      <c r="B1683" t="s">
        <v>4755</v>
      </c>
      <c r="C1683" t="s">
        <v>78</v>
      </c>
      <c r="D1683">
        <v>-57291</v>
      </c>
      <c r="E1683" t="s">
        <v>23</v>
      </c>
      <c r="F1683" t="s">
        <v>32</v>
      </c>
      <c r="G1683" t="s">
        <v>79</v>
      </c>
      <c r="H1683" t="s">
        <v>26</v>
      </c>
      <c r="I1683" t="s">
        <v>34</v>
      </c>
      <c r="J1683" s="11">
        <v>45107</v>
      </c>
      <c r="K1683" t="str">
        <f>TEXT(Transactions_Clean[[#This Row],[Date]],"MMM-YYYY")</f>
        <v>Jun-2023</v>
      </c>
      <c r="L1683">
        <f>IF(Transactions_Clean[[#This Row],[Category]]="Revenue",Transactions_Clean[[#This Row],[Amount(₹)]],Transactions_Clean[[#This Row],[Amount(₹)]]/8)</f>
        <v>-7161.375</v>
      </c>
    </row>
    <row r="1684" spans="1:12">
      <c r="A1684" t="s">
        <v>2804</v>
      </c>
      <c r="B1684" t="s">
        <v>4759</v>
      </c>
      <c r="C1684" t="s">
        <v>31</v>
      </c>
      <c r="D1684">
        <v>-40535</v>
      </c>
      <c r="E1684" t="s">
        <v>23</v>
      </c>
      <c r="F1684" t="s">
        <v>24</v>
      </c>
      <c r="G1684" t="s">
        <v>33</v>
      </c>
      <c r="H1684" t="s">
        <v>39</v>
      </c>
      <c r="I1684" t="s">
        <v>48</v>
      </c>
      <c r="J1684" s="11">
        <v>45728</v>
      </c>
      <c r="K1684" t="str">
        <f>TEXT(Transactions_Clean[[#This Row],[Date]],"MMM-YYYY")</f>
        <v>Mar-2025</v>
      </c>
      <c r="L1684">
        <f>IF(Transactions_Clean[[#This Row],[Category]]="Revenue",Transactions_Clean[[#This Row],[Amount(₹)]],Transactions_Clean[[#This Row],[Amount(₹)]]/8)</f>
        <v>-5066.875</v>
      </c>
    </row>
    <row r="1685" spans="1:12">
      <c r="A1685" t="s">
        <v>2806</v>
      </c>
      <c r="B1685" t="s">
        <v>4767</v>
      </c>
      <c r="C1685" t="s">
        <v>157</v>
      </c>
      <c r="D1685">
        <v>683495</v>
      </c>
      <c r="E1685" t="s">
        <v>62</v>
      </c>
      <c r="F1685" t="s">
        <v>32</v>
      </c>
      <c r="G1685" t="s">
        <v>25</v>
      </c>
      <c r="H1685" t="s">
        <v>39</v>
      </c>
      <c r="I1685" t="s">
        <v>27</v>
      </c>
      <c r="J1685" s="11">
        <v>46094</v>
      </c>
      <c r="K1685" t="str">
        <f>TEXT(Transactions_Clean[[#This Row],[Date]],"MMM-YYYY")</f>
        <v>Mar-2026</v>
      </c>
      <c r="L1685">
        <f>IF(Transactions_Clean[[#This Row],[Category]]="Revenue",Transactions_Clean[[#This Row],[Amount(₹)]],Transactions_Clean[[#This Row],[Amount(₹)]]/8)</f>
        <v>683495</v>
      </c>
    </row>
    <row r="1686" spans="1:12">
      <c r="A1686" t="s">
        <v>2807</v>
      </c>
      <c r="B1686" t="s">
        <v>66</v>
      </c>
      <c r="C1686" t="s">
        <v>61</v>
      </c>
      <c r="D1686">
        <v>-54604</v>
      </c>
      <c r="E1686" t="s">
        <v>62</v>
      </c>
      <c r="F1686" t="s">
        <v>32</v>
      </c>
      <c r="G1686" t="s">
        <v>63</v>
      </c>
      <c r="H1686" t="s">
        <v>26</v>
      </c>
      <c r="I1686" t="s">
        <v>48</v>
      </c>
      <c r="J1686" s="11">
        <v>45230</v>
      </c>
      <c r="K1686" t="str">
        <f>TEXT(Transactions_Clean[[#This Row],[Date]],"MMM-YYYY")</f>
        <v>Oct-2023</v>
      </c>
      <c r="L1686">
        <f>IF(Transactions_Clean[[#This Row],[Category]]="Revenue",Transactions_Clean[[#This Row],[Amount(₹)]],Transactions_Clean[[#This Row],[Amount(₹)]]/8)</f>
        <v>-6825.5</v>
      </c>
    </row>
    <row r="1687" spans="1:12">
      <c r="A1687" t="s">
        <v>2808</v>
      </c>
      <c r="B1687" t="s">
        <v>37</v>
      </c>
      <c r="C1687" t="s">
        <v>38</v>
      </c>
      <c r="D1687">
        <v>-37655</v>
      </c>
      <c r="E1687" t="s">
        <v>23</v>
      </c>
      <c r="F1687" t="s">
        <v>24</v>
      </c>
      <c r="G1687" t="s">
        <v>33</v>
      </c>
      <c r="H1687" t="s">
        <v>45</v>
      </c>
      <c r="I1687" t="s">
        <v>27</v>
      </c>
      <c r="J1687" s="11">
        <v>45728</v>
      </c>
      <c r="K1687" t="str">
        <f>TEXT(Transactions_Clean[[#This Row],[Date]],"MMM-YYYY")</f>
        <v>Mar-2025</v>
      </c>
      <c r="L1687">
        <f>IF(Transactions_Clean[[#This Row],[Category]]="Revenue",Transactions_Clean[[#This Row],[Amount(₹)]],Transactions_Clean[[#This Row],[Amount(₹)]]/8)</f>
        <v>-4706.875</v>
      </c>
    </row>
    <row r="1688" spans="1:12">
      <c r="A1688" t="s">
        <v>2809</v>
      </c>
      <c r="B1688" t="s">
        <v>4756</v>
      </c>
      <c r="C1688" t="s">
        <v>73</v>
      </c>
      <c r="D1688">
        <v>-58470</v>
      </c>
      <c r="E1688" t="s">
        <v>74</v>
      </c>
      <c r="F1688" t="s">
        <v>32</v>
      </c>
      <c r="G1688" t="s">
        <v>25</v>
      </c>
      <c r="H1688" t="s">
        <v>39</v>
      </c>
      <c r="I1688" t="s">
        <v>27</v>
      </c>
      <c r="J1688" s="11">
        <v>46082</v>
      </c>
      <c r="K1688" t="str">
        <f>TEXT(Transactions_Clean[[#This Row],[Date]],"MMM-YYYY")</f>
        <v>Mar-2026</v>
      </c>
      <c r="L1688">
        <f>IF(Transactions_Clean[[#This Row],[Category]]="Revenue",Transactions_Clean[[#This Row],[Amount(₹)]],Transactions_Clean[[#This Row],[Amount(₹)]]/8)</f>
        <v>-7308.75</v>
      </c>
    </row>
    <row r="1689" spans="1:12">
      <c r="A1689" t="s">
        <v>2810</v>
      </c>
      <c r="B1689" t="s">
        <v>169</v>
      </c>
      <c r="C1689" t="s">
        <v>73</v>
      </c>
      <c r="D1689">
        <v>-66790</v>
      </c>
      <c r="E1689" t="s">
        <v>74</v>
      </c>
      <c r="F1689" t="s">
        <v>32</v>
      </c>
      <c r="G1689" t="s">
        <v>25</v>
      </c>
      <c r="H1689" t="s">
        <v>26</v>
      </c>
      <c r="I1689" t="s">
        <v>40</v>
      </c>
      <c r="J1689" s="11">
        <v>45135</v>
      </c>
      <c r="K1689" t="str">
        <f>TEXT(Transactions_Clean[[#This Row],[Date]],"MMM-YYYY")</f>
        <v>Jul-2023</v>
      </c>
      <c r="L1689">
        <f>IF(Transactions_Clean[[#This Row],[Category]]="Revenue",Transactions_Clean[[#This Row],[Amount(₹)]],Transactions_Clean[[#This Row],[Amount(₹)]]/8)</f>
        <v>-8348.75</v>
      </c>
    </row>
    <row r="1690" spans="1:12">
      <c r="A1690" t="s">
        <v>2811</v>
      </c>
      <c r="B1690" t="s">
        <v>935</v>
      </c>
      <c r="C1690" t="s">
        <v>22</v>
      </c>
      <c r="D1690">
        <v>-93110</v>
      </c>
      <c r="E1690" t="s">
        <v>23</v>
      </c>
      <c r="F1690" t="s">
        <v>24</v>
      </c>
      <c r="G1690" t="s">
        <v>25</v>
      </c>
      <c r="H1690" t="s">
        <v>26</v>
      </c>
      <c r="I1690" t="s">
        <v>48</v>
      </c>
      <c r="J1690" s="11">
        <v>45245</v>
      </c>
      <c r="K1690" t="str">
        <f>TEXT(Transactions_Clean[[#This Row],[Date]],"MMM-YYYY")</f>
        <v>Nov-2023</v>
      </c>
      <c r="L1690">
        <f>IF(Transactions_Clean[[#This Row],[Category]]="Revenue",Transactions_Clean[[#This Row],[Amount(₹)]],Transactions_Clean[[#This Row],[Amount(₹)]]/8)</f>
        <v>-11638.75</v>
      </c>
    </row>
    <row r="1691" spans="1:12">
      <c r="A1691" t="s">
        <v>2812</v>
      </c>
      <c r="B1691" t="s">
        <v>116</v>
      </c>
      <c r="C1691" t="s">
        <v>73</v>
      </c>
      <c r="D1691">
        <v>-60274</v>
      </c>
      <c r="E1691" t="s">
        <v>74</v>
      </c>
      <c r="F1691" t="s">
        <v>32</v>
      </c>
      <c r="G1691" t="s">
        <v>25</v>
      </c>
      <c r="H1691" t="s">
        <v>39</v>
      </c>
      <c r="I1691" t="s">
        <v>40</v>
      </c>
      <c r="J1691" s="11">
        <v>45889</v>
      </c>
      <c r="K1691" t="str">
        <f>TEXT(Transactions_Clean[[#This Row],[Date]],"MMM-YYYY")</f>
        <v>Aug-2025</v>
      </c>
      <c r="L1691">
        <f>IF(Transactions_Clean[[#This Row],[Category]]="Revenue",Transactions_Clean[[#This Row],[Amount(₹)]],Transactions_Clean[[#This Row],[Amount(₹)]]/8)</f>
        <v>-7534.25</v>
      </c>
    </row>
    <row r="1692" spans="1:12">
      <c r="A1692" t="s">
        <v>2814</v>
      </c>
      <c r="B1692" t="s">
        <v>4754</v>
      </c>
      <c r="C1692" t="s">
        <v>78</v>
      </c>
      <c r="D1692">
        <v>-65444</v>
      </c>
      <c r="E1692" t="s">
        <v>23</v>
      </c>
      <c r="F1692" t="s">
        <v>32</v>
      </c>
      <c r="G1692" t="s">
        <v>79</v>
      </c>
      <c r="H1692" t="s">
        <v>45</v>
      </c>
      <c r="I1692" t="s">
        <v>34</v>
      </c>
      <c r="J1692" s="11">
        <v>45422</v>
      </c>
      <c r="K1692" t="str">
        <f>TEXT(Transactions_Clean[[#This Row],[Date]],"MMM-YYYY")</f>
        <v>May-2024</v>
      </c>
      <c r="L1692">
        <f>IF(Transactions_Clean[[#This Row],[Category]]="Revenue",Transactions_Clean[[#This Row],[Amount(₹)]],Transactions_Clean[[#This Row],[Amount(₹)]]/8)</f>
        <v>-8180.5</v>
      </c>
    </row>
    <row r="1693" spans="1:12">
      <c r="A1693" t="s">
        <v>2816</v>
      </c>
      <c r="B1693" t="s">
        <v>66</v>
      </c>
      <c r="C1693" t="s">
        <v>61</v>
      </c>
      <c r="D1693">
        <v>-47102</v>
      </c>
      <c r="E1693" t="s">
        <v>62</v>
      </c>
      <c r="F1693" t="s">
        <v>24</v>
      </c>
      <c r="G1693" t="s">
        <v>63</v>
      </c>
      <c r="H1693" t="s">
        <v>45</v>
      </c>
      <c r="I1693" t="s">
        <v>48</v>
      </c>
      <c r="J1693" s="11">
        <v>45614</v>
      </c>
      <c r="K1693" t="str">
        <f>TEXT(Transactions_Clean[[#This Row],[Date]],"MMM-YYYY")</f>
        <v>Nov-2024</v>
      </c>
      <c r="L1693">
        <f>IF(Transactions_Clean[[#This Row],[Category]]="Revenue",Transactions_Clean[[#This Row],[Amount(₹)]],Transactions_Clean[[#This Row],[Amount(₹)]]/8)</f>
        <v>-5887.75</v>
      </c>
    </row>
    <row r="1694" spans="1:12">
      <c r="A1694" t="s">
        <v>2817</v>
      </c>
      <c r="B1694" t="s">
        <v>66</v>
      </c>
      <c r="C1694" t="s">
        <v>61</v>
      </c>
      <c r="D1694">
        <v>-46214</v>
      </c>
      <c r="E1694" t="s">
        <v>62</v>
      </c>
      <c r="F1694" t="s">
        <v>24</v>
      </c>
      <c r="G1694" t="s">
        <v>63</v>
      </c>
      <c r="H1694" t="s">
        <v>39</v>
      </c>
      <c r="I1694" t="s">
        <v>48</v>
      </c>
      <c r="J1694" s="11">
        <v>46001</v>
      </c>
      <c r="K1694" t="str">
        <f>TEXT(Transactions_Clean[[#This Row],[Date]],"MMM-YYYY")</f>
        <v>Dec-2025</v>
      </c>
      <c r="L1694">
        <f>IF(Transactions_Clean[[#This Row],[Category]]="Revenue",Transactions_Clean[[#This Row],[Amount(₹)]],Transactions_Clean[[#This Row],[Amount(₹)]]/8)</f>
        <v>-5776.75</v>
      </c>
    </row>
    <row r="1695" spans="1:12">
      <c r="A1695" t="s">
        <v>2818</v>
      </c>
      <c r="B1695" t="s">
        <v>4762</v>
      </c>
      <c r="C1695" t="s">
        <v>157</v>
      </c>
      <c r="D1695">
        <v>610287</v>
      </c>
      <c r="E1695" t="s">
        <v>62</v>
      </c>
      <c r="F1695" t="s">
        <v>32</v>
      </c>
      <c r="G1695" t="s">
        <v>25</v>
      </c>
      <c r="H1695" t="s">
        <v>45</v>
      </c>
      <c r="I1695" t="s">
        <v>27</v>
      </c>
      <c r="J1695" s="11">
        <v>45708</v>
      </c>
      <c r="K1695" t="str">
        <f>TEXT(Transactions_Clean[[#This Row],[Date]],"MMM-YYYY")</f>
        <v>Feb-2025</v>
      </c>
      <c r="L1695">
        <f>IF(Transactions_Clean[[#This Row],[Category]]="Revenue",Transactions_Clean[[#This Row],[Amount(₹)]],Transactions_Clean[[#This Row],[Amount(₹)]]/8)</f>
        <v>610287</v>
      </c>
    </row>
    <row r="1696" spans="1:12">
      <c r="A1696" t="s">
        <v>2819</v>
      </c>
      <c r="B1696" t="s">
        <v>72</v>
      </c>
      <c r="C1696" t="s">
        <v>73</v>
      </c>
      <c r="D1696">
        <v>-33112</v>
      </c>
      <c r="E1696" t="s">
        <v>74</v>
      </c>
      <c r="F1696" t="s">
        <v>32</v>
      </c>
      <c r="G1696" t="s">
        <v>25</v>
      </c>
      <c r="H1696" t="s">
        <v>26</v>
      </c>
      <c r="I1696" t="s">
        <v>34</v>
      </c>
      <c r="J1696" s="11">
        <v>45023</v>
      </c>
      <c r="K1696" t="str">
        <f>TEXT(Transactions_Clean[[#This Row],[Date]],"MMM-YYYY")</f>
        <v>Apr-2023</v>
      </c>
      <c r="L1696">
        <f>IF(Transactions_Clean[[#This Row],[Category]]="Revenue",Transactions_Clean[[#This Row],[Amount(₹)]],Transactions_Clean[[#This Row],[Amount(₹)]]/8)</f>
        <v>-4139</v>
      </c>
    </row>
    <row r="1697" spans="1:12">
      <c r="A1697" t="s">
        <v>2820</v>
      </c>
      <c r="B1697" t="s">
        <v>687</v>
      </c>
      <c r="C1697" t="s">
        <v>44</v>
      </c>
      <c r="D1697">
        <v>-114173</v>
      </c>
      <c r="E1697" t="s">
        <v>23</v>
      </c>
      <c r="F1697" t="s">
        <v>32</v>
      </c>
      <c r="G1697" t="s">
        <v>33</v>
      </c>
      <c r="H1697" t="s">
        <v>45</v>
      </c>
      <c r="I1697" t="s">
        <v>40</v>
      </c>
      <c r="J1697" s="11">
        <v>45524</v>
      </c>
      <c r="K1697" t="str">
        <f>TEXT(Transactions_Clean[[#This Row],[Date]],"MMM-YYYY")</f>
        <v>Aug-2024</v>
      </c>
      <c r="L1697">
        <f>IF(Transactions_Clean[[#This Row],[Category]]="Revenue",Transactions_Clean[[#This Row],[Amount(₹)]],Transactions_Clean[[#This Row],[Amount(₹)]]/8)</f>
        <v>-14271.625</v>
      </c>
    </row>
    <row r="1698" spans="1:12">
      <c r="A1698" t="s">
        <v>2822</v>
      </c>
      <c r="B1698" t="s">
        <v>4776</v>
      </c>
      <c r="C1698" t="s">
        <v>440</v>
      </c>
      <c r="D1698">
        <v>-127041</v>
      </c>
      <c r="E1698" t="s">
        <v>23</v>
      </c>
      <c r="F1698" t="s">
        <v>32</v>
      </c>
      <c r="G1698" t="s">
        <v>33</v>
      </c>
      <c r="H1698" t="s">
        <v>39</v>
      </c>
      <c r="I1698" t="s">
        <v>34</v>
      </c>
      <c r="J1698" s="11">
        <v>45756</v>
      </c>
      <c r="K1698" t="str">
        <f>TEXT(Transactions_Clean[[#This Row],[Date]],"MMM-YYYY")</f>
        <v>Apr-2025</v>
      </c>
      <c r="L1698">
        <f>IF(Transactions_Clean[[#This Row],[Category]]="Revenue",Transactions_Clean[[#This Row],[Amount(₹)]],Transactions_Clean[[#This Row],[Amount(₹)]]/8)</f>
        <v>-15880.125</v>
      </c>
    </row>
    <row r="1699" spans="1:12">
      <c r="A1699" t="s">
        <v>2823</v>
      </c>
      <c r="B1699" t="s">
        <v>4764</v>
      </c>
      <c r="C1699" t="s">
        <v>157</v>
      </c>
      <c r="D1699">
        <v>612483</v>
      </c>
      <c r="E1699" t="s">
        <v>62</v>
      </c>
      <c r="F1699" t="s">
        <v>32</v>
      </c>
      <c r="G1699" t="s">
        <v>25</v>
      </c>
      <c r="H1699" t="s">
        <v>26</v>
      </c>
      <c r="I1699" t="s">
        <v>48</v>
      </c>
      <c r="J1699" s="11">
        <v>45271</v>
      </c>
      <c r="K1699" t="str">
        <f>TEXT(Transactions_Clean[[#This Row],[Date]],"MMM-YYYY")</f>
        <v>Dec-2023</v>
      </c>
      <c r="L1699">
        <f>IF(Transactions_Clean[[#This Row],[Category]]="Revenue",Transactions_Clean[[#This Row],[Amount(₹)]],Transactions_Clean[[#This Row],[Amount(₹)]]/8)</f>
        <v>612483</v>
      </c>
    </row>
    <row r="1700" spans="1:12">
      <c r="A1700" t="s">
        <v>2824</v>
      </c>
      <c r="B1700" t="s">
        <v>129</v>
      </c>
      <c r="C1700" t="s">
        <v>38</v>
      </c>
      <c r="D1700">
        <v>-53264</v>
      </c>
      <c r="E1700" t="s">
        <v>23</v>
      </c>
      <c r="F1700" t="s">
        <v>24</v>
      </c>
      <c r="G1700" t="s">
        <v>33</v>
      </c>
      <c r="H1700" t="s">
        <v>26</v>
      </c>
      <c r="I1700" t="s">
        <v>27</v>
      </c>
      <c r="J1700" s="11">
        <v>45348</v>
      </c>
      <c r="K1700" t="str">
        <f>TEXT(Transactions_Clean[[#This Row],[Date]],"MMM-YYYY")</f>
        <v>Feb-2024</v>
      </c>
      <c r="L1700">
        <f>IF(Transactions_Clean[[#This Row],[Category]]="Revenue",Transactions_Clean[[#This Row],[Amount(₹)]],Transactions_Clean[[#This Row],[Amount(₹)]]/8)</f>
        <v>-6658</v>
      </c>
    </row>
    <row r="1701" spans="1:12">
      <c r="A1701" t="s">
        <v>2825</v>
      </c>
      <c r="B1701" t="s">
        <v>212</v>
      </c>
      <c r="C1701" t="s">
        <v>73</v>
      </c>
      <c r="D1701">
        <v>-47692</v>
      </c>
      <c r="E1701" t="s">
        <v>74</v>
      </c>
      <c r="F1701" t="s">
        <v>32</v>
      </c>
      <c r="G1701" t="s">
        <v>25</v>
      </c>
      <c r="H1701" t="s">
        <v>26</v>
      </c>
      <c r="I1701" t="s">
        <v>27</v>
      </c>
      <c r="J1701" s="11">
        <v>45304</v>
      </c>
      <c r="K1701" t="str">
        <f>TEXT(Transactions_Clean[[#This Row],[Date]],"MMM-YYYY")</f>
        <v>Jan-2024</v>
      </c>
      <c r="L1701">
        <f>IF(Transactions_Clean[[#This Row],[Category]]="Revenue",Transactions_Clean[[#This Row],[Amount(₹)]],Transactions_Clean[[#This Row],[Amount(₹)]]/8)</f>
        <v>-5961.5</v>
      </c>
    </row>
    <row r="1702" spans="1:12">
      <c r="A1702" t="s">
        <v>2827</v>
      </c>
      <c r="B1702" t="s">
        <v>51</v>
      </c>
      <c r="C1702" t="s">
        <v>31</v>
      </c>
      <c r="D1702">
        <v>-19502</v>
      </c>
      <c r="E1702" t="s">
        <v>23</v>
      </c>
      <c r="F1702" t="s">
        <v>32</v>
      </c>
      <c r="G1702" t="s">
        <v>33</v>
      </c>
      <c r="H1702" t="s">
        <v>26</v>
      </c>
      <c r="I1702" t="s">
        <v>40</v>
      </c>
      <c r="J1702" s="11">
        <v>45157</v>
      </c>
      <c r="K1702" t="str">
        <f>TEXT(Transactions_Clean[[#This Row],[Date]],"MMM-YYYY")</f>
        <v>Aug-2023</v>
      </c>
      <c r="L1702">
        <f>IF(Transactions_Clean[[#This Row],[Category]]="Revenue",Transactions_Clean[[#This Row],[Amount(₹)]],Transactions_Clean[[#This Row],[Amount(₹)]]/8)</f>
        <v>-2437.75</v>
      </c>
    </row>
    <row r="1703" spans="1:12">
      <c r="A1703" t="s">
        <v>2828</v>
      </c>
      <c r="B1703" t="s">
        <v>255</v>
      </c>
      <c r="C1703" t="s">
        <v>22</v>
      </c>
      <c r="D1703">
        <v>-121831</v>
      </c>
      <c r="E1703" t="s">
        <v>23</v>
      </c>
      <c r="F1703" t="s">
        <v>32</v>
      </c>
      <c r="G1703" t="s">
        <v>25</v>
      </c>
      <c r="H1703" t="s">
        <v>45</v>
      </c>
      <c r="I1703" t="s">
        <v>34</v>
      </c>
      <c r="J1703" s="11">
        <v>45386</v>
      </c>
      <c r="K1703" t="str">
        <f>TEXT(Transactions_Clean[[#This Row],[Date]],"MMM-YYYY")</f>
        <v>Apr-2024</v>
      </c>
      <c r="L1703">
        <f>IF(Transactions_Clean[[#This Row],[Category]]="Revenue",Transactions_Clean[[#This Row],[Amount(₹)]],Transactions_Clean[[#This Row],[Amount(₹)]]/8)</f>
        <v>-15228.875</v>
      </c>
    </row>
    <row r="1704" spans="1:12">
      <c r="A1704" t="s">
        <v>2830</v>
      </c>
      <c r="B1704" t="s">
        <v>212</v>
      </c>
      <c r="C1704" t="s">
        <v>73</v>
      </c>
      <c r="D1704">
        <v>-13611</v>
      </c>
      <c r="E1704" t="s">
        <v>74</v>
      </c>
      <c r="F1704" t="s">
        <v>32</v>
      </c>
      <c r="G1704" t="s">
        <v>25</v>
      </c>
      <c r="H1704" t="s">
        <v>26</v>
      </c>
      <c r="I1704" t="s">
        <v>27</v>
      </c>
      <c r="J1704" s="11">
        <v>45304</v>
      </c>
      <c r="K1704" t="str">
        <f>TEXT(Transactions_Clean[[#This Row],[Date]],"MMM-YYYY")</f>
        <v>Jan-2024</v>
      </c>
      <c r="L1704">
        <f>IF(Transactions_Clean[[#This Row],[Category]]="Revenue",Transactions_Clean[[#This Row],[Amount(₹)]],Transactions_Clean[[#This Row],[Amount(₹)]]/8)</f>
        <v>-1701.375</v>
      </c>
    </row>
    <row r="1705" spans="1:12">
      <c r="A1705" t="s">
        <v>2831</v>
      </c>
      <c r="B1705" t="s">
        <v>4774</v>
      </c>
      <c r="C1705" t="s">
        <v>440</v>
      </c>
      <c r="D1705">
        <v>-136033</v>
      </c>
      <c r="E1705" t="s">
        <v>23</v>
      </c>
      <c r="F1705" t="s">
        <v>32</v>
      </c>
      <c r="G1705" t="s">
        <v>33</v>
      </c>
      <c r="H1705" t="s">
        <v>45</v>
      </c>
      <c r="I1705" t="s">
        <v>27</v>
      </c>
      <c r="J1705" s="11">
        <v>45688</v>
      </c>
      <c r="K1705" t="str">
        <f>TEXT(Transactions_Clean[[#This Row],[Date]],"MMM-YYYY")</f>
        <v>Jan-2025</v>
      </c>
      <c r="L1705">
        <f>IF(Transactions_Clean[[#This Row],[Category]]="Revenue",Transactions_Clean[[#This Row],[Amount(₹)]],Transactions_Clean[[#This Row],[Amount(₹)]]/8)</f>
        <v>-17004.125</v>
      </c>
    </row>
    <row r="1706" spans="1:12">
      <c r="A1706" t="s">
        <v>2832</v>
      </c>
      <c r="B1706" t="s">
        <v>4769</v>
      </c>
      <c r="C1706" t="s">
        <v>44</v>
      </c>
      <c r="D1706">
        <v>-87671</v>
      </c>
      <c r="E1706" t="s">
        <v>23</v>
      </c>
      <c r="F1706" t="s">
        <v>24</v>
      </c>
      <c r="G1706" t="s">
        <v>33</v>
      </c>
      <c r="H1706" t="s">
        <v>39</v>
      </c>
      <c r="I1706" t="s">
        <v>34</v>
      </c>
      <c r="J1706" s="11">
        <v>45770</v>
      </c>
      <c r="K1706" t="str">
        <f>TEXT(Transactions_Clean[[#This Row],[Date]],"MMM-YYYY")</f>
        <v>Apr-2025</v>
      </c>
      <c r="L1706">
        <f>IF(Transactions_Clean[[#This Row],[Category]]="Revenue",Transactions_Clean[[#This Row],[Amount(₹)]],Transactions_Clean[[#This Row],[Amount(₹)]]/8)</f>
        <v>-10958.875</v>
      </c>
    </row>
    <row r="1707" spans="1:12">
      <c r="A1707" t="s">
        <v>2833</v>
      </c>
      <c r="B1707" t="s">
        <v>4765</v>
      </c>
      <c r="C1707" t="s">
        <v>73</v>
      </c>
      <c r="D1707">
        <v>-10575</v>
      </c>
      <c r="E1707" t="s">
        <v>74</v>
      </c>
      <c r="F1707" t="s">
        <v>32</v>
      </c>
      <c r="G1707" t="s">
        <v>25</v>
      </c>
      <c r="H1707" t="s">
        <v>39</v>
      </c>
      <c r="I1707" t="s">
        <v>40</v>
      </c>
      <c r="J1707" s="11">
        <v>45862</v>
      </c>
      <c r="K1707" t="str">
        <f>TEXT(Transactions_Clean[[#This Row],[Date]],"MMM-YYYY")</f>
        <v>Jul-2025</v>
      </c>
      <c r="L1707">
        <f>IF(Transactions_Clean[[#This Row],[Category]]="Revenue",Transactions_Clean[[#This Row],[Amount(₹)]],Transactions_Clean[[#This Row],[Amount(₹)]]/8)</f>
        <v>-1321.875</v>
      </c>
    </row>
    <row r="1708" spans="1:12">
      <c r="A1708" t="s">
        <v>2835</v>
      </c>
      <c r="B1708" t="s">
        <v>4752</v>
      </c>
      <c r="C1708" t="s">
        <v>44</v>
      </c>
      <c r="D1708">
        <v>-123792</v>
      </c>
      <c r="E1708" t="s">
        <v>23</v>
      </c>
      <c r="F1708" t="s">
        <v>24</v>
      </c>
      <c r="G1708" t="s">
        <v>33</v>
      </c>
      <c r="H1708" t="s">
        <v>26</v>
      </c>
      <c r="I1708" t="s">
        <v>34</v>
      </c>
      <c r="J1708" s="11">
        <v>45072</v>
      </c>
      <c r="K1708" t="str">
        <f>TEXT(Transactions_Clean[[#This Row],[Date]],"MMM-YYYY")</f>
        <v>May-2023</v>
      </c>
      <c r="L1708">
        <f>IF(Transactions_Clean[[#This Row],[Category]]="Revenue",Transactions_Clean[[#This Row],[Amount(₹)]],Transactions_Clean[[#This Row],[Amount(₹)]]/8)</f>
        <v>-15474</v>
      </c>
    </row>
    <row r="1709" spans="1:12">
      <c r="A1709" t="s">
        <v>2836</v>
      </c>
      <c r="B1709" t="s">
        <v>177</v>
      </c>
      <c r="C1709" t="s">
        <v>78</v>
      </c>
      <c r="D1709">
        <v>-28493</v>
      </c>
      <c r="E1709" t="s">
        <v>23</v>
      </c>
      <c r="F1709" t="s">
        <v>32</v>
      </c>
      <c r="G1709" t="s">
        <v>79</v>
      </c>
      <c r="H1709" t="s">
        <v>39</v>
      </c>
      <c r="I1709" t="s">
        <v>34</v>
      </c>
      <c r="J1709" s="11">
        <v>45787</v>
      </c>
      <c r="K1709" t="str">
        <f>TEXT(Transactions_Clean[[#This Row],[Date]],"MMM-YYYY")</f>
        <v>May-2025</v>
      </c>
      <c r="L1709">
        <f>IF(Transactions_Clean[[#This Row],[Category]]="Revenue",Transactions_Clean[[#This Row],[Amount(₹)]],Transactions_Clean[[#This Row],[Amount(₹)]]/8)</f>
        <v>-3561.625</v>
      </c>
    </row>
    <row r="1710" spans="1:12">
      <c r="A1710" t="s">
        <v>2837</v>
      </c>
      <c r="B1710" t="s">
        <v>215</v>
      </c>
      <c r="C1710" t="s">
        <v>61</v>
      </c>
      <c r="D1710">
        <v>-37555</v>
      </c>
      <c r="E1710" t="s">
        <v>62</v>
      </c>
      <c r="F1710" t="s">
        <v>24</v>
      </c>
      <c r="G1710" t="s">
        <v>63</v>
      </c>
      <c r="H1710" t="s">
        <v>45</v>
      </c>
      <c r="I1710" t="s">
        <v>34</v>
      </c>
      <c r="J1710" s="11">
        <v>45386</v>
      </c>
      <c r="K1710" t="str">
        <f>TEXT(Transactions_Clean[[#This Row],[Date]],"MMM-YYYY")</f>
        <v>Apr-2024</v>
      </c>
      <c r="L1710">
        <f>IF(Transactions_Clean[[#This Row],[Category]]="Revenue",Transactions_Clean[[#This Row],[Amount(₹)]],Transactions_Clean[[#This Row],[Amount(₹)]]/8)</f>
        <v>-4694.375</v>
      </c>
    </row>
    <row r="1711" spans="1:12">
      <c r="A1711" t="s">
        <v>2838</v>
      </c>
      <c r="B1711" t="s">
        <v>215</v>
      </c>
      <c r="C1711" t="s">
        <v>61</v>
      </c>
      <c r="D1711">
        <v>-55928</v>
      </c>
      <c r="E1711" t="s">
        <v>62</v>
      </c>
      <c r="F1711" t="s">
        <v>32</v>
      </c>
      <c r="G1711" t="s">
        <v>63</v>
      </c>
      <c r="H1711" t="s">
        <v>45</v>
      </c>
      <c r="I1711" t="s">
        <v>34</v>
      </c>
      <c r="J1711" s="11">
        <v>45436</v>
      </c>
      <c r="K1711" t="str">
        <f>TEXT(Transactions_Clean[[#This Row],[Date]],"MMM-YYYY")</f>
        <v>May-2024</v>
      </c>
      <c r="L1711">
        <f>IF(Transactions_Clean[[#This Row],[Category]]="Revenue",Transactions_Clean[[#This Row],[Amount(₹)]],Transactions_Clean[[#This Row],[Amount(₹)]]/8)</f>
        <v>-6991</v>
      </c>
    </row>
    <row r="1712" spans="1:12">
      <c r="A1712" t="s">
        <v>2840</v>
      </c>
      <c r="B1712" t="s">
        <v>4754</v>
      </c>
      <c r="C1712" t="s">
        <v>78</v>
      </c>
      <c r="D1712">
        <v>-62212</v>
      </c>
      <c r="E1712" t="s">
        <v>23</v>
      </c>
      <c r="F1712" t="s">
        <v>24</v>
      </c>
      <c r="G1712" t="s">
        <v>79</v>
      </c>
      <c r="H1712" t="s">
        <v>45</v>
      </c>
      <c r="I1712" t="s">
        <v>34</v>
      </c>
      <c r="J1712" s="11">
        <v>45440</v>
      </c>
      <c r="K1712" t="str">
        <f>TEXT(Transactions_Clean[[#This Row],[Date]],"MMM-YYYY")</f>
        <v>May-2024</v>
      </c>
      <c r="L1712">
        <f>IF(Transactions_Clean[[#This Row],[Category]]="Revenue",Transactions_Clean[[#This Row],[Amount(₹)]],Transactions_Clean[[#This Row],[Amount(₹)]]/8)</f>
        <v>-7776.5</v>
      </c>
    </row>
    <row r="1713" spans="1:12">
      <c r="A1713" t="s">
        <v>2841</v>
      </c>
      <c r="B1713" t="s">
        <v>51</v>
      </c>
      <c r="C1713" t="s">
        <v>31</v>
      </c>
      <c r="D1713">
        <v>-33783</v>
      </c>
      <c r="E1713" t="s">
        <v>23</v>
      </c>
      <c r="F1713" t="s">
        <v>24</v>
      </c>
      <c r="G1713" t="s">
        <v>33</v>
      </c>
      <c r="H1713" t="s">
        <v>26</v>
      </c>
      <c r="I1713" t="s">
        <v>40</v>
      </c>
      <c r="J1713" s="11">
        <v>45180</v>
      </c>
      <c r="K1713" t="str">
        <f>TEXT(Transactions_Clean[[#This Row],[Date]],"MMM-YYYY")</f>
        <v>Sep-2023</v>
      </c>
      <c r="L1713">
        <f>IF(Transactions_Clean[[#This Row],[Category]]="Revenue",Transactions_Clean[[#This Row],[Amount(₹)]],Transactions_Clean[[#This Row],[Amount(₹)]]/8)</f>
        <v>-4222.875</v>
      </c>
    </row>
    <row r="1714" spans="1:12">
      <c r="A1714" t="s">
        <v>2842</v>
      </c>
      <c r="B1714" t="s">
        <v>224</v>
      </c>
      <c r="C1714" t="s">
        <v>78</v>
      </c>
      <c r="D1714">
        <v>-116279</v>
      </c>
      <c r="E1714" t="s">
        <v>23</v>
      </c>
      <c r="F1714" t="s">
        <v>24</v>
      </c>
      <c r="G1714" t="s">
        <v>79</v>
      </c>
      <c r="H1714" t="s">
        <v>45</v>
      </c>
      <c r="I1714" t="s">
        <v>48</v>
      </c>
      <c r="J1714" s="11">
        <v>45611</v>
      </c>
      <c r="K1714" t="str">
        <f>TEXT(Transactions_Clean[[#This Row],[Date]],"MMM-YYYY")</f>
        <v>Nov-2024</v>
      </c>
      <c r="L1714">
        <f>IF(Transactions_Clean[[#This Row],[Category]]="Revenue",Transactions_Clean[[#This Row],[Amount(₹)]],Transactions_Clean[[#This Row],[Amount(₹)]]/8)</f>
        <v>-14534.875</v>
      </c>
    </row>
    <row r="1715" spans="1:12">
      <c r="A1715" t="s">
        <v>2843</v>
      </c>
      <c r="B1715" t="s">
        <v>4759</v>
      </c>
      <c r="C1715" t="s">
        <v>31</v>
      </c>
      <c r="D1715">
        <v>-24629</v>
      </c>
      <c r="E1715" t="s">
        <v>23</v>
      </c>
      <c r="F1715" t="s">
        <v>32</v>
      </c>
      <c r="G1715" t="s">
        <v>33</v>
      </c>
      <c r="H1715" t="s">
        <v>45</v>
      </c>
      <c r="I1715" t="s">
        <v>27</v>
      </c>
      <c r="J1715" s="11">
        <v>45747</v>
      </c>
      <c r="K1715" t="str">
        <f>TEXT(Transactions_Clean[[#This Row],[Date]],"MMM-YYYY")</f>
        <v>Mar-2025</v>
      </c>
      <c r="L1715">
        <f>IF(Transactions_Clean[[#This Row],[Category]]="Revenue",Transactions_Clean[[#This Row],[Amount(₹)]],Transactions_Clean[[#This Row],[Amount(₹)]]/8)</f>
        <v>-3078.625</v>
      </c>
    </row>
    <row r="1716" spans="1:12">
      <c r="A1716" t="s">
        <v>2844</v>
      </c>
      <c r="B1716" t="s">
        <v>4770</v>
      </c>
      <c r="C1716" t="s">
        <v>440</v>
      </c>
      <c r="D1716">
        <v>-120507</v>
      </c>
      <c r="E1716" t="s">
        <v>23</v>
      </c>
      <c r="F1716" t="s">
        <v>32</v>
      </c>
      <c r="G1716" t="s">
        <v>33</v>
      </c>
      <c r="H1716" t="s">
        <v>39</v>
      </c>
      <c r="I1716" t="s">
        <v>34</v>
      </c>
      <c r="J1716" s="11">
        <v>45759</v>
      </c>
      <c r="K1716" t="str">
        <f>TEXT(Transactions_Clean[[#This Row],[Date]],"MMM-YYYY")</f>
        <v>Apr-2025</v>
      </c>
      <c r="L1716">
        <f>IF(Transactions_Clean[[#This Row],[Category]]="Revenue",Transactions_Clean[[#This Row],[Amount(₹)]],Transactions_Clean[[#This Row],[Amount(₹)]]/8)</f>
        <v>-15063.375</v>
      </c>
    </row>
    <row r="1717" spans="1:12">
      <c r="A1717" t="s">
        <v>2846</v>
      </c>
      <c r="B1717" t="s">
        <v>30</v>
      </c>
      <c r="C1717" t="s">
        <v>31</v>
      </c>
      <c r="D1717">
        <v>-26222</v>
      </c>
      <c r="E1717" t="s">
        <v>23</v>
      </c>
      <c r="F1717" t="s">
        <v>24</v>
      </c>
      <c r="G1717" t="s">
        <v>33</v>
      </c>
      <c r="H1717" t="s">
        <v>26</v>
      </c>
      <c r="I1717" t="s">
        <v>34</v>
      </c>
      <c r="J1717" s="11">
        <v>45095</v>
      </c>
      <c r="K1717" t="str">
        <f>TEXT(Transactions_Clean[[#This Row],[Date]],"MMM-YYYY")</f>
        <v>Jun-2023</v>
      </c>
      <c r="L1717">
        <f>IF(Transactions_Clean[[#This Row],[Category]]="Revenue",Transactions_Clean[[#This Row],[Amount(₹)]],Transactions_Clean[[#This Row],[Amount(₹)]]/8)</f>
        <v>-3277.75</v>
      </c>
    </row>
    <row r="1718" spans="1:12">
      <c r="A1718" t="s">
        <v>2847</v>
      </c>
      <c r="B1718" t="s">
        <v>305</v>
      </c>
      <c r="C1718" t="s">
        <v>38</v>
      </c>
      <c r="D1718">
        <v>-45049</v>
      </c>
      <c r="E1718" t="s">
        <v>23</v>
      </c>
      <c r="F1718" t="s">
        <v>32</v>
      </c>
      <c r="G1718" t="s">
        <v>33</v>
      </c>
      <c r="H1718" t="s">
        <v>45</v>
      </c>
      <c r="I1718" t="s">
        <v>27</v>
      </c>
      <c r="J1718" s="11">
        <v>45673</v>
      </c>
      <c r="K1718" t="str">
        <f>TEXT(Transactions_Clean[[#This Row],[Date]],"MMM-YYYY")</f>
        <v>Jan-2025</v>
      </c>
      <c r="L1718">
        <f>IF(Transactions_Clean[[#This Row],[Category]]="Revenue",Transactions_Clean[[#This Row],[Amount(₹)]],Transactions_Clean[[#This Row],[Amount(₹)]]/8)</f>
        <v>-5631.125</v>
      </c>
    </row>
    <row r="1719" spans="1:12">
      <c r="A1719" t="s">
        <v>2848</v>
      </c>
      <c r="B1719" t="s">
        <v>4769</v>
      </c>
      <c r="C1719" t="s">
        <v>44</v>
      </c>
      <c r="D1719">
        <v>-76768</v>
      </c>
      <c r="E1719" t="s">
        <v>23</v>
      </c>
      <c r="F1719" t="s">
        <v>24</v>
      </c>
      <c r="G1719" t="s">
        <v>33</v>
      </c>
      <c r="H1719" t="s">
        <v>39</v>
      </c>
      <c r="I1719" t="s">
        <v>27</v>
      </c>
      <c r="J1719" s="11">
        <v>46094</v>
      </c>
      <c r="K1719" t="str">
        <f>TEXT(Transactions_Clean[[#This Row],[Date]],"MMM-YYYY")</f>
        <v>Mar-2026</v>
      </c>
      <c r="L1719">
        <f>IF(Transactions_Clean[[#This Row],[Category]]="Revenue",Transactions_Clean[[#This Row],[Amount(₹)]],Transactions_Clean[[#This Row],[Amount(₹)]]/8)</f>
        <v>-9596</v>
      </c>
    </row>
    <row r="1720" spans="1:12">
      <c r="A1720" t="s">
        <v>2849</v>
      </c>
      <c r="B1720" t="s">
        <v>51</v>
      </c>
      <c r="C1720" t="s">
        <v>31</v>
      </c>
      <c r="D1720">
        <v>-18438</v>
      </c>
      <c r="E1720" t="s">
        <v>23</v>
      </c>
      <c r="F1720" t="s">
        <v>24</v>
      </c>
      <c r="G1720" t="s">
        <v>33</v>
      </c>
      <c r="H1720" t="s">
        <v>39</v>
      </c>
      <c r="I1720" t="s">
        <v>48</v>
      </c>
      <c r="J1720" s="11">
        <v>45948</v>
      </c>
      <c r="K1720" t="str">
        <f>TEXT(Transactions_Clean[[#This Row],[Date]],"MMM-YYYY")</f>
        <v>Oct-2025</v>
      </c>
      <c r="L1720">
        <f>IF(Transactions_Clean[[#This Row],[Category]]="Revenue",Transactions_Clean[[#This Row],[Amount(₹)]],Transactions_Clean[[#This Row],[Amount(₹)]]/8)</f>
        <v>-2304.75</v>
      </c>
    </row>
    <row r="1721" spans="1:12">
      <c r="A1721" t="s">
        <v>2850</v>
      </c>
      <c r="B1721" t="s">
        <v>215</v>
      </c>
      <c r="C1721" t="s">
        <v>61</v>
      </c>
      <c r="D1721">
        <v>-12606</v>
      </c>
      <c r="E1721" t="s">
        <v>62</v>
      </c>
      <c r="F1721" t="s">
        <v>24</v>
      </c>
      <c r="G1721" t="s">
        <v>63</v>
      </c>
      <c r="H1721" t="s">
        <v>45</v>
      </c>
      <c r="I1721" t="s">
        <v>48</v>
      </c>
      <c r="J1721" s="11">
        <v>45575</v>
      </c>
      <c r="K1721" t="str">
        <f>TEXT(Transactions_Clean[[#This Row],[Date]],"MMM-YYYY")</f>
        <v>Oct-2024</v>
      </c>
      <c r="L1721">
        <f>IF(Transactions_Clean[[#This Row],[Category]]="Revenue",Transactions_Clean[[#This Row],[Amount(₹)]],Transactions_Clean[[#This Row],[Amount(₹)]]/8)</f>
        <v>-1575.75</v>
      </c>
    </row>
    <row r="1722" spans="1:12">
      <c r="A1722" t="s">
        <v>2852</v>
      </c>
      <c r="B1722" t="s">
        <v>4753</v>
      </c>
      <c r="C1722" t="s">
        <v>38</v>
      </c>
      <c r="D1722">
        <v>-36734</v>
      </c>
      <c r="E1722" t="s">
        <v>23</v>
      </c>
      <c r="F1722" t="s">
        <v>24</v>
      </c>
      <c r="G1722" t="s">
        <v>33</v>
      </c>
      <c r="H1722" t="s">
        <v>26</v>
      </c>
      <c r="I1722" t="s">
        <v>40</v>
      </c>
      <c r="J1722" s="11">
        <v>45133</v>
      </c>
      <c r="K1722" t="str">
        <f>TEXT(Transactions_Clean[[#This Row],[Date]],"MMM-YYYY")</f>
        <v>Jul-2023</v>
      </c>
      <c r="L1722">
        <f>IF(Transactions_Clean[[#This Row],[Category]]="Revenue",Transactions_Clean[[#This Row],[Amount(₹)]],Transactions_Clean[[#This Row],[Amount(₹)]]/8)</f>
        <v>-4591.75</v>
      </c>
    </row>
    <row r="1723" spans="1:12">
      <c r="A1723" t="s">
        <v>2853</v>
      </c>
      <c r="B1723" t="s">
        <v>60</v>
      </c>
      <c r="C1723" t="s">
        <v>61</v>
      </c>
      <c r="D1723">
        <v>-57258</v>
      </c>
      <c r="E1723" t="s">
        <v>62</v>
      </c>
      <c r="F1723" t="s">
        <v>24</v>
      </c>
      <c r="G1723" t="s">
        <v>63</v>
      </c>
      <c r="H1723" t="s">
        <v>26</v>
      </c>
      <c r="I1723" t="s">
        <v>48</v>
      </c>
      <c r="J1723" s="11">
        <v>45225</v>
      </c>
      <c r="K1723" t="str">
        <f>TEXT(Transactions_Clean[[#This Row],[Date]],"MMM-YYYY")</f>
        <v>Oct-2023</v>
      </c>
      <c r="L1723">
        <f>IF(Transactions_Clean[[#This Row],[Category]]="Revenue",Transactions_Clean[[#This Row],[Amount(₹)]],Transactions_Clean[[#This Row],[Amount(₹)]]/8)</f>
        <v>-7157.25</v>
      </c>
    </row>
    <row r="1724" spans="1:12">
      <c r="A1724" t="s">
        <v>2854</v>
      </c>
      <c r="B1724" t="s">
        <v>72</v>
      </c>
      <c r="C1724" t="s">
        <v>73</v>
      </c>
      <c r="D1724">
        <v>-14460</v>
      </c>
      <c r="E1724" t="s">
        <v>74</v>
      </c>
      <c r="F1724" t="s">
        <v>24</v>
      </c>
      <c r="G1724" t="s">
        <v>25</v>
      </c>
      <c r="H1724" t="s">
        <v>26</v>
      </c>
      <c r="I1724" t="s">
        <v>40</v>
      </c>
      <c r="J1724" s="11">
        <v>45193</v>
      </c>
      <c r="K1724" t="str">
        <f>TEXT(Transactions_Clean[[#This Row],[Date]],"MMM-YYYY")</f>
        <v>Sep-2023</v>
      </c>
      <c r="L1724">
        <f>IF(Transactions_Clean[[#This Row],[Category]]="Revenue",Transactions_Clean[[#This Row],[Amount(₹)]],Transactions_Clean[[#This Row],[Amount(₹)]]/8)</f>
        <v>-1807.5</v>
      </c>
    </row>
    <row r="1725" spans="1:12">
      <c r="A1725" t="s">
        <v>2856</v>
      </c>
      <c r="B1725" t="s">
        <v>305</v>
      </c>
      <c r="C1725" t="s">
        <v>4750</v>
      </c>
      <c r="D1725">
        <v>-37706</v>
      </c>
      <c r="E1725" t="s">
        <v>23</v>
      </c>
      <c r="F1725" t="s">
        <v>24</v>
      </c>
      <c r="G1725" t="s">
        <v>33</v>
      </c>
      <c r="H1725" t="s">
        <v>26</v>
      </c>
      <c r="I1725" t="s">
        <v>48</v>
      </c>
      <c r="J1725" s="11">
        <v>45276</v>
      </c>
      <c r="K1725" t="str">
        <f>TEXT(Transactions_Clean[[#This Row],[Date]],"MMM-YYYY")</f>
        <v>Dec-2023</v>
      </c>
      <c r="L1725">
        <f>IF(Transactions_Clean[[#This Row],[Category]]="Revenue",Transactions_Clean[[#This Row],[Amount(₹)]],Transactions_Clean[[#This Row],[Amount(₹)]]/8)</f>
        <v>-4713.25</v>
      </c>
    </row>
    <row r="1726" spans="1:12">
      <c r="A1726" t="s">
        <v>2857</v>
      </c>
      <c r="B1726" t="s">
        <v>180</v>
      </c>
      <c r="C1726" t="s">
        <v>44</v>
      </c>
      <c r="D1726">
        <v>-113209</v>
      </c>
      <c r="E1726" t="s">
        <v>23</v>
      </c>
      <c r="F1726" t="s">
        <v>32</v>
      </c>
      <c r="G1726" t="s">
        <v>33</v>
      </c>
      <c r="H1726" t="s">
        <v>39</v>
      </c>
      <c r="I1726" t="s">
        <v>48</v>
      </c>
      <c r="J1726" s="11">
        <v>45848</v>
      </c>
      <c r="K1726" t="str">
        <f>TEXT(Transactions_Clean[[#This Row],[Date]],"MMM-YYYY")</f>
        <v>Jul-2025</v>
      </c>
      <c r="L1726">
        <f>IF(Transactions_Clean[[#This Row],[Category]]="Revenue",Transactions_Clean[[#This Row],[Amount(₹)]],Transactions_Clean[[#This Row],[Amount(₹)]]/8)</f>
        <v>-14151.125</v>
      </c>
    </row>
    <row r="1727" spans="1:12">
      <c r="A1727" t="s">
        <v>2859</v>
      </c>
      <c r="B1727" t="s">
        <v>30</v>
      </c>
      <c r="C1727" t="s">
        <v>31</v>
      </c>
      <c r="D1727">
        <v>-22121</v>
      </c>
      <c r="E1727" t="s">
        <v>23</v>
      </c>
      <c r="F1727" t="s">
        <v>32</v>
      </c>
      <c r="G1727" t="s">
        <v>33</v>
      </c>
      <c r="H1727" t="s">
        <v>26</v>
      </c>
      <c r="I1727" t="s">
        <v>48</v>
      </c>
      <c r="J1727" s="11">
        <v>45207</v>
      </c>
      <c r="K1727" t="str">
        <f>TEXT(Transactions_Clean[[#This Row],[Date]],"MMM-YYYY")</f>
        <v>Oct-2023</v>
      </c>
      <c r="L1727">
        <f>IF(Transactions_Clean[[#This Row],[Category]]="Revenue",Transactions_Clean[[#This Row],[Amount(₹)]],Transactions_Clean[[#This Row],[Amount(₹)]]/8)</f>
        <v>-2765.125</v>
      </c>
    </row>
    <row r="1728" spans="1:12">
      <c r="A1728" t="s">
        <v>2860</v>
      </c>
      <c r="B1728" t="s">
        <v>60</v>
      </c>
      <c r="C1728" t="s">
        <v>61</v>
      </c>
      <c r="D1728">
        <v>-54749</v>
      </c>
      <c r="E1728" t="s">
        <v>62</v>
      </c>
      <c r="F1728" t="s">
        <v>32</v>
      </c>
      <c r="G1728" t="s">
        <v>63</v>
      </c>
      <c r="H1728" t="s">
        <v>26</v>
      </c>
      <c r="I1728" t="s">
        <v>40</v>
      </c>
      <c r="J1728" s="11">
        <v>45126</v>
      </c>
      <c r="K1728" t="str">
        <f>TEXT(Transactions_Clean[[#This Row],[Date]],"MMM-YYYY")</f>
        <v>Jul-2023</v>
      </c>
      <c r="L1728">
        <f>IF(Transactions_Clean[[#This Row],[Category]]="Revenue",Transactions_Clean[[#This Row],[Amount(₹)]],Transactions_Clean[[#This Row],[Amount(₹)]]/8)</f>
        <v>-6843.625</v>
      </c>
    </row>
    <row r="1729" spans="1:12">
      <c r="A1729" t="s">
        <v>2861</v>
      </c>
      <c r="B1729" t="s">
        <v>4767</v>
      </c>
      <c r="C1729" t="s">
        <v>157</v>
      </c>
      <c r="D1729">
        <v>493640</v>
      </c>
      <c r="E1729" t="s">
        <v>62</v>
      </c>
      <c r="F1729" t="s">
        <v>32</v>
      </c>
      <c r="G1729" t="s">
        <v>25</v>
      </c>
      <c r="H1729" t="s">
        <v>26</v>
      </c>
      <c r="I1729" t="s">
        <v>34</v>
      </c>
      <c r="J1729" s="11">
        <v>45023</v>
      </c>
      <c r="K1729" t="str">
        <f>TEXT(Transactions_Clean[[#This Row],[Date]],"MMM-YYYY")</f>
        <v>Apr-2023</v>
      </c>
      <c r="L1729">
        <f>IF(Transactions_Clean[[#This Row],[Category]]="Revenue",Transactions_Clean[[#This Row],[Amount(₹)]],Transactions_Clean[[#This Row],[Amount(₹)]]/8)</f>
        <v>493640</v>
      </c>
    </row>
    <row r="1730" spans="1:12">
      <c r="A1730" t="s">
        <v>2862</v>
      </c>
      <c r="B1730" t="s">
        <v>177</v>
      </c>
      <c r="C1730" t="s">
        <v>78</v>
      </c>
      <c r="D1730">
        <v>-47853</v>
      </c>
      <c r="E1730" t="s">
        <v>23</v>
      </c>
      <c r="F1730" t="s">
        <v>32</v>
      </c>
      <c r="G1730" t="s">
        <v>79</v>
      </c>
      <c r="H1730" t="s">
        <v>26</v>
      </c>
      <c r="I1730" t="s">
        <v>34</v>
      </c>
      <c r="J1730" s="11">
        <v>45072</v>
      </c>
      <c r="K1730" t="str">
        <f>TEXT(Transactions_Clean[[#This Row],[Date]],"MMM-YYYY")</f>
        <v>May-2023</v>
      </c>
      <c r="L1730">
        <f>IF(Transactions_Clean[[#This Row],[Category]]="Revenue",Transactions_Clean[[#This Row],[Amount(₹)]],Transactions_Clean[[#This Row],[Amount(₹)]]/8)</f>
        <v>-5981.625</v>
      </c>
    </row>
    <row r="1731" spans="1:12">
      <c r="A1731" t="s">
        <v>2864</v>
      </c>
      <c r="B1731" t="s">
        <v>169</v>
      </c>
      <c r="C1731" t="s">
        <v>73</v>
      </c>
      <c r="D1731">
        <v>-17702</v>
      </c>
      <c r="E1731" t="s">
        <v>74</v>
      </c>
      <c r="F1731" t="s">
        <v>32</v>
      </c>
      <c r="G1731" t="s">
        <v>25</v>
      </c>
      <c r="H1731" t="s">
        <v>39</v>
      </c>
      <c r="I1731" t="s">
        <v>40</v>
      </c>
      <c r="J1731" s="11">
        <v>45916</v>
      </c>
      <c r="K1731" t="str">
        <f>TEXT(Transactions_Clean[[#This Row],[Date]],"MMM-YYYY")</f>
        <v>Sep-2025</v>
      </c>
      <c r="L1731">
        <f>IF(Transactions_Clean[[#This Row],[Category]]="Revenue",Transactions_Clean[[#This Row],[Amount(₹)]],Transactions_Clean[[#This Row],[Amount(₹)]]/8)</f>
        <v>-2212.75</v>
      </c>
    </row>
    <row r="1732" spans="1:12">
      <c r="A1732" t="s">
        <v>2865</v>
      </c>
      <c r="B1732" t="s">
        <v>255</v>
      </c>
      <c r="C1732" t="s">
        <v>22</v>
      </c>
      <c r="D1732">
        <v>-100755</v>
      </c>
      <c r="E1732" t="s">
        <v>23</v>
      </c>
      <c r="F1732" t="s">
        <v>24</v>
      </c>
      <c r="G1732" t="s">
        <v>25</v>
      </c>
      <c r="H1732" t="s">
        <v>26</v>
      </c>
      <c r="I1732" t="s">
        <v>27</v>
      </c>
      <c r="J1732" s="11">
        <v>45322</v>
      </c>
      <c r="K1732" t="str">
        <f>TEXT(Transactions_Clean[[#This Row],[Date]],"MMM-YYYY")</f>
        <v>Jan-2024</v>
      </c>
      <c r="L1732">
        <f>IF(Transactions_Clean[[#This Row],[Category]]="Revenue",Transactions_Clean[[#This Row],[Amount(₹)]],Transactions_Clean[[#This Row],[Amount(₹)]]/8)</f>
        <v>-12594.375</v>
      </c>
    </row>
    <row r="1733" spans="1:12">
      <c r="A1733" t="s">
        <v>2866</v>
      </c>
      <c r="B1733" t="s">
        <v>4774</v>
      </c>
      <c r="C1733" t="s">
        <v>440</v>
      </c>
      <c r="D1733">
        <v>-122755</v>
      </c>
      <c r="E1733" t="s">
        <v>23</v>
      </c>
      <c r="F1733" t="s">
        <v>32</v>
      </c>
      <c r="G1733" t="s">
        <v>33</v>
      </c>
      <c r="H1733" t="s">
        <v>39</v>
      </c>
      <c r="I1733" t="s">
        <v>40</v>
      </c>
      <c r="J1733" s="11">
        <v>45842</v>
      </c>
      <c r="K1733" t="str">
        <f>TEXT(Transactions_Clean[[#This Row],[Date]],"MMM-YYYY")</f>
        <v>Jul-2025</v>
      </c>
      <c r="L1733">
        <f>IF(Transactions_Clean[[#This Row],[Category]]="Revenue",Transactions_Clean[[#This Row],[Amount(₹)]],Transactions_Clean[[#This Row],[Amount(₹)]]/8)</f>
        <v>-15344.375</v>
      </c>
    </row>
    <row r="1734" spans="1:12">
      <c r="A1734" t="s">
        <v>2868</v>
      </c>
      <c r="B1734" t="s">
        <v>215</v>
      </c>
      <c r="C1734" t="s">
        <v>61</v>
      </c>
      <c r="D1734">
        <v>-33501</v>
      </c>
      <c r="E1734" t="s">
        <v>62</v>
      </c>
      <c r="F1734" t="s">
        <v>32</v>
      </c>
      <c r="G1734" t="s">
        <v>63</v>
      </c>
      <c r="H1734" t="s">
        <v>39</v>
      </c>
      <c r="I1734" t="s">
        <v>40</v>
      </c>
      <c r="J1734" s="11">
        <v>45901</v>
      </c>
      <c r="K1734" t="str">
        <f>TEXT(Transactions_Clean[[#This Row],[Date]],"MMM-YYYY")</f>
        <v>Sep-2025</v>
      </c>
      <c r="L1734">
        <f>IF(Transactions_Clean[[#This Row],[Category]]="Revenue",Transactions_Clean[[#This Row],[Amount(₹)]],Transactions_Clean[[#This Row],[Amount(₹)]]/8)</f>
        <v>-4187.625</v>
      </c>
    </row>
    <row r="1735" spans="1:12">
      <c r="A1735" t="s">
        <v>2869</v>
      </c>
      <c r="B1735" t="s">
        <v>4758</v>
      </c>
      <c r="C1735" t="s">
        <v>78</v>
      </c>
      <c r="D1735">
        <v>-81296</v>
      </c>
      <c r="E1735" t="s">
        <v>23</v>
      </c>
      <c r="F1735" t="s">
        <v>32</v>
      </c>
      <c r="G1735" t="s">
        <v>79</v>
      </c>
      <c r="H1735" t="s">
        <v>45</v>
      </c>
      <c r="I1735" t="s">
        <v>40</v>
      </c>
      <c r="J1735" s="11">
        <v>45519</v>
      </c>
      <c r="K1735" t="str">
        <f>TEXT(Transactions_Clean[[#This Row],[Date]],"MMM-YYYY")</f>
        <v>Aug-2024</v>
      </c>
      <c r="L1735">
        <f>IF(Transactions_Clean[[#This Row],[Category]]="Revenue",Transactions_Clean[[#This Row],[Amount(₹)]],Transactions_Clean[[#This Row],[Amount(₹)]]/8)</f>
        <v>-10162</v>
      </c>
    </row>
    <row r="1736" spans="1:12">
      <c r="A1736" t="s">
        <v>2870</v>
      </c>
      <c r="B1736" t="s">
        <v>60</v>
      </c>
      <c r="C1736" t="s">
        <v>61</v>
      </c>
      <c r="D1736">
        <v>-13790</v>
      </c>
      <c r="E1736" t="s">
        <v>62</v>
      </c>
      <c r="F1736" t="s">
        <v>24</v>
      </c>
      <c r="G1736" t="s">
        <v>63</v>
      </c>
      <c r="H1736" t="s">
        <v>39</v>
      </c>
      <c r="I1736" t="s">
        <v>27</v>
      </c>
      <c r="J1736" s="11">
        <v>46068</v>
      </c>
      <c r="K1736" t="str">
        <f>TEXT(Transactions_Clean[[#This Row],[Date]],"MMM-YYYY")</f>
        <v>Feb-2026</v>
      </c>
      <c r="L1736">
        <f>IF(Transactions_Clean[[#This Row],[Category]]="Revenue",Transactions_Clean[[#This Row],[Amount(₹)]],Transactions_Clean[[#This Row],[Amount(₹)]]/8)</f>
        <v>-1723.75</v>
      </c>
    </row>
    <row r="1737" spans="1:12">
      <c r="A1737" t="s">
        <v>2871</v>
      </c>
      <c r="B1737" t="s">
        <v>4755</v>
      </c>
      <c r="C1737" t="s">
        <v>78</v>
      </c>
      <c r="D1737">
        <v>-72619</v>
      </c>
      <c r="E1737" t="s">
        <v>23</v>
      </c>
      <c r="F1737" t="s">
        <v>24</v>
      </c>
      <c r="G1737" t="s">
        <v>79</v>
      </c>
      <c r="H1737" t="s">
        <v>26</v>
      </c>
      <c r="I1737" t="s">
        <v>34</v>
      </c>
      <c r="J1737" s="11">
        <v>45091</v>
      </c>
      <c r="K1737" t="str">
        <f>TEXT(Transactions_Clean[[#This Row],[Date]],"MMM-YYYY")</f>
        <v>Jun-2023</v>
      </c>
      <c r="L1737">
        <f>IF(Transactions_Clean[[#This Row],[Category]]="Revenue",Transactions_Clean[[#This Row],[Amount(₹)]],Transactions_Clean[[#This Row],[Amount(₹)]]/8)</f>
        <v>-9077.375</v>
      </c>
    </row>
    <row r="1738" spans="1:12">
      <c r="A1738" t="s">
        <v>2873</v>
      </c>
      <c r="B1738" t="s">
        <v>202</v>
      </c>
      <c r="C1738" t="s">
        <v>22</v>
      </c>
      <c r="D1738">
        <v>-185495</v>
      </c>
      <c r="E1738" t="s">
        <v>23</v>
      </c>
      <c r="F1738" t="s">
        <v>32</v>
      </c>
      <c r="G1738" t="s">
        <v>25</v>
      </c>
      <c r="H1738" t="s">
        <v>26</v>
      </c>
      <c r="I1738" t="s">
        <v>27</v>
      </c>
      <c r="J1738" s="11">
        <v>45353</v>
      </c>
      <c r="K1738" t="str">
        <f>TEXT(Transactions_Clean[[#This Row],[Date]],"MMM-YYYY")</f>
        <v>Mar-2024</v>
      </c>
      <c r="L1738">
        <f>IF(Transactions_Clean[[#This Row],[Category]]="Revenue",Transactions_Clean[[#This Row],[Amount(₹)]],Transactions_Clean[[#This Row],[Amount(₹)]]/8)</f>
        <v>-23186.875</v>
      </c>
    </row>
    <row r="1739" spans="1:12">
      <c r="A1739" t="s">
        <v>2874</v>
      </c>
      <c r="B1739" t="s">
        <v>215</v>
      </c>
      <c r="C1739" t="s">
        <v>61</v>
      </c>
      <c r="D1739">
        <v>-32824</v>
      </c>
      <c r="E1739" t="s">
        <v>62</v>
      </c>
      <c r="F1739" t="s">
        <v>24</v>
      </c>
      <c r="G1739" t="s">
        <v>63</v>
      </c>
      <c r="H1739" t="s">
        <v>26</v>
      </c>
      <c r="I1739" t="s">
        <v>27</v>
      </c>
      <c r="J1739" s="11">
        <v>45342</v>
      </c>
      <c r="K1739" t="str">
        <f>TEXT(Transactions_Clean[[#This Row],[Date]],"MMM-YYYY")</f>
        <v>Feb-2024</v>
      </c>
      <c r="L1739">
        <f>IF(Transactions_Clean[[#This Row],[Category]]="Revenue",Transactions_Clean[[#This Row],[Amount(₹)]],Transactions_Clean[[#This Row],[Amount(₹)]]/8)</f>
        <v>-4103</v>
      </c>
    </row>
    <row r="1740" spans="1:12">
      <c r="A1740" t="s">
        <v>2875</v>
      </c>
      <c r="B1740" t="s">
        <v>4766</v>
      </c>
      <c r="C1740" t="s">
        <v>73</v>
      </c>
      <c r="D1740">
        <v>-90110</v>
      </c>
      <c r="E1740" t="s">
        <v>74</v>
      </c>
      <c r="F1740" t="s">
        <v>32</v>
      </c>
      <c r="G1740" t="s">
        <v>25</v>
      </c>
      <c r="H1740" t="s">
        <v>26</v>
      </c>
      <c r="I1740" t="s">
        <v>48</v>
      </c>
      <c r="J1740" s="11">
        <v>45266</v>
      </c>
      <c r="K1740" t="str">
        <f>TEXT(Transactions_Clean[[#This Row],[Date]],"MMM-YYYY")</f>
        <v>Dec-2023</v>
      </c>
      <c r="L1740">
        <f>IF(Transactions_Clean[[#This Row],[Category]]="Revenue",Transactions_Clean[[#This Row],[Amount(₹)]],Transactions_Clean[[#This Row],[Amount(₹)]]/8)</f>
        <v>-11263.75</v>
      </c>
    </row>
    <row r="1741" spans="1:12">
      <c r="A1741" t="s">
        <v>2876</v>
      </c>
      <c r="B1741" t="s">
        <v>87</v>
      </c>
      <c r="C1741" t="s">
        <v>22</v>
      </c>
      <c r="D1741">
        <v>-125806</v>
      </c>
      <c r="E1741" t="s">
        <v>23</v>
      </c>
      <c r="F1741" t="s">
        <v>24</v>
      </c>
      <c r="G1741" t="s">
        <v>25</v>
      </c>
      <c r="H1741" t="s">
        <v>26</v>
      </c>
      <c r="I1741" t="s">
        <v>27</v>
      </c>
      <c r="J1741" s="11">
        <v>45295</v>
      </c>
      <c r="K1741" t="str">
        <f>TEXT(Transactions_Clean[[#This Row],[Date]],"MMM-YYYY")</f>
        <v>Jan-2024</v>
      </c>
      <c r="L1741">
        <f>IF(Transactions_Clean[[#This Row],[Category]]="Revenue",Transactions_Clean[[#This Row],[Amount(₹)]],Transactions_Clean[[#This Row],[Amount(₹)]]/8)</f>
        <v>-15725.75</v>
      </c>
    </row>
    <row r="1742" spans="1:12">
      <c r="A1742" t="s">
        <v>2877</v>
      </c>
      <c r="B1742" t="s">
        <v>215</v>
      </c>
      <c r="C1742" t="s">
        <v>61</v>
      </c>
      <c r="D1742">
        <v>-14112</v>
      </c>
      <c r="E1742" t="s">
        <v>62</v>
      </c>
      <c r="F1742" t="s">
        <v>32</v>
      </c>
      <c r="G1742" t="s">
        <v>63</v>
      </c>
      <c r="H1742" t="s">
        <v>26</v>
      </c>
      <c r="I1742" t="s">
        <v>40</v>
      </c>
      <c r="J1742" s="11">
        <v>45153</v>
      </c>
      <c r="K1742" t="str">
        <f>TEXT(Transactions_Clean[[#This Row],[Date]],"MMM-YYYY")</f>
        <v>Aug-2023</v>
      </c>
      <c r="L1742">
        <f>IF(Transactions_Clean[[#This Row],[Category]]="Revenue",Transactions_Clean[[#This Row],[Amount(₹)]],Transactions_Clean[[#This Row],[Amount(₹)]]/8)</f>
        <v>-1764</v>
      </c>
    </row>
    <row r="1743" spans="1:12">
      <c r="A1743" t="s">
        <v>2879</v>
      </c>
      <c r="B1743" t="s">
        <v>66</v>
      </c>
      <c r="C1743" t="s">
        <v>61</v>
      </c>
      <c r="D1743">
        <v>-40785</v>
      </c>
      <c r="E1743" t="s">
        <v>62</v>
      </c>
      <c r="F1743" t="s">
        <v>24</v>
      </c>
      <c r="G1743" t="s">
        <v>63</v>
      </c>
      <c r="H1743" t="s">
        <v>39</v>
      </c>
      <c r="I1743" t="s">
        <v>40</v>
      </c>
      <c r="J1743" s="11">
        <v>45916</v>
      </c>
      <c r="K1743" t="str">
        <f>TEXT(Transactions_Clean[[#This Row],[Date]],"MMM-YYYY")</f>
        <v>Sep-2025</v>
      </c>
      <c r="L1743">
        <f>IF(Transactions_Clean[[#This Row],[Category]]="Revenue",Transactions_Clean[[#This Row],[Amount(₹)]],Transactions_Clean[[#This Row],[Amount(₹)]]/8)</f>
        <v>-5098.125</v>
      </c>
    </row>
    <row r="1744" spans="1:12">
      <c r="A1744" t="s">
        <v>2880</v>
      </c>
      <c r="B1744" t="s">
        <v>4752</v>
      </c>
      <c r="C1744" t="s">
        <v>44</v>
      </c>
      <c r="D1744">
        <v>-151987</v>
      </c>
      <c r="E1744" t="s">
        <v>23</v>
      </c>
      <c r="F1744" t="s">
        <v>32</v>
      </c>
      <c r="G1744" t="s">
        <v>33</v>
      </c>
      <c r="H1744" t="s">
        <v>26</v>
      </c>
      <c r="I1744" t="s">
        <v>34</v>
      </c>
      <c r="J1744" s="11">
        <v>45084</v>
      </c>
      <c r="K1744" t="str">
        <f>TEXT(Transactions_Clean[[#This Row],[Date]],"MMM-YYYY")</f>
        <v>Jun-2023</v>
      </c>
      <c r="L1744">
        <f>IF(Transactions_Clean[[#This Row],[Category]]="Revenue",Transactions_Clean[[#This Row],[Amount(₹)]],Transactions_Clean[[#This Row],[Amount(₹)]]/8)</f>
        <v>-18998.375</v>
      </c>
    </row>
    <row r="1745" spans="1:12">
      <c r="A1745" t="s">
        <v>2881</v>
      </c>
      <c r="B1745" t="s">
        <v>60</v>
      </c>
      <c r="C1745" t="s">
        <v>61</v>
      </c>
      <c r="D1745">
        <v>-63166</v>
      </c>
      <c r="E1745" t="s">
        <v>62</v>
      </c>
      <c r="F1745" t="s">
        <v>32</v>
      </c>
      <c r="G1745" t="s">
        <v>63</v>
      </c>
      <c r="H1745" t="s">
        <v>26</v>
      </c>
      <c r="I1745" t="s">
        <v>40</v>
      </c>
      <c r="J1745" s="11">
        <v>45153</v>
      </c>
      <c r="K1745" t="str">
        <f>TEXT(Transactions_Clean[[#This Row],[Date]],"MMM-YYYY")</f>
        <v>Aug-2023</v>
      </c>
      <c r="L1745">
        <f>IF(Transactions_Clean[[#This Row],[Category]]="Revenue",Transactions_Clean[[#This Row],[Amount(₹)]],Transactions_Clean[[#This Row],[Amount(₹)]]/8)</f>
        <v>-7895.75</v>
      </c>
    </row>
    <row r="1746" spans="1:12">
      <c r="A1746" t="s">
        <v>2882</v>
      </c>
      <c r="B1746" t="s">
        <v>935</v>
      </c>
      <c r="C1746" t="s">
        <v>22</v>
      </c>
      <c r="D1746">
        <v>-100594</v>
      </c>
      <c r="E1746" t="s">
        <v>23</v>
      </c>
      <c r="F1746" t="s">
        <v>32</v>
      </c>
      <c r="G1746" t="s">
        <v>25</v>
      </c>
      <c r="H1746" t="s">
        <v>39</v>
      </c>
      <c r="I1746" t="s">
        <v>34</v>
      </c>
      <c r="J1746" s="11">
        <v>45806</v>
      </c>
      <c r="K1746" t="str">
        <f>TEXT(Transactions_Clean[[#This Row],[Date]],"MMM-YYYY")</f>
        <v>May-2025</v>
      </c>
      <c r="L1746">
        <f>IF(Transactions_Clean[[#This Row],[Category]]="Revenue",Transactions_Clean[[#This Row],[Amount(₹)]],Transactions_Clean[[#This Row],[Amount(₹)]]/8)</f>
        <v>-12574.25</v>
      </c>
    </row>
    <row r="1747" spans="1:12">
      <c r="A1747" t="s">
        <v>2883</v>
      </c>
      <c r="B1747" t="s">
        <v>106</v>
      </c>
      <c r="C1747" t="s">
        <v>31</v>
      </c>
      <c r="D1747">
        <v>-10777</v>
      </c>
      <c r="E1747" t="s">
        <v>23</v>
      </c>
      <c r="F1747" t="s">
        <v>24</v>
      </c>
      <c r="G1747" t="s">
        <v>33</v>
      </c>
      <c r="H1747" t="s">
        <v>45</v>
      </c>
      <c r="I1747" t="s">
        <v>40</v>
      </c>
      <c r="J1747" s="11">
        <v>45477</v>
      </c>
      <c r="K1747" t="str">
        <f>TEXT(Transactions_Clean[[#This Row],[Date]],"MMM-YYYY")</f>
        <v>Jul-2024</v>
      </c>
      <c r="L1747">
        <f>IF(Transactions_Clean[[#This Row],[Category]]="Revenue",Transactions_Clean[[#This Row],[Amount(₹)]],Transactions_Clean[[#This Row],[Amount(₹)]]/8)</f>
        <v>-1347.125</v>
      </c>
    </row>
    <row r="1748" spans="1:12">
      <c r="A1748" t="s">
        <v>2885</v>
      </c>
      <c r="B1748" t="s">
        <v>87</v>
      </c>
      <c r="C1748" t="s">
        <v>22</v>
      </c>
      <c r="D1748">
        <v>-204375</v>
      </c>
      <c r="E1748" t="s">
        <v>23</v>
      </c>
      <c r="F1748" t="s">
        <v>24</v>
      </c>
      <c r="G1748" t="s">
        <v>25</v>
      </c>
      <c r="H1748" t="s">
        <v>39</v>
      </c>
      <c r="I1748" t="s">
        <v>48</v>
      </c>
      <c r="J1748" s="11">
        <v>45932</v>
      </c>
      <c r="K1748" t="str">
        <f>TEXT(Transactions_Clean[[#This Row],[Date]],"MMM-YYYY")</f>
        <v>Oct-2025</v>
      </c>
      <c r="L1748">
        <f>IF(Transactions_Clean[[#This Row],[Category]]="Revenue",Transactions_Clean[[#This Row],[Amount(₹)]],Transactions_Clean[[#This Row],[Amount(₹)]]/8)</f>
        <v>-25546.875</v>
      </c>
    </row>
    <row r="1749" spans="1:12">
      <c r="A1749" t="s">
        <v>2887</v>
      </c>
      <c r="B1749" t="s">
        <v>60</v>
      </c>
      <c r="C1749" t="s">
        <v>61</v>
      </c>
      <c r="D1749">
        <v>-27699</v>
      </c>
      <c r="E1749" t="s">
        <v>62</v>
      </c>
      <c r="F1749" t="s">
        <v>32</v>
      </c>
      <c r="G1749" t="s">
        <v>63</v>
      </c>
      <c r="H1749" t="s">
        <v>39</v>
      </c>
      <c r="I1749" t="s">
        <v>34</v>
      </c>
      <c r="J1749" s="11">
        <v>45750</v>
      </c>
      <c r="K1749" t="str">
        <f>TEXT(Transactions_Clean[[#This Row],[Date]],"MMM-YYYY")</f>
        <v>Apr-2025</v>
      </c>
      <c r="L1749">
        <f>IF(Transactions_Clean[[#This Row],[Category]]="Revenue",Transactions_Clean[[#This Row],[Amount(₹)]],Transactions_Clean[[#This Row],[Amount(₹)]]/8)</f>
        <v>-3462.375</v>
      </c>
    </row>
    <row r="1750" spans="1:12">
      <c r="A1750" t="s">
        <v>2889</v>
      </c>
      <c r="B1750" t="s">
        <v>106</v>
      </c>
      <c r="C1750" t="s">
        <v>31</v>
      </c>
      <c r="D1750">
        <v>-6585</v>
      </c>
      <c r="E1750" t="s">
        <v>23</v>
      </c>
      <c r="F1750" t="s">
        <v>24</v>
      </c>
      <c r="G1750" t="s">
        <v>33</v>
      </c>
      <c r="H1750" t="s">
        <v>45</v>
      </c>
      <c r="I1750" t="s">
        <v>48</v>
      </c>
      <c r="J1750" s="11">
        <v>45621</v>
      </c>
      <c r="K1750" t="str">
        <f>TEXT(Transactions_Clean[[#This Row],[Date]],"MMM-YYYY")</f>
        <v>Nov-2024</v>
      </c>
      <c r="L1750">
        <f>IF(Transactions_Clean[[#This Row],[Category]]="Revenue",Transactions_Clean[[#This Row],[Amount(₹)]],Transactions_Clean[[#This Row],[Amount(₹)]]/8)</f>
        <v>-823.125</v>
      </c>
    </row>
    <row r="1751" spans="1:12">
      <c r="A1751" t="s">
        <v>2891</v>
      </c>
      <c r="B1751" t="s">
        <v>4765</v>
      </c>
      <c r="C1751" t="s">
        <v>73</v>
      </c>
      <c r="D1751">
        <v>-15817</v>
      </c>
      <c r="E1751" t="s">
        <v>74</v>
      </c>
      <c r="F1751" t="s">
        <v>24</v>
      </c>
      <c r="G1751" t="s">
        <v>25</v>
      </c>
      <c r="H1751" t="s">
        <v>39</v>
      </c>
      <c r="I1751" t="s">
        <v>48</v>
      </c>
      <c r="J1751" s="11">
        <v>45976</v>
      </c>
      <c r="K1751" t="str">
        <f>TEXT(Transactions_Clean[[#This Row],[Date]],"MMM-YYYY")</f>
        <v>Nov-2025</v>
      </c>
      <c r="L1751">
        <f>IF(Transactions_Clean[[#This Row],[Category]]="Revenue",Transactions_Clean[[#This Row],[Amount(₹)]],Transactions_Clean[[#This Row],[Amount(₹)]]/8)</f>
        <v>-1977.125</v>
      </c>
    </row>
    <row r="1752" spans="1:12">
      <c r="A1752" t="s">
        <v>2892</v>
      </c>
      <c r="B1752" t="s">
        <v>4751</v>
      </c>
      <c r="C1752" t="s">
        <v>38</v>
      </c>
      <c r="D1752">
        <v>-50946</v>
      </c>
      <c r="E1752" t="s">
        <v>23</v>
      </c>
      <c r="F1752" t="s">
        <v>32</v>
      </c>
      <c r="G1752" t="s">
        <v>33</v>
      </c>
      <c r="H1752" t="s">
        <v>45</v>
      </c>
      <c r="I1752" t="s">
        <v>34</v>
      </c>
      <c r="J1752" s="11">
        <v>45383</v>
      </c>
      <c r="K1752" t="str">
        <f>TEXT(Transactions_Clean[[#This Row],[Date]],"MMM-YYYY")</f>
        <v>Apr-2024</v>
      </c>
      <c r="L1752">
        <f>IF(Transactions_Clean[[#This Row],[Category]]="Revenue",Transactions_Clean[[#This Row],[Amount(₹)]],Transactions_Clean[[#This Row],[Amount(₹)]]/8)</f>
        <v>-6368.25</v>
      </c>
    </row>
    <row r="1753" spans="1:12">
      <c r="A1753" t="s">
        <v>2893</v>
      </c>
      <c r="B1753" t="s">
        <v>4752</v>
      </c>
      <c r="C1753" t="s">
        <v>44</v>
      </c>
      <c r="D1753">
        <v>-113727</v>
      </c>
      <c r="E1753" t="s">
        <v>23</v>
      </c>
      <c r="F1753" t="s">
        <v>32</v>
      </c>
      <c r="G1753" t="s">
        <v>33</v>
      </c>
      <c r="H1753" t="s">
        <v>26</v>
      </c>
      <c r="I1753" t="s">
        <v>34</v>
      </c>
      <c r="J1753" s="11">
        <v>45033</v>
      </c>
      <c r="K1753" t="str">
        <f>TEXT(Transactions_Clean[[#This Row],[Date]],"MMM-YYYY")</f>
        <v>Apr-2023</v>
      </c>
      <c r="L1753">
        <f>IF(Transactions_Clean[[#This Row],[Category]]="Revenue",Transactions_Clean[[#This Row],[Amount(₹)]],Transactions_Clean[[#This Row],[Amount(₹)]]/8)</f>
        <v>-14215.875</v>
      </c>
    </row>
    <row r="1754" spans="1:12">
      <c r="A1754" t="s">
        <v>2894</v>
      </c>
      <c r="B1754" t="s">
        <v>4751</v>
      </c>
      <c r="C1754" t="s">
        <v>38</v>
      </c>
      <c r="D1754">
        <v>-37129</v>
      </c>
      <c r="E1754" t="s">
        <v>23</v>
      </c>
      <c r="F1754" t="s">
        <v>24</v>
      </c>
      <c r="G1754" t="s">
        <v>33</v>
      </c>
      <c r="H1754" t="s">
        <v>45</v>
      </c>
      <c r="I1754" t="s">
        <v>40</v>
      </c>
      <c r="J1754" s="11">
        <v>45506</v>
      </c>
      <c r="K1754" t="str">
        <f>TEXT(Transactions_Clean[[#This Row],[Date]],"MMM-YYYY")</f>
        <v>Aug-2024</v>
      </c>
      <c r="L1754">
        <f>IF(Transactions_Clean[[#This Row],[Category]]="Revenue",Transactions_Clean[[#This Row],[Amount(₹)]],Transactions_Clean[[#This Row],[Amount(₹)]]/8)</f>
        <v>-4641.125</v>
      </c>
    </row>
    <row r="1755" spans="1:12">
      <c r="A1755" t="s">
        <v>2895</v>
      </c>
      <c r="B1755" t="s">
        <v>177</v>
      </c>
      <c r="C1755" t="s">
        <v>78</v>
      </c>
      <c r="D1755">
        <v>-113198</v>
      </c>
      <c r="E1755" t="s">
        <v>23</v>
      </c>
      <c r="F1755" t="s">
        <v>24</v>
      </c>
      <c r="G1755" t="s">
        <v>79</v>
      </c>
      <c r="H1755" t="s">
        <v>26</v>
      </c>
      <c r="I1755" t="s">
        <v>48</v>
      </c>
      <c r="J1755" s="11">
        <v>45248</v>
      </c>
      <c r="K1755" t="str">
        <f>TEXT(Transactions_Clean[[#This Row],[Date]],"MMM-YYYY")</f>
        <v>Nov-2023</v>
      </c>
      <c r="L1755">
        <f>IF(Transactions_Clean[[#This Row],[Category]]="Revenue",Transactions_Clean[[#This Row],[Amount(₹)]],Transactions_Clean[[#This Row],[Amount(₹)]]/8)</f>
        <v>-14149.75</v>
      </c>
    </row>
    <row r="1756" spans="1:12">
      <c r="A1756" t="s">
        <v>2896</v>
      </c>
      <c r="B1756" t="s">
        <v>66</v>
      </c>
      <c r="C1756" t="s">
        <v>61</v>
      </c>
      <c r="D1756">
        <v>-18488</v>
      </c>
      <c r="E1756" t="s">
        <v>62</v>
      </c>
      <c r="F1756" t="s">
        <v>24</v>
      </c>
      <c r="G1756" t="s">
        <v>63</v>
      </c>
      <c r="H1756" t="s">
        <v>45</v>
      </c>
      <c r="I1756" t="s">
        <v>34</v>
      </c>
      <c r="J1756" s="11">
        <v>45465</v>
      </c>
      <c r="K1756" t="str">
        <f>TEXT(Transactions_Clean[[#This Row],[Date]],"MMM-YYYY")</f>
        <v>Jun-2024</v>
      </c>
      <c r="L1756">
        <f>IF(Transactions_Clean[[#This Row],[Category]]="Revenue",Transactions_Clean[[#This Row],[Amount(₹)]],Transactions_Clean[[#This Row],[Amount(₹)]]/8)</f>
        <v>-2311</v>
      </c>
    </row>
    <row r="1757" spans="1:12">
      <c r="A1757" t="s">
        <v>2897</v>
      </c>
      <c r="B1757" t="s">
        <v>60</v>
      </c>
      <c r="C1757" t="s">
        <v>61</v>
      </c>
      <c r="D1757">
        <v>-37935</v>
      </c>
      <c r="E1757" t="s">
        <v>62</v>
      </c>
      <c r="F1757" t="s">
        <v>32</v>
      </c>
      <c r="G1757" t="s">
        <v>63</v>
      </c>
      <c r="H1757" t="s">
        <v>45</v>
      </c>
      <c r="I1757" t="s">
        <v>48</v>
      </c>
      <c r="J1757" s="11">
        <v>45603</v>
      </c>
      <c r="K1757" t="str">
        <f>TEXT(Transactions_Clean[[#This Row],[Date]],"MMM-YYYY")</f>
        <v>Nov-2024</v>
      </c>
      <c r="L1757">
        <f>IF(Transactions_Clean[[#This Row],[Category]]="Revenue",Transactions_Clean[[#This Row],[Amount(₹)]],Transactions_Clean[[#This Row],[Amount(₹)]]/8)</f>
        <v>-4741.875</v>
      </c>
    </row>
    <row r="1758" spans="1:12">
      <c r="A1758" t="s">
        <v>2898</v>
      </c>
      <c r="B1758" t="s">
        <v>4776</v>
      </c>
      <c r="C1758" t="s">
        <v>440</v>
      </c>
      <c r="D1758">
        <v>-132309</v>
      </c>
      <c r="E1758" t="s">
        <v>23</v>
      </c>
      <c r="F1758" t="s">
        <v>24</v>
      </c>
      <c r="G1758" t="s">
        <v>33</v>
      </c>
      <c r="H1758" t="s">
        <v>45</v>
      </c>
      <c r="I1758" t="s">
        <v>27</v>
      </c>
      <c r="J1758" s="11">
        <v>45723</v>
      </c>
      <c r="K1758" t="str">
        <f>TEXT(Transactions_Clean[[#This Row],[Date]],"MMM-YYYY")</f>
        <v>Mar-2025</v>
      </c>
      <c r="L1758">
        <f>IF(Transactions_Clean[[#This Row],[Category]]="Revenue",Transactions_Clean[[#This Row],[Amount(₹)]],Transactions_Clean[[#This Row],[Amount(₹)]]/8)</f>
        <v>-16538.625</v>
      </c>
    </row>
    <row r="1759" spans="1:12">
      <c r="A1759" t="s">
        <v>2899</v>
      </c>
      <c r="B1759" t="s">
        <v>4765</v>
      </c>
      <c r="C1759" t="s">
        <v>4750</v>
      </c>
      <c r="D1759">
        <v>-39544</v>
      </c>
      <c r="E1759" t="s">
        <v>74</v>
      </c>
      <c r="F1759" t="s">
        <v>32</v>
      </c>
      <c r="G1759" t="s">
        <v>25</v>
      </c>
      <c r="H1759" t="s">
        <v>26</v>
      </c>
      <c r="I1759" t="s">
        <v>40</v>
      </c>
      <c r="J1759" s="11">
        <v>45114</v>
      </c>
      <c r="K1759" t="str">
        <f>TEXT(Transactions_Clean[[#This Row],[Date]],"MMM-YYYY")</f>
        <v>Jul-2023</v>
      </c>
      <c r="L1759">
        <f>IF(Transactions_Clean[[#This Row],[Category]]="Revenue",Transactions_Clean[[#This Row],[Amount(₹)]],Transactions_Clean[[#This Row],[Amount(₹)]]/8)</f>
        <v>-4943</v>
      </c>
    </row>
    <row r="1760" spans="1:12">
      <c r="A1760" t="s">
        <v>2901</v>
      </c>
      <c r="B1760" t="s">
        <v>66</v>
      </c>
      <c r="C1760" t="s">
        <v>61</v>
      </c>
      <c r="D1760">
        <v>-33127</v>
      </c>
      <c r="E1760" t="s">
        <v>62</v>
      </c>
      <c r="F1760" t="s">
        <v>24</v>
      </c>
      <c r="G1760" t="s">
        <v>63</v>
      </c>
      <c r="H1760" t="s">
        <v>45</v>
      </c>
      <c r="I1760" t="s">
        <v>48</v>
      </c>
      <c r="J1760" s="11">
        <v>45585</v>
      </c>
      <c r="K1760" t="str">
        <f>TEXT(Transactions_Clean[[#This Row],[Date]],"MMM-YYYY")</f>
        <v>Oct-2024</v>
      </c>
      <c r="L1760">
        <f>IF(Transactions_Clean[[#This Row],[Category]]="Revenue",Transactions_Clean[[#This Row],[Amount(₹)]],Transactions_Clean[[#This Row],[Amount(₹)]]/8)</f>
        <v>-4140.875</v>
      </c>
    </row>
    <row r="1761" spans="1:12">
      <c r="A1761" t="s">
        <v>2902</v>
      </c>
      <c r="B1761" t="s">
        <v>66</v>
      </c>
      <c r="C1761" t="s">
        <v>61</v>
      </c>
      <c r="D1761">
        <v>-21815</v>
      </c>
      <c r="E1761" t="s">
        <v>62</v>
      </c>
      <c r="F1761" t="s">
        <v>24</v>
      </c>
      <c r="G1761" t="s">
        <v>63</v>
      </c>
      <c r="H1761" t="s">
        <v>39</v>
      </c>
      <c r="I1761" t="s">
        <v>34</v>
      </c>
      <c r="J1761" s="11">
        <v>45789</v>
      </c>
      <c r="K1761" t="str">
        <f>TEXT(Transactions_Clean[[#This Row],[Date]],"MMM-YYYY")</f>
        <v>May-2025</v>
      </c>
      <c r="L1761">
        <f>IF(Transactions_Clean[[#This Row],[Category]]="Revenue",Transactions_Clean[[#This Row],[Amount(₹)]],Transactions_Clean[[#This Row],[Amount(₹)]]/8)</f>
        <v>-2726.875</v>
      </c>
    </row>
    <row r="1762" spans="1:12">
      <c r="A1762" t="s">
        <v>2904</v>
      </c>
      <c r="B1762" t="s">
        <v>345</v>
      </c>
      <c r="C1762" t="s">
        <v>22</v>
      </c>
      <c r="D1762">
        <v>-90867</v>
      </c>
      <c r="E1762" t="s">
        <v>23</v>
      </c>
      <c r="F1762" t="s">
        <v>24</v>
      </c>
      <c r="G1762" t="s">
        <v>25</v>
      </c>
      <c r="H1762" t="s">
        <v>45</v>
      </c>
      <c r="I1762" t="s">
        <v>40</v>
      </c>
      <c r="J1762" s="11">
        <v>45554</v>
      </c>
      <c r="K1762" t="str">
        <f>TEXT(Transactions_Clean[[#This Row],[Date]],"MMM-YYYY")</f>
        <v>Sep-2024</v>
      </c>
      <c r="L1762">
        <f>IF(Transactions_Clean[[#This Row],[Category]]="Revenue",Transactions_Clean[[#This Row],[Amount(₹)]],Transactions_Clean[[#This Row],[Amount(₹)]]/8)</f>
        <v>-11358.375</v>
      </c>
    </row>
    <row r="1763" spans="1:12">
      <c r="A1763" t="s">
        <v>2905</v>
      </c>
      <c r="B1763" t="s">
        <v>4757</v>
      </c>
      <c r="C1763" t="s">
        <v>4750</v>
      </c>
      <c r="D1763">
        <v>-17567</v>
      </c>
      <c r="E1763" t="s">
        <v>74</v>
      </c>
      <c r="F1763" t="s">
        <v>24</v>
      </c>
      <c r="G1763" t="s">
        <v>25</v>
      </c>
      <c r="H1763" t="s">
        <v>26</v>
      </c>
      <c r="I1763" t="s">
        <v>40</v>
      </c>
      <c r="J1763" s="11">
        <v>45139</v>
      </c>
      <c r="K1763" t="str">
        <f>TEXT(Transactions_Clean[[#This Row],[Date]],"MMM-YYYY")</f>
        <v>Aug-2023</v>
      </c>
      <c r="L1763">
        <f>IF(Transactions_Clean[[#This Row],[Category]]="Revenue",Transactions_Clean[[#This Row],[Amount(₹)]],Transactions_Clean[[#This Row],[Amount(₹)]]/8)</f>
        <v>-2195.875</v>
      </c>
    </row>
    <row r="1764" spans="1:12">
      <c r="A1764" t="s">
        <v>2907</v>
      </c>
      <c r="B1764" t="s">
        <v>4757</v>
      </c>
      <c r="C1764" t="s">
        <v>73</v>
      </c>
      <c r="D1764">
        <v>-58546</v>
      </c>
      <c r="E1764" t="s">
        <v>74</v>
      </c>
      <c r="F1764" t="s">
        <v>32</v>
      </c>
      <c r="G1764" t="s">
        <v>25</v>
      </c>
      <c r="H1764" t="s">
        <v>39</v>
      </c>
      <c r="I1764" t="s">
        <v>48</v>
      </c>
      <c r="J1764" s="11">
        <v>45965</v>
      </c>
      <c r="K1764" t="str">
        <f>TEXT(Transactions_Clean[[#This Row],[Date]],"MMM-YYYY")</f>
        <v>Nov-2025</v>
      </c>
      <c r="L1764">
        <f>IF(Transactions_Clean[[#This Row],[Category]]="Revenue",Transactions_Clean[[#This Row],[Amount(₹)]],Transactions_Clean[[#This Row],[Amount(₹)]]/8)</f>
        <v>-7318.25</v>
      </c>
    </row>
    <row r="1765" spans="1:12">
      <c r="A1765" t="s">
        <v>2908</v>
      </c>
      <c r="B1765" t="s">
        <v>4763</v>
      </c>
      <c r="C1765" t="s">
        <v>22</v>
      </c>
      <c r="D1765">
        <v>-131672</v>
      </c>
      <c r="E1765" t="s">
        <v>23</v>
      </c>
      <c r="F1765" t="s">
        <v>24</v>
      </c>
      <c r="G1765" t="s">
        <v>25</v>
      </c>
      <c r="H1765" t="s">
        <v>45</v>
      </c>
      <c r="I1765" t="s">
        <v>34</v>
      </c>
      <c r="J1765" s="11">
        <v>45456</v>
      </c>
      <c r="K1765" t="str">
        <f>TEXT(Transactions_Clean[[#This Row],[Date]],"MMM-YYYY")</f>
        <v>Jun-2024</v>
      </c>
      <c r="L1765">
        <f>IF(Transactions_Clean[[#This Row],[Category]]="Revenue",Transactions_Clean[[#This Row],[Amount(₹)]],Transactions_Clean[[#This Row],[Amount(₹)]]/8)</f>
        <v>-16459</v>
      </c>
    </row>
    <row r="1766" spans="1:12">
      <c r="A1766" t="s">
        <v>2910</v>
      </c>
      <c r="B1766" t="s">
        <v>100</v>
      </c>
      <c r="C1766" t="s">
        <v>31</v>
      </c>
      <c r="D1766">
        <v>-36054</v>
      </c>
      <c r="E1766" t="s">
        <v>23</v>
      </c>
      <c r="F1766" t="s">
        <v>32</v>
      </c>
      <c r="G1766" t="s">
        <v>33</v>
      </c>
      <c r="H1766" t="s">
        <v>45</v>
      </c>
      <c r="I1766" t="s">
        <v>48</v>
      </c>
      <c r="J1766" s="11">
        <v>45620</v>
      </c>
      <c r="K1766" t="str">
        <f>TEXT(Transactions_Clean[[#This Row],[Date]],"MMM-YYYY")</f>
        <v>Nov-2024</v>
      </c>
      <c r="L1766">
        <f>IF(Transactions_Clean[[#This Row],[Category]]="Revenue",Transactions_Clean[[#This Row],[Amount(₹)]],Transactions_Clean[[#This Row],[Amount(₹)]]/8)</f>
        <v>-4506.75</v>
      </c>
    </row>
    <row r="1767" spans="1:12">
      <c r="A1767" t="s">
        <v>2912</v>
      </c>
      <c r="B1767" t="s">
        <v>37</v>
      </c>
      <c r="C1767" t="s">
        <v>38</v>
      </c>
      <c r="D1767">
        <v>-47746</v>
      </c>
      <c r="E1767" t="s">
        <v>23</v>
      </c>
      <c r="F1767" t="s">
        <v>32</v>
      </c>
      <c r="G1767" t="s">
        <v>33</v>
      </c>
      <c r="H1767" t="s">
        <v>45</v>
      </c>
      <c r="I1767" t="s">
        <v>27</v>
      </c>
      <c r="J1767" s="11">
        <v>45724</v>
      </c>
      <c r="K1767" t="str">
        <f>TEXT(Transactions_Clean[[#This Row],[Date]],"MMM-YYYY")</f>
        <v>Mar-2025</v>
      </c>
      <c r="L1767">
        <f>IF(Transactions_Clean[[#This Row],[Category]]="Revenue",Transactions_Clean[[#This Row],[Amount(₹)]],Transactions_Clean[[#This Row],[Amount(₹)]]/8)</f>
        <v>-5968.25</v>
      </c>
    </row>
    <row r="1768" spans="1:12">
      <c r="A1768" t="s">
        <v>2913</v>
      </c>
      <c r="B1768" t="s">
        <v>255</v>
      </c>
      <c r="C1768" t="s">
        <v>22</v>
      </c>
      <c r="D1768">
        <v>-155464</v>
      </c>
      <c r="E1768" t="s">
        <v>23</v>
      </c>
      <c r="F1768" t="s">
        <v>32</v>
      </c>
      <c r="G1768" t="s">
        <v>25</v>
      </c>
      <c r="H1768" t="s">
        <v>39</v>
      </c>
      <c r="I1768" t="s">
        <v>34</v>
      </c>
      <c r="J1768" s="11">
        <v>45809</v>
      </c>
      <c r="K1768" t="str">
        <f>TEXT(Transactions_Clean[[#This Row],[Date]],"MMM-YYYY")</f>
        <v>Jun-2025</v>
      </c>
      <c r="L1768">
        <f>IF(Transactions_Clean[[#This Row],[Category]]="Revenue",Transactions_Clean[[#This Row],[Amount(₹)]],Transactions_Clean[[#This Row],[Amount(₹)]]/8)</f>
        <v>-19433</v>
      </c>
    </row>
    <row r="1769" spans="1:12">
      <c r="A1769" t="s">
        <v>2914</v>
      </c>
      <c r="B1769" t="s">
        <v>129</v>
      </c>
      <c r="C1769" t="s">
        <v>38</v>
      </c>
      <c r="D1769">
        <v>-40592</v>
      </c>
      <c r="E1769" t="s">
        <v>23</v>
      </c>
      <c r="F1769" t="s">
        <v>24</v>
      </c>
      <c r="G1769" t="s">
        <v>33</v>
      </c>
      <c r="H1769" t="s">
        <v>45</v>
      </c>
      <c r="I1769" t="s">
        <v>27</v>
      </c>
      <c r="J1769" s="11">
        <v>45670</v>
      </c>
      <c r="K1769" t="str">
        <f>TEXT(Transactions_Clean[[#This Row],[Date]],"MMM-YYYY")</f>
        <v>Jan-2025</v>
      </c>
      <c r="L1769">
        <f>IF(Transactions_Clean[[#This Row],[Category]]="Revenue",Transactions_Clean[[#This Row],[Amount(₹)]],Transactions_Clean[[#This Row],[Amount(₹)]]/8)</f>
        <v>-5074</v>
      </c>
    </row>
    <row r="1770" spans="1:12">
      <c r="A1770" t="s">
        <v>2915</v>
      </c>
      <c r="B1770" t="s">
        <v>37</v>
      </c>
      <c r="C1770" t="s">
        <v>38</v>
      </c>
      <c r="D1770">
        <v>-41733</v>
      </c>
      <c r="E1770" t="s">
        <v>23</v>
      </c>
      <c r="F1770" t="s">
        <v>24</v>
      </c>
      <c r="G1770" t="s">
        <v>33</v>
      </c>
      <c r="H1770" t="s">
        <v>26</v>
      </c>
      <c r="I1770" t="s">
        <v>34</v>
      </c>
      <c r="J1770" s="11">
        <v>45092</v>
      </c>
      <c r="K1770" t="str">
        <f>TEXT(Transactions_Clean[[#This Row],[Date]],"MMM-YYYY")</f>
        <v>Jun-2023</v>
      </c>
      <c r="L1770">
        <f>IF(Transactions_Clean[[#This Row],[Category]]="Revenue",Transactions_Clean[[#This Row],[Amount(₹)]],Transactions_Clean[[#This Row],[Amount(₹)]]/8)</f>
        <v>-5216.625</v>
      </c>
    </row>
    <row r="1771" spans="1:12">
      <c r="A1771" t="s">
        <v>2916</v>
      </c>
      <c r="B1771" t="s">
        <v>177</v>
      </c>
      <c r="C1771" t="s">
        <v>78</v>
      </c>
      <c r="D1771">
        <v>-44520</v>
      </c>
      <c r="E1771" t="s">
        <v>23</v>
      </c>
      <c r="F1771" t="s">
        <v>32</v>
      </c>
      <c r="G1771" t="s">
        <v>79</v>
      </c>
      <c r="H1771" t="s">
        <v>39</v>
      </c>
      <c r="I1771" t="s">
        <v>48</v>
      </c>
      <c r="J1771" s="11">
        <v>45972</v>
      </c>
      <c r="K1771" t="str">
        <f>TEXT(Transactions_Clean[[#This Row],[Date]],"MMM-YYYY")</f>
        <v>Nov-2025</v>
      </c>
      <c r="L1771">
        <f>IF(Transactions_Clean[[#This Row],[Category]]="Revenue",Transactions_Clean[[#This Row],[Amount(₹)]],Transactions_Clean[[#This Row],[Amount(₹)]]/8)</f>
        <v>-5565</v>
      </c>
    </row>
    <row r="1772" spans="1:12">
      <c r="A1772" t="s">
        <v>2917</v>
      </c>
      <c r="B1772" t="s">
        <v>60</v>
      </c>
      <c r="C1772" t="s">
        <v>61</v>
      </c>
      <c r="D1772">
        <v>-41673</v>
      </c>
      <c r="E1772" t="s">
        <v>62</v>
      </c>
      <c r="F1772" t="s">
        <v>32</v>
      </c>
      <c r="G1772" t="s">
        <v>63</v>
      </c>
      <c r="H1772" t="s">
        <v>45</v>
      </c>
      <c r="I1772" t="s">
        <v>40</v>
      </c>
      <c r="J1772" s="11">
        <v>45510</v>
      </c>
      <c r="K1772" t="str">
        <f>TEXT(Transactions_Clean[[#This Row],[Date]],"MMM-YYYY")</f>
        <v>Aug-2024</v>
      </c>
      <c r="L1772">
        <f>IF(Transactions_Clean[[#This Row],[Category]]="Revenue",Transactions_Clean[[#This Row],[Amount(₹)]],Transactions_Clean[[#This Row],[Amount(₹)]]/8)</f>
        <v>-5209.125</v>
      </c>
    </row>
    <row r="1773" spans="1:12">
      <c r="A1773" t="s">
        <v>2918</v>
      </c>
      <c r="B1773" t="s">
        <v>345</v>
      </c>
      <c r="C1773" t="s">
        <v>22</v>
      </c>
      <c r="D1773">
        <v>-170569</v>
      </c>
      <c r="E1773" t="s">
        <v>23</v>
      </c>
      <c r="F1773" t="s">
        <v>32</v>
      </c>
      <c r="G1773" t="s">
        <v>25</v>
      </c>
      <c r="H1773" t="s">
        <v>39</v>
      </c>
      <c r="I1773" t="s">
        <v>27</v>
      </c>
      <c r="J1773" s="11">
        <v>46051</v>
      </c>
      <c r="K1773" t="str">
        <f>TEXT(Transactions_Clean[[#This Row],[Date]],"MMM-YYYY")</f>
        <v>Jan-2026</v>
      </c>
      <c r="L1773">
        <f>IF(Transactions_Clean[[#This Row],[Category]]="Revenue",Transactions_Clean[[#This Row],[Amount(₹)]],Transactions_Clean[[#This Row],[Amount(₹)]]/8)</f>
        <v>-21321.125</v>
      </c>
    </row>
    <row r="1774" spans="1:12">
      <c r="A1774" t="s">
        <v>2919</v>
      </c>
      <c r="B1774" t="s">
        <v>60</v>
      </c>
      <c r="C1774" t="s">
        <v>61</v>
      </c>
      <c r="D1774">
        <v>-28364</v>
      </c>
      <c r="E1774" t="s">
        <v>62</v>
      </c>
      <c r="F1774" t="s">
        <v>32</v>
      </c>
      <c r="G1774" t="s">
        <v>63</v>
      </c>
      <c r="H1774" t="s">
        <v>45</v>
      </c>
      <c r="I1774" t="s">
        <v>34</v>
      </c>
      <c r="J1774" s="11">
        <v>45631</v>
      </c>
      <c r="K1774" t="str">
        <f>TEXT(Transactions_Clean[[#This Row],[Date]],"MMM-YYYY")</f>
        <v>Dec-2024</v>
      </c>
      <c r="L1774">
        <f>IF(Transactions_Clean[[#This Row],[Category]]="Revenue",Transactions_Clean[[#This Row],[Amount(₹)]],Transactions_Clean[[#This Row],[Amount(₹)]]/8)</f>
        <v>-3545.5</v>
      </c>
    </row>
    <row r="1775" spans="1:12">
      <c r="A1775" t="s">
        <v>2921</v>
      </c>
      <c r="B1775" t="s">
        <v>4749</v>
      </c>
      <c r="C1775" t="s">
        <v>44</v>
      </c>
      <c r="D1775">
        <v>-65907</v>
      </c>
      <c r="E1775" t="s">
        <v>23</v>
      </c>
      <c r="F1775" t="s">
        <v>24</v>
      </c>
      <c r="G1775" t="s">
        <v>33</v>
      </c>
      <c r="H1775" t="s">
        <v>39</v>
      </c>
      <c r="I1775" t="s">
        <v>27</v>
      </c>
      <c r="J1775" s="11">
        <v>46058</v>
      </c>
      <c r="K1775" t="str">
        <f>TEXT(Transactions_Clean[[#This Row],[Date]],"MMM-YYYY")</f>
        <v>Feb-2026</v>
      </c>
      <c r="L1775">
        <f>IF(Transactions_Clean[[#This Row],[Category]]="Revenue",Transactions_Clean[[#This Row],[Amount(₹)]],Transactions_Clean[[#This Row],[Amount(₹)]]/8)</f>
        <v>-8238.375</v>
      </c>
    </row>
    <row r="1776" spans="1:12">
      <c r="A1776" t="s">
        <v>2922</v>
      </c>
      <c r="B1776" t="s">
        <v>4756</v>
      </c>
      <c r="C1776" t="s">
        <v>73</v>
      </c>
      <c r="D1776">
        <v>-30931</v>
      </c>
      <c r="E1776" t="s">
        <v>74</v>
      </c>
      <c r="F1776" t="s">
        <v>24</v>
      </c>
      <c r="G1776" t="s">
        <v>25</v>
      </c>
      <c r="H1776" t="s">
        <v>45</v>
      </c>
      <c r="I1776" t="s">
        <v>40</v>
      </c>
      <c r="J1776" s="11">
        <v>45513</v>
      </c>
      <c r="K1776" t="str">
        <f>TEXT(Transactions_Clean[[#This Row],[Date]],"MMM-YYYY")</f>
        <v>Aug-2024</v>
      </c>
      <c r="L1776">
        <f>IF(Transactions_Clean[[#This Row],[Category]]="Revenue",Transactions_Clean[[#This Row],[Amount(₹)]],Transactions_Clean[[#This Row],[Amount(₹)]]/8)</f>
        <v>-3866.375</v>
      </c>
    </row>
    <row r="1777" spans="1:12">
      <c r="A1777" t="s">
        <v>2924</v>
      </c>
      <c r="B1777" t="s">
        <v>143</v>
      </c>
      <c r="C1777" t="s">
        <v>78</v>
      </c>
      <c r="D1777">
        <v>-87487</v>
      </c>
      <c r="E1777" t="s">
        <v>23</v>
      </c>
      <c r="F1777" t="s">
        <v>32</v>
      </c>
      <c r="G1777" t="s">
        <v>79</v>
      </c>
      <c r="H1777" t="s">
        <v>45</v>
      </c>
      <c r="I1777" t="s">
        <v>27</v>
      </c>
      <c r="J1777" s="11">
        <v>45709</v>
      </c>
      <c r="K1777" t="str">
        <f>TEXT(Transactions_Clean[[#This Row],[Date]],"MMM-YYYY")</f>
        <v>Feb-2025</v>
      </c>
      <c r="L1777">
        <f>IF(Transactions_Clean[[#This Row],[Category]]="Revenue",Transactions_Clean[[#This Row],[Amount(₹)]],Transactions_Clean[[#This Row],[Amount(₹)]]/8)</f>
        <v>-10935.875</v>
      </c>
    </row>
    <row r="1778" spans="1:12">
      <c r="A1778" t="s">
        <v>2925</v>
      </c>
      <c r="B1778" t="s">
        <v>4767</v>
      </c>
      <c r="C1778" t="s">
        <v>157</v>
      </c>
      <c r="D1778">
        <v>546388</v>
      </c>
      <c r="E1778" t="s">
        <v>62</v>
      </c>
      <c r="F1778" t="s">
        <v>32</v>
      </c>
      <c r="G1778" t="s">
        <v>25</v>
      </c>
      <c r="H1778" t="s">
        <v>26</v>
      </c>
      <c r="I1778" t="s">
        <v>27</v>
      </c>
      <c r="J1778" s="11">
        <v>45324</v>
      </c>
      <c r="K1778" t="str">
        <f>TEXT(Transactions_Clean[[#This Row],[Date]],"MMM-YYYY")</f>
        <v>Feb-2024</v>
      </c>
      <c r="L1778">
        <f>IF(Transactions_Clean[[#This Row],[Category]]="Revenue",Transactions_Clean[[#This Row],[Amount(₹)]],Transactions_Clean[[#This Row],[Amount(₹)]]/8)</f>
        <v>546388</v>
      </c>
    </row>
    <row r="1779" spans="1:12">
      <c r="A1779" t="s">
        <v>2927</v>
      </c>
      <c r="B1779" t="s">
        <v>60</v>
      </c>
      <c r="C1779" t="s">
        <v>61</v>
      </c>
      <c r="D1779">
        <v>-53036</v>
      </c>
      <c r="E1779" t="s">
        <v>62</v>
      </c>
      <c r="F1779" t="s">
        <v>24</v>
      </c>
      <c r="G1779" t="s">
        <v>63</v>
      </c>
      <c r="H1779" t="s">
        <v>45</v>
      </c>
      <c r="I1779" t="s">
        <v>48</v>
      </c>
      <c r="J1779" s="11">
        <v>45591</v>
      </c>
      <c r="K1779" t="str">
        <f>TEXT(Transactions_Clean[[#This Row],[Date]],"MMM-YYYY")</f>
        <v>Oct-2024</v>
      </c>
      <c r="L1779">
        <f>IF(Transactions_Clean[[#This Row],[Category]]="Revenue",Transactions_Clean[[#This Row],[Amount(₹)]],Transactions_Clean[[#This Row],[Amount(₹)]]/8)</f>
        <v>-6629.5</v>
      </c>
    </row>
    <row r="1780" spans="1:12">
      <c r="A1780" t="s">
        <v>2928</v>
      </c>
      <c r="B1780" t="s">
        <v>305</v>
      </c>
      <c r="C1780" t="s">
        <v>38</v>
      </c>
      <c r="D1780">
        <v>-18605</v>
      </c>
      <c r="E1780" t="s">
        <v>23</v>
      </c>
      <c r="F1780" t="s">
        <v>24</v>
      </c>
      <c r="G1780" t="s">
        <v>33</v>
      </c>
      <c r="H1780" t="s">
        <v>39</v>
      </c>
      <c r="I1780" t="s">
        <v>40</v>
      </c>
      <c r="J1780" s="11">
        <v>45839</v>
      </c>
      <c r="K1780" t="str">
        <f>TEXT(Transactions_Clean[[#This Row],[Date]],"MMM-YYYY")</f>
        <v>Jul-2025</v>
      </c>
      <c r="L1780">
        <f>IF(Transactions_Clean[[#This Row],[Category]]="Revenue",Transactions_Clean[[#This Row],[Amount(₹)]],Transactions_Clean[[#This Row],[Amount(₹)]]/8)</f>
        <v>-2325.625</v>
      </c>
    </row>
    <row r="1781" spans="1:12">
      <c r="A1781" t="s">
        <v>2929</v>
      </c>
      <c r="B1781" t="s">
        <v>116</v>
      </c>
      <c r="C1781" t="s">
        <v>73</v>
      </c>
      <c r="D1781">
        <v>-60719</v>
      </c>
      <c r="E1781" t="s">
        <v>74</v>
      </c>
      <c r="F1781" t="s">
        <v>24</v>
      </c>
      <c r="G1781" t="s">
        <v>25</v>
      </c>
      <c r="H1781" t="s">
        <v>39</v>
      </c>
      <c r="I1781" t="s">
        <v>27</v>
      </c>
      <c r="J1781" s="11">
        <v>46106</v>
      </c>
      <c r="K1781" t="str">
        <f>TEXT(Transactions_Clean[[#This Row],[Date]],"MMM-YYYY")</f>
        <v>Mar-2026</v>
      </c>
      <c r="L1781">
        <f>IF(Transactions_Clean[[#This Row],[Category]]="Revenue",Transactions_Clean[[#This Row],[Amount(₹)]],Transactions_Clean[[#This Row],[Amount(₹)]]/8)</f>
        <v>-7589.875</v>
      </c>
    </row>
    <row r="1782" spans="1:12">
      <c r="A1782" t="s">
        <v>2930</v>
      </c>
      <c r="B1782" t="s">
        <v>4757</v>
      </c>
      <c r="C1782" t="s">
        <v>73</v>
      </c>
      <c r="D1782">
        <v>-88254</v>
      </c>
      <c r="E1782" t="s">
        <v>74</v>
      </c>
      <c r="F1782" t="s">
        <v>32</v>
      </c>
      <c r="G1782" t="s">
        <v>25</v>
      </c>
      <c r="H1782" t="s">
        <v>26</v>
      </c>
      <c r="I1782" t="s">
        <v>40</v>
      </c>
      <c r="J1782" s="11">
        <v>45158</v>
      </c>
      <c r="K1782" t="str">
        <f>TEXT(Transactions_Clean[[#This Row],[Date]],"MMM-YYYY")</f>
        <v>Aug-2023</v>
      </c>
      <c r="L1782">
        <f>IF(Transactions_Clean[[#This Row],[Category]]="Revenue",Transactions_Clean[[#This Row],[Amount(₹)]],Transactions_Clean[[#This Row],[Amount(₹)]]/8)</f>
        <v>-11031.75</v>
      </c>
    </row>
    <row r="1783" spans="1:12">
      <c r="A1783" t="s">
        <v>2931</v>
      </c>
      <c r="B1783" t="s">
        <v>4756</v>
      </c>
      <c r="C1783" t="s">
        <v>73</v>
      </c>
      <c r="D1783">
        <v>-27087</v>
      </c>
      <c r="E1783" t="s">
        <v>74</v>
      </c>
      <c r="F1783" t="s">
        <v>32</v>
      </c>
      <c r="G1783" t="s">
        <v>25</v>
      </c>
      <c r="H1783" t="s">
        <v>45</v>
      </c>
      <c r="I1783" t="s">
        <v>34</v>
      </c>
      <c r="J1783" s="11">
        <v>45387</v>
      </c>
      <c r="K1783" t="str">
        <f>TEXT(Transactions_Clean[[#This Row],[Date]],"MMM-YYYY")</f>
        <v>Apr-2024</v>
      </c>
      <c r="L1783">
        <f>IF(Transactions_Clean[[#This Row],[Category]]="Revenue",Transactions_Clean[[#This Row],[Amount(₹)]],Transactions_Clean[[#This Row],[Amount(₹)]]/8)</f>
        <v>-3385.875</v>
      </c>
    </row>
    <row r="1784" spans="1:12">
      <c r="A1784" t="s">
        <v>2932</v>
      </c>
      <c r="B1784" t="s">
        <v>161</v>
      </c>
      <c r="C1784" t="s">
        <v>22</v>
      </c>
      <c r="D1784">
        <v>-192284</v>
      </c>
      <c r="E1784" t="s">
        <v>23</v>
      </c>
      <c r="F1784" t="s">
        <v>24</v>
      </c>
      <c r="G1784" t="s">
        <v>25</v>
      </c>
      <c r="H1784" t="s">
        <v>45</v>
      </c>
      <c r="I1784" t="s">
        <v>48</v>
      </c>
      <c r="J1784" s="11">
        <v>45581</v>
      </c>
      <c r="K1784" t="str">
        <f>TEXT(Transactions_Clean[[#This Row],[Date]],"MMM-YYYY")</f>
        <v>Oct-2024</v>
      </c>
      <c r="L1784">
        <f>IF(Transactions_Clean[[#This Row],[Category]]="Revenue",Transactions_Clean[[#This Row],[Amount(₹)]],Transactions_Clean[[#This Row],[Amount(₹)]]/8)</f>
        <v>-24035.5</v>
      </c>
    </row>
    <row r="1785" spans="1:12">
      <c r="A1785" t="s">
        <v>2933</v>
      </c>
      <c r="B1785" t="s">
        <v>4757</v>
      </c>
      <c r="C1785" t="s">
        <v>4750</v>
      </c>
      <c r="D1785">
        <v>-74433</v>
      </c>
      <c r="E1785" t="s">
        <v>74</v>
      </c>
      <c r="F1785" t="s">
        <v>24</v>
      </c>
      <c r="G1785" t="s">
        <v>25</v>
      </c>
      <c r="H1785" t="s">
        <v>39</v>
      </c>
      <c r="I1785" t="s">
        <v>40</v>
      </c>
      <c r="J1785" s="11">
        <v>45850</v>
      </c>
      <c r="K1785" t="str">
        <f>TEXT(Transactions_Clean[[#This Row],[Date]],"MMM-YYYY")</f>
        <v>Jul-2025</v>
      </c>
      <c r="L1785">
        <f>IF(Transactions_Clean[[#This Row],[Category]]="Revenue",Transactions_Clean[[#This Row],[Amount(₹)]],Transactions_Clean[[#This Row],[Amount(₹)]]/8)</f>
        <v>-9304.125</v>
      </c>
    </row>
    <row r="1786" spans="1:12">
      <c r="A1786" t="s">
        <v>2934</v>
      </c>
      <c r="B1786" t="s">
        <v>4755</v>
      </c>
      <c r="C1786" t="s">
        <v>4750</v>
      </c>
      <c r="D1786">
        <v>-69322</v>
      </c>
      <c r="E1786" t="s">
        <v>23</v>
      </c>
      <c r="F1786" t="s">
        <v>24</v>
      </c>
      <c r="G1786" t="s">
        <v>79</v>
      </c>
      <c r="H1786" t="s">
        <v>39</v>
      </c>
      <c r="I1786" t="s">
        <v>48</v>
      </c>
      <c r="J1786" s="11">
        <v>45990</v>
      </c>
      <c r="K1786" t="str">
        <f>TEXT(Transactions_Clean[[#This Row],[Date]],"MMM-YYYY")</f>
        <v>Nov-2025</v>
      </c>
      <c r="L1786">
        <f>IF(Transactions_Clean[[#This Row],[Category]]="Revenue",Transactions_Clean[[#This Row],[Amount(₹)]],Transactions_Clean[[#This Row],[Amount(₹)]]/8)</f>
        <v>-8665.25</v>
      </c>
    </row>
    <row r="1787" spans="1:12">
      <c r="A1787" t="s">
        <v>2936</v>
      </c>
      <c r="B1787" t="s">
        <v>687</v>
      </c>
      <c r="C1787" t="s">
        <v>44</v>
      </c>
      <c r="D1787">
        <v>-148066</v>
      </c>
      <c r="E1787" t="s">
        <v>23</v>
      </c>
      <c r="F1787" t="s">
        <v>32</v>
      </c>
      <c r="G1787" t="s">
        <v>33</v>
      </c>
      <c r="H1787" t="s">
        <v>45</v>
      </c>
      <c r="I1787" t="s">
        <v>48</v>
      </c>
      <c r="J1787" s="11">
        <v>45638</v>
      </c>
      <c r="K1787" t="str">
        <f>TEXT(Transactions_Clean[[#This Row],[Date]],"MMM-YYYY")</f>
        <v>Dec-2024</v>
      </c>
      <c r="L1787">
        <f>IF(Transactions_Clean[[#This Row],[Category]]="Revenue",Transactions_Clean[[#This Row],[Amount(₹)]],Transactions_Clean[[#This Row],[Amount(₹)]]/8)</f>
        <v>-18508.25</v>
      </c>
    </row>
    <row r="1788" spans="1:12">
      <c r="A1788" t="s">
        <v>2937</v>
      </c>
      <c r="B1788" t="s">
        <v>174</v>
      </c>
      <c r="C1788" t="s">
        <v>22</v>
      </c>
      <c r="D1788">
        <v>-141210</v>
      </c>
      <c r="E1788" t="s">
        <v>23</v>
      </c>
      <c r="F1788" t="s">
        <v>24</v>
      </c>
      <c r="G1788" t="s">
        <v>25</v>
      </c>
      <c r="H1788" t="s">
        <v>26</v>
      </c>
      <c r="I1788" t="s">
        <v>34</v>
      </c>
      <c r="J1788" s="11">
        <v>45058</v>
      </c>
      <c r="K1788" t="str">
        <f>TEXT(Transactions_Clean[[#This Row],[Date]],"MMM-YYYY")</f>
        <v>May-2023</v>
      </c>
      <c r="L1788">
        <f>IF(Transactions_Clean[[#This Row],[Category]]="Revenue",Transactions_Clean[[#This Row],[Amount(₹)]],Transactions_Clean[[#This Row],[Amount(₹)]]/8)</f>
        <v>-17651.25</v>
      </c>
    </row>
    <row r="1789" spans="1:12">
      <c r="A1789" t="s">
        <v>2938</v>
      </c>
      <c r="B1789" t="s">
        <v>4755</v>
      </c>
      <c r="C1789" t="s">
        <v>78</v>
      </c>
      <c r="D1789">
        <v>-75138</v>
      </c>
      <c r="E1789" t="s">
        <v>23</v>
      </c>
      <c r="F1789" t="s">
        <v>24</v>
      </c>
      <c r="G1789" t="s">
        <v>79</v>
      </c>
      <c r="H1789" t="s">
        <v>45</v>
      </c>
      <c r="I1789" t="s">
        <v>40</v>
      </c>
      <c r="J1789" s="11">
        <v>45487</v>
      </c>
      <c r="K1789" t="str">
        <f>TEXT(Transactions_Clean[[#This Row],[Date]],"MMM-YYYY")</f>
        <v>Jul-2024</v>
      </c>
      <c r="L1789">
        <f>IF(Transactions_Clean[[#This Row],[Category]]="Revenue",Transactions_Clean[[#This Row],[Amount(₹)]],Transactions_Clean[[#This Row],[Amount(₹)]]/8)</f>
        <v>-9392.25</v>
      </c>
    </row>
    <row r="1790" spans="1:12">
      <c r="A1790" t="s">
        <v>2939</v>
      </c>
      <c r="B1790" t="s">
        <v>177</v>
      </c>
      <c r="C1790" t="s">
        <v>78</v>
      </c>
      <c r="D1790">
        <v>-66061</v>
      </c>
      <c r="E1790" t="s">
        <v>23</v>
      </c>
      <c r="F1790" t="s">
        <v>24</v>
      </c>
      <c r="G1790" t="s">
        <v>79</v>
      </c>
      <c r="H1790" t="s">
        <v>26</v>
      </c>
      <c r="I1790" t="s">
        <v>48</v>
      </c>
      <c r="J1790" s="11">
        <v>45266</v>
      </c>
      <c r="K1790" t="str">
        <f>TEXT(Transactions_Clean[[#This Row],[Date]],"MMM-YYYY")</f>
        <v>Dec-2023</v>
      </c>
      <c r="L1790">
        <f>IF(Transactions_Clean[[#This Row],[Category]]="Revenue",Transactions_Clean[[#This Row],[Amount(₹)]],Transactions_Clean[[#This Row],[Amount(₹)]]/8)</f>
        <v>-8257.625</v>
      </c>
    </row>
    <row r="1791" spans="1:12">
      <c r="A1791" t="s">
        <v>2940</v>
      </c>
      <c r="B1791" t="s">
        <v>4768</v>
      </c>
      <c r="C1791" t="s">
        <v>157</v>
      </c>
      <c r="D1791">
        <v>663447</v>
      </c>
      <c r="E1791" t="s">
        <v>62</v>
      </c>
      <c r="F1791" t="s">
        <v>32</v>
      </c>
      <c r="G1791" t="s">
        <v>25</v>
      </c>
      <c r="H1791" t="s">
        <v>45</v>
      </c>
      <c r="I1791" t="s">
        <v>27</v>
      </c>
      <c r="J1791" s="11">
        <v>45680</v>
      </c>
      <c r="K1791" t="str">
        <f>TEXT(Transactions_Clean[[#This Row],[Date]],"MMM-YYYY")</f>
        <v>Jan-2025</v>
      </c>
      <c r="L1791">
        <f>IF(Transactions_Clean[[#This Row],[Category]]="Revenue",Transactions_Clean[[#This Row],[Amount(₹)]],Transactions_Clean[[#This Row],[Amount(₹)]]/8)</f>
        <v>663447</v>
      </c>
    </row>
    <row r="1792" spans="1:12">
      <c r="A1792" t="s">
        <v>2941</v>
      </c>
      <c r="B1792" t="s">
        <v>4759</v>
      </c>
      <c r="C1792" t="s">
        <v>31</v>
      </c>
      <c r="D1792">
        <v>-14126</v>
      </c>
      <c r="E1792" t="s">
        <v>23</v>
      </c>
      <c r="F1792" t="s">
        <v>32</v>
      </c>
      <c r="G1792" t="s">
        <v>33</v>
      </c>
      <c r="H1792" t="s">
        <v>45</v>
      </c>
      <c r="I1792" t="s">
        <v>34</v>
      </c>
      <c r="J1792" s="11">
        <v>45451</v>
      </c>
      <c r="K1792" t="str">
        <f>TEXT(Transactions_Clean[[#This Row],[Date]],"MMM-YYYY")</f>
        <v>Jun-2024</v>
      </c>
      <c r="L1792">
        <f>IF(Transactions_Clean[[#This Row],[Category]]="Revenue",Transactions_Clean[[#This Row],[Amount(₹)]],Transactions_Clean[[#This Row],[Amount(₹)]]/8)</f>
        <v>-1765.75</v>
      </c>
    </row>
    <row r="1793" spans="1:12">
      <c r="A1793" t="s">
        <v>2942</v>
      </c>
      <c r="B1793" t="s">
        <v>4763</v>
      </c>
      <c r="C1793" t="s">
        <v>22</v>
      </c>
      <c r="D1793">
        <v>-151470</v>
      </c>
      <c r="E1793" t="s">
        <v>23</v>
      </c>
      <c r="F1793" t="s">
        <v>24</v>
      </c>
      <c r="G1793" t="s">
        <v>25</v>
      </c>
      <c r="H1793" t="s">
        <v>45</v>
      </c>
      <c r="I1793" t="s">
        <v>27</v>
      </c>
      <c r="J1793" s="11">
        <v>45715</v>
      </c>
      <c r="K1793" t="str">
        <f>TEXT(Transactions_Clean[[#This Row],[Date]],"MMM-YYYY")</f>
        <v>Feb-2025</v>
      </c>
      <c r="L1793">
        <f>IF(Transactions_Clean[[#This Row],[Category]]="Revenue",Transactions_Clean[[#This Row],[Amount(₹)]],Transactions_Clean[[#This Row],[Amount(₹)]]/8)</f>
        <v>-18933.75</v>
      </c>
    </row>
    <row r="1794" spans="1:12">
      <c r="A1794" t="s">
        <v>2944</v>
      </c>
      <c r="B1794" t="s">
        <v>37</v>
      </c>
      <c r="C1794" t="s">
        <v>38</v>
      </c>
      <c r="D1794">
        <v>-8801</v>
      </c>
      <c r="E1794" t="s">
        <v>23</v>
      </c>
      <c r="F1794" t="s">
        <v>24</v>
      </c>
      <c r="G1794" t="s">
        <v>33</v>
      </c>
      <c r="H1794" t="s">
        <v>45</v>
      </c>
      <c r="I1794" t="s">
        <v>48</v>
      </c>
      <c r="J1794" s="11">
        <v>45571</v>
      </c>
      <c r="K1794" t="str">
        <f>TEXT(Transactions_Clean[[#This Row],[Date]],"MMM-YYYY")</f>
        <v>Oct-2024</v>
      </c>
      <c r="L1794">
        <f>IF(Transactions_Clean[[#This Row],[Category]]="Revenue",Transactions_Clean[[#This Row],[Amount(₹)]],Transactions_Clean[[#This Row],[Amount(₹)]]/8)</f>
        <v>-1100.125</v>
      </c>
    </row>
    <row r="1795" spans="1:12">
      <c r="A1795" t="s">
        <v>2945</v>
      </c>
      <c r="B1795" t="s">
        <v>87</v>
      </c>
      <c r="C1795" t="s">
        <v>22</v>
      </c>
      <c r="D1795">
        <v>-215963</v>
      </c>
      <c r="E1795" t="s">
        <v>23</v>
      </c>
      <c r="F1795" t="s">
        <v>32</v>
      </c>
      <c r="G1795" t="s">
        <v>25</v>
      </c>
      <c r="H1795" t="s">
        <v>45</v>
      </c>
      <c r="I1795" t="s">
        <v>48</v>
      </c>
      <c r="J1795" s="11">
        <v>45640</v>
      </c>
      <c r="K1795" t="str">
        <f>TEXT(Transactions_Clean[[#This Row],[Date]],"MMM-YYYY")</f>
        <v>Dec-2024</v>
      </c>
      <c r="L1795">
        <f>IF(Transactions_Clean[[#This Row],[Category]]="Revenue",Transactions_Clean[[#This Row],[Amount(₹)]],Transactions_Clean[[#This Row],[Amount(₹)]]/8)</f>
        <v>-26995.375</v>
      </c>
    </row>
    <row r="1796" spans="1:12">
      <c r="A1796" t="s">
        <v>2946</v>
      </c>
      <c r="B1796" t="s">
        <v>60</v>
      </c>
      <c r="C1796" t="s">
        <v>4750</v>
      </c>
      <c r="D1796">
        <v>-29728</v>
      </c>
      <c r="E1796" t="s">
        <v>62</v>
      </c>
      <c r="F1796" t="s">
        <v>24</v>
      </c>
      <c r="G1796" t="s">
        <v>63</v>
      </c>
      <c r="H1796" t="s">
        <v>45</v>
      </c>
      <c r="I1796" t="s">
        <v>40</v>
      </c>
      <c r="J1796" s="11">
        <v>45559</v>
      </c>
      <c r="K1796" t="str">
        <f>TEXT(Transactions_Clean[[#This Row],[Date]],"MMM-YYYY")</f>
        <v>Sep-2024</v>
      </c>
      <c r="L1796">
        <f>IF(Transactions_Clean[[#This Row],[Category]]="Revenue",Transactions_Clean[[#This Row],[Amount(₹)]],Transactions_Clean[[#This Row],[Amount(₹)]]/8)</f>
        <v>-3716</v>
      </c>
    </row>
    <row r="1797" spans="1:12">
      <c r="A1797" t="s">
        <v>2947</v>
      </c>
      <c r="B1797" t="s">
        <v>143</v>
      </c>
      <c r="C1797" t="s">
        <v>78</v>
      </c>
      <c r="D1797">
        <v>-83044</v>
      </c>
      <c r="E1797" t="s">
        <v>23</v>
      </c>
      <c r="F1797" t="s">
        <v>32</v>
      </c>
      <c r="G1797" t="s">
        <v>79</v>
      </c>
      <c r="H1797" t="s">
        <v>45</v>
      </c>
      <c r="I1797" t="s">
        <v>40</v>
      </c>
      <c r="J1797" s="11">
        <v>45544</v>
      </c>
      <c r="K1797" t="str">
        <f>TEXT(Transactions_Clean[[#This Row],[Date]],"MMM-YYYY")</f>
        <v>Sep-2024</v>
      </c>
      <c r="L1797">
        <f>IF(Transactions_Clean[[#This Row],[Category]]="Revenue",Transactions_Clean[[#This Row],[Amount(₹)]],Transactions_Clean[[#This Row],[Amount(₹)]]/8)</f>
        <v>-10380.5</v>
      </c>
    </row>
    <row r="1798" spans="1:12">
      <c r="A1798" t="s">
        <v>2948</v>
      </c>
      <c r="B1798" t="s">
        <v>66</v>
      </c>
      <c r="C1798" t="s">
        <v>61</v>
      </c>
      <c r="D1798">
        <v>-17099</v>
      </c>
      <c r="E1798" t="s">
        <v>62</v>
      </c>
      <c r="F1798" t="s">
        <v>32</v>
      </c>
      <c r="G1798" t="s">
        <v>63</v>
      </c>
      <c r="H1798" t="s">
        <v>26</v>
      </c>
      <c r="I1798" t="s">
        <v>40</v>
      </c>
      <c r="J1798" s="11">
        <v>45177</v>
      </c>
      <c r="K1798" t="str">
        <f>TEXT(Transactions_Clean[[#This Row],[Date]],"MMM-YYYY")</f>
        <v>Sep-2023</v>
      </c>
      <c r="L1798">
        <f>IF(Transactions_Clean[[#This Row],[Category]]="Revenue",Transactions_Clean[[#This Row],[Amount(₹)]],Transactions_Clean[[#This Row],[Amount(₹)]]/8)</f>
        <v>-2137.375</v>
      </c>
    </row>
    <row r="1799" spans="1:12">
      <c r="A1799" t="s">
        <v>2949</v>
      </c>
      <c r="B1799" t="s">
        <v>30</v>
      </c>
      <c r="C1799" t="s">
        <v>31</v>
      </c>
      <c r="D1799">
        <v>-37707</v>
      </c>
      <c r="E1799" t="s">
        <v>23</v>
      </c>
      <c r="F1799" t="s">
        <v>32</v>
      </c>
      <c r="G1799" t="s">
        <v>33</v>
      </c>
      <c r="H1799" t="s">
        <v>39</v>
      </c>
      <c r="I1799" t="s">
        <v>34</v>
      </c>
      <c r="J1799" s="11">
        <v>45820</v>
      </c>
      <c r="K1799" t="str">
        <f>TEXT(Transactions_Clean[[#This Row],[Date]],"MMM-YYYY")</f>
        <v>Jun-2025</v>
      </c>
      <c r="L1799">
        <f>IF(Transactions_Clean[[#This Row],[Category]]="Revenue",Transactions_Clean[[#This Row],[Amount(₹)]],Transactions_Clean[[#This Row],[Amount(₹)]]/8)</f>
        <v>-4713.375</v>
      </c>
    </row>
    <row r="1800" spans="1:12">
      <c r="A1800" t="s">
        <v>2950</v>
      </c>
      <c r="B1800" t="s">
        <v>4756</v>
      </c>
      <c r="C1800" t="s">
        <v>73</v>
      </c>
      <c r="D1800">
        <v>-17232</v>
      </c>
      <c r="E1800" t="s">
        <v>74</v>
      </c>
      <c r="F1800" t="s">
        <v>24</v>
      </c>
      <c r="G1800" t="s">
        <v>25</v>
      </c>
      <c r="H1800" t="s">
        <v>26</v>
      </c>
      <c r="I1800" t="s">
        <v>48</v>
      </c>
      <c r="J1800" s="11">
        <v>45218</v>
      </c>
      <c r="K1800" t="str">
        <f>TEXT(Transactions_Clean[[#This Row],[Date]],"MMM-YYYY")</f>
        <v>Oct-2023</v>
      </c>
      <c r="L1800">
        <f>IF(Transactions_Clean[[#This Row],[Category]]="Revenue",Transactions_Clean[[#This Row],[Amount(₹)]],Transactions_Clean[[#This Row],[Amount(₹)]]/8)</f>
        <v>-2154</v>
      </c>
    </row>
    <row r="1801" spans="1:12">
      <c r="A1801" t="s">
        <v>2952</v>
      </c>
      <c r="B1801" t="s">
        <v>4766</v>
      </c>
      <c r="C1801" t="s">
        <v>73</v>
      </c>
      <c r="D1801">
        <v>-19421</v>
      </c>
      <c r="E1801" t="s">
        <v>74</v>
      </c>
      <c r="F1801" t="s">
        <v>32</v>
      </c>
      <c r="G1801" t="s">
        <v>25</v>
      </c>
      <c r="H1801" t="s">
        <v>39</v>
      </c>
      <c r="I1801" t="s">
        <v>34</v>
      </c>
      <c r="J1801" s="11">
        <v>45810</v>
      </c>
      <c r="K1801" t="str">
        <f>TEXT(Transactions_Clean[[#This Row],[Date]],"MMM-YYYY")</f>
        <v>Jun-2025</v>
      </c>
      <c r="L1801">
        <f>IF(Transactions_Clean[[#This Row],[Category]]="Revenue",Transactions_Clean[[#This Row],[Amount(₹)]],Transactions_Clean[[#This Row],[Amount(₹)]]/8)</f>
        <v>-2427.625</v>
      </c>
    </row>
    <row r="1802" spans="1:12">
      <c r="A1802" t="s">
        <v>2954</v>
      </c>
      <c r="B1802" t="s">
        <v>4757</v>
      </c>
      <c r="C1802" t="s">
        <v>73</v>
      </c>
      <c r="D1802">
        <v>-79770</v>
      </c>
      <c r="E1802" t="s">
        <v>74</v>
      </c>
      <c r="F1802" t="s">
        <v>24</v>
      </c>
      <c r="G1802" t="s">
        <v>25</v>
      </c>
      <c r="H1802" t="s">
        <v>39</v>
      </c>
      <c r="I1802" t="s">
        <v>34</v>
      </c>
      <c r="J1802" s="11">
        <v>45755</v>
      </c>
      <c r="K1802" t="str">
        <f>TEXT(Transactions_Clean[[#This Row],[Date]],"MMM-YYYY")</f>
        <v>Apr-2025</v>
      </c>
      <c r="L1802">
        <f>IF(Transactions_Clean[[#This Row],[Category]]="Revenue",Transactions_Clean[[#This Row],[Amount(₹)]],Transactions_Clean[[#This Row],[Amount(₹)]]/8)</f>
        <v>-9971.25</v>
      </c>
    </row>
    <row r="1803" spans="1:12">
      <c r="A1803" t="s">
        <v>2956</v>
      </c>
      <c r="B1803" t="s">
        <v>4752</v>
      </c>
      <c r="C1803" t="s">
        <v>44</v>
      </c>
      <c r="D1803">
        <v>-177136</v>
      </c>
      <c r="E1803" t="s">
        <v>23</v>
      </c>
      <c r="F1803" t="s">
        <v>32</v>
      </c>
      <c r="G1803" t="s">
        <v>33</v>
      </c>
      <c r="H1803" t="s">
        <v>45</v>
      </c>
      <c r="I1803" t="s">
        <v>27</v>
      </c>
      <c r="J1803" s="11">
        <v>45733</v>
      </c>
      <c r="K1803" t="str">
        <f>TEXT(Transactions_Clean[[#This Row],[Date]],"MMM-YYYY")</f>
        <v>Mar-2025</v>
      </c>
      <c r="L1803">
        <f>IF(Transactions_Clean[[#This Row],[Category]]="Revenue",Transactions_Clean[[#This Row],[Amount(₹)]],Transactions_Clean[[#This Row],[Amount(₹)]]/8)</f>
        <v>-22142</v>
      </c>
    </row>
    <row r="1804" spans="1:12">
      <c r="A1804" t="s">
        <v>2957</v>
      </c>
      <c r="B1804" t="s">
        <v>255</v>
      </c>
      <c r="C1804" t="s">
        <v>22</v>
      </c>
      <c r="D1804">
        <v>-50352</v>
      </c>
      <c r="E1804" t="s">
        <v>23</v>
      </c>
      <c r="F1804" t="s">
        <v>32</v>
      </c>
      <c r="G1804" t="s">
        <v>25</v>
      </c>
      <c r="H1804" t="s">
        <v>45</v>
      </c>
      <c r="I1804" t="s">
        <v>34</v>
      </c>
      <c r="J1804" s="11">
        <v>45394</v>
      </c>
      <c r="K1804" t="str">
        <f>TEXT(Transactions_Clean[[#This Row],[Date]],"MMM-YYYY")</f>
        <v>Apr-2024</v>
      </c>
      <c r="L1804">
        <f>IF(Transactions_Clean[[#This Row],[Category]]="Revenue",Transactions_Clean[[#This Row],[Amount(₹)]],Transactions_Clean[[#This Row],[Amount(₹)]]/8)</f>
        <v>-6294</v>
      </c>
    </row>
    <row r="1805" spans="1:12">
      <c r="A1805" t="s">
        <v>2958</v>
      </c>
      <c r="B1805" t="s">
        <v>4754</v>
      </c>
      <c r="C1805" t="s">
        <v>78</v>
      </c>
      <c r="D1805">
        <v>-93346</v>
      </c>
      <c r="E1805" t="s">
        <v>23</v>
      </c>
      <c r="F1805" t="s">
        <v>24</v>
      </c>
      <c r="G1805" t="s">
        <v>79</v>
      </c>
      <c r="H1805" t="s">
        <v>45</v>
      </c>
      <c r="I1805" t="s">
        <v>48</v>
      </c>
      <c r="J1805" s="11">
        <v>45642</v>
      </c>
      <c r="K1805" t="str">
        <f>TEXT(Transactions_Clean[[#This Row],[Date]],"MMM-YYYY")</f>
        <v>Dec-2024</v>
      </c>
      <c r="L1805">
        <f>IF(Transactions_Clean[[#This Row],[Category]]="Revenue",Transactions_Clean[[#This Row],[Amount(₹)]],Transactions_Clean[[#This Row],[Amount(₹)]]/8)</f>
        <v>-11668.25</v>
      </c>
    </row>
    <row r="1806" spans="1:12">
      <c r="A1806" t="s">
        <v>2960</v>
      </c>
      <c r="B1806" t="s">
        <v>60</v>
      </c>
      <c r="C1806" t="s">
        <v>61</v>
      </c>
      <c r="D1806">
        <v>-41779</v>
      </c>
      <c r="E1806" t="s">
        <v>62</v>
      </c>
      <c r="F1806" t="s">
        <v>32</v>
      </c>
      <c r="G1806" t="s">
        <v>63</v>
      </c>
      <c r="H1806" t="s">
        <v>26</v>
      </c>
      <c r="I1806" t="s">
        <v>27</v>
      </c>
      <c r="J1806" s="11">
        <v>45308</v>
      </c>
      <c r="K1806" t="str">
        <f>TEXT(Transactions_Clean[[#This Row],[Date]],"MMM-YYYY")</f>
        <v>Jan-2024</v>
      </c>
      <c r="L1806">
        <f>IF(Transactions_Clean[[#This Row],[Category]]="Revenue",Transactions_Clean[[#This Row],[Amount(₹)]],Transactions_Clean[[#This Row],[Amount(₹)]]/8)</f>
        <v>-5222.375</v>
      </c>
    </row>
    <row r="1807" spans="1:12">
      <c r="A1807" t="s">
        <v>2961</v>
      </c>
      <c r="B1807" t="s">
        <v>37</v>
      </c>
      <c r="C1807" t="s">
        <v>38</v>
      </c>
      <c r="D1807">
        <v>-12347</v>
      </c>
      <c r="E1807" t="s">
        <v>23</v>
      </c>
      <c r="F1807" t="s">
        <v>32</v>
      </c>
      <c r="G1807" t="s">
        <v>33</v>
      </c>
      <c r="H1807" t="s">
        <v>45</v>
      </c>
      <c r="I1807" t="s">
        <v>27</v>
      </c>
      <c r="J1807" s="11">
        <v>45706</v>
      </c>
      <c r="K1807" t="str">
        <f>TEXT(Transactions_Clean[[#This Row],[Date]],"MMM-YYYY")</f>
        <v>Feb-2025</v>
      </c>
      <c r="L1807">
        <f>IF(Transactions_Clean[[#This Row],[Category]]="Revenue",Transactions_Clean[[#This Row],[Amount(₹)]],Transactions_Clean[[#This Row],[Amount(₹)]]/8)</f>
        <v>-1543.375</v>
      </c>
    </row>
    <row r="1808" spans="1:12">
      <c r="A1808" t="s">
        <v>2962</v>
      </c>
      <c r="B1808" t="s">
        <v>37</v>
      </c>
      <c r="C1808" t="s">
        <v>38</v>
      </c>
      <c r="D1808">
        <v>-12015</v>
      </c>
      <c r="E1808" t="s">
        <v>23</v>
      </c>
      <c r="F1808" t="s">
        <v>32</v>
      </c>
      <c r="G1808" t="s">
        <v>33</v>
      </c>
      <c r="H1808" t="s">
        <v>39</v>
      </c>
      <c r="I1808" t="s">
        <v>34</v>
      </c>
      <c r="J1808" s="11">
        <v>45769</v>
      </c>
      <c r="K1808" t="str">
        <f>TEXT(Transactions_Clean[[#This Row],[Date]],"MMM-YYYY")</f>
        <v>Apr-2025</v>
      </c>
      <c r="L1808">
        <f>IF(Transactions_Clean[[#This Row],[Category]]="Revenue",Transactions_Clean[[#This Row],[Amount(₹)]],Transactions_Clean[[#This Row],[Amount(₹)]]/8)</f>
        <v>-1501.875</v>
      </c>
    </row>
    <row r="1809" spans="1:12">
      <c r="A1809" t="s">
        <v>2964</v>
      </c>
      <c r="B1809" t="s">
        <v>129</v>
      </c>
      <c r="C1809" t="s">
        <v>38</v>
      </c>
      <c r="D1809">
        <v>-34612</v>
      </c>
      <c r="E1809" t="s">
        <v>23</v>
      </c>
      <c r="F1809" t="s">
        <v>32</v>
      </c>
      <c r="G1809" t="s">
        <v>33</v>
      </c>
      <c r="H1809" t="s">
        <v>39</v>
      </c>
      <c r="I1809" t="s">
        <v>48</v>
      </c>
      <c r="J1809" s="11">
        <v>45965</v>
      </c>
      <c r="K1809" t="str">
        <f>TEXT(Transactions_Clean[[#This Row],[Date]],"MMM-YYYY")</f>
        <v>Nov-2025</v>
      </c>
      <c r="L1809">
        <f>IF(Transactions_Clean[[#This Row],[Category]]="Revenue",Transactions_Clean[[#This Row],[Amount(₹)]],Transactions_Clean[[#This Row],[Amount(₹)]]/8)</f>
        <v>-4326.5</v>
      </c>
    </row>
    <row r="1810" spans="1:12">
      <c r="A1810" t="s">
        <v>2965</v>
      </c>
      <c r="B1810" t="s">
        <v>4755</v>
      </c>
      <c r="C1810" t="s">
        <v>78</v>
      </c>
      <c r="D1810">
        <v>-31505</v>
      </c>
      <c r="E1810" t="s">
        <v>23</v>
      </c>
      <c r="F1810" t="s">
        <v>32</v>
      </c>
      <c r="G1810" t="s">
        <v>79</v>
      </c>
      <c r="H1810" t="s">
        <v>26</v>
      </c>
      <c r="I1810" t="s">
        <v>34</v>
      </c>
      <c r="J1810" s="11">
        <v>45072</v>
      </c>
      <c r="K1810" t="str">
        <f>TEXT(Transactions_Clean[[#This Row],[Date]],"MMM-YYYY")</f>
        <v>May-2023</v>
      </c>
      <c r="L1810">
        <f>IF(Transactions_Clean[[#This Row],[Category]]="Revenue",Transactions_Clean[[#This Row],[Amount(₹)]],Transactions_Clean[[#This Row],[Amount(₹)]]/8)</f>
        <v>-3938.125</v>
      </c>
    </row>
    <row r="1811" spans="1:12">
      <c r="A1811" t="s">
        <v>2966</v>
      </c>
      <c r="B1811" t="s">
        <v>177</v>
      </c>
      <c r="C1811" t="s">
        <v>78</v>
      </c>
      <c r="D1811">
        <v>-66007</v>
      </c>
      <c r="E1811" t="s">
        <v>23</v>
      </c>
      <c r="F1811" t="s">
        <v>32</v>
      </c>
      <c r="G1811" t="s">
        <v>79</v>
      </c>
      <c r="H1811" t="s">
        <v>26</v>
      </c>
      <c r="I1811" t="s">
        <v>40</v>
      </c>
      <c r="J1811" s="11">
        <v>45129</v>
      </c>
      <c r="K1811" t="str">
        <f>TEXT(Transactions_Clean[[#This Row],[Date]],"MMM-YYYY")</f>
        <v>Jul-2023</v>
      </c>
      <c r="L1811">
        <f>IF(Transactions_Clean[[#This Row],[Category]]="Revenue",Transactions_Clean[[#This Row],[Amount(₹)]],Transactions_Clean[[#This Row],[Amount(₹)]]/8)</f>
        <v>-8250.875</v>
      </c>
    </row>
    <row r="1812" spans="1:12">
      <c r="A1812" t="s">
        <v>2967</v>
      </c>
      <c r="B1812" t="s">
        <v>4752</v>
      </c>
      <c r="C1812" t="s">
        <v>44</v>
      </c>
      <c r="D1812">
        <v>-162888</v>
      </c>
      <c r="E1812" t="s">
        <v>23</v>
      </c>
      <c r="F1812" t="s">
        <v>24</v>
      </c>
      <c r="G1812" t="s">
        <v>33</v>
      </c>
      <c r="H1812" t="s">
        <v>26</v>
      </c>
      <c r="I1812" t="s">
        <v>40</v>
      </c>
      <c r="J1812" s="11">
        <v>45108</v>
      </c>
      <c r="K1812" t="str">
        <f>TEXT(Transactions_Clean[[#This Row],[Date]],"MMM-YYYY")</f>
        <v>Jul-2023</v>
      </c>
      <c r="L1812">
        <f>IF(Transactions_Clean[[#This Row],[Category]]="Revenue",Transactions_Clean[[#This Row],[Amount(₹)]],Transactions_Clean[[#This Row],[Amount(₹)]]/8)</f>
        <v>-20361</v>
      </c>
    </row>
    <row r="1813" spans="1:12">
      <c r="A1813" t="s">
        <v>2969</v>
      </c>
      <c r="B1813" t="s">
        <v>237</v>
      </c>
      <c r="C1813" t="s">
        <v>22</v>
      </c>
      <c r="D1813">
        <v>-190949</v>
      </c>
      <c r="E1813" t="s">
        <v>23</v>
      </c>
      <c r="F1813" t="s">
        <v>32</v>
      </c>
      <c r="G1813" t="s">
        <v>25</v>
      </c>
      <c r="H1813" t="s">
        <v>26</v>
      </c>
      <c r="I1813" t="s">
        <v>34</v>
      </c>
      <c r="J1813" s="11">
        <v>45032</v>
      </c>
      <c r="K1813" t="str">
        <f>TEXT(Transactions_Clean[[#This Row],[Date]],"MMM-YYYY")</f>
        <v>Apr-2023</v>
      </c>
      <c r="L1813">
        <f>IF(Transactions_Clean[[#This Row],[Category]]="Revenue",Transactions_Clean[[#This Row],[Amount(₹)]],Transactions_Clean[[#This Row],[Amount(₹)]]/8)</f>
        <v>-23868.625</v>
      </c>
    </row>
    <row r="1814" spans="1:12">
      <c r="A1814" t="s">
        <v>2970</v>
      </c>
      <c r="B1814" t="s">
        <v>4748</v>
      </c>
      <c r="C1814" t="s">
        <v>22</v>
      </c>
      <c r="D1814">
        <v>-147589</v>
      </c>
      <c r="E1814" t="s">
        <v>23</v>
      </c>
      <c r="F1814" t="s">
        <v>32</v>
      </c>
      <c r="G1814" t="s">
        <v>25</v>
      </c>
      <c r="H1814" t="s">
        <v>39</v>
      </c>
      <c r="I1814" t="s">
        <v>34</v>
      </c>
      <c r="J1814" s="11">
        <v>45765</v>
      </c>
      <c r="K1814" t="str">
        <f>TEXT(Transactions_Clean[[#This Row],[Date]],"MMM-YYYY")</f>
        <v>Apr-2025</v>
      </c>
      <c r="L1814">
        <f>IF(Transactions_Clean[[#This Row],[Category]]="Revenue",Transactions_Clean[[#This Row],[Amount(₹)]],Transactions_Clean[[#This Row],[Amount(₹)]]/8)</f>
        <v>-18448.625</v>
      </c>
    </row>
    <row r="1815" spans="1:12">
      <c r="A1815" t="s">
        <v>2971</v>
      </c>
      <c r="B1815" t="s">
        <v>60</v>
      </c>
      <c r="C1815" t="s">
        <v>61</v>
      </c>
      <c r="D1815">
        <v>-61729</v>
      </c>
      <c r="E1815" t="s">
        <v>62</v>
      </c>
      <c r="F1815" t="s">
        <v>32</v>
      </c>
      <c r="G1815" t="s">
        <v>63</v>
      </c>
      <c r="H1815" t="s">
        <v>26</v>
      </c>
      <c r="I1815" t="s">
        <v>34</v>
      </c>
      <c r="J1815" s="11">
        <v>45042</v>
      </c>
      <c r="K1815" t="str">
        <f>TEXT(Transactions_Clean[[#This Row],[Date]],"MMM-YYYY")</f>
        <v>Apr-2023</v>
      </c>
      <c r="L1815">
        <f>IF(Transactions_Clean[[#This Row],[Category]]="Revenue",Transactions_Clean[[#This Row],[Amount(₹)]],Transactions_Clean[[#This Row],[Amount(₹)]]/8)</f>
        <v>-7716.125</v>
      </c>
    </row>
    <row r="1816" spans="1:12">
      <c r="A1816" t="s">
        <v>2972</v>
      </c>
      <c r="B1816" t="s">
        <v>129</v>
      </c>
      <c r="C1816" t="s">
        <v>38</v>
      </c>
      <c r="D1816">
        <v>-10327</v>
      </c>
      <c r="E1816" t="s">
        <v>23</v>
      </c>
      <c r="F1816" t="s">
        <v>24</v>
      </c>
      <c r="G1816" t="s">
        <v>33</v>
      </c>
      <c r="H1816" t="s">
        <v>39</v>
      </c>
      <c r="I1816" t="s">
        <v>40</v>
      </c>
      <c r="J1816" s="11">
        <v>45878</v>
      </c>
      <c r="K1816" t="str">
        <f>TEXT(Transactions_Clean[[#This Row],[Date]],"MMM-YYYY")</f>
        <v>Aug-2025</v>
      </c>
      <c r="L1816">
        <f>IF(Transactions_Clean[[#This Row],[Category]]="Revenue",Transactions_Clean[[#This Row],[Amount(₹)]],Transactions_Clean[[#This Row],[Amount(₹)]]/8)</f>
        <v>-1290.875</v>
      </c>
    </row>
    <row r="1817" spans="1:12">
      <c r="A1817" t="s">
        <v>2973</v>
      </c>
      <c r="B1817" t="s">
        <v>66</v>
      </c>
      <c r="C1817" t="s">
        <v>61</v>
      </c>
      <c r="D1817">
        <v>-36033</v>
      </c>
      <c r="E1817" t="s">
        <v>62</v>
      </c>
      <c r="F1817" t="s">
        <v>32</v>
      </c>
      <c r="G1817" t="s">
        <v>63</v>
      </c>
      <c r="H1817" t="s">
        <v>39</v>
      </c>
      <c r="I1817" t="s">
        <v>40</v>
      </c>
      <c r="J1817" s="11">
        <v>45869</v>
      </c>
      <c r="K1817" t="str">
        <f>TEXT(Transactions_Clean[[#This Row],[Date]],"MMM-YYYY")</f>
        <v>Jul-2025</v>
      </c>
      <c r="L1817">
        <f>IF(Transactions_Clean[[#This Row],[Category]]="Revenue",Transactions_Clean[[#This Row],[Amount(₹)]],Transactions_Clean[[#This Row],[Amount(₹)]]/8)</f>
        <v>-4504.125</v>
      </c>
    </row>
    <row r="1818" spans="1:12">
      <c r="A1818" t="s">
        <v>2974</v>
      </c>
      <c r="B1818" t="s">
        <v>4774</v>
      </c>
      <c r="C1818" t="s">
        <v>440</v>
      </c>
      <c r="D1818">
        <v>-108818</v>
      </c>
      <c r="E1818" t="s">
        <v>23</v>
      </c>
      <c r="F1818" t="s">
        <v>32</v>
      </c>
      <c r="G1818" t="s">
        <v>33</v>
      </c>
      <c r="H1818" t="s">
        <v>39</v>
      </c>
      <c r="I1818" t="s">
        <v>34</v>
      </c>
      <c r="J1818" s="11">
        <v>45794</v>
      </c>
      <c r="K1818" t="str">
        <f>TEXT(Transactions_Clean[[#This Row],[Date]],"MMM-YYYY")</f>
        <v>May-2025</v>
      </c>
      <c r="L1818">
        <f>IF(Transactions_Clean[[#This Row],[Category]]="Revenue",Transactions_Clean[[#This Row],[Amount(₹)]],Transactions_Clean[[#This Row],[Amount(₹)]]/8)</f>
        <v>-13602.25</v>
      </c>
    </row>
    <row r="1819" spans="1:12">
      <c r="A1819" t="s">
        <v>2975</v>
      </c>
      <c r="B1819" t="s">
        <v>4792</v>
      </c>
      <c r="C1819" t="s">
        <v>136</v>
      </c>
      <c r="D1819">
        <v>-10374330</v>
      </c>
      <c r="E1819" t="s">
        <v>62</v>
      </c>
      <c r="F1819" t="s">
        <v>32</v>
      </c>
      <c r="G1819" t="s">
        <v>63</v>
      </c>
      <c r="H1819" t="s">
        <v>39</v>
      </c>
      <c r="I1819" t="s">
        <v>34</v>
      </c>
      <c r="J1819" s="11">
        <v>45836</v>
      </c>
      <c r="K1819" t="str">
        <f>TEXT(Transactions_Clean[[#This Row],[Date]],"MMM-YYYY")</f>
        <v>Jun-2025</v>
      </c>
      <c r="L1819">
        <f>IF(Transactions_Clean[[#This Row],[Category]]="Revenue",Transactions_Clean[[#This Row],[Amount(₹)]],Transactions_Clean[[#This Row],[Amount(₹)]]/8)</f>
        <v>-1296791.25</v>
      </c>
    </row>
    <row r="1820" spans="1:12">
      <c r="A1820" t="s">
        <v>2977</v>
      </c>
      <c r="B1820" t="s">
        <v>4769</v>
      </c>
      <c r="C1820" t="s">
        <v>44</v>
      </c>
      <c r="D1820">
        <v>-63624</v>
      </c>
      <c r="E1820" t="s">
        <v>23</v>
      </c>
      <c r="F1820" t="s">
        <v>32</v>
      </c>
      <c r="G1820" t="s">
        <v>33</v>
      </c>
      <c r="H1820" t="s">
        <v>45</v>
      </c>
      <c r="I1820" t="s">
        <v>34</v>
      </c>
      <c r="J1820" s="11">
        <v>45440</v>
      </c>
      <c r="K1820" t="str">
        <f>TEXT(Transactions_Clean[[#This Row],[Date]],"MMM-YYYY")</f>
        <v>May-2024</v>
      </c>
      <c r="L1820">
        <f>IF(Transactions_Clean[[#This Row],[Category]]="Revenue",Transactions_Clean[[#This Row],[Amount(₹)]],Transactions_Clean[[#This Row],[Amount(₹)]]/8)</f>
        <v>-7953</v>
      </c>
    </row>
    <row r="1821" spans="1:12">
      <c r="A1821" t="s">
        <v>2978</v>
      </c>
      <c r="B1821" t="s">
        <v>4752</v>
      </c>
      <c r="C1821" t="s">
        <v>44</v>
      </c>
      <c r="D1821">
        <v>-87299</v>
      </c>
      <c r="E1821" t="s">
        <v>23</v>
      </c>
      <c r="F1821" t="s">
        <v>24</v>
      </c>
      <c r="G1821" t="s">
        <v>33</v>
      </c>
      <c r="H1821" t="s">
        <v>45</v>
      </c>
      <c r="I1821" t="s">
        <v>40</v>
      </c>
      <c r="J1821" s="11">
        <v>45513</v>
      </c>
      <c r="K1821" t="str">
        <f>TEXT(Transactions_Clean[[#This Row],[Date]],"MMM-YYYY")</f>
        <v>Aug-2024</v>
      </c>
      <c r="L1821">
        <f>IF(Transactions_Clean[[#This Row],[Category]]="Revenue",Transactions_Clean[[#This Row],[Amount(₹)]],Transactions_Clean[[#This Row],[Amount(₹)]]/8)</f>
        <v>-10912.375</v>
      </c>
    </row>
    <row r="1822" spans="1:12">
      <c r="A1822" t="s">
        <v>2979</v>
      </c>
      <c r="B1822" t="s">
        <v>30</v>
      </c>
      <c r="C1822" t="s">
        <v>31</v>
      </c>
      <c r="D1822">
        <v>-16449</v>
      </c>
      <c r="E1822" t="s">
        <v>23</v>
      </c>
      <c r="F1822" t="s">
        <v>32</v>
      </c>
      <c r="G1822" t="s">
        <v>33</v>
      </c>
      <c r="H1822" t="s">
        <v>45</v>
      </c>
      <c r="I1822" t="s">
        <v>27</v>
      </c>
      <c r="J1822" s="11">
        <v>45710</v>
      </c>
      <c r="K1822" t="str">
        <f>TEXT(Transactions_Clean[[#This Row],[Date]],"MMM-YYYY")</f>
        <v>Feb-2025</v>
      </c>
      <c r="L1822">
        <f>IF(Transactions_Clean[[#This Row],[Category]]="Revenue",Transactions_Clean[[#This Row],[Amount(₹)]],Transactions_Clean[[#This Row],[Amount(₹)]]/8)</f>
        <v>-2056.125</v>
      </c>
    </row>
    <row r="1823" spans="1:12">
      <c r="A1823" t="s">
        <v>2980</v>
      </c>
      <c r="B1823" t="s">
        <v>224</v>
      </c>
      <c r="C1823" t="s">
        <v>78</v>
      </c>
      <c r="D1823">
        <v>-86531</v>
      </c>
      <c r="E1823" t="s">
        <v>23</v>
      </c>
      <c r="F1823" t="s">
        <v>32</v>
      </c>
      <c r="G1823" t="s">
        <v>79</v>
      </c>
      <c r="H1823" t="s">
        <v>26</v>
      </c>
      <c r="I1823" t="s">
        <v>27</v>
      </c>
      <c r="J1823" s="11">
        <v>45336</v>
      </c>
      <c r="K1823" t="str">
        <f>TEXT(Transactions_Clean[[#This Row],[Date]],"MMM-YYYY")</f>
        <v>Feb-2024</v>
      </c>
      <c r="L1823">
        <f>IF(Transactions_Clean[[#This Row],[Category]]="Revenue",Transactions_Clean[[#This Row],[Amount(₹)]],Transactions_Clean[[#This Row],[Amount(₹)]]/8)</f>
        <v>-10816.375</v>
      </c>
    </row>
    <row r="1824" spans="1:12">
      <c r="A1824" t="s">
        <v>2982</v>
      </c>
      <c r="B1824" t="s">
        <v>4769</v>
      </c>
      <c r="C1824" t="s">
        <v>44</v>
      </c>
      <c r="D1824">
        <v>-178339</v>
      </c>
      <c r="E1824" t="s">
        <v>23</v>
      </c>
      <c r="F1824" t="s">
        <v>24</v>
      </c>
      <c r="G1824" t="s">
        <v>33</v>
      </c>
      <c r="H1824" t="s">
        <v>39</v>
      </c>
      <c r="I1824" t="s">
        <v>40</v>
      </c>
      <c r="J1824" s="11">
        <v>45846</v>
      </c>
      <c r="K1824" t="str">
        <f>TEXT(Transactions_Clean[[#This Row],[Date]],"MMM-YYYY")</f>
        <v>Jul-2025</v>
      </c>
      <c r="L1824">
        <f>IF(Transactions_Clean[[#This Row],[Category]]="Revenue",Transactions_Clean[[#This Row],[Amount(₹)]],Transactions_Clean[[#This Row],[Amount(₹)]]/8)</f>
        <v>-22292.375</v>
      </c>
    </row>
    <row r="1825" spans="1:12">
      <c r="A1825" t="s">
        <v>2984</v>
      </c>
      <c r="B1825" t="s">
        <v>106</v>
      </c>
      <c r="C1825" t="s">
        <v>31</v>
      </c>
      <c r="D1825">
        <v>-20910</v>
      </c>
      <c r="E1825" t="s">
        <v>23</v>
      </c>
      <c r="F1825" t="s">
        <v>32</v>
      </c>
      <c r="G1825" t="s">
        <v>33</v>
      </c>
      <c r="H1825" t="s">
        <v>39</v>
      </c>
      <c r="I1825" t="s">
        <v>27</v>
      </c>
      <c r="J1825" s="11">
        <v>46051</v>
      </c>
      <c r="K1825" t="str">
        <f>TEXT(Transactions_Clean[[#This Row],[Date]],"MMM-YYYY")</f>
        <v>Jan-2026</v>
      </c>
      <c r="L1825">
        <f>IF(Transactions_Clean[[#This Row],[Category]]="Revenue",Transactions_Clean[[#This Row],[Amount(₹)]],Transactions_Clean[[#This Row],[Amount(₹)]]/8)</f>
        <v>-2613.75</v>
      </c>
    </row>
    <row r="1826" spans="1:12">
      <c r="A1826" t="s">
        <v>2985</v>
      </c>
      <c r="B1826" t="s">
        <v>616</v>
      </c>
      <c r="C1826" t="s">
        <v>22</v>
      </c>
      <c r="D1826">
        <v>-191889</v>
      </c>
      <c r="E1826" t="s">
        <v>23</v>
      </c>
      <c r="F1826" t="s">
        <v>24</v>
      </c>
      <c r="G1826" t="s">
        <v>25</v>
      </c>
      <c r="H1826" t="s">
        <v>26</v>
      </c>
      <c r="I1826" t="s">
        <v>48</v>
      </c>
      <c r="J1826" s="11">
        <v>45210</v>
      </c>
      <c r="K1826" t="str">
        <f>TEXT(Transactions_Clean[[#This Row],[Date]],"MMM-YYYY")</f>
        <v>Oct-2023</v>
      </c>
      <c r="L1826">
        <f>IF(Transactions_Clean[[#This Row],[Category]]="Revenue",Transactions_Clean[[#This Row],[Amount(₹)]],Transactions_Clean[[#This Row],[Amount(₹)]]/8)</f>
        <v>-23986.125</v>
      </c>
    </row>
    <row r="1827" spans="1:12">
      <c r="A1827" t="s">
        <v>2986</v>
      </c>
      <c r="B1827" t="s">
        <v>100</v>
      </c>
      <c r="C1827" t="s">
        <v>31</v>
      </c>
      <c r="D1827">
        <v>-29052</v>
      </c>
      <c r="E1827" t="s">
        <v>23</v>
      </c>
      <c r="F1827" t="s">
        <v>24</v>
      </c>
      <c r="G1827" t="s">
        <v>33</v>
      </c>
      <c r="H1827" t="s">
        <v>39</v>
      </c>
      <c r="I1827" t="s">
        <v>48</v>
      </c>
      <c r="J1827" s="11">
        <v>45993</v>
      </c>
      <c r="K1827" t="str">
        <f>TEXT(Transactions_Clean[[#This Row],[Date]],"MMM-YYYY")</f>
        <v>Dec-2025</v>
      </c>
      <c r="L1827">
        <f>IF(Transactions_Clean[[#This Row],[Category]]="Revenue",Transactions_Clean[[#This Row],[Amount(₹)]],Transactions_Clean[[#This Row],[Amount(₹)]]/8)</f>
        <v>-3631.5</v>
      </c>
    </row>
    <row r="1828" spans="1:12">
      <c r="A1828" t="s">
        <v>2987</v>
      </c>
      <c r="B1828" t="s">
        <v>4759</v>
      </c>
      <c r="C1828" t="s">
        <v>31</v>
      </c>
      <c r="D1828">
        <v>-40654</v>
      </c>
      <c r="E1828" t="s">
        <v>23</v>
      </c>
      <c r="F1828" t="s">
        <v>32</v>
      </c>
      <c r="G1828" t="s">
        <v>33</v>
      </c>
      <c r="H1828" t="s">
        <v>26</v>
      </c>
      <c r="I1828" t="s">
        <v>48</v>
      </c>
      <c r="J1828" s="11">
        <v>45237</v>
      </c>
      <c r="K1828" t="str">
        <f>TEXT(Transactions_Clean[[#This Row],[Date]],"MMM-YYYY")</f>
        <v>Nov-2023</v>
      </c>
      <c r="L1828">
        <f>IF(Transactions_Clean[[#This Row],[Category]]="Revenue",Transactions_Clean[[#This Row],[Amount(₹)]],Transactions_Clean[[#This Row],[Amount(₹)]]/8)</f>
        <v>-5081.75</v>
      </c>
    </row>
    <row r="1829" spans="1:12">
      <c r="A1829" t="s">
        <v>2988</v>
      </c>
      <c r="B1829" t="s">
        <v>224</v>
      </c>
      <c r="C1829" t="s">
        <v>78</v>
      </c>
      <c r="D1829">
        <v>-50785</v>
      </c>
      <c r="E1829" t="s">
        <v>23</v>
      </c>
      <c r="F1829" t="s">
        <v>32</v>
      </c>
      <c r="G1829" t="s">
        <v>79</v>
      </c>
      <c r="H1829" t="s">
        <v>45</v>
      </c>
      <c r="I1829" t="s">
        <v>34</v>
      </c>
      <c r="J1829" s="11">
        <v>45395</v>
      </c>
      <c r="K1829" t="str">
        <f>TEXT(Transactions_Clean[[#This Row],[Date]],"MMM-YYYY")</f>
        <v>Apr-2024</v>
      </c>
      <c r="L1829">
        <f>IF(Transactions_Clean[[#This Row],[Category]]="Revenue",Transactions_Clean[[#This Row],[Amount(₹)]],Transactions_Clean[[#This Row],[Amount(₹)]]/8)</f>
        <v>-6348.125</v>
      </c>
    </row>
    <row r="1830" spans="1:12">
      <c r="A1830" t="s">
        <v>2989</v>
      </c>
      <c r="B1830" t="s">
        <v>177</v>
      </c>
      <c r="C1830" t="s">
        <v>78</v>
      </c>
      <c r="D1830">
        <v>-94888</v>
      </c>
      <c r="E1830" t="s">
        <v>23</v>
      </c>
      <c r="F1830" t="s">
        <v>32</v>
      </c>
      <c r="G1830" t="s">
        <v>79</v>
      </c>
      <c r="H1830" t="s">
        <v>39</v>
      </c>
      <c r="I1830" t="s">
        <v>48</v>
      </c>
      <c r="J1830" s="11">
        <v>45961</v>
      </c>
      <c r="K1830" t="str">
        <f>TEXT(Transactions_Clean[[#This Row],[Date]],"MMM-YYYY")</f>
        <v>Oct-2025</v>
      </c>
      <c r="L1830">
        <f>IF(Transactions_Clean[[#This Row],[Category]]="Revenue",Transactions_Clean[[#This Row],[Amount(₹)]],Transactions_Clean[[#This Row],[Amount(₹)]]/8)</f>
        <v>-11861</v>
      </c>
    </row>
    <row r="1831" spans="1:12">
      <c r="A1831" t="s">
        <v>2990</v>
      </c>
      <c r="B1831" t="s">
        <v>4758</v>
      </c>
      <c r="C1831" t="s">
        <v>78</v>
      </c>
      <c r="D1831">
        <v>-100119</v>
      </c>
      <c r="E1831" t="s">
        <v>23</v>
      </c>
      <c r="F1831" t="s">
        <v>24</v>
      </c>
      <c r="G1831" t="s">
        <v>79</v>
      </c>
      <c r="H1831" t="s">
        <v>45</v>
      </c>
      <c r="I1831" t="s">
        <v>48</v>
      </c>
      <c r="J1831" s="11">
        <v>45656</v>
      </c>
      <c r="K1831" t="str">
        <f>TEXT(Transactions_Clean[[#This Row],[Date]],"MMM-YYYY")</f>
        <v>Dec-2024</v>
      </c>
      <c r="L1831">
        <f>IF(Transactions_Clean[[#This Row],[Category]]="Revenue",Transactions_Clean[[#This Row],[Amount(₹)]],Transactions_Clean[[#This Row],[Amount(₹)]]/8)</f>
        <v>-12514.875</v>
      </c>
    </row>
    <row r="1832" spans="1:12">
      <c r="A1832" t="s">
        <v>2991</v>
      </c>
      <c r="B1832" t="s">
        <v>60</v>
      </c>
      <c r="C1832" t="s">
        <v>61</v>
      </c>
      <c r="D1832">
        <v>-48538</v>
      </c>
      <c r="E1832" t="s">
        <v>62</v>
      </c>
      <c r="F1832" t="s">
        <v>24</v>
      </c>
      <c r="G1832" t="s">
        <v>63</v>
      </c>
      <c r="H1832" t="s">
        <v>39</v>
      </c>
      <c r="I1832" t="s">
        <v>40</v>
      </c>
      <c r="J1832" s="11">
        <v>45854</v>
      </c>
      <c r="K1832" t="str">
        <f>TEXT(Transactions_Clean[[#This Row],[Date]],"MMM-YYYY")</f>
        <v>Jul-2025</v>
      </c>
      <c r="L1832">
        <f>IF(Transactions_Clean[[#This Row],[Category]]="Revenue",Transactions_Clean[[#This Row],[Amount(₹)]],Transactions_Clean[[#This Row],[Amount(₹)]]/8)</f>
        <v>-6067.25</v>
      </c>
    </row>
    <row r="1833" spans="1:12">
      <c r="A1833" t="s">
        <v>2992</v>
      </c>
      <c r="B1833" t="s">
        <v>4754</v>
      </c>
      <c r="C1833" t="s">
        <v>78</v>
      </c>
      <c r="D1833">
        <v>-42631</v>
      </c>
      <c r="E1833" t="s">
        <v>23</v>
      </c>
      <c r="F1833" t="s">
        <v>24</v>
      </c>
      <c r="G1833" t="s">
        <v>79</v>
      </c>
      <c r="H1833" t="s">
        <v>26</v>
      </c>
      <c r="I1833" t="s">
        <v>34</v>
      </c>
      <c r="J1833" s="11">
        <v>45102</v>
      </c>
      <c r="K1833" t="str">
        <f>TEXT(Transactions_Clean[[#This Row],[Date]],"MMM-YYYY")</f>
        <v>Jun-2023</v>
      </c>
      <c r="L1833">
        <f>IF(Transactions_Clean[[#This Row],[Category]]="Revenue",Transactions_Clean[[#This Row],[Amount(₹)]],Transactions_Clean[[#This Row],[Amount(₹)]]/8)</f>
        <v>-5328.875</v>
      </c>
    </row>
    <row r="1834" spans="1:12">
      <c r="A1834" t="s">
        <v>2995</v>
      </c>
      <c r="B1834" t="s">
        <v>237</v>
      </c>
      <c r="C1834" t="s">
        <v>22</v>
      </c>
      <c r="D1834">
        <v>-197900</v>
      </c>
      <c r="E1834" t="s">
        <v>23</v>
      </c>
      <c r="F1834" t="s">
        <v>32</v>
      </c>
      <c r="G1834" t="s">
        <v>25</v>
      </c>
      <c r="H1834" t="s">
        <v>45</v>
      </c>
      <c r="I1834" t="s">
        <v>40</v>
      </c>
      <c r="J1834" s="11">
        <v>45514</v>
      </c>
      <c r="K1834" t="str">
        <f>TEXT(Transactions_Clean[[#This Row],[Date]],"MMM-YYYY")</f>
        <v>Aug-2024</v>
      </c>
      <c r="L1834">
        <f>IF(Transactions_Clean[[#This Row],[Category]]="Revenue",Transactions_Clean[[#This Row],[Amount(₹)]],Transactions_Clean[[#This Row],[Amount(₹)]]/8)</f>
        <v>-24737.5</v>
      </c>
    </row>
    <row r="1835" spans="1:12">
      <c r="A1835" t="s">
        <v>2996</v>
      </c>
      <c r="B1835" t="s">
        <v>4764</v>
      </c>
      <c r="C1835" t="s">
        <v>157</v>
      </c>
      <c r="D1835">
        <v>622443</v>
      </c>
      <c r="E1835" t="s">
        <v>62</v>
      </c>
      <c r="F1835" t="s">
        <v>32</v>
      </c>
      <c r="G1835" t="s">
        <v>25</v>
      </c>
      <c r="H1835" t="s">
        <v>45</v>
      </c>
      <c r="I1835" t="s">
        <v>27</v>
      </c>
      <c r="J1835" s="11">
        <v>45731</v>
      </c>
      <c r="K1835" t="str">
        <f>TEXT(Transactions_Clean[[#This Row],[Date]],"MMM-YYYY")</f>
        <v>Mar-2025</v>
      </c>
      <c r="L1835">
        <f>IF(Transactions_Clean[[#This Row],[Category]]="Revenue",Transactions_Clean[[#This Row],[Amount(₹)]],Transactions_Clean[[#This Row],[Amount(₹)]]/8)</f>
        <v>622443</v>
      </c>
    </row>
    <row r="1836" spans="1:12">
      <c r="A1836" t="s">
        <v>2998</v>
      </c>
      <c r="B1836" t="s">
        <v>161</v>
      </c>
      <c r="C1836" t="s">
        <v>22</v>
      </c>
      <c r="D1836">
        <v>-76247</v>
      </c>
      <c r="E1836" t="s">
        <v>23</v>
      </c>
      <c r="F1836" t="s">
        <v>32</v>
      </c>
      <c r="G1836" t="s">
        <v>25</v>
      </c>
      <c r="H1836" t="s">
        <v>39</v>
      </c>
      <c r="I1836" t="s">
        <v>34</v>
      </c>
      <c r="J1836" s="11">
        <v>45836</v>
      </c>
      <c r="K1836" t="str">
        <f>TEXT(Transactions_Clean[[#This Row],[Date]],"MMM-YYYY")</f>
        <v>Jun-2025</v>
      </c>
      <c r="L1836">
        <f>IF(Transactions_Clean[[#This Row],[Category]]="Revenue",Transactions_Clean[[#This Row],[Amount(₹)]],Transactions_Clean[[#This Row],[Amount(₹)]]/8)</f>
        <v>-9530.875</v>
      </c>
    </row>
    <row r="1837" spans="1:12">
      <c r="A1837" t="s">
        <v>2999</v>
      </c>
      <c r="B1837" t="s">
        <v>4758</v>
      </c>
      <c r="C1837" t="s">
        <v>78</v>
      </c>
      <c r="D1837">
        <v>-20992</v>
      </c>
      <c r="E1837" t="s">
        <v>23</v>
      </c>
      <c r="F1837" t="s">
        <v>24</v>
      </c>
      <c r="G1837" t="s">
        <v>79</v>
      </c>
      <c r="H1837" t="s">
        <v>26</v>
      </c>
      <c r="I1837" t="s">
        <v>40</v>
      </c>
      <c r="J1837" s="11">
        <v>45179</v>
      </c>
      <c r="K1837" t="str">
        <f>TEXT(Transactions_Clean[[#This Row],[Date]],"MMM-YYYY")</f>
        <v>Sep-2023</v>
      </c>
      <c r="L1837">
        <f>IF(Transactions_Clean[[#This Row],[Category]]="Revenue",Transactions_Clean[[#This Row],[Amount(₹)]],Transactions_Clean[[#This Row],[Amount(₹)]]/8)</f>
        <v>-2624</v>
      </c>
    </row>
    <row r="1838" spans="1:12">
      <c r="A1838" t="s">
        <v>3000</v>
      </c>
      <c r="B1838" t="s">
        <v>51</v>
      </c>
      <c r="C1838" t="s">
        <v>31</v>
      </c>
      <c r="D1838">
        <v>-23579</v>
      </c>
      <c r="E1838" t="s">
        <v>23</v>
      </c>
      <c r="F1838" t="s">
        <v>32</v>
      </c>
      <c r="G1838" t="s">
        <v>33</v>
      </c>
      <c r="H1838" t="s">
        <v>45</v>
      </c>
      <c r="I1838" t="s">
        <v>40</v>
      </c>
      <c r="J1838" s="11">
        <v>45474</v>
      </c>
      <c r="K1838" t="str">
        <f>TEXT(Transactions_Clean[[#This Row],[Date]],"MMM-YYYY")</f>
        <v>Jul-2024</v>
      </c>
      <c r="L1838">
        <f>IF(Transactions_Clean[[#This Row],[Category]]="Revenue",Transactions_Clean[[#This Row],[Amount(₹)]],Transactions_Clean[[#This Row],[Amount(₹)]]/8)</f>
        <v>-2947.375</v>
      </c>
    </row>
    <row r="1839" spans="1:12">
      <c r="A1839" t="s">
        <v>3001</v>
      </c>
      <c r="B1839" t="s">
        <v>37</v>
      </c>
      <c r="C1839" t="s">
        <v>38</v>
      </c>
      <c r="D1839">
        <v>-17746</v>
      </c>
      <c r="E1839" t="s">
        <v>23</v>
      </c>
      <c r="F1839" t="s">
        <v>32</v>
      </c>
      <c r="G1839" t="s">
        <v>33</v>
      </c>
      <c r="H1839" t="s">
        <v>45</v>
      </c>
      <c r="I1839" t="s">
        <v>27</v>
      </c>
      <c r="J1839" s="11">
        <v>45739</v>
      </c>
      <c r="K1839" t="str">
        <f>TEXT(Transactions_Clean[[#This Row],[Date]],"MMM-YYYY")</f>
        <v>Mar-2025</v>
      </c>
      <c r="L1839">
        <f>IF(Transactions_Clean[[#This Row],[Category]]="Revenue",Transactions_Clean[[#This Row],[Amount(₹)]],Transactions_Clean[[#This Row],[Amount(₹)]]/8)</f>
        <v>-2218.25</v>
      </c>
    </row>
    <row r="1840" spans="1:12">
      <c r="A1840" t="s">
        <v>3003</v>
      </c>
      <c r="B1840" t="s">
        <v>237</v>
      </c>
      <c r="C1840" t="s">
        <v>22</v>
      </c>
      <c r="D1840">
        <v>-170597</v>
      </c>
      <c r="E1840" t="s">
        <v>23</v>
      </c>
      <c r="F1840" t="s">
        <v>32</v>
      </c>
      <c r="G1840" t="s">
        <v>25</v>
      </c>
      <c r="H1840" t="s">
        <v>39</v>
      </c>
      <c r="I1840" t="s">
        <v>40</v>
      </c>
      <c r="J1840" s="11">
        <v>45902</v>
      </c>
      <c r="K1840" t="str">
        <f>TEXT(Transactions_Clean[[#This Row],[Date]],"MMM-YYYY")</f>
        <v>Sep-2025</v>
      </c>
      <c r="L1840">
        <f>IF(Transactions_Clean[[#This Row],[Category]]="Revenue",Transactions_Clean[[#This Row],[Amount(₹)]],Transactions_Clean[[#This Row],[Amount(₹)]]/8)</f>
        <v>-21324.625</v>
      </c>
    </row>
    <row r="1841" spans="1:12">
      <c r="A1841" t="s">
        <v>3004</v>
      </c>
      <c r="B1841" t="s">
        <v>687</v>
      </c>
      <c r="C1841" t="s">
        <v>44</v>
      </c>
      <c r="D1841">
        <v>-123588</v>
      </c>
      <c r="E1841" t="s">
        <v>23</v>
      </c>
      <c r="F1841" t="s">
        <v>24</v>
      </c>
      <c r="G1841" t="s">
        <v>33</v>
      </c>
      <c r="H1841" t="s">
        <v>26</v>
      </c>
      <c r="I1841" t="s">
        <v>48</v>
      </c>
      <c r="J1841" s="11">
        <v>45290</v>
      </c>
      <c r="K1841" t="str">
        <f>TEXT(Transactions_Clean[[#This Row],[Date]],"MMM-YYYY")</f>
        <v>Dec-2023</v>
      </c>
      <c r="L1841">
        <f>IF(Transactions_Clean[[#This Row],[Category]]="Revenue",Transactions_Clean[[#This Row],[Amount(₹)]],Transactions_Clean[[#This Row],[Amount(₹)]]/8)</f>
        <v>-15448.5</v>
      </c>
    </row>
    <row r="1842" spans="1:12">
      <c r="A1842" t="s">
        <v>3005</v>
      </c>
      <c r="B1842" t="s">
        <v>4753</v>
      </c>
      <c r="C1842" t="s">
        <v>38</v>
      </c>
      <c r="D1842">
        <v>-27144</v>
      </c>
      <c r="E1842" t="s">
        <v>23</v>
      </c>
      <c r="F1842" t="s">
        <v>24</v>
      </c>
      <c r="G1842" t="s">
        <v>33</v>
      </c>
      <c r="H1842" t="s">
        <v>45</v>
      </c>
      <c r="I1842" t="s">
        <v>40</v>
      </c>
      <c r="J1842" s="11">
        <v>45557</v>
      </c>
      <c r="K1842" t="str">
        <f>TEXT(Transactions_Clean[[#This Row],[Date]],"MMM-YYYY")</f>
        <v>Sep-2024</v>
      </c>
      <c r="L1842">
        <f>IF(Transactions_Clean[[#This Row],[Category]]="Revenue",Transactions_Clean[[#This Row],[Amount(₹)]],Transactions_Clean[[#This Row],[Amount(₹)]]/8)</f>
        <v>-3393</v>
      </c>
    </row>
    <row r="1843" spans="1:12">
      <c r="A1843" t="s">
        <v>3007</v>
      </c>
      <c r="B1843" t="s">
        <v>237</v>
      </c>
      <c r="C1843" t="s">
        <v>22</v>
      </c>
      <c r="D1843">
        <v>-134124</v>
      </c>
      <c r="E1843" t="s">
        <v>23</v>
      </c>
      <c r="F1843" t="s">
        <v>32</v>
      </c>
      <c r="G1843" t="s">
        <v>25</v>
      </c>
      <c r="H1843" t="s">
        <v>45</v>
      </c>
      <c r="I1843" t="s">
        <v>27</v>
      </c>
      <c r="J1843" s="11">
        <v>45658</v>
      </c>
      <c r="K1843" t="str">
        <f>TEXT(Transactions_Clean[[#This Row],[Date]],"MMM-YYYY")</f>
        <v>Jan-2025</v>
      </c>
      <c r="L1843">
        <f>IF(Transactions_Clean[[#This Row],[Category]]="Revenue",Transactions_Clean[[#This Row],[Amount(₹)]],Transactions_Clean[[#This Row],[Amount(₹)]]/8)</f>
        <v>-16765.5</v>
      </c>
    </row>
    <row r="1844" spans="1:12">
      <c r="A1844" t="s">
        <v>3008</v>
      </c>
      <c r="B1844" t="s">
        <v>4776</v>
      </c>
      <c r="C1844" t="s">
        <v>440</v>
      </c>
      <c r="D1844">
        <v>-108248</v>
      </c>
      <c r="E1844" t="s">
        <v>23</v>
      </c>
      <c r="F1844" t="s">
        <v>24</v>
      </c>
      <c r="G1844" t="s">
        <v>33</v>
      </c>
      <c r="H1844" t="s">
        <v>45</v>
      </c>
      <c r="I1844" t="s">
        <v>48</v>
      </c>
      <c r="J1844" s="11">
        <v>45635</v>
      </c>
      <c r="K1844" t="str">
        <f>TEXT(Transactions_Clean[[#This Row],[Date]],"MMM-YYYY")</f>
        <v>Dec-2024</v>
      </c>
      <c r="L1844">
        <f>IF(Transactions_Clean[[#This Row],[Category]]="Revenue",Transactions_Clean[[#This Row],[Amount(₹)]],Transactions_Clean[[#This Row],[Amount(₹)]]/8)</f>
        <v>-13531</v>
      </c>
    </row>
    <row r="1845" spans="1:12">
      <c r="A1845" t="s">
        <v>3009</v>
      </c>
      <c r="B1845" t="s">
        <v>4769</v>
      </c>
      <c r="C1845" t="s">
        <v>44</v>
      </c>
      <c r="D1845">
        <v>-118869</v>
      </c>
      <c r="E1845" t="s">
        <v>23</v>
      </c>
      <c r="F1845" t="s">
        <v>32</v>
      </c>
      <c r="G1845" t="s">
        <v>33</v>
      </c>
      <c r="H1845" t="s">
        <v>26</v>
      </c>
      <c r="I1845" t="s">
        <v>40</v>
      </c>
      <c r="J1845" s="11">
        <v>45147</v>
      </c>
      <c r="K1845" t="str">
        <f>TEXT(Transactions_Clean[[#This Row],[Date]],"MMM-YYYY")</f>
        <v>Aug-2023</v>
      </c>
      <c r="L1845">
        <f>IF(Transactions_Clean[[#This Row],[Category]]="Revenue",Transactions_Clean[[#This Row],[Amount(₹)]],Transactions_Clean[[#This Row],[Amount(₹)]]/8)</f>
        <v>-14858.625</v>
      </c>
    </row>
    <row r="1846" spans="1:12">
      <c r="A1846" t="s">
        <v>3010</v>
      </c>
      <c r="B1846" t="s">
        <v>4759</v>
      </c>
      <c r="C1846" t="s">
        <v>31</v>
      </c>
      <c r="D1846">
        <v>-14315</v>
      </c>
      <c r="E1846" t="s">
        <v>23</v>
      </c>
      <c r="F1846" t="s">
        <v>24</v>
      </c>
      <c r="G1846" t="s">
        <v>33</v>
      </c>
      <c r="H1846" t="s">
        <v>39</v>
      </c>
      <c r="I1846" t="s">
        <v>34</v>
      </c>
      <c r="J1846" s="11">
        <v>45774</v>
      </c>
      <c r="K1846" t="str">
        <f>TEXT(Transactions_Clean[[#This Row],[Date]],"MMM-YYYY")</f>
        <v>Apr-2025</v>
      </c>
      <c r="L1846">
        <f>IF(Transactions_Clean[[#This Row],[Category]]="Revenue",Transactions_Clean[[#This Row],[Amount(₹)]],Transactions_Clean[[#This Row],[Amount(₹)]]/8)</f>
        <v>-1789.375</v>
      </c>
    </row>
    <row r="1847" spans="1:12">
      <c r="A1847" t="s">
        <v>3011</v>
      </c>
      <c r="B1847" t="s">
        <v>212</v>
      </c>
      <c r="C1847" t="s">
        <v>73</v>
      </c>
      <c r="D1847">
        <v>-59031</v>
      </c>
      <c r="E1847" t="s">
        <v>74</v>
      </c>
      <c r="F1847" t="s">
        <v>32</v>
      </c>
      <c r="G1847" t="s">
        <v>25</v>
      </c>
      <c r="H1847" t="s">
        <v>39</v>
      </c>
      <c r="I1847" t="s">
        <v>34</v>
      </c>
      <c r="J1847" s="11">
        <v>45781</v>
      </c>
      <c r="K1847" t="str">
        <f>TEXT(Transactions_Clean[[#This Row],[Date]],"MMM-YYYY")</f>
        <v>May-2025</v>
      </c>
      <c r="L1847">
        <f>IF(Transactions_Clean[[#This Row],[Category]]="Revenue",Transactions_Clean[[#This Row],[Amount(₹)]],Transactions_Clean[[#This Row],[Amount(₹)]]/8)</f>
        <v>-7378.875</v>
      </c>
    </row>
    <row r="1848" spans="1:12">
      <c r="A1848" t="s">
        <v>3012</v>
      </c>
      <c r="B1848" t="s">
        <v>4755</v>
      </c>
      <c r="C1848" t="s">
        <v>78</v>
      </c>
      <c r="D1848">
        <v>-109970</v>
      </c>
      <c r="E1848" t="s">
        <v>23</v>
      </c>
      <c r="F1848" t="s">
        <v>32</v>
      </c>
      <c r="G1848" t="s">
        <v>79</v>
      </c>
      <c r="H1848" t="s">
        <v>26</v>
      </c>
      <c r="I1848" t="s">
        <v>48</v>
      </c>
      <c r="J1848" s="11">
        <v>44969</v>
      </c>
      <c r="K1848" t="str">
        <f>TEXT(Transactions_Clean[[#This Row],[Date]],"MMM-YYYY")</f>
        <v>Feb-2023</v>
      </c>
      <c r="L1848">
        <f>IF(Transactions_Clean[[#This Row],[Category]]="Revenue",Transactions_Clean[[#This Row],[Amount(₹)]],Transactions_Clean[[#This Row],[Amount(₹)]]/8)</f>
        <v>-13746.25</v>
      </c>
    </row>
    <row r="1849" spans="1:12">
      <c r="A1849" t="s">
        <v>3014</v>
      </c>
      <c r="B1849" t="s">
        <v>60</v>
      </c>
      <c r="C1849" t="s">
        <v>61</v>
      </c>
      <c r="D1849">
        <v>-64803</v>
      </c>
      <c r="E1849" t="s">
        <v>62</v>
      </c>
      <c r="F1849" t="s">
        <v>32</v>
      </c>
      <c r="G1849" t="s">
        <v>63</v>
      </c>
      <c r="H1849" t="s">
        <v>45</v>
      </c>
      <c r="I1849" t="s">
        <v>27</v>
      </c>
      <c r="J1849" s="11">
        <v>45747</v>
      </c>
      <c r="K1849" t="str">
        <f>TEXT(Transactions_Clean[[#This Row],[Date]],"MMM-YYYY")</f>
        <v>Mar-2025</v>
      </c>
      <c r="L1849">
        <f>IF(Transactions_Clean[[#This Row],[Category]]="Revenue",Transactions_Clean[[#This Row],[Amount(₹)]],Transactions_Clean[[#This Row],[Amount(₹)]]/8)</f>
        <v>-8100.375</v>
      </c>
    </row>
    <row r="1850" spans="1:12">
      <c r="A1850" t="s">
        <v>3015</v>
      </c>
      <c r="B1850" t="s">
        <v>4756</v>
      </c>
      <c r="C1850" t="s">
        <v>73</v>
      </c>
      <c r="D1850">
        <v>-14137</v>
      </c>
      <c r="E1850" t="s">
        <v>74</v>
      </c>
      <c r="F1850" t="s">
        <v>32</v>
      </c>
      <c r="G1850" t="s">
        <v>25</v>
      </c>
      <c r="H1850" t="s">
        <v>39</v>
      </c>
      <c r="I1850" t="s">
        <v>40</v>
      </c>
      <c r="J1850" s="11">
        <v>45852</v>
      </c>
      <c r="K1850" t="str">
        <f>TEXT(Transactions_Clean[[#This Row],[Date]],"MMM-YYYY")</f>
        <v>Jul-2025</v>
      </c>
      <c r="L1850">
        <f>IF(Transactions_Clean[[#This Row],[Category]]="Revenue",Transactions_Clean[[#This Row],[Amount(₹)]],Transactions_Clean[[#This Row],[Amount(₹)]]/8)</f>
        <v>-1767.125</v>
      </c>
    </row>
    <row r="1851" spans="1:12">
      <c r="A1851" t="s">
        <v>3016</v>
      </c>
      <c r="B1851" t="s">
        <v>4762</v>
      </c>
      <c r="C1851" t="s">
        <v>157</v>
      </c>
      <c r="D1851">
        <v>586176</v>
      </c>
      <c r="E1851" t="s">
        <v>62</v>
      </c>
      <c r="F1851" t="s">
        <v>32</v>
      </c>
      <c r="G1851" t="s">
        <v>25</v>
      </c>
      <c r="H1851" t="s">
        <v>45</v>
      </c>
      <c r="I1851" t="s">
        <v>34</v>
      </c>
      <c r="J1851" s="11">
        <v>45429</v>
      </c>
      <c r="K1851" t="str">
        <f>TEXT(Transactions_Clean[[#This Row],[Date]],"MMM-YYYY")</f>
        <v>May-2024</v>
      </c>
      <c r="L1851">
        <f>IF(Transactions_Clean[[#This Row],[Category]]="Revenue",Transactions_Clean[[#This Row],[Amount(₹)]],Transactions_Clean[[#This Row],[Amount(₹)]]/8)</f>
        <v>586176</v>
      </c>
    </row>
    <row r="1852" spans="1:12">
      <c r="A1852" t="s">
        <v>3017</v>
      </c>
      <c r="B1852" t="s">
        <v>4766</v>
      </c>
      <c r="C1852" t="s">
        <v>73</v>
      </c>
      <c r="D1852">
        <v>-22169</v>
      </c>
      <c r="E1852" t="s">
        <v>74</v>
      </c>
      <c r="F1852" t="s">
        <v>24</v>
      </c>
      <c r="G1852" t="s">
        <v>25</v>
      </c>
      <c r="H1852" t="s">
        <v>26</v>
      </c>
      <c r="I1852" t="s">
        <v>40</v>
      </c>
      <c r="J1852" s="11">
        <v>45185</v>
      </c>
      <c r="K1852" t="str">
        <f>TEXT(Transactions_Clean[[#This Row],[Date]],"MMM-YYYY")</f>
        <v>Sep-2023</v>
      </c>
      <c r="L1852">
        <f>IF(Transactions_Clean[[#This Row],[Category]]="Revenue",Transactions_Clean[[#This Row],[Amount(₹)]],Transactions_Clean[[#This Row],[Amount(₹)]]/8)</f>
        <v>-2771.125</v>
      </c>
    </row>
    <row r="1853" spans="1:12">
      <c r="A1853" t="s">
        <v>3018</v>
      </c>
      <c r="B1853" t="s">
        <v>224</v>
      </c>
      <c r="C1853" t="s">
        <v>78</v>
      </c>
      <c r="D1853">
        <v>-105168</v>
      </c>
      <c r="E1853" t="s">
        <v>23</v>
      </c>
      <c r="F1853" t="s">
        <v>32</v>
      </c>
      <c r="G1853" t="s">
        <v>79</v>
      </c>
      <c r="H1853" t="s">
        <v>39</v>
      </c>
      <c r="I1853" t="s">
        <v>48</v>
      </c>
      <c r="J1853" s="11">
        <v>45965</v>
      </c>
      <c r="K1853" t="str">
        <f>TEXT(Transactions_Clean[[#This Row],[Date]],"MMM-YYYY")</f>
        <v>Nov-2025</v>
      </c>
      <c r="L1853">
        <f>IF(Transactions_Clean[[#This Row],[Category]]="Revenue",Transactions_Clean[[#This Row],[Amount(₹)]],Transactions_Clean[[#This Row],[Amount(₹)]]/8)</f>
        <v>-13146</v>
      </c>
    </row>
    <row r="1854" spans="1:12">
      <c r="A1854" t="s">
        <v>3019</v>
      </c>
      <c r="B1854" t="s">
        <v>4752</v>
      </c>
      <c r="C1854" t="s">
        <v>44</v>
      </c>
      <c r="D1854">
        <v>-100227</v>
      </c>
      <c r="E1854" t="s">
        <v>23</v>
      </c>
      <c r="F1854" t="s">
        <v>24</v>
      </c>
      <c r="G1854" t="s">
        <v>33</v>
      </c>
      <c r="H1854" t="s">
        <v>26</v>
      </c>
      <c r="I1854" t="s">
        <v>40</v>
      </c>
      <c r="J1854" s="11">
        <v>45177</v>
      </c>
      <c r="K1854" t="str">
        <f>TEXT(Transactions_Clean[[#This Row],[Date]],"MMM-YYYY")</f>
        <v>Sep-2023</v>
      </c>
      <c r="L1854">
        <f>IF(Transactions_Clean[[#This Row],[Category]]="Revenue",Transactions_Clean[[#This Row],[Amount(₹)]],Transactions_Clean[[#This Row],[Amount(₹)]]/8)</f>
        <v>-12528.375</v>
      </c>
    </row>
    <row r="1855" spans="1:12">
      <c r="A1855" t="s">
        <v>3020</v>
      </c>
      <c r="B1855" t="s">
        <v>4773</v>
      </c>
      <c r="C1855" t="s">
        <v>157</v>
      </c>
      <c r="D1855">
        <v>607022</v>
      </c>
      <c r="E1855" t="s">
        <v>62</v>
      </c>
      <c r="F1855" t="s">
        <v>32</v>
      </c>
      <c r="G1855" t="s">
        <v>25</v>
      </c>
      <c r="H1855" t="s">
        <v>45</v>
      </c>
      <c r="I1855" t="s">
        <v>34</v>
      </c>
      <c r="J1855" s="11">
        <v>45453</v>
      </c>
      <c r="K1855" t="str">
        <f>TEXT(Transactions_Clean[[#This Row],[Date]],"MMM-YYYY")</f>
        <v>Jun-2024</v>
      </c>
      <c r="L1855">
        <f>IF(Transactions_Clean[[#This Row],[Category]]="Revenue",Transactions_Clean[[#This Row],[Amount(₹)]],Transactions_Clean[[#This Row],[Amount(₹)]]/8)</f>
        <v>607022</v>
      </c>
    </row>
    <row r="1856" spans="1:12">
      <c r="A1856" t="s">
        <v>3021</v>
      </c>
      <c r="B1856" t="s">
        <v>4756</v>
      </c>
      <c r="C1856" t="s">
        <v>73</v>
      </c>
      <c r="D1856">
        <v>-34631</v>
      </c>
      <c r="E1856" t="s">
        <v>74</v>
      </c>
      <c r="F1856" t="s">
        <v>32</v>
      </c>
      <c r="G1856" t="s">
        <v>25</v>
      </c>
      <c r="H1856" t="s">
        <v>39</v>
      </c>
      <c r="I1856" t="s">
        <v>34</v>
      </c>
      <c r="J1856" s="11">
        <v>45789</v>
      </c>
      <c r="K1856" t="str">
        <f>TEXT(Transactions_Clean[[#This Row],[Date]],"MMM-YYYY")</f>
        <v>May-2025</v>
      </c>
      <c r="L1856">
        <f>IF(Transactions_Clean[[#This Row],[Category]]="Revenue",Transactions_Clean[[#This Row],[Amount(₹)]],Transactions_Clean[[#This Row],[Amount(₹)]]/8)</f>
        <v>-4328.875</v>
      </c>
    </row>
    <row r="1857" spans="1:12">
      <c r="A1857" t="s">
        <v>3022</v>
      </c>
      <c r="B1857" t="s">
        <v>4759</v>
      </c>
      <c r="C1857" t="s">
        <v>31</v>
      </c>
      <c r="D1857">
        <v>-23472</v>
      </c>
      <c r="E1857" t="s">
        <v>23</v>
      </c>
      <c r="F1857" t="s">
        <v>24</v>
      </c>
      <c r="G1857" t="s">
        <v>33</v>
      </c>
      <c r="H1857" t="s">
        <v>39</v>
      </c>
      <c r="I1857" t="s">
        <v>27</v>
      </c>
      <c r="J1857" s="11">
        <v>46087</v>
      </c>
      <c r="K1857" t="str">
        <f>TEXT(Transactions_Clean[[#This Row],[Date]],"MMM-YYYY")</f>
        <v>Mar-2026</v>
      </c>
      <c r="L1857">
        <f>IF(Transactions_Clean[[#This Row],[Category]]="Revenue",Transactions_Clean[[#This Row],[Amount(₹)]],Transactions_Clean[[#This Row],[Amount(₹)]]/8)</f>
        <v>-2934</v>
      </c>
    </row>
    <row r="1858" spans="1:12">
      <c r="A1858" t="s">
        <v>3023</v>
      </c>
      <c r="B1858" t="s">
        <v>116</v>
      </c>
      <c r="C1858" t="s">
        <v>73</v>
      </c>
      <c r="D1858">
        <v>-89417</v>
      </c>
      <c r="E1858" t="s">
        <v>74</v>
      </c>
      <c r="F1858" t="s">
        <v>32</v>
      </c>
      <c r="G1858" t="s">
        <v>25</v>
      </c>
      <c r="H1858" t="s">
        <v>39</v>
      </c>
      <c r="I1858" t="s">
        <v>48</v>
      </c>
      <c r="J1858" s="11">
        <v>45966</v>
      </c>
      <c r="K1858" t="str">
        <f>TEXT(Transactions_Clean[[#This Row],[Date]],"MMM-YYYY")</f>
        <v>Nov-2025</v>
      </c>
      <c r="L1858">
        <f>IF(Transactions_Clean[[#This Row],[Category]]="Revenue",Transactions_Clean[[#This Row],[Amount(₹)]],Transactions_Clean[[#This Row],[Amount(₹)]]/8)</f>
        <v>-11177.125</v>
      </c>
    </row>
    <row r="1859" spans="1:12">
      <c r="A1859" t="s">
        <v>3025</v>
      </c>
      <c r="B1859" t="s">
        <v>116</v>
      </c>
      <c r="C1859" t="s">
        <v>73</v>
      </c>
      <c r="D1859">
        <v>-94820</v>
      </c>
      <c r="E1859" t="s">
        <v>74</v>
      </c>
      <c r="F1859" t="s">
        <v>32</v>
      </c>
      <c r="G1859" t="s">
        <v>25</v>
      </c>
      <c r="H1859" t="s">
        <v>39</v>
      </c>
      <c r="I1859" t="s">
        <v>27</v>
      </c>
      <c r="J1859" s="11">
        <v>46174</v>
      </c>
      <c r="K1859" t="str">
        <f>TEXT(Transactions_Clean[[#This Row],[Date]],"MMM-YYYY")</f>
        <v>Jun-2026</v>
      </c>
      <c r="L1859">
        <f>IF(Transactions_Clean[[#This Row],[Category]]="Revenue",Transactions_Clean[[#This Row],[Amount(₹)]],Transactions_Clean[[#This Row],[Amount(₹)]]/8)</f>
        <v>-11852.5</v>
      </c>
    </row>
    <row r="1860" spans="1:12">
      <c r="A1860" t="s">
        <v>3026</v>
      </c>
      <c r="B1860" t="s">
        <v>4766</v>
      </c>
      <c r="C1860" t="s">
        <v>73</v>
      </c>
      <c r="D1860">
        <v>-32978</v>
      </c>
      <c r="E1860" t="s">
        <v>74</v>
      </c>
      <c r="F1860" t="s">
        <v>24</v>
      </c>
      <c r="G1860" t="s">
        <v>25</v>
      </c>
      <c r="H1860" t="s">
        <v>45</v>
      </c>
      <c r="I1860" t="s">
        <v>40</v>
      </c>
      <c r="J1860" s="11">
        <v>45506</v>
      </c>
      <c r="K1860" t="str">
        <f>TEXT(Transactions_Clean[[#This Row],[Date]],"MMM-YYYY")</f>
        <v>Aug-2024</v>
      </c>
      <c r="L1860">
        <f>IF(Transactions_Clean[[#This Row],[Category]]="Revenue",Transactions_Clean[[#This Row],[Amount(₹)]],Transactions_Clean[[#This Row],[Amount(₹)]]/8)</f>
        <v>-4122.25</v>
      </c>
    </row>
    <row r="1861" spans="1:12">
      <c r="A1861" t="s">
        <v>3027</v>
      </c>
      <c r="B1861" t="s">
        <v>180</v>
      </c>
      <c r="C1861" t="s">
        <v>44</v>
      </c>
      <c r="D1861">
        <v>-126129</v>
      </c>
      <c r="E1861" t="s">
        <v>23</v>
      </c>
      <c r="F1861" t="s">
        <v>24</v>
      </c>
      <c r="G1861" t="s">
        <v>33</v>
      </c>
      <c r="H1861" t="s">
        <v>39</v>
      </c>
      <c r="I1861" t="s">
        <v>48</v>
      </c>
      <c r="J1861" s="11">
        <v>45975</v>
      </c>
      <c r="K1861" t="str">
        <f>TEXT(Transactions_Clean[[#This Row],[Date]],"MMM-YYYY")</f>
        <v>Nov-2025</v>
      </c>
      <c r="L1861">
        <f>IF(Transactions_Clean[[#This Row],[Category]]="Revenue",Transactions_Clean[[#This Row],[Amount(₹)]],Transactions_Clean[[#This Row],[Amount(₹)]]/8)</f>
        <v>-15766.125</v>
      </c>
    </row>
    <row r="1862" spans="1:12">
      <c r="A1862" t="s">
        <v>3028</v>
      </c>
      <c r="B1862" t="s">
        <v>116</v>
      </c>
      <c r="C1862" t="s">
        <v>73</v>
      </c>
      <c r="D1862">
        <v>-22963</v>
      </c>
      <c r="E1862" t="s">
        <v>74</v>
      </c>
      <c r="F1862" t="s">
        <v>32</v>
      </c>
      <c r="G1862" t="s">
        <v>25</v>
      </c>
      <c r="H1862" t="s">
        <v>26</v>
      </c>
      <c r="I1862" t="s">
        <v>48</v>
      </c>
      <c r="J1862" s="11">
        <v>45283</v>
      </c>
      <c r="K1862" t="str">
        <f>TEXT(Transactions_Clean[[#This Row],[Date]],"MMM-YYYY")</f>
        <v>Dec-2023</v>
      </c>
      <c r="L1862">
        <f>IF(Transactions_Clean[[#This Row],[Category]]="Revenue",Transactions_Clean[[#This Row],[Amount(₹)]],Transactions_Clean[[#This Row],[Amount(₹)]]/8)</f>
        <v>-2870.375</v>
      </c>
    </row>
    <row r="1863" spans="1:12">
      <c r="A1863" t="s">
        <v>3029</v>
      </c>
      <c r="B1863" t="s">
        <v>116</v>
      </c>
      <c r="C1863" t="s">
        <v>4750</v>
      </c>
      <c r="D1863">
        <v>-24880</v>
      </c>
      <c r="E1863" t="s">
        <v>74</v>
      </c>
      <c r="F1863" t="s">
        <v>32</v>
      </c>
      <c r="G1863" t="s">
        <v>25</v>
      </c>
      <c r="H1863" t="s">
        <v>39</v>
      </c>
      <c r="I1863" t="s">
        <v>34</v>
      </c>
      <c r="J1863" s="11">
        <v>45791</v>
      </c>
      <c r="K1863" t="str">
        <f>TEXT(Transactions_Clean[[#This Row],[Date]],"MMM-YYYY")</f>
        <v>May-2025</v>
      </c>
      <c r="L1863">
        <f>IF(Transactions_Clean[[#This Row],[Category]]="Revenue",Transactions_Clean[[#This Row],[Amount(₹)]],Transactions_Clean[[#This Row],[Amount(₹)]]/8)</f>
        <v>-3110</v>
      </c>
    </row>
    <row r="1864" spans="1:12">
      <c r="A1864" t="s">
        <v>3031</v>
      </c>
      <c r="B1864" t="s">
        <v>4769</v>
      </c>
      <c r="C1864" t="s">
        <v>44</v>
      </c>
      <c r="D1864">
        <v>-121566</v>
      </c>
      <c r="E1864" t="s">
        <v>23</v>
      </c>
      <c r="F1864" t="s">
        <v>24</v>
      </c>
      <c r="G1864" t="s">
        <v>33</v>
      </c>
      <c r="H1864" t="s">
        <v>26</v>
      </c>
      <c r="I1864" t="s">
        <v>48</v>
      </c>
      <c r="J1864" s="11">
        <v>45223</v>
      </c>
      <c r="K1864" t="str">
        <f>TEXT(Transactions_Clean[[#This Row],[Date]],"MMM-YYYY")</f>
        <v>Oct-2023</v>
      </c>
      <c r="L1864">
        <f>IF(Transactions_Clean[[#This Row],[Category]]="Revenue",Transactions_Clean[[#This Row],[Amount(₹)]],Transactions_Clean[[#This Row],[Amount(₹)]]/8)</f>
        <v>-15195.75</v>
      </c>
    </row>
    <row r="1865" spans="1:12">
      <c r="A1865" t="s">
        <v>3032</v>
      </c>
      <c r="B1865" t="s">
        <v>100</v>
      </c>
      <c r="C1865" t="s">
        <v>31</v>
      </c>
      <c r="D1865">
        <v>-33430</v>
      </c>
      <c r="E1865" t="s">
        <v>23</v>
      </c>
      <c r="F1865" t="s">
        <v>24</v>
      </c>
      <c r="G1865" t="s">
        <v>33</v>
      </c>
      <c r="H1865" t="s">
        <v>26</v>
      </c>
      <c r="I1865" t="s">
        <v>40</v>
      </c>
      <c r="J1865" s="11">
        <v>45127</v>
      </c>
      <c r="K1865" t="str">
        <f>TEXT(Transactions_Clean[[#This Row],[Date]],"MMM-YYYY")</f>
        <v>Jul-2023</v>
      </c>
      <c r="L1865">
        <f>IF(Transactions_Clean[[#This Row],[Category]]="Revenue",Transactions_Clean[[#This Row],[Amount(₹)]],Transactions_Clean[[#This Row],[Amount(₹)]]/8)</f>
        <v>-4178.75</v>
      </c>
    </row>
    <row r="1866" spans="1:12">
      <c r="A1866" t="s">
        <v>3034</v>
      </c>
      <c r="B1866" t="s">
        <v>4749</v>
      </c>
      <c r="C1866" t="s">
        <v>44</v>
      </c>
      <c r="D1866">
        <v>-141073</v>
      </c>
      <c r="E1866" t="s">
        <v>23</v>
      </c>
      <c r="F1866" t="s">
        <v>24</v>
      </c>
      <c r="G1866" t="s">
        <v>33</v>
      </c>
      <c r="H1866" t="s">
        <v>45</v>
      </c>
      <c r="I1866" t="s">
        <v>48</v>
      </c>
      <c r="J1866" s="11">
        <v>45654</v>
      </c>
      <c r="K1866" t="str">
        <f>TEXT(Transactions_Clean[[#This Row],[Date]],"MMM-YYYY")</f>
        <v>Dec-2024</v>
      </c>
      <c r="L1866">
        <f>IF(Transactions_Clean[[#This Row],[Category]]="Revenue",Transactions_Clean[[#This Row],[Amount(₹)]],Transactions_Clean[[#This Row],[Amount(₹)]]/8)</f>
        <v>-17634.125</v>
      </c>
    </row>
    <row r="1867" spans="1:12">
      <c r="A1867" t="s">
        <v>3035</v>
      </c>
      <c r="B1867" t="s">
        <v>51</v>
      </c>
      <c r="C1867" t="s">
        <v>31</v>
      </c>
      <c r="D1867">
        <v>-41094</v>
      </c>
      <c r="E1867" t="s">
        <v>23</v>
      </c>
      <c r="F1867" t="s">
        <v>24</v>
      </c>
      <c r="G1867" t="s">
        <v>33</v>
      </c>
      <c r="H1867" t="s">
        <v>45</v>
      </c>
      <c r="I1867" t="s">
        <v>27</v>
      </c>
      <c r="J1867" s="11">
        <v>45695</v>
      </c>
      <c r="K1867" t="str">
        <f>TEXT(Transactions_Clean[[#This Row],[Date]],"MMM-YYYY")</f>
        <v>Feb-2025</v>
      </c>
      <c r="L1867">
        <f>IF(Transactions_Clean[[#This Row],[Category]]="Revenue",Transactions_Clean[[#This Row],[Amount(₹)]],Transactions_Clean[[#This Row],[Amount(₹)]]/8)</f>
        <v>-5136.75</v>
      </c>
    </row>
    <row r="1868" spans="1:12">
      <c r="A1868" t="s">
        <v>3036</v>
      </c>
      <c r="B1868" t="s">
        <v>4765</v>
      </c>
      <c r="C1868" t="s">
        <v>73</v>
      </c>
      <c r="D1868">
        <v>-88336</v>
      </c>
      <c r="E1868" t="s">
        <v>74</v>
      </c>
      <c r="F1868" t="s">
        <v>32</v>
      </c>
      <c r="G1868" t="s">
        <v>25</v>
      </c>
      <c r="H1868" t="s">
        <v>45</v>
      </c>
      <c r="I1868" t="s">
        <v>48</v>
      </c>
      <c r="J1868" s="11">
        <v>45594</v>
      </c>
      <c r="K1868" t="str">
        <f>TEXT(Transactions_Clean[[#This Row],[Date]],"MMM-YYYY")</f>
        <v>Oct-2024</v>
      </c>
      <c r="L1868">
        <f>IF(Transactions_Clean[[#This Row],[Category]]="Revenue",Transactions_Clean[[#This Row],[Amount(₹)]],Transactions_Clean[[#This Row],[Amount(₹)]]/8)</f>
        <v>-11042</v>
      </c>
    </row>
    <row r="1869" spans="1:12">
      <c r="A1869" t="s">
        <v>3038</v>
      </c>
      <c r="B1869" t="s">
        <v>4749</v>
      </c>
      <c r="C1869" t="s">
        <v>44</v>
      </c>
      <c r="D1869">
        <v>-166034</v>
      </c>
      <c r="E1869" t="s">
        <v>23</v>
      </c>
      <c r="F1869" t="s">
        <v>32</v>
      </c>
      <c r="G1869" t="s">
        <v>33</v>
      </c>
      <c r="H1869" t="s">
        <v>26</v>
      </c>
      <c r="I1869" t="s">
        <v>40</v>
      </c>
      <c r="J1869" s="11">
        <v>45135</v>
      </c>
      <c r="K1869" t="str">
        <f>TEXT(Transactions_Clean[[#This Row],[Date]],"MMM-YYYY")</f>
        <v>Jul-2023</v>
      </c>
      <c r="L1869">
        <f>IF(Transactions_Clean[[#This Row],[Category]]="Revenue",Transactions_Clean[[#This Row],[Amount(₹)]],Transactions_Clean[[#This Row],[Amount(₹)]]/8)</f>
        <v>-20754.25</v>
      </c>
    </row>
    <row r="1870" spans="1:12">
      <c r="A1870" t="s">
        <v>3039</v>
      </c>
      <c r="B1870" t="s">
        <v>100</v>
      </c>
      <c r="C1870" t="s">
        <v>31</v>
      </c>
      <c r="D1870">
        <v>-24939</v>
      </c>
      <c r="E1870" t="s">
        <v>23</v>
      </c>
      <c r="F1870" t="s">
        <v>24</v>
      </c>
      <c r="G1870" t="s">
        <v>33</v>
      </c>
      <c r="H1870" t="s">
        <v>39</v>
      </c>
      <c r="I1870" t="s">
        <v>40</v>
      </c>
      <c r="J1870" s="11">
        <v>45873</v>
      </c>
      <c r="K1870" t="str">
        <f>TEXT(Transactions_Clean[[#This Row],[Date]],"MMM-YYYY")</f>
        <v>Aug-2025</v>
      </c>
      <c r="L1870">
        <f>IF(Transactions_Clean[[#This Row],[Category]]="Revenue",Transactions_Clean[[#This Row],[Amount(₹)]],Transactions_Clean[[#This Row],[Amount(₹)]]/8)</f>
        <v>-3117.375</v>
      </c>
    </row>
    <row r="1871" spans="1:12">
      <c r="A1871" t="s">
        <v>3041</v>
      </c>
      <c r="B1871" t="s">
        <v>177</v>
      </c>
      <c r="C1871" t="s">
        <v>78</v>
      </c>
      <c r="D1871">
        <v>-70139</v>
      </c>
      <c r="E1871" t="s">
        <v>23</v>
      </c>
      <c r="F1871" t="s">
        <v>24</v>
      </c>
      <c r="G1871" t="s">
        <v>79</v>
      </c>
      <c r="H1871" t="s">
        <v>26</v>
      </c>
      <c r="I1871" t="s">
        <v>48</v>
      </c>
      <c r="J1871" s="11">
        <v>45211</v>
      </c>
      <c r="K1871" t="str">
        <f>TEXT(Transactions_Clean[[#This Row],[Date]],"MMM-YYYY")</f>
        <v>Oct-2023</v>
      </c>
      <c r="L1871">
        <f>IF(Transactions_Clean[[#This Row],[Category]]="Revenue",Transactions_Clean[[#This Row],[Amount(₹)]],Transactions_Clean[[#This Row],[Amount(₹)]]/8)</f>
        <v>-8767.375</v>
      </c>
    </row>
    <row r="1872" spans="1:12">
      <c r="A1872" t="s">
        <v>3043</v>
      </c>
      <c r="B1872" t="s">
        <v>51</v>
      </c>
      <c r="C1872" t="s">
        <v>31</v>
      </c>
      <c r="D1872">
        <v>-13284</v>
      </c>
      <c r="E1872" t="s">
        <v>23</v>
      </c>
      <c r="F1872" t="s">
        <v>24</v>
      </c>
      <c r="G1872" t="s">
        <v>33</v>
      </c>
      <c r="H1872" t="s">
        <v>45</v>
      </c>
      <c r="I1872" t="s">
        <v>48</v>
      </c>
      <c r="J1872" s="11">
        <v>45646</v>
      </c>
      <c r="K1872" t="str">
        <f>TEXT(Transactions_Clean[[#This Row],[Date]],"MMM-YYYY")</f>
        <v>Dec-2024</v>
      </c>
      <c r="L1872">
        <f>IF(Transactions_Clean[[#This Row],[Category]]="Revenue",Transactions_Clean[[#This Row],[Amount(₹)]],Transactions_Clean[[#This Row],[Amount(₹)]]/8)</f>
        <v>-1660.5</v>
      </c>
    </row>
    <row r="1873" spans="1:12">
      <c r="A1873" t="s">
        <v>3044</v>
      </c>
      <c r="B1873" t="s">
        <v>935</v>
      </c>
      <c r="C1873" t="s">
        <v>22</v>
      </c>
      <c r="D1873">
        <v>-91210</v>
      </c>
      <c r="E1873" t="s">
        <v>23</v>
      </c>
      <c r="F1873" t="s">
        <v>32</v>
      </c>
      <c r="G1873" t="s">
        <v>25</v>
      </c>
      <c r="H1873" t="s">
        <v>45</v>
      </c>
      <c r="I1873" t="s">
        <v>27</v>
      </c>
      <c r="J1873" s="11">
        <v>45731</v>
      </c>
      <c r="K1873" t="str">
        <f>TEXT(Transactions_Clean[[#This Row],[Date]],"MMM-YYYY")</f>
        <v>Mar-2025</v>
      </c>
      <c r="L1873">
        <f>IF(Transactions_Clean[[#This Row],[Category]]="Revenue",Transactions_Clean[[#This Row],[Amount(₹)]],Transactions_Clean[[#This Row],[Amount(₹)]]/8)</f>
        <v>-11401.25</v>
      </c>
    </row>
    <row r="1874" spans="1:12">
      <c r="A1874" t="s">
        <v>3045</v>
      </c>
      <c r="B1874" t="s">
        <v>4749</v>
      </c>
      <c r="C1874" t="s">
        <v>44</v>
      </c>
      <c r="D1874">
        <v>-161214</v>
      </c>
      <c r="E1874" t="s">
        <v>23</v>
      </c>
      <c r="F1874" t="s">
        <v>32</v>
      </c>
      <c r="G1874" t="s">
        <v>33</v>
      </c>
      <c r="H1874" t="s">
        <v>39</v>
      </c>
      <c r="I1874" t="s">
        <v>40</v>
      </c>
      <c r="J1874" s="11">
        <v>45872</v>
      </c>
      <c r="K1874" t="str">
        <f>TEXT(Transactions_Clean[[#This Row],[Date]],"MMM-YYYY")</f>
        <v>Aug-2025</v>
      </c>
      <c r="L1874">
        <f>IF(Transactions_Clean[[#This Row],[Category]]="Revenue",Transactions_Clean[[#This Row],[Amount(₹)]],Transactions_Clean[[#This Row],[Amount(₹)]]/8)</f>
        <v>-20151.75</v>
      </c>
    </row>
    <row r="1875" spans="1:12">
      <c r="A1875" t="s">
        <v>3046</v>
      </c>
      <c r="B1875" t="s">
        <v>4754</v>
      </c>
      <c r="C1875" t="s">
        <v>78</v>
      </c>
      <c r="D1875">
        <v>-71408</v>
      </c>
      <c r="E1875" t="s">
        <v>23</v>
      </c>
      <c r="F1875" t="s">
        <v>24</v>
      </c>
      <c r="G1875" t="s">
        <v>79</v>
      </c>
      <c r="H1875" t="s">
        <v>45</v>
      </c>
      <c r="I1875" t="s">
        <v>48</v>
      </c>
      <c r="J1875" s="11">
        <v>45655</v>
      </c>
      <c r="K1875" t="str">
        <f>TEXT(Transactions_Clean[[#This Row],[Date]],"MMM-YYYY")</f>
        <v>Dec-2024</v>
      </c>
      <c r="L1875">
        <f>IF(Transactions_Clean[[#This Row],[Category]]="Revenue",Transactions_Clean[[#This Row],[Amount(₹)]],Transactions_Clean[[#This Row],[Amount(₹)]]/8)</f>
        <v>-8926</v>
      </c>
    </row>
    <row r="1876" spans="1:12">
      <c r="A1876" t="s">
        <v>3048</v>
      </c>
      <c r="B1876" t="s">
        <v>4748</v>
      </c>
      <c r="C1876" t="s">
        <v>22</v>
      </c>
      <c r="D1876">
        <v>-216525</v>
      </c>
      <c r="E1876" t="s">
        <v>23</v>
      </c>
      <c r="F1876" t="s">
        <v>32</v>
      </c>
      <c r="G1876" t="s">
        <v>25</v>
      </c>
      <c r="H1876" t="s">
        <v>39</v>
      </c>
      <c r="I1876" t="s">
        <v>34</v>
      </c>
      <c r="J1876" s="11">
        <v>45768</v>
      </c>
      <c r="K1876" t="str">
        <f>TEXT(Transactions_Clean[[#This Row],[Date]],"MMM-YYYY")</f>
        <v>Apr-2025</v>
      </c>
      <c r="L1876">
        <f>IF(Transactions_Clean[[#This Row],[Category]]="Revenue",Transactions_Clean[[#This Row],[Amount(₹)]],Transactions_Clean[[#This Row],[Amount(₹)]]/8)</f>
        <v>-27065.625</v>
      </c>
    </row>
    <row r="1877" spans="1:12">
      <c r="A1877" t="s">
        <v>3049</v>
      </c>
      <c r="B1877" t="s">
        <v>935</v>
      </c>
      <c r="C1877" t="s">
        <v>22</v>
      </c>
      <c r="D1877">
        <v>-141132</v>
      </c>
      <c r="E1877" t="s">
        <v>23</v>
      </c>
      <c r="F1877" t="s">
        <v>32</v>
      </c>
      <c r="G1877" t="s">
        <v>25</v>
      </c>
      <c r="H1877" t="s">
        <v>45</v>
      </c>
      <c r="I1877" t="s">
        <v>27</v>
      </c>
      <c r="J1877" s="11">
        <v>45747</v>
      </c>
      <c r="K1877" t="str">
        <f>TEXT(Transactions_Clean[[#This Row],[Date]],"MMM-YYYY")</f>
        <v>Mar-2025</v>
      </c>
      <c r="L1877">
        <f>IF(Transactions_Clean[[#This Row],[Category]]="Revenue",Transactions_Clean[[#This Row],[Amount(₹)]],Transactions_Clean[[#This Row],[Amount(₹)]]/8)</f>
        <v>-17641.5</v>
      </c>
    </row>
    <row r="1878" spans="1:12">
      <c r="A1878" t="s">
        <v>3050</v>
      </c>
      <c r="B1878" t="s">
        <v>66</v>
      </c>
      <c r="C1878" t="s">
        <v>61</v>
      </c>
      <c r="D1878">
        <v>-44198</v>
      </c>
      <c r="E1878" t="s">
        <v>62</v>
      </c>
      <c r="F1878" t="s">
        <v>24</v>
      </c>
      <c r="G1878" t="s">
        <v>63</v>
      </c>
      <c r="H1878" t="s">
        <v>39</v>
      </c>
      <c r="I1878" t="s">
        <v>34</v>
      </c>
      <c r="J1878" s="11">
        <v>45834</v>
      </c>
      <c r="K1878" t="str">
        <f>TEXT(Transactions_Clean[[#This Row],[Date]],"MMM-YYYY")</f>
        <v>Jun-2025</v>
      </c>
      <c r="L1878">
        <f>IF(Transactions_Clean[[#This Row],[Category]]="Revenue",Transactions_Clean[[#This Row],[Amount(₹)]],Transactions_Clean[[#This Row],[Amount(₹)]]/8)</f>
        <v>-5524.75</v>
      </c>
    </row>
    <row r="1879" spans="1:12">
      <c r="A1879" t="s">
        <v>3051</v>
      </c>
      <c r="B1879" t="s">
        <v>4770</v>
      </c>
      <c r="C1879" t="s">
        <v>440</v>
      </c>
      <c r="D1879">
        <v>-126506</v>
      </c>
      <c r="E1879" t="s">
        <v>23</v>
      </c>
      <c r="F1879" t="s">
        <v>24</v>
      </c>
      <c r="G1879" t="s">
        <v>33</v>
      </c>
      <c r="H1879" t="s">
        <v>45</v>
      </c>
      <c r="I1879" t="s">
        <v>34</v>
      </c>
      <c r="J1879" s="11">
        <v>45406</v>
      </c>
      <c r="K1879" t="str">
        <f>TEXT(Transactions_Clean[[#This Row],[Date]],"MMM-YYYY")</f>
        <v>Apr-2024</v>
      </c>
      <c r="L1879">
        <f>IF(Transactions_Clean[[#This Row],[Category]]="Revenue",Transactions_Clean[[#This Row],[Amount(₹)]],Transactions_Clean[[#This Row],[Amount(₹)]]/8)</f>
        <v>-15813.25</v>
      </c>
    </row>
    <row r="1880" spans="1:12">
      <c r="A1880" t="s">
        <v>3053</v>
      </c>
      <c r="B1880" t="s">
        <v>4793</v>
      </c>
      <c r="C1880" t="s">
        <v>136</v>
      </c>
      <c r="D1880">
        <v>-10691820</v>
      </c>
      <c r="E1880" t="s">
        <v>62</v>
      </c>
      <c r="F1880" t="s">
        <v>32</v>
      </c>
      <c r="G1880" t="s">
        <v>63</v>
      </c>
      <c r="H1880" t="s">
        <v>26</v>
      </c>
      <c r="I1880" t="s">
        <v>40</v>
      </c>
      <c r="J1880" s="11">
        <v>45135</v>
      </c>
      <c r="K1880" t="str">
        <f>TEXT(Transactions_Clean[[#This Row],[Date]],"MMM-YYYY")</f>
        <v>Jul-2023</v>
      </c>
      <c r="L1880">
        <f>IF(Transactions_Clean[[#This Row],[Category]]="Revenue",Transactions_Clean[[#This Row],[Amount(₹)]],Transactions_Clean[[#This Row],[Amount(₹)]]/8)</f>
        <v>-1336477.5</v>
      </c>
    </row>
    <row r="1881" spans="1:12">
      <c r="A1881" t="s">
        <v>3055</v>
      </c>
      <c r="B1881" t="s">
        <v>4767</v>
      </c>
      <c r="C1881" t="s">
        <v>157</v>
      </c>
      <c r="D1881">
        <v>697388</v>
      </c>
      <c r="E1881" t="s">
        <v>62</v>
      </c>
      <c r="F1881" t="s">
        <v>32</v>
      </c>
      <c r="G1881" t="s">
        <v>25</v>
      </c>
      <c r="H1881" t="s">
        <v>39</v>
      </c>
      <c r="I1881" t="s">
        <v>34</v>
      </c>
      <c r="J1881" s="11">
        <v>45662</v>
      </c>
      <c r="K1881" t="str">
        <f>TEXT(Transactions_Clean[[#This Row],[Date]],"MMM-YYYY")</f>
        <v>Jan-2025</v>
      </c>
      <c r="L1881">
        <f>IF(Transactions_Clean[[#This Row],[Category]]="Revenue",Transactions_Clean[[#This Row],[Amount(₹)]],Transactions_Clean[[#This Row],[Amount(₹)]]/8)</f>
        <v>697388</v>
      </c>
    </row>
    <row r="1882" spans="1:12">
      <c r="A1882" t="s">
        <v>3057</v>
      </c>
      <c r="B1882" t="s">
        <v>66</v>
      </c>
      <c r="C1882" t="s">
        <v>61</v>
      </c>
      <c r="D1882">
        <v>-14359</v>
      </c>
      <c r="E1882" t="s">
        <v>62</v>
      </c>
      <c r="F1882" t="s">
        <v>32</v>
      </c>
      <c r="G1882" t="s">
        <v>63</v>
      </c>
      <c r="H1882" t="s">
        <v>45</v>
      </c>
      <c r="I1882" t="s">
        <v>27</v>
      </c>
      <c r="J1882" s="11">
        <v>45695</v>
      </c>
      <c r="K1882" t="str">
        <f>TEXT(Transactions_Clean[[#This Row],[Date]],"MMM-YYYY")</f>
        <v>Feb-2025</v>
      </c>
      <c r="L1882">
        <f>IF(Transactions_Clean[[#This Row],[Category]]="Revenue",Transactions_Clean[[#This Row],[Amount(₹)]],Transactions_Clean[[#This Row],[Amount(₹)]]/8)</f>
        <v>-1794.875</v>
      </c>
    </row>
    <row r="1883" spans="1:12">
      <c r="A1883" t="s">
        <v>3058</v>
      </c>
      <c r="B1883" t="s">
        <v>30</v>
      </c>
      <c r="C1883" t="s">
        <v>31</v>
      </c>
      <c r="D1883">
        <v>-15603</v>
      </c>
      <c r="E1883" t="s">
        <v>23</v>
      </c>
      <c r="F1883" t="s">
        <v>32</v>
      </c>
      <c r="G1883" t="s">
        <v>33</v>
      </c>
      <c r="H1883" t="s">
        <v>45</v>
      </c>
      <c r="I1883" t="s">
        <v>48</v>
      </c>
      <c r="J1883" s="11">
        <v>45639</v>
      </c>
      <c r="K1883" t="str">
        <f>TEXT(Transactions_Clean[[#This Row],[Date]],"MMM-YYYY")</f>
        <v>Dec-2024</v>
      </c>
      <c r="L1883">
        <f>IF(Transactions_Clean[[#This Row],[Category]]="Revenue",Transactions_Clean[[#This Row],[Amount(₹)]],Transactions_Clean[[#This Row],[Amount(₹)]]/8)</f>
        <v>-1950.375</v>
      </c>
    </row>
    <row r="1884" spans="1:12">
      <c r="A1884" t="s">
        <v>3059</v>
      </c>
      <c r="B1884" t="s">
        <v>169</v>
      </c>
      <c r="C1884" t="s">
        <v>73</v>
      </c>
      <c r="D1884">
        <v>-33520</v>
      </c>
      <c r="E1884" t="s">
        <v>74</v>
      </c>
      <c r="F1884" t="s">
        <v>32</v>
      </c>
      <c r="G1884" t="s">
        <v>25</v>
      </c>
      <c r="H1884" t="s">
        <v>39</v>
      </c>
      <c r="I1884" t="s">
        <v>34</v>
      </c>
      <c r="J1884" s="11">
        <v>45783</v>
      </c>
      <c r="K1884" t="str">
        <f>TEXT(Transactions_Clean[[#This Row],[Date]],"MMM-YYYY")</f>
        <v>May-2025</v>
      </c>
      <c r="L1884">
        <f>IF(Transactions_Clean[[#This Row],[Category]]="Revenue",Transactions_Clean[[#This Row],[Amount(₹)]],Transactions_Clean[[#This Row],[Amount(₹)]]/8)</f>
        <v>-4190</v>
      </c>
    </row>
    <row r="1885" spans="1:12">
      <c r="A1885" t="s">
        <v>3060</v>
      </c>
      <c r="B1885" t="s">
        <v>4759</v>
      </c>
      <c r="C1885" t="s">
        <v>31</v>
      </c>
      <c r="D1885">
        <v>-26276</v>
      </c>
      <c r="E1885" t="s">
        <v>23</v>
      </c>
      <c r="F1885" t="s">
        <v>24</v>
      </c>
      <c r="G1885" t="s">
        <v>33</v>
      </c>
      <c r="H1885" t="s">
        <v>39</v>
      </c>
      <c r="I1885" t="s">
        <v>40</v>
      </c>
      <c r="J1885" s="11">
        <v>45856</v>
      </c>
      <c r="K1885" t="str">
        <f>TEXT(Transactions_Clean[[#This Row],[Date]],"MMM-YYYY")</f>
        <v>Jul-2025</v>
      </c>
      <c r="L1885">
        <f>IF(Transactions_Clean[[#This Row],[Category]]="Revenue",Transactions_Clean[[#This Row],[Amount(₹)]],Transactions_Clean[[#This Row],[Amount(₹)]]/8)</f>
        <v>-3284.5</v>
      </c>
    </row>
    <row r="1886" spans="1:12">
      <c r="A1886" t="s">
        <v>3061</v>
      </c>
      <c r="B1886" t="s">
        <v>4765</v>
      </c>
      <c r="C1886" t="s">
        <v>73</v>
      </c>
      <c r="D1886">
        <v>-47514</v>
      </c>
      <c r="E1886" t="s">
        <v>74</v>
      </c>
      <c r="F1886" t="s">
        <v>24</v>
      </c>
      <c r="G1886" t="s">
        <v>25</v>
      </c>
      <c r="H1886" t="s">
        <v>45</v>
      </c>
      <c r="I1886" t="s">
        <v>34</v>
      </c>
      <c r="J1886" s="11">
        <v>45402</v>
      </c>
      <c r="K1886" t="str">
        <f>TEXT(Transactions_Clean[[#This Row],[Date]],"MMM-YYYY")</f>
        <v>Apr-2024</v>
      </c>
      <c r="L1886">
        <f>IF(Transactions_Clean[[#This Row],[Category]]="Revenue",Transactions_Clean[[#This Row],[Amount(₹)]],Transactions_Clean[[#This Row],[Amount(₹)]]/8)</f>
        <v>-5939.25</v>
      </c>
    </row>
    <row r="1887" spans="1:12">
      <c r="A1887" t="s">
        <v>3062</v>
      </c>
      <c r="B1887" t="s">
        <v>177</v>
      </c>
      <c r="C1887" t="s">
        <v>78</v>
      </c>
      <c r="D1887">
        <v>-49398</v>
      </c>
      <c r="E1887" t="s">
        <v>23</v>
      </c>
      <c r="F1887" t="s">
        <v>24</v>
      </c>
      <c r="G1887" t="s">
        <v>79</v>
      </c>
      <c r="H1887" t="s">
        <v>45</v>
      </c>
      <c r="I1887" t="s">
        <v>27</v>
      </c>
      <c r="J1887" s="11">
        <v>45681</v>
      </c>
      <c r="K1887" t="str">
        <f>TEXT(Transactions_Clean[[#This Row],[Date]],"MMM-YYYY")</f>
        <v>Jan-2025</v>
      </c>
      <c r="L1887">
        <f>IF(Transactions_Clean[[#This Row],[Category]]="Revenue",Transactions_Clean[[#This Row],[Amount(₹)]],Transactions_Clean[[#This Row],[Amount(₹)]]/8)</f>
        <v>-6174.75</v>
      </c>
    </row>
    <row r="1888" spans="1:12">
      <c r="A1888" t="s">
        <v>3064</v>
      </c>
      <c r="B1888" t="s">
        <v>215</v>
      </c>
      <c r="C1888" t="s">
        <v>61</v>
      </c>
      <c r="D1888">
        <v>-12552</v>
      </c>
      <c r="E1888" t="s">
        <v>62</v>
      </c>
      <c r="F1888" t="s">
        <v>32</v>
      </c>
      <c r="G1888" t="s">
        <v>63</v>
      </c>
      <c r="H1888" t="s">
        <v>39</v>
      </c>
      <c r="I1888" t="s">
        <v>48</v>
      </c>
      <c r="J1888" s="11">
        <v>45965</v>
      </c>
      <c r="K1888" t="str">
        <f>TEXT(Transactions_Clean[[#This Row],[Date]],"MMM-YYYY")</f>
        <v>Nov-2025</v>
      </c>
      <c r="L1888">
        <f>IF(Transactions_Clean[[#This Row],[Category]]="Revenue",Transactions_Clean[[#This Row],[Amount(₹)]],Transactions_Clean[[#This Row],[Amount(₹)]]/8)</f>
        <v>-1569</v>
      </c>
    </row>
    <row r="1889" spans="1:12">
      <c r="A1889" t="s">
        <v>3065</v>
      </c>
      <c r="B1889" t="s">
        <v>4760</v>
      </c>
      <c r="C1889" t="s">
        <v>73</v>
      </c>
      <c r="D1889">
        <v>-40768</v>
      </c>
      <c r="E1889" t="s">
        <v>74</v>
      </c>
      <c r="F1889" t="s">
        <v>32</v>
      </c>
      <c r="G1889" t="s">
        <v>25</v>
      </c>
      <c r="H1889" t="s">
        <v>26</v>
      </c>
      <c r="I1889" t="s">
        <v>34</v>
      </c>
      <c r="J1889" s="11">
        <v>45079</v>
      </c>
      <c r="K1889" t="str">
        <f>TEXT(Transactions_Clean[[#This Row],[Date]],"MMM-YYYY")</f>
        <v>Jun-2023</v>
      </c>
      <c r="L1889">
        <f>IF(Transactions_Clean[[#This Row],[Category]]="Revenue",Transactions_Clean[[#This Row],[Amount(₹)]],Transactions_Clean[[#This Row],[Amount(₹)]]/8)</f>
        <v>-5096</v>
      </c>
    </row>
    <row r="1890" spans="1:12">
      <c r="A1890" t="s">
        <v>3066</v>
      </c>
      <c r="B1890" t="s">
        <v>129</v>
      </c>
      <c r="C1890" t="s">
        <v>38</v>
      </c>
      <c r="D1890">
        <v>-15272</v>
      </c>
      <c r="E1890" t="s">
        <v>23</v>
      </c>
      <c r="F1890" t="s">
        <v>32</v>
      </c>
      <c r="G1890" t="s">
        <v>33</v>
      </c>
      <c r="H1890" t="s">
        <v>26</v>
      </c>
      <c r="I1890" t="s">
        <v>27</v>
      </c>
      <c r="J1890" s="11">
        <v>45304</v>
      </c>
      <c r="K1890" t="str">
        <f>TEXT(Transactions_Clean[[#This Row],[Date]],"MMM-YYYY")</f>
        <v>Jan-2024</v>
      </c>
      <c r="L1890">
        <f>IF(Transactions_Clean[[#This Row],[Category]]="Revenue",Transactions_Clean[[#This Row],[Amount(₹)]],Transactions_Clean[[#This Row],[Amount(₹)]]/8)</f>
        <v>-1909</v>
      </c>
    </row>
    <row r="1891" spans="1:12">
      <c r="A1891" t="s">
        <v>3067</v>
      </c>
      <c r="B1891" t="s">
        <v>37</v>
      </c>
      <c r="C1891" t="s">
        <v>38</v>
      </c>
      <c r="D1891">
        <v>-50849</v>
      </c>
      <c r="E1891" t="s">
        <v>23</v>
      </c>
      <c r="F1891" t="s">
        <v>24</v>
      </c>
      <c r="G1891" t="s">
        <v>33</v>
      </c>
      <c r="H1891" t="s">
        <v>45</v>
      </c>
      <c r="I1891" t="s">
        <v>34</v>
      </c>
      <c r="J1891" s="11">
        <v>45452</v>
      </c>
      <c r="K1891" t="str">
        <f>TEXT(Transactions_Clean[[#This Row],[Date]],"MMM-YYYY")</f>
        <v>Jun-2024</v>
      </c>
      <c r="L1891">
        <f>IF(Transactions_Clean[[#This Row],[Category]]="Revenue",Transactions_Clean[[#This Row],[Amount(₹)]],Transactions_Clean[[#This Row],[Amount(₹)]]/8)</f>
        <v>-6356.125</v>
      </c>
    </row>
    <row r="1892" spans="1:12">
      <c r="A1892" t="s">
        <v>3068</v>
      </c>
      <c r="B1892" t="s">
        <v>283</v>
      </c>
      <c r="C1892" t="s">
        <v>44</v>
      </c>
      <c r="D1892">
        <v>-110920</v>
      </c>
      <c r="E1892" t="s">
        <v>23</v>
      </c>
      <c r="F1892" t="s">
        <v>24</v>
      </c>
      <c r="G1892" t="s">
        <v>33</v>
      </c>
      <c r="H1892" t="s">
        <v>39</v>
      </c>
      <c r="I1892" t="s">
        <v>48</v>
      </c>
      <c r="J1892" s="11">
        <v>45992</v>
      </c>
      <c r="K1892" t="str">
        <f>TEXT(Transactions_Clean[[#This Row],[Date]],"MMM-YYYY")</f>
        <v>Dec-2025</v>
      </c>
      <c r="L1892">
        <f>IF(Transactions_Clean[[#This Row],[Category]]="Revenue",Transactions_Clean[[#This Row],[Amount(₹)]],Transactions_Clean[[#This Row],[Amount(₹)]]/8)</f>
        <v>-13865</v>
      </c>
    </row>
    <row r="1893" spans="1:12">
      <c r="A1893" t="s">
        <v>3069</v>
      </c>
      <c r="B1893" t="s">
        <v>4768</v>
      </c>
      <c r="C1893" t="s">
        <v>157</v>
      </c>
      <c r="D1893">
        <v>615492</v>
      </c>
      <c r="E1893" t="s">
        <v>62</v>
      </c>
      <c r="F1893" t="s">
        <v>32</v>
      </c>
      <c r="G1893" t="s">
        <v>25</v>
      </c>
      <c r="H1893" t="s">
        <v>45</v>
      </c>
      <c r="I1893" t="s">
        <v>40</v>
      </c>
      <c r="J1893" s="11">
        <v>45486</v>
      </c>
      <c r="K1893" t="str">
        <f>TEXT(Transactions_Clean[[#This Row],[Date]],"MMM-YYYY")</f>
        <v>Jul-2024</v>
      </c>
      <c r="L1893">
        <f>IF(Transactions_Clean[[#This Row],[Category]]="Revenue",Transactions_Clean[[#This Row],[Amount(₹)]],Transactions_Clean[[#This Row],[Amount(₹)]]/8)</f>
        <v>615492</v>
      </c>
    </row>
    <row r="1894" spans="1:12">
      <c r="A1894" t="s">
        <v>3070</v>
      </c>
      <c r="B1894" t="s">
        <v>169</v>
      </c>
      <c r="C1894" t="s">
        <v>73</v>
      </c>
      <c r="D1894">
        <v>-11154</v>
      </c>
      <c r="E1894" t="s">
        <v>74</v>
      </c>
      <c r="F1894" t="s">
        <v>24</v>
      </c>
      <c r="G1894" t="s">
        <v>25</v>
      </c>
      <c r="H1894" t="s">
        <v>39</v>
      </c>
      <c r="I1894" t="s">
        <v>27</v>
      </c>
      <c r="J1894" s="11">
        <v>46105</v>
      </c>
      <c r="K1894" t="str">
        <f>TEXT(Transactions_Clean[[#This Row],[Date]],"MMM-YYYY")</f>
        <v>Mar-2026</v>
      </c>
      <c r="L1894">
        <f>IF(Transactions_Clean[[#This Row],[Category]]="Revenue",Transactions_Clean[[#This Row],[Amount(₹)]],Transactions_Clean[[#This Row],[Amount(₹)]]/8)</f>
        <v>-1394.25</v>
      </c>
    </row>
    <row r="1895" spans="1:12">
      <c r="A1895" t="s">
        <v>3072</v>
      </c>
      <c r="B1895" t="s">
        <v>4756</v>
      </c>
      <c r="C1895" t="s">
        <v>73</v>
      </c>
      <c r="D1895">
        <v>-21506</v>
      </c>
      <c r="E1895" t="s">
        <v>74</v>
      </c>
      <c r="F1895" t="s">
        <v>24</v>
      </c>
      <c r="G1895" t="s">
        <v>25</v>
      </c>
      <c r="H1895" t="s">
        <v>45</v>
      </c>
      <c r="I1895" t="s">
        <v>48</v>
      </c>
      <c r="J1895" s="11">
        <v>45629</v>
      </c>
      <c r="K1895" t="str">
        <f>TEXT(Transactions_Clean[[#This Row],[Date]],"MMM-YYYY")</f>
        <v>Dec-2024</v>
      </c>
      <c r="L1895">
        <f>IF(Transactions_Clean[[#This Row],[Category]]="Revenue",Transactions_Clean[[#This Row],[Amount(₹)]],Transactions_Clean[[#This Row],[Amount(₹)]]/8)</f>
        <v>-2688.25</v>
      </c>
    </row>
    <row r="1896" spans="1:12">
      <c r="A1896" t="s">
        <v>3074</v>
      </c>
      <c r="B1896" t="s">
        <v>4760</v>
      </c>
      <c r="C1896" t="s">
        <v>73</v>
      </c>
      <c r="D1896">
        <v>-71176</v>
      </c>
      <c r="E1896" t="s">
        <v>74</v>
      </c>
      <c r="F1896" t="s">
        <v>24</v>
      </c>
      <c r="G1896" t="s">
        <v>25</v>
      </c>
      <c r="H1896" t="s">
        <v>45</v>
      </c>
      <c r="I1896" t="s">
        <v>34</v>
      </c>
      <c r="J1896" s="11">
        <v>45413</v>
      </c>
      <c r="K1896" t="str">
        <f>TEXT(Transactions_Clean[[#This Row],[Date]],"MMM-YYYY")</f>
        <v>May-2024</v>
      </c>
      <c r="L1896">
        <f>IF(Transactions_Clean[[#This Row],[Category]]="Revenue",Transactions_Clean[[#This Row],[Amount(₹)]],Transactions_Clean[[#This Row],[Amount(₹)]]/8)</f>
        <v>-8897</v>
      </c>
    </row>
    <row r="1897" spans="1:12">
      <c r="A1897" t="s">
        <v>3075</v>
      </c>
      <c r="B1897" t="s">
        <v>4774</v>
      </c>
      <c r="C1897" t="s">
        <v>440</v>
      </c>
      <c r="D1897">
        <v>-97216</v>
      </c>
      <c r="E1897" t="s">
        <v>23</v>
      </c>
      <c r="F1897" t="s">
        <v>32</v>
      </c>
      <c r="G1897" t="s">
        <v>33</v>
      </c>
      <c r="H1897" t="s">
        <v>26</v>
      </c>
      <c r="I1897" t="s">
        <v>40</v>
      </c>
      <c r="J1897" s="11">
        <v>45134</v>
      </c>
      <c r="K1897" t="str">
        <f>TEXT(Transactions_Clean[[#This Row],[Date]],"MMM-YYYY")</f>
        <v>Jul-2023</v>
      </c>
      <c r="L1897">
        <f>IF(Transactions_Clean[[#This Row],[Category]]="Revenue",Transactions_Clean[[#This Row],[Amount(₹)]],Transactions_Clean[[#This Row],[Amount(₹)]]/8)</f>
        <v>-12152</v>
      </c>
    </row>
    <row r="1898" spans="1:12">
      <c r="A1898" t="s">
        <v>3076</v>
      </c>
      <c r="B1898" t="s">
        <v>4771</v>
      </c>
      <c r="C1898" t="s">
        <v>440</v>
      </c>
      <c r="D1898">
        <v>-144464</v>
      </c>
      <c r="E1898" t="s">
        <v>23</v>
      </c>
      <c r="F1898" t="s">
        <v>24</v>
      </c>
      <c r="G1898" t="s">
        <v>33</v>
      </c>
      <c r="H1898" t="s">
        <v>45</v>
      </c>
      <c r="I1898" t="s">
        <v>48</v>
      </c>
      <c r="J1898" s="11">
        <v>45632</v>
      </c>
      <c r="K1898" t="str">
        <f>TEXT(Transactions_Clean[[#This Row],[Date]],"MMM-YYYY")</f>
        <v>Dec-2024</v>
      </c>
      <c r="L1898">
        <f>IF(Transactions_Clean[[#This Row],[Category]]="Revenue",Transactions_Clean[[#This Row],[Amount(₹)]],Transactions_Clean[[#This Row],[Amount(₹)]]/8)</f>
        <v>-18058</v>
      </c>
    </row>
    <row r="1899" spans="1:12">
      <c r="A1899" t="s">
        <v>3078</v>
      </c>
      <c r="B1899" t="s">
        <v>51</v>
      </c>
      <c r="C1899" t="s">
        <v>31</v>
      </c>
      <c r="D1899">
        <v>-19710</v>
      </c>
      <c r="E1899" t="s">
        <v>23</v>
      </c>
      <c r="F1899" t="s">
        <v>32</v>
      </c>
      <c r="G1899" t="s">
        <v>33</v>
      </c>
      <c r="H1899" t="s">
        <v>45</v>
      </c>
      <c r="I1899" t="s">
        <v>40</v>
      </c>
      <c r="J1899" s="11">
        <v>45494</v>
      </c>
      <c r="K1899" t="str">
        <f>TEXT(Transactions_Clean[[#This Row],[Date]],"MMM-YYYY")</f>
        <v>Jul-2024</v>
      </c>
      <c r="L1899">
        <f>IF(Transactions_Clean[[#This Row],[Category]]="Revenue",Transactions_Clean[[#This Row],[Amount(₹)]],Transactions_Clean[[#This Row],[Amount(₹)]]/8)</f>
        <v>-2463.75</v>
      </c>
    </row>
    <row r="1900" spans="1:12">
      <c r="A1900" t="s">
        <v>3079</v>
      </c>
      <c r="B1900" t="s">
        <v>215</v>
      </c>
      <c r="C1900" t="s">
        <v>61</v>
      </c>
      <c r="D1900">
        <v>-21695</v>
      </c>
      <c r="E1900" t="s">
        <v>62</v>
      </c>
      <c r="F1900" t="s">
        <v>24</v>
      </c>
      <c r="G1900" t="s">
        <v>63</v>
      </c>
      <c r="H1900" t="s">
        <v>26</v>
      </c>
      <c r="I1900" t="s">
        <v>27</v>
      </c>
      <c r="J1900" s="11">
        <v>45345</v>
      </c>
      <c r="K1900" t="str">
        <f>TEXT(Transactions_Clean[[#This Row],[Date]],"MMM-YYYY")</f>
        <v>Feb-2024</v>
      </c>
      <c r="L1900">
        <f>IF(Transactions_Clean[[#This Row],[Category]]="Revenue",Transactions_Clean[[#This Row],[Amount(₹)]],Transactions_Clean[[#This Row],[Amount(₹)]]/8)</f>
        <v>-2711.875</v>
      </c>
    </row>
    <row r="1901" spans="1:12">
      <c r="A1901" t="s">
        <v>3080</v>
      </c>
      <c r="B1901" t="s">
        <v>60</v>
      </c>
      <c r="C1901" t="s">
        <v>61</v>
      </c>
      <c r="D1901">
        <v>-53011</v>
      </c>
      <c r="E1901" t="s">
        <v>62</v>
      </c>
      <c r="F1901" t="s">
        <v>32</v>
      </c>
      <c r="G1901" t="s">
        <v>63</v>
      </c>
      <c r="H1901" t="s">
        <v>26</v>
      </c>
      <c r="I1901" t="s">
        <v>48</v>
      </c>
      <c r="J1901" s="11">
        <v>45269</v>
      </c>
      <c r="K1901" t="str">
        <f>TEXT(Transactions_Clean[[#This Row],[Date]],"MMM-YYYY")</f>
        <v>Dec-2023</v>
      </c>
      <c r="L1901">
        <f>IF(Transactions_Clean[[#This Row],[Category]]="Revenue",Transactions_Clean[[#This Row],[Amount(₹)]],Transactions_Clean[[#This Row],[Amount(₹)]]/8)</f>
        <v>-6626.375</v>
      </c>
    </row>
    <row r="1902" spans="1:12">
      <c r="A1902" t="s">
        <v>3081</v>
      </c>
      <c r="B1902" t="s">
        <v>4764</v>
      </c>
      <c r="C1902" t="s">
        <v>157</v>
      </c>
      <c r="D1902">
        <v>517287</v>
      </c>
      <c r="E1902" t="s">
        <v>62</v>
      </c>
      <c r="F1902" t="s">
        <v>32</v>
      </c>
      <c r="G1902" t="s">
        <v>25</v>
      </c>
      <c r="H1902" t="s">
        <v>26</v>
      </c>
      <c r="I1902" t="s">
        <v>27</v>
      </c>
      <c r="J1902" s="11">
        <v>45355</v>
      </c>
      <c r="K1902" t="str">
        <f>TEXT(Transactions_Clean[[#This Row],[Date]],"MMM-YYYY")</f>
        <v>Mar-2024</v>
      </c>
      <c r="L1902">
        <f>IF(Transactions_Clean[[#This Row],[Category]]="Revenue",Transactions_Clean[[#This Row],[Amount(₹)]],Transactions_Clean[[#This Row],[Amount(₹)]]/8)</f>
        <v>517287</v>
      </c>
    </row>
    <row r="1903" spans="1:12">
      <c r="A1903" t="s">
        <v>3082</v>
      </c>
      <c r="B1903" t="s">
        <v>66</v>
      </c>
      <c r="C1903" t="s">
        <v>61</v>
      </c>
      <c r="D1903">
        <v>-63834</v>
      </c>
      <c r="E1903" t="s">
        <v>62</v>
      </c>
      <c r="F1903" t="s">
        <v>32</v>
      </c>
      <c r="G1903" t="s">
        <v>63</v>
      </c>
      <c r="H1903" t="s">
        <v>39</v>
      </c>
      <c r="I1903" t="s">
        <v>34</v>
      </c>
      <c r="J1903" s="11">
        <v>45824</v>
      </c>
      <c r="K1903" t="str">
        <f>TEXT(Transactions_Clean[[#This Row],[Date]],"MMM-YYYY")</f>
        <v>Jun-2025</v>
      </c>
      <c r="L1903">
        <f>IF(Transactions_Clean[[#This Row],[Category]]="Revenue",Transactions_Clean[[#This Row],[Amount(₹)]],Transactions_Clean[[#This Row],[Amount(₹)]]/8)</f>
        <v>-7979.25</v>
      </c>
    </row>
    <row r="1904" spans="1:12">
      <c r="A1904" t="s">
        <v>3084</v>
      </c>
      <c r="B1904" t="s">
        <v>4759</v>
      </c>
      <c r="C1904" t="s">
        <v>31</v>
      </c>
      <c r="D1904">
        <v>-33203</v>
      </c>
      <c r="E1904" t="s">
        <v>23</v>
      </c>
      <c r="F1904" t="s">
        <v>24</v>
      </c>
      <c r="G1904" t="s">
        <v>33</v>
      </c>
      <c r="H1904" t="s">
        <v>26</v>
      </c>
      <c r="I1904" t="s">
        <v>48</v>
      </c>
      <c r="J1904" s="11">
        <v>45255</v>
      </c>
      <c r="K1904" t="str">
        <f>TEXT(Transactions_Clean[[#This Row],[Date]],"MMM-YYYY")</f>
        <v>Nov-2023</v>
      </c>
      <c r="L1904">
        <f>IF(Transactions_Clean[[#This Row],[Category]]="Revenue",Transactions_Clean[[#This Row],[Amount(₹)]],Transactions_Clean[[#This Row],[Amount(₹)]]/8)</f>
        <v>-4150.375</v>
      </c>
    </row>
    <row r="1905" spans="1:12">
      <c r="A1905" t="s">
        <v>3085</v>
      </c>
      <c r="B1905" t="s">
        <v>212</v>
      </c>
      <c r="C1905" t="s">
        <v>73</v>
      </c>
      <c r="D1905">
        <v>-81060</v>
      </c>
      <c r="E1905" t="s">
        <v>74</v>
      </c>
      <c r="F1905" t="s">
        <v>24</v>
      </c>
      <c r="G1905" t="s">
        <v>25</v>
      </c>
      <c r="H1905" t="s">
        <v>39</v>
      </c>
      <c r="I1905" t="s">
        <v>34</v>
      </c>
      <c r="J1905" s="11">
        <v>45834</v>
      </c>
      <c r="K1905" t="str">
        <f>TEXT(Transactions_Clean[[#This Row],[Date]],"MMM-YYYY")</f>
        <v>Jun-2025</v>
      </c>
      <c r="L1905">
        <f>IF(Transactions_Clean[[#This Row],[Category]]="Revenue",Transactions_Clean[[#This Row],[Amount(₹)]],Transactions_Clean[[#This Row],[Amount(₹)]]/8)</f>
        <v>-10132.5</v>
      </c>
    </row>
    <row r="1906" spans="1:12">
      <c r="A1906" t="s">
        <v>3086</v>
      </c>
      <c r="B1906" t="s">
        <v>4760</v>
      </c>
      <c r="C1906" t="s">
        <v>73</v>
      </c>
      <c r="D1906">
        <v>-76492</v>
      </c>
      <c r="E1906" t="s">
        <v>74</v>
      </c>
      <c r="F1906" t="s">
        <v>32</v>
      </c>
      <c r="G1906" t="s">
        <v>25</v>
      </c>
      <c r="H1906" t="s">
        <v>45</v>
      </c>
      <c r="I1906" t="s">
        <v>48</v>
      </c>
      <c r="J1906" s="11">
        <v>45606</v>
      </c>
      <c r="K1906" t="str">
        <f>TEXT(Transactions_Clean[[#This Row],[Date]],"MMM-YYYY")</f>
        <v>Nov-2024</v>
      </c>
      <c r="L1906">
        <f>IF(Transactions_Clean[[#This Row],[Category]]="Revenue",Transactions_Clean[[#This Row],[Amount(₹)]],Transactions_Clean[[#This Row],[Amount(₹)]]/8)</f>
        <v>-9561.5</v>
      </c>
    </row>
    <row r="1907" spans="1:12">
      <c r="A1907" t="s">
        <v>3087</v>
      </c>
      <c r="B1907" t="s">
        <v>687</v>
      </c>
      <c r="C1907" t="s">
        <v>4750</v>
      </c>
      <c r="D1907">
        <v>-120799</v>
      </c>
      <c r="E1907" t="s">
        <v>23</v>
      </c>
      <c r="F1907" t="s">
        <v>24</v>
      </c>
      <c r="G1907" t="s">
        <v>33</v>
      </c>
      <c r="H1907" t="s">
        <v>26</v>
      </c>
      <c r="I1907" t="s">
        <v>40</v>
      </c>
      <c r="J1907" s="11">
        <v>45141</v>
      </c>
      <c r="K1907" t="str">
        <f>TEXT(Transactions_Clean[[#This Row],[Date]],"MMM-YYYY")</f>
        <v>Aug-2023</v>
      </c>
      <c r="L1907">
        <f>IF(Transactions_Clean[[#This Row],[Category]]="Revenue",Transactions_Clean[[#This Row],[Amount(₹)]],Transactions_Clean[[#This Row],[Amount(₹)]]/8)</f>
        <v>-15099.875</v>
      </c>
    </row>
    <row r="1908" spans="1:12">
      <c r="A1908" t="s">
        <v>3089</v>
      </c>
      <c r="B1908" t="s">
        <v>4753</v>
      </c>
      <c r="C1908" t="s">
        <v>38</v>
      </c>
      <c r="D1908">
        <v>-24776</v>
      </c>
      <c r="E1908" t="s">
        <v>23</v>
      </c>
      <c r="F1908" t="s">
        <v>32</v>
      </c>
      <c r="G1908" t="s">
        <v>33</v>
      </c>
      <c r="H1908" t="s">
        <v>45</v>
      </c>
      <c r="I1908" t="s">
        <v>34</v>
      </c>
      <c r="J1908" s="11">
        <v>45444</v>
      </c>
      <c r="K1908" t="str">
        <f>TEXT(Transactions_Clean[[#This Row],[Date]],"MMM-YYYY")</f>
        <v>Jun-2024</v>
      </c>
      <c r="L1908">
        <f>IF(Transactions_Clean[[#This Row],[Category]]="Revenue",Transactions_Clean[[#This Row],[Amount(₹)]],Transactions_Clean[[#This Row],[Amount(₹)]]/8)</f>
        <v>-3097</v>
      </c>
    </row>
    <row r="1909" spans="1:12">
      <c r="A1909" t="s">
        <v>3091</v>
      </c>
      <c r="B1909" t="s">
        <v>66</v>
      </c>
      <c r="C1909" t="s">
        <v>61</v>
      </c>
      <c r="D1909">
        <v>-18180</v>
      </c>
      <c r="E1909" t="s">
        <v>62</v>
      </c>
      <c r="F1909" t="s">
        <v>32</v>
      </c>
      <c r="G1909" t="s">
        <v>63</v>
      </c>
      <c r="H1909" t="s">
        <v>26</v>
      </c>
      <c r="I1909" t="s">
        <v>27</v>
      </c>
      <c r="J1909" s="11">
        <v>45380</v>
      </c>
      <c r="K1909" t="str">
        <f>TEXT(Transactions_Clean[[#This Row],[Date]],"MMM-YYYY")</f>
        <v>Mar-2024</v>
      </c>
      <c r="L1909">
        <f>IF(Transactions_Clean[[#This Row],[Category]]="Revenue",Transactions_Clean[[#This Row],[Amount(₹)]],Transactions_Clean[[#This Row],[Amount(₹)]]/8)</f>
        <v>-2272.5</v>
      </c>
    </row>
    <row r="1910" spans="1:12">
      <c r="A1910" t="s">
        <v>3092</v>
      </c>
      <c r="B1910" t="s">
        <v>4767</v>
      </c>
      <c r="C1910" t="s">
        <v>157</v>
      </c>
      <c r="D1910">
        <v>534314</v>
      </c>
      <c r="E1910" t="s">
        <v>62</v>
      </c>
      <c r="F1910" t="s">
        <v>32</v>
      </c>
      <c r="G1910" t="s">
        <v>25</v>
      </c>
      <c r="H1910" t="s">
        <v>26</v>
      </c>
      <c r="I1910" t="s">
        <v>27</v>
      </c>
      <c r="J1910" s="11">
        <v>45381</v>
      </c>
      <c r="K1910" t="str">
        <f>TEXT(Transactions_Clean[[#This Row],[Date]],"MMM-YYYY")</f>
        <v>Mar-2024</v>
      </c>
      <c r="L1910">
        <f>IF(Transactions_Clean[[#This Row],[Category]]="Revenue",Transactions_Clean[[#This Row],[Amount(₹)]],Transactions_Clean[[#This Row],[Amount(₹)]]/8)</f>
        <v>534314</v>
      </c>
    </row>
    <row r="1911" spans="1:12">
      <c r="A1911" t="s">
        <v>3093</v>
      </c>
      <c r="B1911" t="s">
        <v>30</v>
      </c>
      <c r="C1911" t="s">
        <v>31</v>
      </c>
      <c r="D1911">
        <v>-29586</v>
      </c>
      <c r="E1911" t="s">
        <v>23</v>
      </c>
      <c r="F1911" t="s">
        <v>24</v>
      </c>
      <c r="G1911" t="s">
        <v>33</v>
      </c>
      <c r="H1911" t="s">
        <v>45</v>
      </c>
      <c r="I1911" t="s">
        <v>40</v>
      </c>
      <c r="J1911" s="11">
        <v>45527</v>
      </c>
      <c r="K1911" t="str">
        <f>TEXT(Transactions_Clean[[#This Row],[Date]],"MMM-YYYY")</f>
        <v>Aug-2024</v>
      </c>
      <c r="L1911">
        <f>IF(Transactions_Clean[[#This Row],[Category]]="Revenue",Transactions_Clean[[#This Row],[Amount(₹)]],Transactions_Clean[[#This Row],[Amount(₹)]]/8)</f>
        <v>-3698.25</v>
      </c>
    </row>
    <row r="1912" spans="1:12">
      <c r="A1912" t="s">
        <v>3095</v>
      </c>
      <c r="B1912" t="s">
        <v>37</v>
      </c>
      <c r="C1912" t="s">
        <v>38</v>
      </c>
      <c r="D1912">
        <v>-54751</v>
      </c>
      <c r="E1912" t="s">
        <v>23</v>
      </c>
      <c r="F1912" t="s">
        <v>24</v>
      </c>
      <c r="G1912" t="s">
        <v>33</v>
      </c>
      <c r="H1912" t="s">
        <v>26</v>
      </c>
      <c r="I1912" t="s">
        <v>40</v>
      </c>
      <c r="J1912" s="11">
        <v>45150</v>
      </c>
      <c r="K1912" t="str">
        <f>TEXT(Transactions_Clean[[#This Row],[Date]],"MMM-YYYY")</f>
        <v>Aug-2023</v>
      </c>
      <c r="L1912">
        <f>IF(Transactions_Clean[[#This Row],[Category]]="Revenue",Transactions_Clean[[#This Row],[Amount(₹)]],Transactions_Clean[[#This Row],[Amount(₹)]]/8)</f>
        <v>-6843.875</v>
      </c>
    </row>
    <row r="1913" spans="1:12">
      <c r="A1913" t="s">
        <v>3096</v>
      </c>
      <c r="B1913" t="s">
        <v>687</v>
      </c>
      <c r="C1913" t="s">
        <v>44</v>
      </c>
      <c r="D1913">
        <v>-55096</v>
      </c>
      <c r="E1913" t="s">
        <v>23</v>
      </c>
      <c r="F1913" t="s">
        <v>24</v>
      </c>
      <c r="G1913" t="s">
        <v>33</v>
      </c>
      <c r="H1913" t="s">
        <v>26</v>
      </c>
      <c r="I1913" t="s">
        <v>27</v>
      </c>
      <c r="J1913" s="11">
        <v>45343</v>
      </c>
      <c r="K1913" t="str">
        <f>TEXT(Transactions_Clean[[#This Row],[Date]],"MMM-YYYY")</f>
        <v>Feb-2024</v>
      </c>
      <c r="L1913">
        <f>IF(Transactions_Clean[[#This Row],[Category]]="Revenue",Transactions_Clean[[#This Row],[Amount(₹)]],Transactions_Clean[[#This Row],[Amount(₹)]]/8)</f>
        <v>-6887</v>
      </c>
    </row>
    <row r="1914" spans="1:12">
      <c r="A1914" t="s">
        <v>3097</v>
      </c>
      <c r="B1914" t="s">
        <v>4760</v>
      </c>
      <c r="C1914" t="s">
        <v>73</v>
      </c>
      <c r="D1914">
        <v>-74724</v>
      </c>
      <c r="E1914" t="s">
        <v>74</v>
      </c>
      <c r="F1914" t="s">
        <v>32</v>
      </c>
      <c r="G1914" t="s">
        <v>25</v>
      </c>
      <c r="H1914" t="s">
        <v>39</v>
      </c>
      <c r="I1914" t="s">
        <v>40</v>
      </c>
      <c r="J1914" s="11">
        <v>45909</v>
      </c>
      <c r="K1914" t="str">
        <f>TEXT(Transactions_Clean[[#This Row],[Date]],"MMM-YYYY")</f>
        <v>Sep-2025</v>
      </c>
      <c r="L1914">
        <f>IF(Transactions_Clean[[#This Row],[Category]]="Revenue",Transactions_Clean[[#This Row],[Amount(₹)]],Transactions_Clean[[#This Row],[Amount(₹)]]/8)</f>
        <v>-9340.5</v>
      </c>
    </row>
    <row r="1915" spans="1:12">
      <c r="A1915" t="s">
        <v>3098</v>
      </c>
      <c r="B1915" t="s">
        <v>177</v>
      </c>
      <c r="C1915" t="s">
        <v>78</v>
      </c>
      <c r="D1915">
        <v>-69149</v>
      </c>
      <c r="E1915" t="s">
        <v>23</v>
      </c>
      <c r="F1915" t="s">
        <v>32</v>
      </c>
      <c r="G1915" t="s">
        <v>79</v>
      </c>
      <c r="H1915" t="s">
        <v>45</v>
      </c>
      <c r="I1915" t="s">
        <v>34</v>
      </c>
      <c r="J1915" s="11">
        <v>45434</v>
      </c>
      <c r="K1915" t="str">
        <f>TEXT(Transactions_Clean[[#This Row],[Date]],"MMM-YYYY")</f>
        <v>May-2024</v>
      </c>
      <c r="L1915">
        <f>IF(Transactions_Clean[[#This Row],[Category]]="Revenue",Transactions_Clean[[#This Row],[Amount(₹)]],Transactions_Clean[[#This Row],[Amount(₹)]]/8)</f>
        <v>-8643.625</v>
      </c>
    </row>
    <row r="1916" spans="1:12">
      <c r="A1916" t="s">
        <v>3099</v>
      </c>
      <c r="B1916" t="s">
        <v>4764</v>
      </c>
      <c r="C1916" t="s">
        <v>157</v>
      </c>
      <c r="D1916">
        <v>532987</v>
      </c>
      <c r="E1916" t="s">
        <v>62</v>
      </c>
      <c r="F1916" t="s">
        <v>32</v>
      </c>
      <c r="G1916" t="s">
        <v>25</v>
      </c>
      <c r="H1916" t="s">
        <v>26</v>
      </c>
      <c r="I1916" t="s">
        <v>40</v>
      </c>
      <c r="J1916" s="11">
        <v>45126</v>
      </c>
      <c r="K1916" t="str">
        <f>TEXT(Transactions_Clean[[#This Row],[Date]],"MMM-YYYY")</f>
        <v>Jul-2023</v>
      </c>
      <c r="L1916">
        <f>IF(Transactions_Clean[[#This Row],[Category]]="Revenue",Transactions_Clean[[#This Row],[Amount(₹)]],Transactions_Clean[[#This Row],[Amount(₹)]]/8)</f>
        <v>532987</v>
      </c>
    </row>
    <row r="1917" spans="1:12">
      <c r="A1917" t="s">
        <v>3100</v>
      </c>
      <c r="B1917" t="s">
        <v>100</v>
      </c>
      <c r="C1917" t="s">
        <v>31</v>
      </c>
      <c r="D1917">
        <v>-29001</v>
      </c>
      <c r="E1917" t="s">
        <v>23</v>
      </c>
      <c r="F1917" t="s">
        <v>32</v>
      </c>
      <c r="G1917" t="s">
        <v>33</v>
      </c>
      <c r="H1917" t="s">
        <v>45</v>
      </c>
      <c r="I1917" t="s">
        <v>48</v>
      </c>
      <c r="J1917" s="11">
        <v>45633</v>
      </c>
      <c r="K1917" t="str">
        <f>TEXT(Transactions_Clean[[#This Row],[Date]],"MMM-YYYY")</f>
        <v>Dec-2024</v>
      </c>
      <c r="L1917">
        <f>IF(Transactions_Clean[[#This Row],[Category]]="Revenue",Transactions_Clean[[#This Row],[Amount(₹)]],Transactions_Clean[[#This Row],[Amount(₹)]]/8)</f>
        <v>-3625.125</v>
      </c>
    </row>
    <row r="1918" spans="1:12">
      <c r="A1918" t="s">
        <v>3101</v>
      </c>
      <c r="B1918" t="s">
        <v>4753</v>
      </c>
      <c r="C1918" t="s">
        <v>38</v>
      </c>
      <c r="D1918">
        <v>-35474</v>
      </c>
      <c r="E1918" t="s">
        <v>23</v>
      </c>
      <c r="F1918" t="s">
        <v>32</v>
      </c>
      <c r="G1918" t="s">
        <v>33</v>
      </c>
      <c r="H1918" t="s">
        <v>26</v>
      </c>
      <c r="I1918" t="s">
        <v>40</v>
      </c>
      <c r="J1918" s="11">
        <v>45145</v>
      </c>
      <c r="K1918" t="str">
        <f>TEXT(Transactions_Clean[[#This Row],[Date]],"MMM-YYYY")</f>
        <v>Aug-2023</v>
      </c>
      <c r="L1918">
        <f>IF(Transactions_Clean[[#This Row],[Category]]="Revenue",Transactions_Clean[[#This Row],[Amount(₹)]],Transactions_Clean[[#This Row],[Amount(₹)]]/8)</f>
        <v>-4434.25</v>
      </c>
    </row>
    <row r="1919" spans="1:12">
      <c r="A1919" t="s">
        <v>3102</v>
      </c>
      <c r="B1919" t="s">
        <v>283</v>
      </c>
      <c r="C1919" t="s">
        <v>44</v>
      </c>
      <c r="D1919">
        <v>-60706</v>
      </c>
      <c r="E1919" t="s">
        <v>23</v>
      </c>
      <c r="F1919" t="s">
        <v>24</v>
      </c>
      <c r="G1919" t="s">
        <v>33</v>
      </c>
      <c r="H1919" t="s">
        <v>26</v>
      </c>
      <c r="I1919" t="s">
        <v>27</v>
      </c>
      <c r="J1919" s="11">
        <v>45299</v>
      </c>
      <c r="K1919" t="str">
        <f>TEXT(Transactions_Clean[[#This Row],[Date]],"MMM-YYYY")</f>
        <v>Jan-2024</v>
      </c>
      <c r="L1919">
        <f>IF(Transactions_Clean[[#This Row],[Category]]="Revenue",Transactions_Clean[[#This Row],[Amount(₹)]],Transactions_Clean[[#This Row],[Amount(₹)]]/8)</f>
        <v>-7588.25</v>
      </c>
    </row>
    <row r="1920" spans="1:12">
      <c r="A1920" t="s">
        <v>3104</v>
      </c>
      <c r="B1920" t="s">
        <v>116</v>
      </c>
      <c r="C1920" t="s">
        <v>73</v>
      </c>
      <c r="D1920">
        <v>-38771</v>
      </c>
      <c r="E1920" t="s">
        <v>74</v>
      </c>
      <c r="F1920" t="s">
        <v>32</v>
      </c>
      <c r="G1920" t="s">
        <v>25</v>
      </c>
      <c r="H1920" t="s">
        <v>26</v>
      </c>
      <c r="I1920" t="s">
        <v>34</v>
      </c>
      <c r="J1920" s="11">
        <v>45067</v>
      </c>
      <c r="K1920" t="str">
        <f>TEXT(Transactions_Clean[[#This Row],[Date]],"MMM-YYYY")</f>
        <v>May-2023</v>
      </c>
      <c r="L1920">
        <f>IF(Transactions_Clean[[#This Row],[Category]]="Revenue",Transactions_Clean[[#This Row],[Amount(₹)]],Transactions_Clean[[#This Row],[Amount(₹)]]/8)</f>
        <v>-4846.375</v>
      </c>
    </row>
    <row r="1921" spans="1:12">
      <c r="A1921" t="s">
        <v>3106</v>
      </c>
      <c r="B1921" t="s">
        <v>66</v>
      </c>
      <c r="C1921" t="s">
        <v>61</v>
      </c>
      <c r="D1921">
        <v>-37638</v>
      </c>
      <c r="E1921" t="s">
        <v>62</v>
      </c>
      <c r="F1921" t="s">
        <v>32</v>
      </c>
      <c r="G1921" t="s">
        <v>63</v>
      </c>
      <c r="H1921" t="s">
        <v>39</v>
      </c>
      <c r="I1921" t="s">
        <v>48</v>
      </c>
      <c r="J1921" s="11">
        <v>46008</v>
      </c>
      <c r="K1921" t="str">
        <f>TEXT(Transactions_Clean[[#This Row],[Date]],"MMM-YYYY")</f>
        <v>Dec-2025</v>
      </c>
      <c r="L1921">
        <f>IF(Transactions_Clean[[#This Row],[Category]]="Revenue",Transactions_Clean[[#This Row],[Amount(₹)]],Transactions_Clean[[#This Row],[Amount(₹)]]/8)</f>
        <v>-4704.75</v>
      </c>
    </row>
    <row r="1922" spans="1:12">
      <c r="A1922" t="s">
        <v>3107</v>
      </c>
      <c r="B1922" t="s">
        <v>174</v>
      </c>
      <c r="C1922" t="s">
        <v>22</v>
      </c>
      <c r="D1922">
        <v>-109869</v>
      </c>
      <c r="E1922" t="s">
        <v>23</v>
      </c>
      <c r="F1922" t="s">
        <v>24</v>
      </c>
      <c r="G1922" t="s">
        <v>25</v>
      </c>
      <c r="H1922" t="s">
        <v>45</v>
      </c>
      <c r="I1922" t="s">
        <v>48</v>
      </c>
      <c r="J1922" s="11">
        <v>45586</v>
      </c>
      <c r="K1922" t="str">
        <f>TEXT(Transactions_Clean[[#This Row],[Date]],"MMM-YYYY")</f>
        <v>Oct-2024</v>
      </c>
      <c r="L1922">
        <f>IF(Transactions_Clean[[#This Row],[Category]]="Revenue",Transactions_Clean[[#This Row],[Amount(₹)]],Transactions_Clean[[#This Row],[Amount(₹)]]/8)</f>
        <v>-13733.625</v>
      </c>
    </row>
    <row r="1923" spans="1:12">
      <c r="A1923" t="s">
        <v>3108</v>
      </c>
      <c r="B1923" t="s">
        <v>180</v>
      </c>
      <c r="C1923" t="s">
        <v>44</v>
      </c>
      <c r="D1923">
        <v>-177698</v>
      </c>
      <c r="E1923" t="s">
        <v>23</v>
      </c>
      <c r="F1923" t="s">
        <v>32</v>
      </c>
      <c r="G1923" t="s">
        <v>33</v>
      </c>
      <c r="H1923" t="s">
        <v>26</v>
      </c>
      <c r="I1923" t="s">
        <v>48</v>
      </c>
      <c r="J1923" s="11">
        <v>45218</v>
      </c>
      <c r="K1923" t="str">
        <f>TEXT(Transactions_Clean[[#This Row],[Date]],"MMM-YYYY")</f>
        <v>Oct-2023</v>
      </c>
      <c r="L1923">
        <f>IF(Transactions_Clean[[#This Row],[Category]]="Revenue",Transactions_Clean[[#This Row],[Amount(₹)]],Transactions_Clean[[#This Row],[Amount(₹)]]/8)</f>
        <v>-22212.25</v>
      </c>
    </row>
    <row r="1924" spans="1:12">
      <c r="A1924" t="s">
        <v>3109</v>
      </c>
      <c r="B1924" t="s">
        <v>215</v>
      </c>
      <c r="C1924" t="s">
        <v>61</v>
      </c>
      <c r="D1924">
        <v>-31679</v>
      </c>
      <c r="E1924" t="s">
        <v>62</v>
      </c>
      <c r="F1924" t="s">
        <v>24</v>
      </c>
      <c r="G1924" t="s">
        <v>63</v>
      </c>
      <c r="H1924" t="s">
        <v>39</v>
      </c>
      <c r="I1924" t="s">
        <v>34</v>
      </c>
      <c r="J1924" s="11">
        <v>45776</v>
      </c>
      <c r="K1924" t="str">
        <f>TEXT(Transactions_Clean[[#This Row],[Date]],"MMM-YYYY")</f>
        <v>Apr-2025</v>
      </c>
      <c r="L1924">
        <f>IF(Transactions_Clean[[#This Row],[Category]]="Revenue",Transactions_Clean[[#This Row],[Amount(₹)]],Transactions_Clean[[#This Row],[Amount(₹)]]/8)</f>
        <v>-3959.875</v>
      </c>
    </row>
    <row r="1925" spans="1:12">
      <c r="A1925" t="s">
        <v>3111</v>
      </c>
      <c r="B1925" t="s">
        <v>66</v>
      </c>
      <c r="C1925" t="s">
        <v>61</v>
      </c>
      <c r="D1925">
        <v>-42619</v>
      </c>
      <c r="E1925" t="s">
        <v>62</v>
      </c>
      <c r="F1925" t="s">
        <v>32</v>
      </c>
      <c r="G1925" t="s">
        <v>63</v>
      </c>
      <c r="H1925" t="s">
        <v>39</v>
      </c>
      <c r="I1925" t="s">
        <v>40</v>
      </c>
      <c r="J1925" s="11">
        <v>45880</v>
      </c>
      <c r="K1925" t="str">
        <f>TEXT(Transactions_Clean[[#This Row],[Date]],"MMM-YYYY")</f>
        <v>Aug-2025</v>
      </c>
      <c r="L1925">
        <f>IF(Transactions_Clean[[#This Row],[Category]]="Revenue",Transactions_Clean[[#This Row],[Amount(₹)]],Transactions_Clean[[#This Row],[Amount(₹)]]/8)</f>
        <v>-5327.375</v>
      </c>
    </row>
    <row r="1926" spans="1:12">
      <c r="A1926" t="s">
        <v>3112</v>
      </c>
      <c r="B1926" t="s">
        <v>87</v>
      </c>
      <c r="C1926" t="s">
        <v>22</v>
      </c>
      <c r="D1926">
        <v>-193767</v>
      </c>
      <c r="E1926" t="s">
        <v>23</v>
      </c>
      <c r="F1926" t="s">
        <v>24</v>
      </c>
      <c r="G1926" t="s">
        <v>25</v>
      </c>
      <c r="H1926" t="s">
        <v>45</v>
      </c>
      <c r="I1926" t="s">
        <v>40</v>
      </c>
      <c r="J1926" s="11">
        <v>45511</v>
      </c>
      <c r="K1926" t="str">
        <f>TEXT(Transactions_Clean[[#This Row],[Date]],"MMM-YYYY")</f>
        <v>Aug-2024</v>
      </c>
      <c r="L1926">
        <f>IF(Transactions_Clean[[#This Row],[Category]]="Revenue",Transactions_Clean[[#This Row],[Amount(₹)]],Transactions_Clean[[#This Row],[Amount(₹)]]/8)</f>
        <v>-24220.875</v>
      </c>
    </row>
    <row r="1927" spans="1:12">
      <c r="A1927" t="s">
        <v>3113</v>
      </c>
      <c r="B1927" t="s">
        <v>4757</v>
      </c>
      <c r="C1927" t="s">
        <v>73</v>
      </c>
      <c r="D1927">
        <v>-77984</v>
      </c>
      <c r="E1927" t="s">
        <v>74</v>
      </c>
      <c r="F1927" t="s">
        <v>32</v>
      </c>
      <c r="G1927" t="s">
        <v>25</v>
      </c>
      <c r="H1927" t="s">
        <v>26</v>
      </c>
      <c r="I1927" t="s">
        <v>27</v>
      </c>
      <c r="J1927" s="11">
        <v>45322</v>
      </c>
      <c r="K1927" t="str">
        <f>TEXT(Transactions_Clean[[#This Row],[Date]],"MMM-YYYY")</f>
        <v>Jan-2024</v>
      </c>
      <c r="L1927">
        <f>IF(Transactions_Clean[[#This Row],[Category]]="Revenue",Transactions_Clean[[#This Row],[Amount(₹)]],Transactions_Clean[[#This Row],[Amount(₹)]]/8)</f>
        <v>-9748</v>
      </c>
    </row>
    <row r="1928" spans="1:12">
      <c r="A1928" t="s">
        <v>3115</v>
      </c>
      <c r="B1928" t="s">
        <v>345</v>
      </c>
      <c r="C1928" t="s">
        <v>4750</v>
      </c>
      <c r="D1928">
        <v>-215477</v>
      </c>
      <c r="E1928" t="s">
        <v>23</v>
      </c>
      <c r="F1928" t="s">
        <v>24</v>
      </c>
      <c r="G1928" t="s">
        <v>25</v>
      </c>
      <c r="H1928" t="s">
        <v>45</v>
      </c>
      <c r="I1928" t="s">
        <v>40</v>
      </c>
      <c r="J1928" s="11">
        <v>45554</v>
      </c>
      <c r="K1928" t="str">
        <f>TEXT(Transactions_Clean[[#This Row],[Date]],"MMM-YYYY")</f>
        <v>Sep-2024</v>
      </c>
      <c r="L1928">
        <f>IF(Transactions_Clean[[#This Row],[Category]]="Revenue",Transactions_Clean[[#This Row],[Amount(₹)]],Transactions_Clean[[#This Row],[Amount(₹)]]/8)</f>
        <v>-26934.625</v>
      </c>
    </row>
    <row r="1929" spans="1:12">
      <c r="A1929" t="s">
        <v>3116</v>
      </c>
      <c r="B1929" t="s">
        <v>4765</v>
      </c>
      <c r="C1929" t="s">
        <v>73</v>
      </c>
      <c r="D1929">
        <v>-33668</v>
      </c>
      <c r="E1929" t="s">
        <v>74</v>
      </c>
      <c r="F1929" t="s">
        <v>24</v>
      </c>
      <c r="G1929" t="s">
        <v>25</v>
      </c>
      <c r="H1929" t="s">
        <v>45</v>
      </c>
      <c r="I1929" t="s">
        <v>48</v>
      </c>
      <c r="J1929" s="11">
        <v>45580</v>
      </c>
      <c r="K1929" t="str">
        <f>TEXT(Transactions_Clean[[#This Row],[Date]],"MMM-YYYY")</f>
        <v>Oct-2024</v>
      </c>
      <c r="L1929">
        <f>IF(Transactions_Clean[[#This Row],[Category]]="Revenue",Transactions_Clean[[#This Row],[Amount(₹)]],Transactions_Clean[[#This Row],[Amount(₹)]]/8)</f>
        <v>-4208.5</v>
      </c>
    </row>
    <row r="1930" spans="1:12">
      <c r="A1930" t="s">
        <v>3117</v>
      </c>
      <c r="B1930" t="s">
        <v>66</v>
      </c>
      <c r="C1930" t="s">
        <v>61</v>
      </c>
      <c r="D1930">
        <v>-40455</v>
      </c>
      <c r="E1930" t="s">
        <v>62</v>
      </c>
      <c r="F1930" t="s">
        <v>24</v>
      </c>
      <c r="G1930" t="s">
        <v>63</v>
      </c>
      <c r="H1930" t="s">
        <v>26</v>
      </c>
      <c r="I1930" t="s">
        <v>40</v>
      </c>
      <c r="J1930" s="11">
        <v>45175</v>
      </c>
      <c r="K1930" t="str">
        <f>TEXT(Transactions_Clean[[#This Row],[Date]],"MMM-YYYY")</f>
        <v>Sep-2023</v>
      </c>
      <c r="L1930">
        <f>IF(Transactions_Clean[[#This Row],[Category]]="Revenue",Transactions_Clean[[#This Row],[Amount(₹)]],Transactions_Clean[[#This Row],[Amount(₹)]]/8)</f>
        <v>-5056.875</v>
      </c>
    </row>
    <row r="1931" spans="1:12">
      <c r="A1931" t="s">
        <v>3118</v>
      </c>
      <c r="B1931" t="s">
        <v>60</v>
      </c>
      <c r="C1931" t="s">
        <v>61</v>
      </c>
      <c r="D1931">
        <v>-34154</v>
      </c>
      <c r="E1931" t="s">
        <v>62</v>
      </c>
      <c r="F1931" t="s">
        <v>32</v>
      </c>
      <c r="G1931" t="s">
        <v>63</v>
      </c>
      <c r="H1931" t="s">
        <v>45</v>
      </c>
      <c r="I1931" t="s">
        <v>40</v>
      </c>
      <c r="J1931" s="11">
        <v>45549</v>
      </c>
      <c r="K1931" t="str">
        <f>TEXT(Transactions_Clean[[#This Row],[Date]],"MMM-YYYY")</f>
        <v>Sep-2024</v>
      </c>
      <c r="L1931">
        <f>IF(Transactions_Clean[[#This Row],[Category]]="Revenue",Transactions_Clean[[#This Row],[Amount(₹)]],Transactions_Clean[[#This Row],[Amount(₹)]]/8)</f>
        <v>-4269.25</v>
      </c>
    </row>
    <row r="1932" spans="1:12">
      <c r="A1932" t="s">
        <v>3120</v>
      </c>
      <c r="B1932" t="s">
        <v>4766</v>
      </c>
      <c r="C1932" t="s">
        <v>73</v>
      </c>
      <c r="D1932">
        <v>-66459</v>
      </c>
      <c r="E1932" t="s">
        <v>74</v>
      </c>
      <c r="F1932" t="s">
        <v>32</v>
      </c>
      <c r="G1932" t="s">
        <v>25</v>
      </c>
      <c r="H1932" t="s">
        <v>45</v>
      </c>
      <c r="I1932" t="s">
        <v>48</v>
      </c>
      <c r="J1932" s="11">
        <v>45652</v>
      </c>
      <c r="K1932" t="str">
        <f>TEXT(Transactions_Clean[[#This Row],[Date]],"MMM-YYYY")</f>
        <v>Dec-2024</v>
      </c>
      <c r="L1932">
        <f>IF(Transactions_Clean[[#This Row],[Category]]="Revenue",Transactions_Clean[[#This Row],[Amount(₹)]],Transactions_Clean[[#This Row],[Amount(₹)]]/8)</f>
        <v>-8307.375</v>
      </c>
    </row>
    <row r="1933" spans="1:12">
      <c r="A1933" t="s">
        <v>3122</v>
      </c>
      <c r="B1933" t="s">
        <v>4759</v>
      </c>
      <c r="C1933" t="s">
        <v>4750</v>
      </c>
      <c r="D1933">
        <v>-6519</v>
      </c>
      <c r="E1933" t="s">
        <v>23</v>
      </c>
      <c r="F1933" t="s">
        <v>24</v>
      </c>
      <c r="G1933" t="s">
        <v>33</v>
      </c>
      <c r="H1933" t="s">
        <v>45</v>
      </c>
      <c r="I1933" t="s">
        <v>27</v>
      </c>
      <c r="J1933" s="11">
        <v>45741</v>
      </c>
      <c r="K1933" t="str">
        <f>TEXT(Transactions_Clean[[#This Row],[Date]],"MMM-YYYY")</f>
        <v>Mar-2025</v>
      </c>
      <c r="L1933">
        <f>IF(Transactions_Clean[[#This Row],[Category]]="Revenue",Transactions_Clean[[#This Row],[Amount(₹)]],Transactions_Clean[[#This Row],[Amount(₹)]]/8)</f>
        <v>-814.875</v>
      </c>
    </row>
    <row r="1934" spans="1:12">
      <c r="A1934" t="s">
        <v>3123</v>
      </c>
      <c r="B1934" t="s">
        <v>60</v>
      </c>
      <c r="C1934" t="s">
        <v>61</v>
      </c>
      <c r="D1934">
        <v>-24934</v>
      </c>
      <c r="E1934" t="s">
        <v>62</v>
      </c>
      <c r="F1934" t="s">
        <v>24</v>
      </c>
      <c r="G1934" t="s">
        <v>63</v>
      </c>
      <c r="H1934" t="s">
        <v>45</v>
      </c>
      <c r="I1934" t="s">
        <v>48</v>
      </c>
      <c r="J1934" s="11">
        <v>45580</v>
      </c>
      <c r="K1934" t="str">
        <f>TEXT(Transactions_Clean[[#This Row],[Date]],"MMM-YYYY")</f>
        <v>Oct-2024</v>
      </c>
      <c r="L1934">
        <f>IF(Transactions_Clean[[#This Row],[Category]]="Revenue",Transactions_Clean[[#This Row],[Amount(₹)]],Transactions_Clean[[#This Row],[Amount(₹)]]/8)</f>
        <v>-3116.75</v>
      </c>
    </row>
    <row r="1935" spans="1:12">
      <c r="A1935" t="s">
        <v>3124</v>
      </c>
      <c r="B1935" t="s">
        <v>129</v>
      </c>
      <c r="C1935" t="s">
        <v>38</v>
      </c>
      <c r="D1935">
        <v>-27626</v>
      </c>
      <c r="E1935" t="s">
        <v>23</v>
      </c>
      <c r="F1935" t="s">
        <v>24</v>
      </c>
      <c r="G1935" t="s">
        <v>33</v>
      </c>
      <c r="H1935" t="s">
        <v>45</v>
      </c>
      <c r="I1935" t="s">
        <v>34</v>
      </c>
      <c r="J1935" s="11">
        <v>45392</v>
      </c>
      <c r="K1935" t="str">
        <f>TEXT(Transactions_Clean[[#This Row],[Date]],"MMM-YYYY")</f>
        <v>Apr-2024</v>
      </c>
      <c r="L1935">
        <f>IF(Transactions_Clean[[#This Row],[Category]]="Revenue",Transactions_Clean[[#This Row],[Amount(₹)]],Transactions_Clean[[#This Row],[Amount(₹)]]/8)</f>
        <v>-3453.25</v>
      </c>
    </row>
    <row r="1936" spans="1:12">
      <c r="A1936" t="s">
        <v>3125</v>
      </c>
      <c r="B1936" t="s">
        <v>4757</v>
      </c>
      <c r="C1936" t="s">
        <v>73</v>
      </c>
      <c r="D1936">
        <v>-36048</v>
      </c>
      <c r="E1936" t="s">
        <v>74</v>
      </c>
      <c r="F1936" t="s">
        <v>32</v>
      </c>
      <c r="G1936" t="s">
        <v>25</v>
      </c>
      <c r="H1936" t="s">
        <v>39</v>
      </c>
      <c r="I1936" t="s">
        <v>48</v>
      </c>
      <c r="J1936" s="11">
        <v>45992</v>
      </c>
      <c r="K1936" t="str">
        <f>TEXT(Transactions_Clean[[#This Row],[Date]],"MMM-YYYY")</f>
        <v>Dec-2025</v>
      </c>
      <c r="L1936">
        <f>IF(Transactions_Clean[[#This Row],[Category]]="Revenue",Transactions_Clean[[#This Row],[Amount(₹)]],Transactions_Clean[[#This Row],[Amount(₹)]]/8)</f>
        <v>-4506</v>
      </c>
    </row>
    <row r="1937" spans="1:12">
      <c r="A1937" t="s">
        <v>3126</v>
      </c>
      <c r="B1937" t="s">
        <v>66</v>
      </c>
      <c r="C1937" t="s">
        <v>61</v>
      </c>
      <c r="D1937">
        <v>-40847</v>
      </c>
      <c r="E1937" t="s">
        <v>62</v>
      </c>
      <c r="F1937" t="s">
        <v>24</v>
      </c>
      <c r="G1937" t="s">
        <v>63</v>
      </c>
      <c r="H1937" t="s">
        <v>26</v>
      </c>
      <c r="I1937" t="s">
        <v>27</v>
      </c>
      <c r="J1937" s="11">
        <v>45315</v>
      </c>
      <c r="K1937" t="str">
        <f>TEXT(Transactions_Clean[[#This Row],[Date]],"MMM-YYYY")</f>
        <v>Jan-2024</v>
      </c>
      <c r="L1937">
        <f>IF(Transactions_Clean[[#This Row],[Category]]="Revenue",Transactions_Clean[[#This Row],[Amount(₹)]],Transactions_Clean[[#This Row],[Amount(₹)]]/8)</f>
        <v>-5105.875</v>
      </c>
    </row>
    <row r="1938" spans="1:12">
      <c r="A1938" t="s">
        <v>3127</v>
      </c>
      <c r="B1938" t="s">
        <v>215</v>
      </c>
      <c r="C1938" t="s">
        <v>61</v>
      </c>
      <c r="D1938">
        <v>-14778</v>
      </c>
      <c r="E1938" t="s">
        <v>62</v>
      </c>
      <c r="F1938" t="s">
        <v>32</v>
      </c>
      <c r="G1938" t="s">
        <v>63</v>
      </c>
      <c r="H1938" t="s">
        <v>45</v>
      </c>
      <c r="I1938" t="s">
        <v>27</v>
      </c>
      <c r="J1938" s="11">
        <v>45690</v>
      </c>
      <c r="K1938" t="str">
        <f>TEXT(Transactions_Clean[[#This Row],[Date]],"MMM-YYYY")</f>
        <v>Feb-2025</v>
      </c>
      <c r="L1938">
        <f>IF(Transactions_Clean[[#This Row],[Category]]="Revenue",Transactions_Clean[[#This Row],[Amount(₹)]],Transactions_Clean[[#This Row],[Amount(₹)]]/8)</f>
        <v>-1847.25</v>
      </c>
    </row>
    <row r="1939" spans="1:12">
      <c r="A1939" t="s">
        <v>3129</v>
      </c>
      <c r="B1939" t="s">
        <v>212</v>
      </c>
      <c r="C1939" t="s">
        <v>73</v>
      </c>
      <c r="D1939">
        <v>-71682</v>
      </c>
      <c r="E1939" t="s">
        <v>74</v>
      </c>
      <c r="F1939" t="s">
        <v>24</v>
      </c>
      <c r="G1939" t="s">
        <v>25</v>
      </c>
      <c r="H1939" t="s">
        <v>26</v>
      </c>
      <c r="I1939" t="s">
        <v>48</v>
      </c>
      <c r="J1939" s="11">
        <v>45214</v>
      </c>
      <c r="K1939" t="str">
        <f>TEXT(Transactions_Clean[[#This Row],[Date]],"MMM-YYYY")</f>
        <v>Oct-2023</v>
      </c>
      <c r="L1939">
        <f>IF(Transactions_Clean[[#This Row],[Category]]="Revenue",Transactions_Clean[[#This Row],[Amount(₹)]],Transactions_Clean[[#This Row],[Amount(₹)]]/8)</f>
        <v>-8960.25</v>
      </c>
    </row>
    <row r="1940" spans="1:12">
      <c r="A1940" t="s">
        <v>3131</v>
      </c>
      <c r="B1940" t="s">
        <v>4763</v>
      </c>
      <c r="C1940" t="s">
        <v>22</v>
      </c>
      <c r="D1940">
        <v>-84810</v>
      </c>
      <c r="E1940" t="s">
        <v>23</v>
      </c>
      <c r="F1940" t="s">
        <v>32</v>
      </c>
      <c r="G1940" t="s">
        <v>25</v>
      </c>
      <c r="H1940" t="s">
        <v>26</v>
      </c>
      <c r="I1940" t="s">
        <v>27</v>
      </c>
      <c r="J1940" s="11">
        <v>45370</v>
      </c>
      <c r="K1940" t="str">
        <f>TEXT(Transactions_Clean[[#This Row],[Date]],"MMM-YYYY")</f>
        <v>Mar-2024</v>
      </c>
      <c r="L1940">
        <f>IF(Transactions_Clean[[#This Row],[Category]]="Revenue",Transactions_Clean[[#This Row],[Amount(₹)]],Transactions_Clean[[#This Row],[Amount(₹)]]/8)</f>
        <v>-10601.25</v>
      </c>
    </row>
    <row r="1941" spans="1:12">
      <c r="A1941" t="s">
        <v>3132</v>
      </c>
      <c r="B1941" t="s">
        <v>116</v>
      </c>
      <c r="C1941" t="s">
        <v>73</v>
      </c>
      <c r="D1941">
        <v>-23826</v>
      </c>
      <c r="E1941" t="s">
        <v>74</v>
      </c>
      <c r="F1941" t="s">
        <v>32</v>
      </c>
      <c r="G1941" t="s">
        <v>25</v>
      </c>
      <c r="H1941" t="s">
        <v>26</v>
      </c>
      <c r="I1941" t="s">
        <v>27</v>
      </c>
      <c r="J1941" s="11">
        <v>45300</v>
      </c>
      <c r="K1941" t="str">
        <f>TEXT(Transactions_Clean[[#This Row],[Date]],"MMM-YYYY")</f>
        <v>Jan-2024</v>
      </c>
      <c r="L1941">
        <f>IF(Transactions_Clean[[#This Row],[Category]]="Revenue",Transactions_Clean[[#This Row],[Amount(₹)]],Transactions_Clean[[#This Row],[Amount(₹)]]/8)</f>
        <v>-2978.25</v>
      </c>
    </row>
    <row r="1942" spans="1:12">
      <c r="A1942" t="s">
        <v>3133</v>
      </c>
      <c r="B1942" t="s">
        <v>51</v>
      </c>
      <c r="C1942" t="s">
        <v>31</v>
      </c>
      <c r="D1942">
        <v>-8695</v>
      </c>
      <c r="E1942" t="s">
        <v>23</v>
      </c>
      <c r="F1942" t="s">
        <v>32</v>
      </c>
      <c r="G1942" t="s">
        <v>33</v>
      </c>
      <c r="H1942" t="s">
        <v>26</v>
      </c>
      <c r="I1942" t="s">
        <v>48</v>
      </c>
      <c r="J1942" s="11">
        <v>45239</v>
      </c>
      <c r="K1942" t="str">
        <f>TEXT(Transactions_Clean[[#This Row],[Date]],"MMM-YYYY")</f>
        <v>Nov-2023</v>
      </c>
      <c r="L1942">
        <f>IF(Transactions_Clean[[#This Row],[Category]]="Revenue",Transactions_Clean[[#This Row],[Amount(₹)]],Transactions_Clean[[#This Row],[Amount(₹)]]/8)</f>
        <v>-1086.875</v>
      </c>
    </row>
    <row r="1943" spans="1:12">
      <c r="A1943" t="s">
        <v>3134</v>
      </c>
      <c r="B1943" t="s">
        <v>4753</v>
      </c>
      <c r="C1943" t="s">
        <v>38</v>
      </c>
      <c r="D1943">
        <v>-52866</v>
      </c>
      <c r="E1943" t="s">
        <v>23</v>
      </c>
      <c r="F1943" t="s">
        <v>24</v>
      </c>
      <c r="G1943" t="s">
        <v>33</v>
      </c>
      <c r="H1943" t="s">
        <v>39</v>
      </c>
      <c r="I1943" t="s">
        <v>40</v>
      </c>
      <c r="J1943" s="11">
        <v>45875</v>
      </c>
      <c r="K1943" t="str">
        <f>TEXT(Transactions_Clean[[#This Row],[Date]],"MMM-YYYY")</f>
        <v>Aug-2025</v>
      </c>
      <c r="L1943">
        <f>IF(Transactions_Clean[[#This Row],[Category]]="Revenue",Transactions_Clean[[#This Row],[Amount(₹)]],Transactions_Clean[[#This Row],[Amount(₹)]]/8)</f>
        <v>-6608.25</v>
      </c>
    </row>
    <row r="1944" spans="1:12">
      <c r="A1944" t="s">
        <v>3135</v>
      </c>
      <c r="B1944" t="s">
        <v>4754</v>
      </c>
      <c r="C1944" t="s">
        <v>78</v>
      </c>
      <c r="D1944">
        <v>-61254</v>
      </c>
      <c r="E1944" t="s">
        <v>23</v>
      </c>
      <c r="F1944" t="s">
        <v>24</v>
      </c>
      <c r="G1944" t="s">
        <v>79</v>
      </c>
      <c r="H1944" t="s">
        <v>45</v>
      </c>
      <c r="I1944" t="s">
        <v>27</v>
      </c>
      <c r="J1944" s="11">
        <v>45671</v>
      </c>
      <c r="K1944" t="str">
        <f>TEXT(Transactions_Clean[[#This Row],[Date]],"MMM-YYYY")</f>
        <v>Jan-2025</v>
      </c>
      <c r="L1944">
        <f>IF(Transactions_Clean[[#This Row],[Category]]="Revenue",Transactions_Clean[[#This Row],[Amount(₹)]],Transactions_Clean[[#This Row],[Amount(₹)]]/8)</f>
        <v>-7656.75</v>
      </c>
    </row>
    <row r="1945" spans="1:12">
      <c r="A1945" t="s">
        <v>3137</v>
      </c>
      <c r="B1945" t="s">
        <v>37</v>
      </c>
      <c r="C1945" t="s">
        <v>38</v>
      </c>
      <c r="D1945">
        <v>-37685</v>
      </c>
      <c r="E1945" t="s">
        <v>23</v>
      </c>
      <c r="F1945" t="s">
        <v>32</v>
      </c>
      <c r="G1945" t="s">
        <v>33</v>
      </c>
      <c r="H1945" t="s">
        <v>39</v>
      </c>
      <c r="I1945" t="s">
        <v>40</v>
      </c>
      <c r="J1945" s="11">
        <v>45905</v>
      </c>
      <c r="K1945" t="str">
        <f>TEXT(Transactions_Clean[[#This Row],[Date]],"MMM-YYYY")</f>
        <v>Sep-2025</v>
      </c>
      <c r="L1945">
        <f>IF(Transactions_Clean[[#This Row],[Category]]="Revenue",Transactions_Clean[[#This Row],[Amount(₹)]],Transactions_Clean[[#This Row],[Amount(₹)]]/8)</f>
        <v>-4710.625</v>
      </c>
    </row>
    <row r="1946" spans="1:12">
      <c r="A1946" t="s">
        <v>3138</v>
      </c>
      <c r="B1946" t="s">
        <v>66</v>
      </c>
      <c r="C1946" t="s">
        <v>61</v>
      </c>
      <c r="D1946">
        <v>-60724</v>
      </c>
      <c r="E1946" t="s">
        <v>62</v>
      </c>
      <c r="F1946" t="s">
        <v>24</v>
      </c>
      <c r="G1946" t="s">
        <v>63</v>
      </c>
      <c r="H1946" t="s">
        <v>45</v>
      </c>
      <c r="I1946" t="s">
        <v>48</v>
      </c>
      <c r="J1946" s="11">
        <v>45301</v>
      </c>
      <c r="K1946" t="str">
        <f>TEXT(Transactions_Clean[[#This Row],[Date]],"MMM-YYYY")</f>
        <v>Jan-2024</v>
      </c>
      <c r="L1946">
        <f>IF(Transactions_Clean[[#This Row],[Category]]="Revenue",Transactions_Clean[[#This Row],[Amount(₹)]],Transactions_Clean[[#This Row],[Amount(₹)]]/8)</f>
        <v>-7590.5</v>
      </c>
    </row>
    <row r="1947" spans="1:12">
      <c r="A1947" t="s">
        <v>3140</v>
      </c>
      <c r="B1947" t="s">
        <v>177</v>
      </c>
      <c r="C1947" t="s">
        <v>78</v>
      </c>
      <c r="D1947">
        <v>-101461</v>
      </c>
      <c r="E1947" t="s">
        <v>23</v>
      </c>
      <c r="F1947" t="s">
        <v>32</v>
      </c>
      <c r="G1947" t="s">
        <v>79</v>
      </c>
      <c r="H1947" t="s">
        <v>26</v>
      </c>
      <c r="I1947" t="s">
        <v>48</v>
      </c>
      <c r="J1947" s="11">
        <v>45216</v>
      </c>
      <c r="K1947" t="str">
        <f>TEXT(Transactions_Clean[[#This Row],[Date]],"MMM-YYYY")</f>
        <v>Oct-2023</v>
      </c>
      <c r="L1947">
        <f>IF(Transactions_Clean[[#This Row],[Category]]="Revenue",Transactions_Clean[[#This Row],[Amount(₹)]],Transactions_Clean[[#This Row],[Amount(₹)]]/8)</f>
        <v>-12682.625</v>
      </c>
    </row>
    <row r="1948" spans="1:12">
      <c r="A1948" t="s">
        <v>3141</v>
      </c>
      <c r="B1948" t="s">
        <v>4774</v>
      </c>
      <c r="C1948" t="s">
        <v>440</v>
      </c>
      <c r="D1948">
        <v>-102993</v>
      </c>
      <c r="E1948" t="s">
        <v>23</v>
      </c>
      <c r="F1948" t="s">
        <v>32</v>
      </c>
      <c r="G1948" t="s">
        <v>33</v>
      </c>
      <c r="H1948" t="s">
        <v>45</v>
      </c>
      <c r="I1948" t="s">
        <v>27</v>
      </c>
      <c r="J1948" s="11">
        <v>45659</v>
      </c>
      <c r="K1948" t="str">
        <f>TEXT(Transactions_Clean[[#This Row],[Date]],"MMM-YYYY")</f>
        <v>Jan-2025</v>
      </c>
      <c r="L1948">
        <f>IF(Transactions_Clean[[#This Row],[Category]]="Revenue",Transactions_Clean[[#This Row],[Amount(₹)]],Transactions_Clean[[#This Row],[Amount(₹)]]/8)</f>
        <v>-12874.125</v>
      </c>
    </row>
    <row r="1949" spans="1:12">
      <c r="A1949" t="s">
        <v>3143</v>
      </c>
      <c r="B1949" t="s">
        <v>66</v>
      </c>
      <c r="C1949" t="s">
        <v>61</v>
      </c>
      <c r="D1949">
        <v>-48314</v>
      </c>
      <c r="E1949" t="s">
        <v>62</v>
      </c>
      <c r="F1949" t="s">
        <v>24</v>
      </c>
      <c r="G1949" t="s">
        <v>63</v>
      </c>
      <c r="H1949" t="s">
        <v>26</v>
      </c>
      <c r="I1949" t="s">
        <v>40</v>
      </c>
      <c r="J1949" s="11">
        <v>45193</v>
      </c>
      <c r="K1949" t="str">
        <f>TEXT(Transactions_Clean[[#This Row],[Date]],"MMM-YYYY")</f>
        <v>Sep-2023</v>
      </c>
      <c r="L1949">
        <f>IF(Transactions_Clean[[#This Row],[Category]]="Revenue",Transactions_Clean[[#This Row],[Amount(₹)]],Transactions_Clean[[#This Row],[Amount(₹)]]/8)</f>
        <v>-6039.25</v>
      </c>
    </row>
    <row r="1950" spans="1:12">
      <c r="A1950" t="s">
        <v>3144</v>
      </c>
      <c r="B1950" t="s">
        <v>66</v>
      </c>
      <c r="C1950" t="s">
        <v>61</v>
      </c>
      <c r="D1950">
        <v>-24202</v>
      </c>
      <c r="E1950" t="s">
        <v>62</v>
      </c>
      <c r="F1950" t="s">
        <v>32</v>
      </c>
      <c r="G1950" t="s">
        <v>63</v>
      </c>
      <c r="H1950" t="s">
        <v>26</v>
      </c>
      <c r="I1950" t="s">
        <v>40</v>
      </c>
      <c r="J1950" s="11">
        <v>45108</v>
      </c>
      <c r="K1950" t="str">
        <f>TEXT(Transactions_Clean[[#This Row],[Date]],"MMM-YYYY")</f>
        <v>Jul-2023</v>
      </c>
      <c r="L1950">
        <f>IF(Transactions_Clean[[#This Row],[Category]]="Revenue",Transactions_Clean[[#This Row],[Amount(₹)]],Transactions_Clean[[#This Row],[Amount(₹)]]/8)</f>
        <v>-3025.25</v>
      </c>
    </row>
    <row r="1951" spans="1:12">
      <c r="A1951" t="s">
        <v>3145</v>
      </c>
      <c r="B1951" t="s">
        <v>4758</v>
      </c>
      <c r="C1951" t="s">
        <v>78</v>
      </c>
      <c r="D1951">
        <v>-119799</v>
      </c>
      <c r="E1951" t="s">
        <v>23</v>
      </c>
      <c r="F1951" t="s">
        <v>24</v>
      </c>
      <c r="G1951" t="s">
        <v>79</v>
      </c>
      <c r="H1951" t="s">
        <v>39</v>
      </c>
      <c r="I1951" t="s">
        <v>48</v>
      </c>
      <c r="J1951" s="11">
        <v>45949</v>
      </c>
      <c r="K1951" t="str">
        <f>TEXT(Transactions_Clean[[#This Row],[Date]],"MMM-YYYY")</f>
        <v>Oct-2025</v>
      </c>
      <c r="L1951">
        <f>IF(Transactions_Clean[[#This Row],[Category]]="Revenue",Transactions_Clean[[#This Row],[Amount(₹)]],Transactions_Clean[[#This Row],[Amount(₹)]]/8)</f>
        <v>-14974.875</v>
      </c>
    </row>
    <row r="1952" spans="1:12">
      <c r="A1952" t="s">
        <v>3147</v>
      </c>
      <c r="B1952" t="s">
        <v>100</v>
      </c>
      <c r="C1952" t="s">
        <v>31</v>
      </c>
      <c r="D1952">
        <v>-34228</v>
      </c>
      <c r="E1952" t="s">
        <v>23</v>
      </c>
      <c r="F1952" t="s">
        <v>24</v>
      </c>
      <c r="G1952" t="s">
        <v>33</v>
      </c>
      <c r="H1952" t="s">
        <v>39</v>
      </c>
      <c r="I1952" t="s">
        <v>48</v>
      </c>
      <c r="J1952" s="11">
        <v>45965</v>
      </c>
      <c r="K1952" t="str">
        <f>TEXT(Transactions_Clean[[#This Row],[Date]],"MMM-YYYY")</f>
        <v>Nov-2025</v>
      </c>
      <c r="L1952">
        <f>IF(Transactions_Clean[[#This Row],[Category]]="Revenue",Transactions_Clean[[#This Row],[Amount(₹)]],Transactions_Clean[[#This Row],[Amount(₹)]]/8)</f>
        <v>-4278.5</v>
      </c>
    </row>
    <row r="1953" spans="1:12">
      <c r="A1953" t="s">
        <v>3148</v>
      </c>
      <c r="B1953" t="s">
        <v>215</v>
      </c>
      <c r="C1953" t="s">
        <v>61</v>
      </c>
      <c r="D1953">
        <v>-41014</v>
      </c>
      <c r="E1953" t="s">
        <v>62</v>
      </c>
      <c r="F1953" t="s">
        <v>32</v>
      </c>
      <c r="G1953" t="s">
        <v>63</v>
      </c>
      <c r="H1953" t="s">
        <v>26</v>
      </c>
      <c r="I1953" t="s">
        <v>34</v>
      </c>
      <c r="J1953" s="11">
        <v>45056</v>
      </c>
      <c r="K1953" t="str">
        <f>TEXT(Transactions_Clean[[#This Row],[Date]],"MMM-YYYY")</f>
        <v>May-2023</v>
      </c>
      <c r="L1953">
        <f>IF(Transactions_Clean[[#This Row],[Category]]="Revenue",Transactions_Clean[[#This Row],[Amount(₹)]],Transactions_Clean[[#This Row],[Amount(₹)]]/8)</f>
        <v>-5126.75</v>
      </c>
    </row>
    <row r="1954" spans="1:12">
      <c r="A1954" t="s">
        <v>3150</v>
      </c>
      <c r="B1954" t="s">
        <v>100</v>
      </c>
      <c r="C1954" t="s">
        <v>31</v>
      </c>
      <c r="D1954">
        <v>-44944</v>
      </c>
      <c r="E1954" t="s">
        <v>23</v>
      </c>
      <c r="F1954" t="s">
        <v>24</v>
      </c>
      <c r="G1954" t="s">
        <v>33</v>
      </c>
      <c r="H1954" t="s">
        <v>26</v>
      </c>
      <c r="I1954" t="s">
        <v>27</v>
      </c>
      <c r="J1954" s="11">
        <v>45373</v>
      </c>
      <c r="K1954" t="str">
        <f>TEXT(Transactions_Clean[[#This Row],[Date]],"MMM-YYYY")</f>
        <v>Mar-2024</v>
      </c>
      <c r="L1954">
        <f>IF(Transactions_Clean[[#This Row],[Category]]="Revenue",Transactions_Clean[[#This Row],[Amount(₹)]],Transactions_Clean[[#This Row],[Amount(₹)]]/8)</f>
        <v>-5618</v>
      </c>
    </row>
    <row r="1955" spans="1:12">
      <c r="A1955" t="s">
        <v>3152</v>
      </c>
      <c r="B1955" t="s">
        <v>4756</v>
      </c>
      <c r="C1955" t="s">
        <v>73</v>
      </c>
      <c r="D1955">
        <v>-46304</v>
      </c>
      <c r="E1955" t="s">
        <v>74</v>
      </c>
      <c r="F1955" t="s">
        <v>32</v>
      </c>
      <c r="G1955" t="s">
        <v>25</v>
      </c>
      <c r="H1955" t="s">
        <v>39</v>
      </c>
      <c r="I1955" t="s">
        <v>34</v>
      </c>
      <c r="J1955" s="11">
        <v>45874</v>
      </c>
      <c r="K1955" t="str">
        <f>TEXT(Transactions_Clean[[#This Row],[Date]],"MMM-YYYY")</f>
        <v>Aug-2025</v>
      </c>
      <c r="L1955">
        <f>IF(Transactions_Clean[[#This Row],[Category]]="Revenue",Transactions_Clean[[#This Row],[Amount(₹)]],Transactions_Clean[[#This Row],[Amount(₹)]]/8)</f>
        <v>-5788</v>
      </c>
    </row>
    <row r="1956" spans="1:12">
      <c r="A1956" t="s">
        <v>3154</v>
      </c>
      <c r="B1956" t="s">
        <v>4748</v>
      </c>
      <c r="C1956" t="s">
        <v>22</v>
      </c>
      <c r="D1956">
        <v>-143875</v>
      </c>
      <c r="E1956" t="s">
        <v>23</v>
      </c>
      <c r="F1956" t="s">
        <v>32</v>
      </c>
      <c r="G1956" t="s">
        <v>25</v>
      </c>
      <c r="H1956" t="s">
        <v>45</v>
      </c>
      <c r="I1956" t="s">
        <v>27</v>
      </c>
      <c r="J1956" s="11">
        <v>45706</v>
      </c>
      <c r="K1956" t="str">
        <f>TEXT(Transactions_Clean[[#This Row],[Date]],"MMM-YYYY")</f>
        <v>Feb-2025</v>
      </c>
      <c r="L1956">
        <f>IF(Transactions_Clean[[#This Row],[Category]]="Revenue",Transactions_Clean[[#This Row],[Amount(₹)]],Transactions_Clean[[#This Row],[Amount(₹)]]/8)</f>
        <v>-17984.375</v>
      </c>
    </row>
    <row r="1957" spans="1:12">
      <c r="A1957" t="s">
        <v>3155</v>
      </c>
      <c r="B1957" t="s">
        <v>60</v>
      </c>
      <c r="C1957" t="s">
        <v>61</v>
      </c>
      <c r="D1957">
        <v>-58902</v>
      </c>
      <c r="E1957" t="s">
        <v>62</v>
      </c>
      <c r="F1957" t="s">
        <v>24</v>
      </c>
      <c r="G1957" t="s">
        <v>63</v>
      </c>
      <c r="H1957" t="s">
        <v>39</v>
      </c>
      <c r="I1957" t="s">
        <v>40</v>
      </c>
      <c r="J1957" s="11">
        <v>45860</v>
      </c>
      <c r="K1957" t="str">
        <f>TEXT(Transactions_Clean[[#This Row],[Date]],"MMM-YYYY")</f>
        <v>Jul-2025</v>
      </c>
      <c r="L1957">
        <f>IF(Transactions_Clean[[#This Row],[Category]]="Revenue",Transactions_Clean[[#This Row],[Amount(₹)]],Transactions_Clean[[#This Row],[Amount(₹)]]/8)</f>
        <v>-7362.75</v>
      </c>
    </row>
    <row r="1958" spans="1:12">
      <c r="A1958" t="s">
        <v>3156</v>
      </c>
      <c r="B1958" t="s">
        <v>4776</v>
      </c>
      <c r="C1958" t="s">
        <v>440</v>
      </c>
      <c r="D1958">
        <v>-139193</v>
      </c>
      <c r="E1958" t="s">
        <v>23</v>
      </c>
      <c r="F1958" t="s">
        <v>24</v>
      </c>
      <c r="G1958" t="s">
        <v>33</v>
      </c>
      <c r="H1958" t="s">
        <v>39</v>
      </c>
      <c r="I1958" t="s">
        <v>40</v>
      </c>
      <c r="J1958" s="11">
        <v>45865</v>
      </c>
      <c r="K1958" t="str">
        <f>TEXT(Transactions_Clean[[#This Row],[Date]],"MMM-YYYY")</f>
        <v>Jul-2025</v>
      </c>
      <c r="L1958">
        <f>IF(Transactions_Clean[[#This Row],[Category]]="Revenue",Transactions_Clean[[#This Row],[Amount(₹)]],Transactions_Clean[[#This Row],[Amount(₹)]]/8)</f>
        <v>-17399.125</v>
      </c>
    </row>
    <row r="1959" spans="1:12">
      <c r="A1959" t="s">
        <v>3157</v>
      </c>
      <c r="B1959" t="s">
        <v>4755</v>
      </c>
      <c r="C1959" t="s">
        <v>78</v>
      </c>
      <c r="D1959">
        <v>-34715</v>
      </c>
      <c r="E1959" t="s">
        <v>23</v>
      </c>
      <c r="F1959" t="s">
        <v>24</v>
      </c>
      <c r="G1959" t="s">
        <v>79</v>
      </c>
      <c r="H1959" t="s">
        <v>45</v>
      </c>
      <c r="I1959" t="s">
        <v>48</v>
      </c>
      <c r="J1959" s="11">
        <v>45615</v>
      </c>
      <c r="K1959" t="str">
        <f>TEXT(Transactions_Clean[[#This Row],[Date]],"MMM-YYYY")</f>
        <v>Nov-2024</v>
      </c>
      <c r="L1959">
        <f>IF(Transactions_Clean[[#This Row],[Category]]="Revenue",Transactions_Clean[[#This Row],[Amount(₹)]],Transactions_Clean[[#This Row],[Amount(₹)]]/8)</f>
        <v>-4339.375</v>
      </c>
    </row>
    <row r="1960" spans="1:12">
      <c r="A1960" t="s">
        <v>3158</v>
      </c>
      <c r="B1960" t="s">
        <v>224</v>
      </c>
      <c r="C1960" t="s">
        <v>4750</v>
      </c>
      <c r="D1960">
        <v>-97157</v>
      </c>
      <c r="E1960" t="s">
        <v>23</v>
      </c>
      <c r="F1960" t="s">
        <v>24</v>
      </c>
      <c r="G1960" t="s">
        <v>79</v>
      </c>
      <c r="H1960" t="s">
        <v>26</v>
      </c>
      <c r="I1960" t="s">
        <v>27</v>
      </c>
      <c r="J1960" s="11">
        <v>45306</v>
      </c>
      <c r="K1960" t="str">
        <f>TEXT(Transactions_Clean[[#This Row],[Date]],"MMM-YYYY")</f>
        <v>Jan-2024</v>
      </c>
      <c r="L1960">
        <f>IF(Transactions_Clean[[#This Row],[Category]]="Revenue",Transactions_Clean[[#This Row],[Amount(₹)]],Transactions_Clean[[#This Row],[Amount(₹)]]/8)</f>
        <v>-12144.625</v>
      </c>
    </row>
    <row r="1961" spans="1:12">
      <c r="A1961" t="s">
        <v>3160</v>
      </c>
      <c r="B1961" t="s">
        <v>310</v>
      </c>
      <c r="C1961" t="s">
        <v>22</v>
      </c>
      <c r="D1961">
        <v>-167987</v>
      </c>
      <c r="E1961" t="s">
        <v>23</v>
      </c>
      <c r="F1961" t="s">
        <v>24</v>
      </c>
      <c r="G1961" t="s">
        <v>25</v>
      </c>
      <c r="H1961" t="s">
        <v>45</v>
      </c>
      <c r="I1961" t="s">
        <v>34</v>
      </c>
      <c r="J1961" s="11">
        <v>45471</v>
      </c>
      <c r="K1961" t="str">
        <f>TEXT(Transactions_Clean[[#This Row],[Date]],"MMM-YYYY")</f>
        <v>Jun-2024</v>
      </c>
      <c r="L1961">
        <f>IF(Transactions_Clean[[#This Row],[Category]]="Revenue",Transactions_Clean[[#This Row],[Amount(₹)]],Transactions_Clean[[#This Row],[Amount(₹)]]/8)</f>
        <v>-20998.375</v>
      </c>
    </row>
    <row r="1962" spans="1:12">
      <c r="A1962" t="s">
        <v>3162</v>
      </c>
      <c r="B1962" t="s">
        <v>4768</v>
      </c>
      <c r="C1962" t="s">
        <v>157</v>
      </c>
      <c r="D1962">
        <v>599211</v>
      </c>
      <c r="E1962" t="s">
        <v>62</v>
      </c>
      <c r="F1962" t="s">
        <v>32</v>
      </c>
      <c r="G1962" t="s">
        <v>25</v>
      </c>
      <c r="H1962" t="s">
        <v>45</v>
      </c>
      <c r="I1962" t="s">
        <v>34</v>
      </c>
      <c r="J1962" s="11">
        <v>45415</v>
      </c>
      <c r="K1962" t="str">
        <f>TEXT(Transactions_Clean[[#This Row],[Date]],"MMM-YYYY")</f>
        <v>May-2024</v>
      </c>
      <c r="L1962">
        <f>IF(Transactions_Clean[[#This Row],[Category]]="Revenue",Transactions_Clean[[#This Row],[Amount(₹)]],Transactions_Clean[[#This Row],[Amount(₹)]]/8)</f>
        <v>599211</v>
      </c>
    </row>
    <row r="1963" spans="1:12">
      <c r="A1963" t="s">
        <v>3164</v>
      </c>
      <c r="B1963" t="s">
        <v>37</v>
      </c>
      <c r="C1963" t="s">
        <v>38</v>
      </c>
      <c r="D1963">
        <v>-22380</v>
      </c>
      <c r="E1963" t="s">
        <v>23</v>
      </c>
      <c r="F1963" t="s">
        <v>24</v>
      </c>
      <c r="G1963" t="s">
        <v>33</v>
      </c>
      <c r="H1963" t="s">
        <v>26</v>
      </c>
      <c r="I1963" t="s">
        <v>34</v>
      </c>
      <c r="J1963" s="11">
        <v>45025</v>
      </c>
      <c r="K1963" t="str">
        <f>TEXT(Transactions_Clean[[#This Row],[Date]],"MMM-YYYY")</f>
        <v>Apr-2023</v>
      </c>
      <c r="L1963">
        <f>IF(Transactions_Clean[[#This Row],[Category]]="Revenue",Transactions_Clean[[#This Row],[Amount(₹)]],Transactions_Clean[[#This Row],[Amount(₹)]]/8)</f>
        <v>-2797.5</v>
      </c>
    </row>
    <row r="1964" spans="1:12">
      <c r="A1964" t="s">
        <v>3165</v>
      </c>
      <c r="B1964" t="s">
        <v>224</v>
      </c>
      <c r="C1964" t="s">
        <v>78</v>
      </c>
      <c r="D1964">
        <v>-100181</v>
      </c>
      <c r="E1964" t="s">
        <v>23</v>
      </c>
      <c r="F1964" t="s">
        <v>24</v>
      </c>
      <c r="G1964" t="s">
        <v>79</v>
      </c>
      <c r="H1964" t="s">
        <v>45</v>
      </c>
      <c r="I1964" t="s">
        <v>40</v>
      </c>
      <c r="J1964" s="11">
        <v>45508</v>
      </c>
      <c r="K1964" t="str">
        <f>TEXT(Transactions_Clean[[#This Row],[Date]],"MMM-YYYY")</f>
        <v>Aug-2024</v>
      </c>
      <c r="L1964">
        <f>IF(Transactions_Clean[[#This Row],[Category]]="Revenue",Transactions_Clean[[#This Row],[Amount(₹)]],Transactions_Clean[[#This Row],[Amount(₹)]]/8)</f>
        <v>-12522.625</v>
      </c>
    </row>
    <row r="1965" spans="1:12">
      <c r="A1965" t="s">
        <v>3166</v>
      </c>
      <c r="B1965" t="s">
        <v>4758</v>
      </c>
      <c r="C1965" t="s">
        <v>78</v>
      </c>
      <c r="D1965">
        <v>-54893</v>
      </c>
      <c r="E1965" t="s">
        <v>23</v>
      </c>
      <c r="F1965" t="s">
        <v>24</v>
      </c>
      <c r="G1965" t="s">
        <v>79</v>
      </c>
      <c r="H1965" t="s">
        <v>26</v>
      </c>
      <c r="I1965" t="s">
        <v>34</v>
      </c>
      <c r="J1965" s="11">
        <v>45062</v>
      </c>
      <c r="K1965" t="str">
        <f>TEXT(Transactions_Clean[[#This Row],[Date]],"MMM-YYYY")</f>
        <v>May-2023</v>
      </c>
      <c r="L1965">
        <f>IF(Transactions_Clean[[#This Row],[Category]]="Revenue",Transactions_Clean[[#This Row],[Amount(₹)]],Transactions_Clean[[#This Row],[Amount(₹)]]/8)</f>
        <v>-6861.625</v>
      </c>
    </row>
    <row r="1966" spans="1:12">
      <c r="A1966" t="s">
        <v>3168</v>
      </c>
      <c r="B1966" t="s">
        <v>4756</v>
      </c>
      <c r="C1966" t="s">
        <v>73</v>
      </c>
      <c r="D1966">
        <v>-28027</v>
      </c>
      <c r="E1966" t="s">
        <v>74</v>
      </c>
      <c r="F1966" t="s">
        <v>24</v>
      </c>
      <c r="G1966" t="s">
        <v>25</v>
      </c>
      <c r="H1966" t="s">
        <v>45</v>
      </c>
      <c r="I1966" t="s">
        <v>34</v>
      </c>
      <c r="J1966" s="11">
        <v>45430</v>
      </c>
      <c r="K1966" t="str">
        <f>TEXT(Transactions_Clean[[#This Row],[Date]],"MMM-YYYY")</f>
        <v>May-2024</v>
      </c>
      <c r="L1966">
        <f>IF(Transactions_Clean[[#This Row],[Category]]="Revenue",Transactions_Clean[[#This Row],[Amount(₹)]],Transactions_Clean[[#This Row],[Amount(₹)]]/8)</f>
        <v>-3503.375</v>
      </c>
    </row>
    <row r="1967" spans="1:12">
      <c r="A1967" t="s">
        <v>3169</v>
      </c>
      <c r="B1967" t="s">
        <v>37</v>
      </c>
      <c r="C1967" t="s">
        <v>38</v>
      </c>
      <c r="D1967">
        <v>-18672</v>
      </c>
      <c r="E1967" t="s">
        <v>23</v>
      </c>
      <c r="F1967" t="s">
        <v>32</v>
      </c>
      <c r="G1967" t="s">
        <v>33</v>
      </c>
      <c r="H1967" t="s">
        <v>26</v>
      </c>
      <c r="I1967" t="s">
        <v>27</v>
      </c>
      <c r="J1967" s="11">
        <v>45356</v>
      </c>
      <c r="K1967" t="str">
        <f>TEXT(Transactions_Clean[[#This Row],[Date]],"MMM-YYYY")</f>
        <v>Mar-2024</v>
      </c>
      <c r="L1967">
        <f>IF(Transactions_Clean[[#This Row],[Category]]="Revenue",Transactions_Clean[[#This Row],[Amount(₹)]],Transactions_Clean[[#This Row],[Amount(₹)]]/8)</f>
        <v>-2334</v>
      </c>
    </row>
    <row r="1968" spans="1:12">
      <c r="A1968" t="s">
        <v>3170</v>
      </c>
      <c r="B1968" t="s">
        <v>60</v>
      </c>
      <c r="C1968" t="s">
        <v>61</v>
      </c>
      <c r="D1968">
        <v>-16369</v>
      </c>
      <c r="E1968" t="s">
        <v>62</v>
      </c>
      <c r="F1968" t="s">
        <v>24</v>
      </c>
      <c r="G1968" t="s">
        <v>63</v>
      </c>
      <c r="H1968" t="s">
        <v>39</v>
      </c>
      <c r="I1968" t="s">
        <v>48</v>
      </c>
      <c r="J1968" s="11">
        <v>45958</v>
      </c>
      <c r="K1968" t="str">
        <f>TEXT(Transactions_Clean[[#This Row],[Date]],"MMM-YYYY")</f>
        <v>Oct-2025</v>
      </c>
      <c r="L1968">
        <f>IF(Transactions_Clean[[#This Row],[Category]]="Revenue",Transactions_Clean[[#This Row],[Amount(₹)]],Transactions_Clean[[#This Row],[Amount(₹)]]/8)</f>
        <v>-2046.125</v>
      </c>
    </row>
    <row r="1969" spans="1:12">
      <c r="A1969" t="s">
        <v>3171</v>
      </c>
      <c r="B1969" t="s">
        <v>4759</v>
      </c>
      <c r="C1969" t="s">
        <v>31</v>
      </c>
      <c r="D1969">
        <v>-32517</v>
      </c>
      <c r="E1969" t="s">
        <v>23</v>
      </c>
      <c r="F1969" t="s">
        <v>24</v>
      </c>
      <c r="G1969" t="s">
        <v>33</v>
      </c>
      <c r="H1969" t="s">
        <v>45</v>
      </c>
      <c r="I1969" t="s">
        <v>48</v>
      </c>
      <c r="J1969" s="11">
        <v>45639</v>
      </c>
      <c r="K1969" t="str">
        <f>TEXT(Transactions_Clean[[#This Row],[Date]],"MMM-YYYY")</f>
        <v>Dec-2024</v>
      </c>
      <c r="L1969">
        <f>IF(Transactions_Clean[[#This Row],[Category]]="Revenue",Transactions_Clean[[#This Row],[Amount(₹)]],Transactions_Clean[[#This Row],[Amount(₹)]]/8)</f>
        <v>-4064.625</v>
      </c>
    </row>
    <row r="1970" spans="1:12">
      <c r="A1970" t="s">
        <v>3172</v>
      </c>
      <c r="B1970" t="s">
        <v>169</v>
      </c>
      <c r="C1970" t="s">
        <v>73</v>
      </c>
      <c r="D1970">
        <v>-36020</v>
      </c>
      <c r="E1970" t="s">
        <v>74</v>
      </c>
      <c r="F1970" t="s">
        <v>32</v>
      </c>
      <c r="G1970" t="s">
        <v>25</v>
      </c>
      <c r="H1970" t="s">
        <v>45</v>
      </c>
      <c r="I1970" t="s">
        <v>48</v>
      </c>
      <c r="J1970" s="11">
        <v>45585</v>
      </c>
      <c r="K1970" t="str">
        <f>TEXT(Transactions_Clean[[#This Row],[Date]],"MMM-YYYY")</f>
        <v>Oct-2024</v>
      </c>
      <c r="L1970">
        <f>IF(Transactions_Clean[[#This Row],[Category]]="Revenue",Transactions_Clean[[#This Row],[Amount(₹)]],Transactions_Clean[[#This Row],[Amount(₹)]]/8)</f>
        <v>-4502.5</v>
      </c>
    </row>
    <row r="1971" spans="1:12">
      <c r="A1971" t="s">
        <v>3173</v>
      </c>
      <c r="B1971" t="s">
        <v>30</v>
      </c>
      <c r="C1971" t="s">
        <v>31</v>
      </c>
      <c r="D1971">
        <v>-15678</v>
      </c>
      <c r="E1971" t="s">
        <v>23</v>
      </c>
      <c r="F1971" t="s">
        <v>24</v>
      </c>
      <c r="G1971" t="s">
        <v>33</v>
      </c>
      <c r="H1971" t="s">
        <v>39</v>
      </c>
      <c r="I1971" t="s">
        <v>48</v>
      </c>
      <c r="J1971" s="11">
        <v>45950</v>
      </c>
      <c r="K1971" t="str">
        <f>TEXT(Transactions_Clean[[#This Row],[Date]],"MMM-YYYY")</f>
        <v>Oct-2025</v>
      </c>
      <c r="L1971">
        <f>IF(Transactions_Clean[[#This Row],[Category]]="Revenue",Transactions_Clean[[#This Row],[Amount(₹)]],Transactions_Clean[[#This Row],[Amount(₹)]]/8)</f>
        <v>-1959.75</v>
      </c>
    </row>
    <row r="1972" spans="1:12">
      <c r="A1972" t="s">
        <v>3175</v>
      </c>
      <c r="B1972" t="s">
        <v>4751</v>
      </c>
      <c r="C1972" t="s">
        <v>38</v>
      </c>
      <c r="D1972">
        <v>-33599</v>
      </c>
      <c r="E1972" t="s">
        <v>23</v>
      </c>
      <c r="F1972" t="s">
        <v>24</v>
      </c>
      <c r="G1972" t="s">
        <v>33</v>
      </c>
      <c r="H1972" t="s">
        <v>45</v>
      </c>
      <c r="I1972" t="s">
        <v>40</v>
      </c>
      <c r="J1972" s="11">
        <v>45521</v>
      </c>
      <c r="K1972" t="str">
        <f>TEXT(Transactions_Clean[[#This Row],[Date]],"MMM-YYYY")</f>
        <v>Aug-2024</v>
      </c>
      <c r="L1972">
        <f>IF(Transactions_Clean[[#This Row],[Category]]="Revenue",Transactions_Clean[[#This Row],[Amount(₹)]],Transactions_Clean[[#This Row],[Amount(₹)]]/8)</f>
        <v>-4199.875</v>
      </c>
    </row>
    <row r="1973" spans="1:12">
      <c r="A1973" t="s">
        <v>3177</v>
      </c>
      <c r="B1973" t="s">
        <v>4766</v>
      </c>
      <c r="C1973" t="s">
        <v>73</v>
      </c>
      <c r="D1973">
        <v>-57025</v>
      </c>
      <c r="E1973" t="s">
        <v>74</v>
      </c>
      <c r="F1973" t="s">
        <v>32</v>
      </c>
      <c r="G1973" t="s">
        <v>25</v>
      </c>
      <c r="H1973" t="s">
        <v>45</v>
      </c>
      <c r="I1973" t="s">
        <v>27</v>
      </c>
      <c r="J1973" s="11">
        <v>45718</v>
      </c>
      <c r="K1973" t="str">
        <f>TEXT(Transactions_Clean[[#This Row],[Date]],"MMM-YYYY")</f>
        <v>Mar-2025</v>
      </c>
      <c r="L1973">
        <f>IF(Transactions_Clean[[#This Row],[Category]]="Revenue",Transactions_Clean[[#This Row],[Amount(₹)]],Transactions_Clean[[#This Row],[Amount(₹)]]/8)</f>
        <v>-7128.125</v>
      </c>
    </row>
    <row r="1974" spans="1:12">
      <c r="A1974" t="s">
        <v>3178</v>
      </c>
      <c r="B1974" t="s">
        <v>60</v>
      </c>
      <c r="C1974" t="s">
        <v>61</v>
      </c>
      <c r="D1974">
        <v>-64431</v>
      </c>
      <c r="E1974" t="s">
        <v>62</v>
      </c>
      <c r="F1974" t="s">
        <v>24</v>
      </c>
      <c r="G1974" t="s">
        <v>63</v>
      </c>
      <c r="H1974" t="s">
        <v>26</v>
      </c>
      <c r="I1974" t="s">
        <v>48</v>
      </c>
      <c r="J1974" s="11">
        <v>45254</v>
      </c>
      <c r="K1974" t="str">
        <f>TEXT(Transactions_Clean[[#This Row],[Date]],"MMM-YYYY")</f>
        <v>Nov-2023</v>
      </c>
      <c r="L1974">
        <f>IF(Transactions_Clean[[#This Row],[Category]]="Revenue",Transactions_Clean[[#This Row],[Amount(₹)]],Transactions_Clean[[#This Row],[Amount(₹)]]/8)</f>
        <v>-8053.875</v>
      </c>
    </row>
    <row r="1975" spans="1:12">
      <c r="A1975" t="s">
        <v>3179</v>
      </c>
      <c r="B1975" t="s">
        <v>4769</v>
      </c>
      <c r="C1975" t="s">
        <v>44</v>
      </c>
      <c r="D1975">
        <v>-106973</v>
      </c>
      <c r="E1975" t="s">
        <v>23</v>
      </c>
      <c r="F1975" t="s">
        <v>24</v>
      </c>
      <c r="G1975" t="s">
        <v>33</v>
      </c>
      <c r="H1975" t="s">
        <v>26</v>
      </c>
      <c r="I1975" t="s">
        <v>34</v>
      </c>
      <c r="J1975" s="11">
        <v>45098</v>
      </c>
      <c r="K1975" t="str">
        <f>TEXT(Transactions_Clean[[#This Row],[Date]],"MMM-YYYY")</f>
        <v>Jun-2023</v>
      </c>
      <c r="L1975">
        <f>IF(Transactions_Clean[[#This Row],[Category]]="Revenue",Transactions_Clean[[#This Row],[Amount(₹)]],Transactions_Clean[[#This Row],[Amount(₹)]]/8)</f>
        <v>-13371.625</v>
      </c>
    </row>
    <row r="1976" spans="1:12">
      <c r="A1976" t="s">
        <v>3180</v>
      </c>
      <c r="B1976" t="s">
        <v>106</v>
      </c>
      <c r="C1976" t="s">
        <v>31</v>
      </c>
      <c r="D1976">
        <v>-26012</v>
      </c>
      <c r="E1976" t="s">
        <v>23</v>
      </c>
      <c r="F1976" t="s">
        <v>24</v>
      </c>
      <c r="G1976" t="s">
        <v>33</v>
      </c>
      <c r="H1976" t="s">
        <v>26</v>
      </c>
      <c r="I1976" t="s">
        <v>27</v>
      </c>
      <c r="J1976" s="11">
        <v>45305</v>
      </c>
      <c r="K1976" t="str">
        <f>TEXT(Transactions_Clean[[#This Row],[Date]],"MMM-YYYY")</f>
        <v>Jan-2024</v>
      </c>
      <c r="L1976">
        <f>IF(Transactions_Clean[[#This Row],[Category]]="Revenue",Transactions_Clean[[#This Row],[Amount(₹)]],Transactions_Clean[[#This Row],[Amount(₹)]]/8)</f>
        <v>-3251.5</v>
      </c>
    </row>
    <row r="1977" spans="1:12">
      <c r="A1977" t="s">
        <v>3181</v>
      </c>
      <c r="B1977" t="s">
        <v>4760</v>
      </c>
      <c r="C1977" t="s">
        <v>73</v>
      </c>
      <c r="D1977">
        <v>-26218</v>
      </c>
      <c r="E1977" t="s">
        <v>74</v>
      </c>
      <c r="F1977" t="s">
        <v>32</v>
      </c>
      <c r="G1977" t="s">
        <v>25</v>
      </c>
      <c r="H1977" t="s">
        <v>39</v>
      </c>
      <c r="I1977" t="s">
        <v>27</v>
      </c>
      <c r="J1977" s="11">
        <v>46108</v>
      </c>
      <c r="K1977" t="str">
        <f>TEXT(Transactions_Clean[[#This Row],[Date]],"MMM-YYYY")</f>
        <v>Mar-2026</v>
      </c>
      <c r="L1977">
        <f>IF(Transactions_Clean[[#This Row],[Category]]="Revenue",Transactions_Clean[[#This Row],[Amount(₹)]],Transactions_Clean[[#This Row],[Amount(₹)]]/8)</f>
        <v>-3277.25</v>
      </c>
    </row>
    <row r="1978" spans="1:12">
      <c r="A1978" t="s">
        <v>3182</v>
      </c>
      <c r="B1978" t="s">
        <v>100</v>
      </c>
      <c r="C1978" t="s">
        <v>4750</v>
      </c>
      <c r="D1978">
        <v>-22494</v>
      </c>
      <c r="E1978" t="s">
        <v>23</v>
      </c>
      <c r="F1978" t="s">
        <v>24</v>
      </c>
      <c r="G1978" t="s">
        <v>33</v>
      </c>
      <c r="H1978" t="s">
        <v>26</v>
      </c>
      <c r="I1978" t="s">
        <v>48</v>
      </c>
      <c r="J1978" s="11">
        <v>45288</v>
      </c>
      <c r="K1978" t="str">
        <f>TEXT(Transactions_Clean[[#This Row],[Date]],"MMM-YYYY")</f>
        <v>Dec-2023</v>
      </c>
      <c r="L1978">
        <f>IF(Transactions_Clean[[#This Row],[Category]]="Revenue",Transactions_Clean[[#This Row],[Amount(₹)]],Transactions_Clean[[#This Row],[Amount(₹)]]/8)</f>
        <v>-2811.75</v>
      </c>
    </row>
    <row r="1979" spans="1:12">
      <c r="A1979" t="s">
        <v>3184</v>
      </c>
      <c r="B1979" t="s">
        <v>169</v>
      </c>
      <c r="C1979" t="s">
        <v>73</v>
      </c>
      <c r="D1979">
        <v>-88750</v>
      </c>
      <c r="E1979" t="s">
        <v>74</v>
      </c>
      <c r="F1979" t="s">
        <v>32</v>
      </c>
      <c r="G1979" t="s">
        <v>25</v>
      </c>
      <c r="H1979" t="s">
        <v>26</v>
      </c>
      <c r="I1979" t="s">
        <v>40</v>
      </c>
      <c r="J1979" s="11">
        <v>45160</v>
      </c>
      <c r="K1979" t="str">
        <f>TEXT(Transactions_Clean[[#This Row],[Date]],"MMM-YYYY")</f>
        <v>Aug-2023</v>
      </c>
      <c r="L1979">
        <f>IF(Transactions_Clean[[#This Row],[Category]]="Revenue",Transactions_Clean[[#This Row],[Amount(₹)]],Transactions_Clean[[#This Row],[Amount(₹)]]/8)</f>
        <v>-11093.75</v>
      </c>
    </row>
    <row r="1980" spans="1:12">
      <c r="A1980" t="s">
        <v>3185</v>
      </c>
      <c r="B1980" t="s">
        <v>143</v>
      </c>
      <c r="C1980" t="s">
        <v>78</v>
      </c>
      <c r="D1980">
        <v>-21959</v>
      </c>
      <c r="E1980" t="s">
        <v>23</v>
      </c>
      <c r="F1980" t="s">
        <v>32</v>
      </c>
      <c r="G1980" t="s">
        <v>79</v>
      </c>
      <c r="H1980" t="s">
        <v>39</v>
      </c>
      <c r="I1980" t="s">
        <v>34</v>
      </c>
      <c r="J1980" s="11">
        <v>45826</v>
      </c>
      <c r="K1980" t="str">
        <f>TEXT(Transactions_Clean[[#This Row],[Date]],"MMM-YYYY")</f>
        <v>Jun-2025</v>
      </c>
      <c r="L1980">
        <f>IF(Transactions_Clean[[#This Row],[Category]]="Revenue",Transactions_Clean[[#This Row],[Amount(₹)]],Transactions_Clean[[#This Row],[Amount(₹)]]/8)</f>
        <v>-2744.875</v>
      </c>
    </row>
    <row r="1981" spans="1:12">
      <c r="A1981" t="s">
        <v>3186</v>
      </c>
      <c r="B1981" t="s">
        <v>4770</v>
      </c>
      <c r="C1981" t="s">
        <v>440</v>
      </c>
      <c r="D1981">
        <v>-104632</v>
      </c>
      <c r="E1981" t="s">
        <v>23</v>
      </c>
      <c r="F1981" t="s">
        <v>24</v>
      </c>
      <c r="G1981" t="s">
        <v>33</v>
      </c>
      <c r="H1981" t="s">
        <v>39</v>
      </c>
      <c r="I1981" t="s">
        <v>34</v>
      </c>
      <c r="J1981" s="11">
        <v>45771</v>
      </c>
      <c r="K1981" t="str">
        <f>TEXT(Transactions_Clean[[#This Row],[Date]],"MMM-YYYY")</f>
        <v>Apr-2025</v>
      </c>
      <c r="L1981">
        <f>IF(Transactions_Clean[[#This Row],[Category]]="Revenue",Transactions_Clean[[#This Row],[Amount(₹)]],Transactions_Clean[[#This Row],[Amount(₹)]]/8)</f>
        <v>-13079</v>
      </c>
    </row>
    <row r="1982" spans="1:12">
      <c r="A1982" t="s">
        <v>3187</v>
      </c>
      <c r="B1982" t="s">
        <v>215</v>
      </c>
      <c r="C1982" t="s">
        <v>61</v>
      </c>
      <c r="D1982">
        <v>-52159</v>
      </c>
      <c r="E1982" t="s">
        <v>62</v>
      </c>
      <c r="F1982" t="s">
        <v>24</v>
      </c>
      <c r="G1982" t="s">
        <v>63</v>
      </c>
      <c r="H1982" t="s">
        <v>26</v>
      </c>
      <c r="I1982" t="s">
        <v>48</v>
      </c>
      <c r="J1982" s="11">
        <v>45258</v>
      </c>
      <c r="K1982" t="str">
        <f>TEXT(Transactions_Clean[[#This Row],[Date]],"MMM-YYYY")</f>
        <v>Nov-2023</v>
      </c>
      <c r="L1982">
        <f>IF(Transactions_Clean[[#This Row],[Category]]="Revenue",Transactions_Clean[[#This Row],[Amount(₹)]],Transactions_Clean[[#This Row],[Amount(₹)]]/8)</f>
        <v>-6519.875</v>
      </c>
    </row>
    <row r="1983" spans="1:12">
      <c r="A1983" t="s">
        <v>3188</v>
      </c>
      <c r="B1983" t="s">
        <v>129</v>
      </c>
      <c r="C1983" t="s">
        <v>38</v>
      </c>
      <c r="D1983">
        <v>-41836</v>
      </c>
      <c r="E1983" t="s">
        <v>23</v>
      </c>
      <c r="F1983" t="s">
        <v>24</v>
      </c>
      <c r="G1983" t="s">
        <v>33</v>
      </c>
      <c r="H1983" t="s">
        <v>45</v>
      </c>
      <c r="I1983" t="s">
        <v>40</v>
      </c>
      <c r="J1983" s="11">
        <v>45563</v>
      </c>
      <c r="K1983" t="str">
        <f>TEXT(Transactions_Clean[[#This Row],[Date]],"MMM-YYYY")</f>
        <v>Sep-2024</v>
      </c>
      <c r="L1983">
        <f>IF(Transactions_Clean[[#This Row],[Category]]="Revenue",Transactions_Clean[[#This Row],[Amount(₹)]],Transactions_Clean[[#This Row],[Amount(₹)]]/8)</f>
        <v>-5229.5</v>
      </c>
    </row>
    <row r="1984" spans="1:12">
      <c r="A1984" t="s">
        <v>3189</v>
      </c>
      <c r="B1984" t="s">
        <v>72</v>
      </c>
      <c r="C1984" t="s">
        <v>73</v>
      </c>
      <c r="D1984">
        <v>-22505</v>
      </c>
      <c r="E1984" t="s">
        <v>74</v>
      </c>
      <c r="F1984" t="s">
        <v>32</v>
      </c>
      <c r="G1984" t="s">
        <v>25</v>
      </c>
      <c r="H1984" t="s">
        <v>45</v>
      </c>
      <c r="I1984" t="s">
        <v>34</v>
      </c>
      <c r="J1984" s="11">
        <v>45450</v>
      </c>
      <c r="K1984" t="str">
        <f>TEXT(Transactions_Clean[[#This Row],[Date]],"MMM-YYYY")</f>
        <v>Jun-2024</v>
      </c>
      <c r="L1984">
        <f>IF(Transactions_Clean[[#This Row],[Category]]="Revenue",Transactions_Clean[[#This Row],[Amount(₹)]],Transactions_Clean[[#This Row],[Amount(₹)]]/8)</f>
        <v>-2813.125</v>
      </c>
    </row>
    <row r="1985" spans="1:12">
      <c r="A1985" t="s">
        <v>3190</v>
      </c>
      <c r="B1985" t="s">
        <v>4762</v>
      </c>
      <c r="C1985" t="s">
        <v>157</v>
      </c>
      <c r="D1985">
        <v>539476</v>
      </c>
      <c r="E1985" t="s">
        <v>62</v>
      </c>
      <c r="F1985" t="s">
        <v>32</v>
      </c>
      <c r="G1985" t="s">
        <v>25</v>
      </c>
      <c r="H1985" t="s">
        <v>26</v>
      </c>
      <c r="I1985" t="s">
        <v>40</v>
      </c>
      <c r="J1985" s="11">
        <v>45190</v>
      </c>
      <c r="K1985" t="str">
        <f>TEXT(Transactions_Clean[[#This Row],[Date]],"MMM-YYYY")</f>
        <v>Sep-2023</v>
      </c>
      <c r="L1985">
        <f>IF(Transactions_Clean[[#This Row],[Category]]="Revenue",Transactions_Clean[[#This Row],[Amount(₹)]],Transactions_Clean[[#This Row],[Amount(₹)]]/8)</f>
        <v>539476</v>
      </c>
    </row>
    <row r="1986" spans="1:12">
      <c r="A1986" t="s">
        <v>3192</v>
      </c>
      <c r="B1986" t="s">
        <v>106</v>
      </c>
      <c r="C1986" t="s">
        <v>31</v>
      </c>
      <c r="D1986">
        <v>-7436</v>
      </c>
      <c r="E1986" t="s">
        <v>23</v>
      </c>
      <c r="F1986" t="s">
        <v>32</v>
      </c>
      <c r="G1986" t="s">
        <v>33</v>
      </c>
      <c r="H1986" t="s">
        <v>45</v>
      </c>
      <c r="I1986" t="s">
        <v>48</v>
      </c>
      <c r="J1986" s="11">
        <v>45653</v>
      </c>
      <c r="K1986" t="str">
        <f>TEXT(Transactions_Clean[[#This Row],[Date]],"MMM-YYYY")</f>
        <v>Dec-2024</v>
      </c>
      <c r="L1986">
        <f>IF(Transactions_Clean[[#This Row],[Category]]="Revenue",Transactions_Clean[[#This Row],[Amount(₹)]],Transactions_Clean[[#This Row],[Amount(₹)]]/8)</f>
        <v>-929.5</v>
      </c>
    </row>
    <row r="1987" spans="1:12">
      <c r="A1987" t="s">
        <v>3193</v>
      </c>
      <c r="B1987" t="s">
        <v>224</v>
      </c>
      <c r="C1987" t="s">
        <v>78</v>
      </c>
      <c r="D1987">
        <v>-50300</v>
      </c>
      <c r="E1987" t="s">
        <v>23</v>
      </c>
      <c r="F1987" t="s">
        <v>24</v>
      </c>
      <c r="G1987" t="s">
        <v>79</v>
      </c>
      <c r="H1987" t="s">
        <v>39</v>
      </c>
      <c r="I1987" t="s">
        <v>27</v>
      </c>
      <c r="J1987" s="11">
        <v>46088</v>
      </c>
      <c r="K1987" t="str">
        <f>TEXT(Transactions_Clean[[#This Row],[Date]],"MMM-YYYY")</f>
        <v>Mar-2026</v>
      </c>
      <c r="L1987">
        <f>IF(Transactions_Clean[[#This Row],[Category]]="Revenue",Transactions_Clean[[#This Row],[Amount(₹)]],Transactions_Clean[[#This Row],[Amount(₹)]]/8)</f>
        <v>-6287.5</v>
      </c>
    </row>
    <row r="1988" spans="1:12">
      <c r="A1988" t="s">
        <v>3194</v>
      </c>
      <c r="B1988" t="s">
        <v>51</v>
      </c>
      <c r="C1988" t="s">
        <v>31</v>
      </c>
      <c r="D1988">
        <v>-10326</v>
      </c>
      <c r="E1988" t="s">
        <v>23</v>
      </c>
      <c r="F1988" t="s">
        <v>32</v>
      </c>
      <c r="G1988" t="s">
        <v>33</v>
      </c>
      <c r="H1988" t="s">
        <v>45</v>
      </c>
      <c r="I1988" t="s">
        <v>40</v>
      </c>
      <c r="J1988" s="11">
        <v>45526</v>
      </c>
      <c r="K1988" t="str">
        <f>TEXT(Transactions_Clean[[#This Row],[Date]],"MMM-YYYY")</f>
        <v>Aug-2024</v>
      </c>
      <c r="L1988">
        <f>IF(Transactions_Clean[[#This Row],[Category]]="Revenue",Transactions_Clean[[#This Row],[Amount(₹)]],Transactions_Clean[[#This Row],[Amount(₹)]]/8)</f>
        <v>-1290.75</v>
      </c>
    </row>
    <row r="1989" spans="1:12">
      <c r="A1989" t="s">
        <v>3195</v>
      </c>
      <c r="B1989" t="s">
        <v>255</v>
      </c>
      <c r="C1989" t="s">
        <v>22</v>
      </c>
      <c r="D1989">
        <v>-106280</v>
      </c>
      <c r="E1989" t="s">
        <v>23</v>
      </c>
      <c r="F1989" t="s">
        <v>32</v>
      </c>
      <c r="G1989" t="s">
        <v>25</v>
      </c>
      <c r="H1989" t="s">
        <v>26</v>
      </c>
      <c r="I1989" t="s">
        <v>34</v>
      </c>
      <c r="J1989" s="11">
        <v>45106</v>
      </c>
      <c r="K1989" t="str">
        <f>TEXT(Transactions_Clean[[#This Row],[Date]],"MMM-YYYY")</f>
        <v>Jun-2023</v>
      </c>
      <c r="L1989">
        <f>IF(Transactions_Clean[[#This Row],[Category]]="Revenue",Transactions_Clean[[#This Row],[Amount(₹)]],Transactions_Clean[[#This Row],[Amount(₹)]]/8)</f>
        <v>-13285</v>
      </c>
    </row>
    <row r="1990" spans="1:12">
      <c r="A1990" t="s">
        <v>3196</v>
      </c>
      <c r="B1990" t="s">
        <v>143</v>
      </c>
      <c r="C1990" t="s">
        <v>78</v>
      </c>
      <c r="D1990">
        <v>-99523</v>
      </c>
      <c r="E1990" t="s">
        <v>23</v>
      </c>
      <c r="F1990" t="s">
        <v>24</v>
      </c>
      <c r="G1990" t="s">
        <v>79</v>
      </c>
      <c r="H1990" t="s">
        <v>45</v>
      </c>
      <c r="I1990" t="s">
        <v>40</v>
      </c>
      <c r="J1990" s="11">
        <v>45496</v>
      </c>
      <c r="K1990" t="str">
        <f>TEXT(Transactions_Clean[[#This Row],[Date]],"MMM-YYYY")</f>
        <v>Jul-2024</v>
      </c>
      <c r="L1990">
        <f>IF(Transactions_Clean[[#This Row],[Category]]="Revenue",Transactions_Clean[[#This Row],[Amount(₹)]],Transactions_Clean[[#This Row],[Amount(₹)]]/8)</f>
        <v>-12440.375</v>
      </c>
    </row>
    <row r="1991" spans="1:12">
      <c r="A1991" t="s">
        <v>3197</v>
      </c>
      <c r="B1991" t="s">
        <v>177</v>
      </c>
      <c r="C1991" t="s">
        <v>78</v>
      </c>
      <c r="D1991">
        <v>-41144</v>
      </c>
      <c r="E1991" t="s">
        <v>23</v>
      </c>
      <c r="F1991" t="s">
        <v>32</v>
      </c>
      <c r="G1991" t="s">
        <v>79</v>
      </c>
      <c r="H1991" t="s">
        <v>39</v>
      </c>
      <c r="I1991" t="s">
        <v>34</v>
      </c>
      <c r="J1991" s="11">
        <v>45768</v>
      </c>
      <c r="K1991" t="str">
        <f>TEXT(Transactions_Clean[[#This Row],[Date]],"MMM-YYYY")</f>
        <v>Apr-2025</v>
      </c>
      <c r="L1991">
        <f>IF(Transactions_Clean[[#This Row],[Category]]="Revenue",Transactions_Clean[[#This Row],[Amount(₹)]],Transactions_Clean[[#This Row],[Amount(₹)]]/8)</f>
        <v>-5143</v>
      </c>
    </row>
    <row r="1992" spans="1:12">
      <c r="A1992" t="s">
        <v>3198</v>
      </c>
      <c r="B1992" t="s">
        <v>4769</v>
      </c>
      <c r="C1992" t="s">
        <v>44</v>
      </c>
      <c r="D1992">
        <v>-62017</v>
      </c>
      <c r="E1992" t="s">
        <v>23</v>
      </c>
      <c r="F1992" t="s">
        <v>32</v>
      </c>
      <c r="G1992" t="s">
        <v>33</v>
      </c>
      <c r="H1992" t="s">
        <v>45</v>
      </c>
      <c r="I1992" t="s">
        <v>34</v>
      </c>
      <c r="J1992" s="11">
        <v>45466</v>
      </c>
      <c r="K1992" t="str">
        <f>TEXT(Transactions_Clean[[#This Row],[Date]],"MMM-YYYY")</f>
        <v>Jun-2024</v>
      </c>
      <c r="L1992">
        <f>IF(Transactions_Clean[[#This Row],[Category]]="Revenue",Transactions_Clean[[#This Row],[Amount(₹)]],Transactions_Clean[[#This Row],[Amount(₹)]]/8)</f>
        <v>-7752.125</v>
      </c>
    </row>
    <row r="1993" spans="1:12">
      <c r="A1993" t="s">
        <v>3199</v>
      </c>
      <c r="B1993" t="s">
        <v>4753</v>
      </c>
      <c r="C1993" t="s">
        <v>38</v>
      </c>
      <c r="D1993">
        <v>-30593</v>
      </c>
      <c r="E1993" t="s">
        <v>23</v>
      </c>
      <c r="F1993" t="s">
        <v>32</v>
      </c>
      <c r="G1993" t="s">
        <v>33</v>
      </c>
      <c r="H1993" t="s">
        <v>39</v>
      </c>
      <c r="I1993" t="s">
        <v>27</v>
      </c>
      <c r="J1993" s="11">
        <v>46094</v>
      </c>
      <c r="K1993" t="str">
        <f>TEXT(Transactions_Clean[[#This Row],[Date]],"MMM-YYYY")</f>
        <v>Mar-2026</v>
      </c>
      <c r="L1993">
        <f>IF(Transactions_Clean[[#This Row],[Category]]="Revenue",Transactions_Clean[[#This Row],[Amount(₹)]],Transactions_Clean[[#This Row],[Amount(₹)]]/8)</f>
        <v>-3824.125</v>
      </c>
    </row>
    <row r="1994" spans="1:12">
      <c r="A1994" t="s">
        <v>3200</v>
      </c>
      <c r="B1994" t="s">
        <v>4763</v>
      </c>
      <c r="C1994" t="s">
        <v>22</v>
      </c>
      <c r="D1994">
        <v>-211988</v>
      </c>
      <c r="E1994" t="s">
        <v>23</v>
      </c>
      <c r="F1994" t="s">
        <v>32</v>
      </c>
      <c r="G1994" t="s">
        <v>25</v>
      </c>
      <c r="H1994" t="s">
        <v>45</v>
      </c>
      <c r="I1994" t="s">
        <v>27</v>
      </c>
      <c r="J1994" s="11">
        <v>45658</v>
      </c>
      <c r="K1994" t="str">
        <f>TEXT(Transactions_Clean[[#This Row],[Date]],"MMM-YYYY")</f>
        <v>Jan-2025</v>
      </c>
      <c r="L1994">
        <f>IF(Transactions_Clean[[#This Row],[Category]]="Revenue",Transactions_Clean[[#This Row],[Amount(₹)]],Transactions_Clean[[#This Row],[Amount(₹)]]/8)</f>
        <v>-26498.5</v>
      </c>
    </row>
    <row r="1995" spans="1:12">
      <c r="A1995" t="s">
        <v>3201</v>
      </c>
      <c r="B1995" t="s">
        <v>143</v>
      </c>
      <c r="C1995" t="s">
        <v>78</v>
      </c>
      <c r="D1995">
        <v>-78620</v>
      </c>
      <c r="E1995" t="s">
        <v>23</v>
      </c>
      <c r="F1995" t="s">
        <v>24</v>
      </c>
      <c r="G1995" t="s">
        <v>79</v>
      </c>
      <c r="H1995" t="s">
        <v>26</v>
      </c>
      <c r="I1995" t="s">
        <v>27</v>
      </c>
      <c r="J1995" s="11">
        <v>45340</v>
      </c>
      <c r="K1995" t="str">
        <f>TEXT(Transactions_Clean[[#This Row],[Date]],"MMM-YYYY")</f>
        <v>Feb-2024</v>
      </c>
      <c r="L1995">
        <f>IF(Transactions_Clean[[#This Row],[Category]]="Revenue",Transactions_Clean[[#This Row],[Amount(₹)]],Transactions_Clean[[#This Row],[Amount(₹)]]/8)</f>
        <v>-9827.5</v>
      </c>
    </row>
    <row r="1996" spans="1:12">
      <c r="A1996" t="s">
        <v>3202</v>
      </c>
      <c r="B1996" t="s">
        <v>37</v>
      </c>
      <c r="C1996" t="s">
        <v>38</v>
      </c>
      <c r="D1996">
        <v>-12762</v>
      </c>
      <c r="E1996" t="s">
        <v>23</v>
      </c>
      <c r="F1996" t="s">
        <v>32</v>
      </c>
      <c r="G1996" t="s">
        <v>33</v>
      </c>
      <c r="H1996" t="s">
        <v>39</v>
      </c>
      <c r="I1996" t="s">
        <v>27</v>
      </c>
      <c r="J1996" s="11">
        <v>46112</v>
      </c>
      <c r="K1996" t="str">
        <f>TEXT(Transactions_Clean[[#This Row],[Date]],"MMM-YYYY")</f>
        <v>Mar-2026</v>
      </c>
      <c r="L1996">
        <f>IF(Transactions_Clean[[#This Row],[Category]]="Revenue",Transactions_Clean[[#This Row],[Amount(₹)]],Transactions_Clean[[#This Row],[Amount(₹)]]/8)</f>
        <v>-1595.25</v>
      </c>
    </row>
    <row r="1997" spans="1:12">
      <c r="A1997" t="s">
        <v>3203</v>
      </c>
      <c r="B1997" t="s">
        <v>4770</v>
      </c>
      <c r="C1997" t="s">
        <v>440</v>
      </c>
      <c r="D1997">
        <v>-137116</v>
      </c>
      <c r="E1997" t="s">
        <v>23</v>
      </c>
      <c r="F1997" t="s">
        <v>24</v>
      </c>
      <c r="G1997" t="s">
        <v>33</v>
      </c>
      <c r="H1997" t="s">
        <v>39</v>
      </c>
      <c r="I1997" t="s">
        <v>34</v>
      </c>
      <c r="J1997" s="11">
        <v>45837</v>
      </c>
      <c r="K1997" t="str">
        <f>TEXT(Transactions_Clean[[#This Row],[Date]],"MMM-YYYY")</f>
        <v>Jun-2025</v>
      </c>
      <c r="L1997">
        <f>IF(Transactions_Clean[[#This Row],[Category]]="Revenue",Transactions_Clean[[#This Row],[Amount(₹)]],Transactions_Clean[[#This Row],[Amount(₹)]]/8)</f>
        <v>-17139.5</v>
      </c>
    </row>
    <row r="1998" spans="1:12">
      <c r="A1998" t="s">
        <v>3205</v>
      </c>
      <c r="B1998" t="s">
        <v>169</v>
      </c>
      <c r="C1998" t="s">
        <v>4750</v>
      </c>
      <c r="D1998">
        <v>-38613</v>
      </c>
      <c r="E1998" t="s">
        <v>74</v>
      </c>
      <c r="F1998" t="s">
        <v>24</v>
      </c>
      <c r="G1998" t="s">
        <v>25</v>
      </c>
      <c r="H1998" t="s">
        <v>26</v>
      </c>
      <c r="I1998" t="s">
        <v>34</v>
      </c>
      <c r="J1998" s="11">
        <v>45074</v>
      </c>
      <c r="K1998" t="str">
        <f>TEXT(Transactions_Clean[[#This Row],[Date]],"MMM-YYYY")</f>
        <v>May-2023</v>
      </c>
      <c r="L1998">
        <f>IF(Transactions_Clean[[#This Row],[Category]]="Revenue",Transactions_Clean[[#This Row],[Amount(₹)]],Transactions_Clean[[#This Row],[Amount(₹)]]/8)</f>
        <v>-4826.625</v>
      </c>
    </row>
    <row r="1999" spans="1:12">
      <c r="A1999" t="s">
        <v>3206</v>
      </c>
      <c r="B1999" t="s">
        <v>237</v>
      </c>
      <c r="C1999" t="s">
        <v>22</v>
      </c>
      <c r="D1999">
        <v>-157972</v>
      </c>
      <c r="E1999" t="s">
        <v>23</v>
      </c>
      <c r="F1999" t="s">
        <v>32</v>
      </c>
      <c r="G1999" t="s">
        <v>25</v>
      </c>
      <c r="H1999" t="s">
        <v>45</v>
      </c>
      <c r="I1999" t="s">
        <v>27</v>
      </c>
      <c r="J1999" s="11">
        <v>45720</v>
      </c>
      <c r="K1999" t="str">
        <f>TEXT(Transactions_Clean[[#This Row],[Date]],"MMM-YYYY")</f>
        <v>Mar-2025</v>
      </c>
      <c r="L1999">
        <f>IF(Transactions_Clean[[#This Row],[Category]]="Revenue",Transactions_Clean[[#This Row],[Amount(₹)]],Transactions_Clean[[#This Row],[Amount(₹)]]/8)</f>
        <v>-19746.5</v>
      </c>
    </row>
    <row r="2000" spans="1:12">
      <c r="A2000" t="s">
        <v>3207</v>
      </c>
      <c r="B2000" t="s">
        <v>143</v>
      </c>
      <c r="C2000" t="s">
        <v>78</v>
      </c>
      <c r="D2000">
        <v>-27015</v>
      </c>
      <c r="E2000" t="s">
        <v>23</v>
      </c>
      <c r="F2000" t="s">
        <v>24</v>
      </c>
      <c r="G2000" t="s">
        <v>79</v>
      </c>
      <c r="H2000" t="s">
        <v>26</v>
      </c>
      <c r="I2000" t="s">
        <v>34</v>
      </c>
      <c r="J2000" s="11">
        <v>45068</v>
      </c>
      <c r="K2000" t="str">
        <f>TEXT(Transactions_Clean[[#This Row],[Date]],"MMM-YYYY")</f>
        <v>May-2023</v>
      </c>
      <c r="L2000">
        <f>IF(Transactions_Clean[[#This Row],[Category]]="Revenue",Transactions_Clean[[#This Row],[Amount(₹)]],Transactions_Clean[[#This Row],[Amount(₹)]]/8)</f>
        <v>-3376.875</v>
      </c>
    </row>
    <row r="2001" spans="1:12">
      <c r="A2001" t="s">
        <v>3209</v>
      </c>
      <c r="B2001" t="s">
        <v>4759</v>
      </c>
      <c r="C2001" t="s">
        <v>31</v>
      </c>
      <c r="D2001">
        <v>-30802</v>
      </c>
      <c r="E2001" t="s">
        <v>23</v>
      </c>
      <c r="F2001" t="s">
        <v>32</v>
      </c>
      <c r="G2001" t="s">
        <v>33</v>
      </c>
      <c r="H2001" t="s">
        <v>39</v>
      </c>
      <c r="I2001" t="s">
        <v>48</v>
      </c>
      <c r="J2001" s="11">
        <v>45994</v>
      </c>
      <c r="K2001" t="str">
        <f>TEXT(Transactions_Clean[[#This Row],[Date]],"MMM-YYYY")</f>
        <v>Dec-2025</v>
      </c>
      <c r="L2001">
        <f>IF(Transactions_Clean[[#This Row],[Category]]="Revenue",Transactions_Clean[[#This Row],[Amount(₹)]],Transactions_Clean[[#This Row],[Amount(₹)]]/8)</f>
        <v>-3850.25</v>
      </c>
    </row>
    <row r="2002" spans="1:12">
      <c r="A2002" t="s">
        <v>3210</v>
      </c>
      <c r="B2002" t="s">
        <v>215</v>
      </c>
      <c r="C2002" t="s">
        <v>61</v>
      </c>
      <c r="D2002">
        <v>-47430</v>
      </c>
      <c r="E2002" t="s">
        <v>62</v>
      </c>
      <c r="F2002" t="s">
        <v>24</v>
      </c>
      <c r="G2002" t="s">
        <v>63</v>
      </c>
      <c r="H2002" t="s">
        <v>39</v>
      </c>
      <c r="I2002" t="s">
        <v>34</v>
      </c>
      <c r="J2002" s="11">
        <v>45813</v>
      </c>
      <c r="K2002" t="str">
        <f>TEXT(Transactions_Clean[[#This Row],[Date]],"MMM-YYYY")</f>
        <v>Jun-2025</v>
      </c>
      <c r="L2002">
        <f>IF(Transactions_Clean[[#This Row],[Category]]="Revenue",Transactions_Clean[[#This Row],[Amount(₹)]],Transactions_Clean[[#This Row],[Amount(₹)]]/8)</f>
        <v>-5928.75</v>
      </c>
    </row>
    <row r="2003" spans="1:12">
      <c r="A2003" t="s">
        <v>3211</v>
      </c>
      <c r="B2003" t="s">
        <v>283</v>
      </c>
      <c r="C2003" t="s">
        <v>44</v>
      </c>
      <c r="D2003">
        <v>-36671</v>
      </c>
      <c r="E2003" t="s">
        <v>23</v>
      </c>
      <c r="F2003" t="s">
        <v>32</v>
      </c>
      <c r="G2003" t="s">
        <v>33</v>
      </c>
      <c r="H2003" t="s">
        <v>26</v>
      </c>
      <c r="I2003" t="s">
        <v>40</v>
      </c>
      <c r="J2003" s="11">
        <v>45168</v>
      </c>
      <c r="K2003" t="str">
        <f>TEXT(Transactions_Clean[[#This Row],[Date]],"MMM-YYYY")</f>
        <v>Aug-2023</v>
      </c>
      <c r="L2003">
        <f>IF(Transactions_Clean[[#This Row],[Category]]="Revenue",Transactions_Clean[[#This Row],[Amount(₹)]],Transactions_Clean[[#This Row],[Amount(₹)]]/8)</f>
        <v>-4583.875</v>
      </c>
    </row>
    <row r="2004" spans="1:12">
      <c r="A2004" t="s">
        <v>3213</v>
      </c>
      <c r="B2004" t="s">
        <v>345</v>
      </c>
      <c r="C2004" t="s">
        <v>22</v>
      </c>
      <c r="D2004">
        <v>-183578</v>
      </c>
      <c r="E2004" t="s">
        <v>23</v>
      </c>
      <c r="F2004" t="s">
        <v>32</v>
      </c>
      <c r="G2004" t="s">
        <v>25</v>
      </c>
      <c r="H2004" t="s">
        <v>39</v>
      </c>
      <c r="I2004" t="s">
        <v>34</v>
      </c>
      <c r="J2004" s="11">
        <v>45790</v>
      </c>
      <c r="K2004" t="str">
        <f>TEXT(Transactions_Clean[[#This Row],[Date]],"MMM-YYYY")</f>
        <v>May-2025</v>
      </c>
      <c r="L2004">
        <f>IF(Transactions_Clean[[#This Row],[Category]]="Revenue",Transactions_Clean[[#This Row],[Amount(₹)]],Transactions_Clean[[#This Row],[Amount(₹)]]/8)</f>
        <v>-22947.25</v>
      </c>
    </row>
    <row r="2005" spans="1:12">
      <c r="A2005" t="s">
        <v>3215</v>
      </c>
      <c r="B2005" t="s">
        <v>174</v>
      </c>
      <c r="C2005" t="s">
        <v>22</v>
      </c>
      <c r="D2005">
        <v>-96262</v>
      </c>
      <c r="E2005" t="s">
        <v>23</v>
      </c>
      <c r="F2005" t="s">
        <v>32</v>
      </c>
      <c r="G2005" t="s">
        <v>25</v>
      </c>
      <c r="H2005" t="s">
        <v>26</v>
      </c>
      <c r="I2005" t="s">
        <v>27</v>
      </c>
      <c r="J2005" s="11">
        <v>45367</v>
      </c>
      <c r="K2005" t="str">
        <f>TEXT(Transactions_Clean[[#This Row],[Date]],"MMM-YYYY")</f>
        <v>Mar-2024</v>
      </c>
      <c r="L2005">
        <f>IF(Transactions_Clean[[#This Row],[Category]]="Revenue",Transactions_Clean[[#This Row],[Amount(₹)]],Transactions_Clean[[#This Row],[Amount(₹)]]/8)</f>
        <v>-12032.75</v>
      </c>
    </row>
    <row r="2006" spans="1:12">
      <c r="A2006" t="s">
        <v>3216</v>
      </c>
      <c r="B2006" t="s">
        <v>4749</v>
      </c>
      <c r="C2006" t="s">
        <v>44</v>
      </c>
      <c r="D2006">
        <v>-166615</v>
      </c>
      <c r="E2006" t="s">
        <v>23</v>
      </c>
      <c r="F2006" t="s">
        <v>32</v>
      </c>
      <c r="G2006" t="s">
        <v>33</v>
      </c>
      <c r="H2006" t="s">
        <v>45</v>
      </c>
      <c r="I2006" t="s">
        <v>27</v>
      </c>
      <c r="J2006" s="11">
        <v>45694</v>
      </c>
      <c r="K2006" t="str">
        <f>TEXT(Transactions_Clean[[#This Row],[Date]],"MMM-YYYY")</f>
        <v>Feb-2025</v>
      </c>
      <c r="L2006">
        <f>IF(Transactions_Clean[[#This Row],[Category]]="Revenue",Transactions_Clean[[#This Row],[Amount(₹)]],Transactions_Clean[[#This Row],[Amount(₹)]]/8)</f>
        <v>-20826.875</v>
      </c>
    </row>
    <row r="2007" spans="1:12">
      <c r="A2007" t="s">
        <v>3218</v>
      </c>
      <c r="B2007" t="s">
        <v>345</v>
      </c>
      <c r="C2007" t="s">
        <v>22</v>
      </c>
      <c r="D2007">
        <v>-176693</v>
      </c>
      <c r="E2007" t="s">
        <v>23</v>
      </c>
      <c r="F2007" t="s">
        <v>32</v>
      </c>
      <c r="G2007" t="s">
        <v>25</v>
      </c>
      <c r="H2007" t="s">
        <v>26</v>
      </c>
      <c r="I2007" t="s">
        <v>48</v>
      </c>
      <c r="J2007" s="11">
        <v>45271</v>
      </c>
      <c r="K2007" t="str">
        <f>TEXT(Transactions_Clean[[#This Row],[Date]],"MMM-YYYY")</f>
        <v>Dec-2023</v>
      </c>
      <c r="L2007">
        <f>IF(Transactions_Clean[[#This Row],[Category]]="Revenue",Transactions_Clean[[#This Row],[Amount(₹)]],Transactions_Clean[[#This Row],[Amount(₹)]]/8)</f>
        <v>-22086.625</v>
      </c>
    </row>
    <row r="2008" spans="1:12">
      <c r="A2008" t="s">
        <v>3219</v>
      </c>
      <c r="B2008" t="s">
        <v>215</v>
      </c>
      <c r="C2008" t="s">
        <v>61</v>
      </c>
      <c r="D2008">
        <v>-47541</v>
      </c>
      <c r="E2008" t="s">
        <v>62</v>
      </c>
      <c r="F2008" t="s">
        <v>32</v>
      </c>
      <c r="G2008" t="s">
        <v>63</v>
      </c>
      <c r="H2008" t="s">
        <v>39</v>
      </c>
      <c r="I2008" t="s">
        <v>34</v>
      </c>
      <c r="J2008" s="11">
        <v>45770</v>
      </c>
      <c r="K2008" t="str">
        <f>TEXT(Transactions_Clean[[#This Row],[Date]],"MMM-YYYY")</f>
        <v>Apr-2025</v>
      </c>
      <c r="L2008">
        <f>IF(Transactions_Clean[[#This Row],[Category]]="Revenue",Transactions_Clean[[#This Row],[Amount(₹)]],Transactions_Clean[[#This Row],[Amount(₹)]]/8)</f>
        <v>-5942.625</v>
      </c>
    </row>
    <row r="2009" spans="1:12">
      <c r="A2009" t="s">
        <v>3220</v>
      </c>
      <c r="B2009" t="s">
        <v>4764</v>
      </c>
      <c r="C2009" t="s">
        <v>157</v>
      </c>
      <c r="D2009">
        <v>521122</v>
      </c>
      <c r="E2009" t="s">
        <v>62</v>
      </c>
      <c r="F2009" t="s">
        <v>32</v>
      </c>
      <c r="G2009" t="s">
        <v>25</v>
      </c>
      <c r="H2009" t="s">
        <v>26</v>
      </c>
      <c r="I2009" t="s">
        <v>34</v>
      </c>
      <c r="J2009" s="11">
        <v>45074</v>
      </c>
      <c r="K2009" t="str">
        <f>TEXT(Transactions_Clean[[#This Row],[Date]],"MMM-YYYY")</f>
        <v>May-2023</v>
      </c>
      <c r="L2009">
        <f>IF(Transactions_Clean[[#This Row],[Category]]="Revenue",Transactions_Clean[[#This Row],[Amount(₹)]],Transactions_Clean[[#This Row],[Amount(₹)]]/8)</f>
        <v>521122</v>
      </c>
    </row>
    <row r="2010" spans="1:12">
      <c r="A2010" t="s">
        <v>3221</v>
      </c>
      <c r="B2010" t="s">
        <v>4766</v>
      </c>
      <c r="C2010" t="s">
        <v>73</v>
      </c>
      <c r="D2010">
        <v>-78137</v>
      </c>
      <c r="E2010" t="s">
        <v>74</v>
      </c>
      <c r="F2010" t="s">
        <v>32</v>
      </c>
      <c r="G2010" t="s">
        <v>25</v>
      </c>
      <c r="H2010" t="s">
        <v>39</v>
      </c>
      <c r="I2010" t="s">
        <v>40</v>
      </c>
      <c r="J2010" s="11">
        <v>45843</v>
      </c>
      <c r="K2010" t="str">
        <f>TEXT(Transactions_Clean[[#This Row],[Date]],"MMM-YYYY")</f>
        <v>Jul-2025</v>
      </c>
      <c r="L2010">
        <f>IF(Transactions_Clean[[#This Row],[Category]]="Revenue",Transactions_Clean[[#This Row],[Amount(₹)]],Transactions_Clean[[#This Row],[Amount(₹)]]/8)</f>
        <v>-9767.125</v>
      </c>
    </row>
    <row r="2011" spans="1:12">
      <c r="A2011" t="s">
        <v>3222</v>
      </c>
      <c r="B2011" t="s">
        <v>305</v>
      </c>
      <c r="C2011" t="s">
        <v>38</v>
      </c>
      <c r="D2011">
        <v>-49099</v>
      </c>
      <c r="E2011" t="s">
        <v>23</v>
      </c>
      <c r="F2011" t="s">
        <v>32</v>
      </c>
      <c r="G2011" t="s">
        <v>33</v>
      </c>
      <c r="H2011" t="s">
        <v>39</v>
      </c>
      <c r="I2011" t="s">
        <v>34</v>
      </c>
      <c r="J2011" s="11">
        <v>45772</v>
      </c>
      <c r="K2011" t="str">
        <f>TEXT(Transactions_Clean[[#This Row],[Date]],"MMM-YYYY")</f>
        <v>Apr-2025</v>
      </c>
      <c r="L2011">
        <f>IF(Transactions_Clean[[#This Row],[Category]]="Revenue",Transactions_Clean[[#This Row],[Amount(₹)]],Transactions_Clean[[#This Row],[Amount(₹)]]/8)</f>
        <v>-6137.375</v>
      </c>
    </row>
    <row r="2012" spans="1:12">
      <c r="A2012" t="s">
        <v>3223</v>
      </c>
      <c r="B2012" t="s">
        <v>4751</v>
      </c>
      <c r="C2012" t="s">
        <v>38</v>
      </c>
      <c r="D2012">
        <v>-14949</v>
      </c>
      <c r="E2012" t="s">
        <v>23</v>
      </c>
      <c r="F2012" t="s">
        <v>32</v>
      </c>
      <c r="G2012" t="s">
        <v>33</v>
      </c>
      <c r="H2012" t="s">
        <v>39</v>
      </c>
      <c r="I2012" t="s">
        <v>27</v>
      </c>
      <c r="J2012" s="11">
        <v>46051</v>
      </c>
      <c r="K2012" t="str">
        <f>TEXT(Transactions_Clean[[#This Row],[Date]],"MMM-YYYY")</f>
        <v>Jan-2026</v>
      </c>
      <c r="L2012">
        <f>IF(Transactions_Clean[[#This Row],[Category]]="Revenue",Transactions_Clean[[#This Row],[Amount(₹)]],Transactions_Clean[[#This Row],[Amount(₹)]]/8)</f>
        <v>-1868.625</v>
      </c>
    </row>
    <row r="2013" spans="1:12">
      <c r="A2013" t="s">
        <v>3224</v>
      </c>
      <c r="B2013" t="s">
        <v>51</v>
      </c>
      <c r="C2013" t="s">
        <v>31</v>
      </c>
      <c r="D2013">
        <v>-27913</v>
      </c>
      <c r="E2013" t="s">
        <v>23</v>
      </c>
      <c r="F2013" t="s">
        <v>32</v>
      </c>
      <c r="G2013" t="s">
        <v>33</v>
      </c>
      <c r="H2013" t="s">
        <v>45</v>
      </c>
      <c r="I2013" t="s">
        <v>40</v>
      </c>
      <c r="J2013" s="11">
        <v>45477</v>
      </c>
      <c r="K2013" t="str">
        <f>TEXT(Transactions_Clean[[#This Row],[Date]],"MMM-YYYY")</f>
        <v>Jul-2024</v>
      </c>
      <c r="L2013">
        <f>IF(Transactions_Clean[[#This Row],[Category]]="Revenue",Transactions_Clean[[#This Row],[Amount(₹)]],Transactions_Clean[[#This Row],[Amount(₹)]]/8)</f>
        <v>-3489.125</v>
      </c>
    </row>
    <row r="2014" spans="1:12">
      <c r="A2014" t="s">
        <v>3225</v>
      </c>
      <c r="B2014" t="s">
        <v>66</v>
      </c>
      <c r="C2014" t="s">
        <v>61</v>
      </c>
      <c r="D2014">
        <v>-49916</v>
      </c>
      <c r="E2014" t="s">
        <v>62</v>
      </c>
      <c r="F2014" t="s">
        <v>24</v>
      </c>
      <c r="G2014" t="s">
        <v>63</v>
      </c>
      <c r="H2014" t="s">
        <v>26</v>
      </c>
      <c r="I2014" t="s">
        <v>48</v>
      </c>
      <c r="J2014" s="11">
        <v>45205</v>
      </c>
      <c r="K2014" t="str">
        <f>TEXT(Transactions_Clean[[#This Row],[Date]],"MMM-YYYY")</f>
        <v>Oct-2023</v>
      </c>
      <c r="L2014">
        <f>IF(Transactions_Clean[[#This Row],[Category]]="Revenue",Transactions_Clean[[#This Row],[Amount(₹)]],Transactions_Clean[[#This Row],[Amount(₹)]]/8)</f>
        <v>-6239.5</v>
      </c>
    </row>
    <row r="2015" spans="1:12">
      <c r="A2015" t="s">
        <v>3226</v>
      </c>
      <c r="B2015" t="s">
        <v>116</v>
      </c>
      <c r="C2015" t="s">
        <v>4750</v>
      </c>
      <c r="D2015">
        <v>-39942</v>
      </c>
      <c r="E2015" t="s">
        <v>74</v>
      </c>
      <c r="F2015" t="s">
        <v>32</v>
      </c>
      <c r="G2015" t="s">
        <v>25</v>
      </c>
      <c r="H2015" t="s">
        <v>39</v>
      </c>
      <c r="I2015" t="s">
        <v>40</v>
      </c>
      <c r="J2015" s="11">
        <v>45912</v>
      </c>
      <c r="K2015" t="str">
        <f>TEXT(Transactions_Clean[[#This Row],[Date]],"MMM-YYYY")</f>
        <v>Sep-2025</v>
      </c>
      <c r="L2015">
        <f>IF(Transactions_Clean[[#This Row],[Category]]="Revenue",Transactions_Clean[[#This Row],[Amount(₹)]],Transactions_Clean[[#This Row],[Amount(₹)]]/8)</f>
        <v>-4992.75</v>
      </c>
    </row>
    <row r="2016" spans="1:12">
      <c r="A2016" t="s">
        <v>3227</v>
      </c>
      <c r="B2016" t="s">
        <v>100</v>
      </c>
      <c r="C2016" t="s">
        <v>4750</v>
      </c>
      <c r="D2016">
        <v>-38501</v>
      </c>
      <c r="E2016" t="s">
        <v>23</v>
      </c>
      <c r="F2016" t="s">
        <v>32</v>
      </c>
      <c r="G2016" t="s">
        <v>33</v>
      </c>
      <c r="H2016" t="s">
        <v>26</v>
      </c>
      <c r="I2016" t="s">
        <v>40</v>
      </c>
      <c r="J2016" s="11">
        <v>45154</v>
      </c>
      <c r="K2016" t="str">
        <f>TEXT(Transactions_Clean[[#This Row],[Date]],"MMM-YYYY")</f>
        <v>Aug-2023</v>
      </c>
      <c r="L2016">
        <f>IF(Transactions_Clean[[#This Row],[Category]]="Revenue",Transactions_Clean[[#This Row],[Amount(₹)]],Transactions_Clean[[#This Row],[Amount(₹)]]/8)</f>
        <v>-4812.625</v>
      </c>
    </row>
    <row r="2017" spans="1:12">
      <c r="A2017" t="s">
        <v>3228</v>
      </c>
      <c r="B2017" t="s">
        <v>237</v>
      </c>
      <c r="C2017" t="s">
        <v>22</v>
      </c>
      <c r="D2017">
        <v>-78054</v>
      </c>
      <c r="E2017" t="s">
        <v>23</v>
      </c>
      <c r="F2017" t="s">
        <v>32</v>
      </c>
      <c r="G2017" t="s">
        <v>25</v>
      </c>
      <c r="H2017" t="s">
        <v>45</v>
      </c>
      <c r="I2017" t="s">
        <v>27</v>
      </c>
      <c r="J2017" s="11">
        <v>45730</v>
      </c>
      <c r="K2017" t="str">
        <f>TEXT(Transactions_Clean[[#This Row],[Date]],"MMM-YYYY")</f>
        <v>Mar-2025</v>
      </c>
      <c r="L2017">
        <f>IF(Transactions_Clean[[#This Row],[Category]]="Revenue",Transactions_Clean[[#This Row],[Amount(₹)]],Transactions_Clean[[#This Row],[Amount(₹)]]/8)</f>
        <v>-9756.75</v>
      </c>
    </row>
    <row r="2018" spans="1:12">
      <c r="A2018" t="s">
        <v>3230</v>
      </c>
      <c r="B2018" t="s">
        <v>4755</v>
      </c>
      <c r="C2018" t="s">
        <v>78</v>
      </c>
      <c r="D2018">
        <v>-51718</v>
      </c>
      <c r="E2018" t="s">
        <v>23</v>
      </c>
      <c r="F2018" t="s">
        <v>24</v>
      </c>
      <c r="G2018" t="s">
        <v>79</v>
      </c>
      <c r="H2018" t="s">
        <v>45</v>
      </c>
      <c r="I2018" t="s">
        <v>48</v>
      </c>
      <c r="J2018" s="11">
        <v>45616</v>
      </c>
      <c r="K2018" t="str">
        <f>TEXT(Transactions_Clean[[#This Row],[Date]],"MMM-YYYY")</f>
        <v>Nov-2024</v>
      </c>
      <c r="L2018">
        <f>IF(Transactions_Clean[[#This Row],[Category]]="Revenue",Transactions_Clean[[#This Row],[Amount(₹)]],Transactions_Clean[[#This Row],[Amount(₹)]]/8)</f>
        <v>-6464.75</v>
      </c>
    </row>
    <row r="2019" spans="1:12">
      <c r="A2019" t="s">
        <v>3231</v>
      </c>
      <c r="B2019" t="s">
        <v>215</v>
      </c>
      <c r="C2019" t="s">
        <v>61</v>
      </c>
      <c r="D2019">
        <v>-39437</v>
      </c>
      <c r="E2019" t="s">
        <v>62</v>
      </c>
      <c r="F2019" t="s">
        <v>32</v>
      </c>
      <c r="G2019" t="s">
        <v>63</v>
      </c>
      <c r="H2019" t="s">
        <v>45</v>
      </c>
      <c r="I2019" t="s">
        <v>40</v>
      </c>
      <c r="J2019" s="11">
        <v>45491</v>
      </c>
      <c r="K2019" t="str">
        <f>TEXT(Transactions_Clean[[#This Row],[Date]],"MMM-YYYY")</f>
        <v>Jul-2024</v>
      </c>
      <c r="L2019">
        <f>IF(Transactions_Clean[[#This Row],[Category]]="Revenue",Transactions_Clean[[#This Row],[Amount(₹)]],Transactions_Clean[[#This Row],[Amount(₹)]]/8)</f>
        <v>-4929.625</v>
      </c>
    </row>
    <row r="2020" spans="1:12">
      <c r="A2020" t="s">
        <v>3233</v>
      </c>
      <c r="B2020" t="s">
        <v>169</v>
      </c>
      <c r="C2020" t="s">
        <v>73</v>
      </c>
      <c r="D2020">
        <v>-72166</v>
      </c>
      <c r="E2020" t="s">
        <v>74</v>
      </c>
      <c r="F2020" t="s">
        <v>32</v>
      </c>
      <c r="G2020" t="s">
        <v>25</v>
      </c>
      <c r="H2020" t="s">
        <v>45</v>
      </c>
      <c r="I2020" t="s">
        <v>34</v>
      </c>
      <c r="J2020" s="11">
        <v>45570</v>
      </c>
      <c r="K2020" t="str">
        <f>TEXT(Transactions_Clean[[#This Row],[Date]],"MMM-YYYY")</f>
        <v>Oct-2024</v>
      </c>
      <c r="L2020">
        <f>IF(Transactions_Clean[[#This Row],[Category]]="Revenue",Transactions_Clean[[#This Row],[Amount(₹)]],Transactions_Clean[[#This Row],[Amount(₹)]]/8)</f>
        <v>-9020.75</v>
      </c>
    </row>
    <row r="2021" spans="1:12">
      <c r="A2021" t="s">
        <v>3234</v>
      </c>
      <c r="B2021" t="s">
        <v>4755</v>
      </c>
      <c r="C2021" t="s">
        <v>78</v>
      </c>
      <c r="D2021">
        <v>-44301</v>
      </c>
      <c r="E2021" t="s">
        <v>23</v>
      </c>
      <c r="F2021" t="s">
        <v>32</v>
      </c>
      <c r="G2021" t="s">
        <v>79</v>
      </c>
      <c r="H2021" t="s">
        <v>45</v>
      </c>
      <c r="I2021" t="s">
        <v>34</v>
      </c>
      <c r="J2021" s="11">
        <v>45421</v>
      </c>
      <c r="K2021" t="str">
        <f>TEXT(Transactions_Clean[[#This Row],[Date]],"MMM-YYYY")</f>
        <v>May-2024</v>
      </c>
      <c r="L2021">
        <f>IF(Transactions_Clean[[#This Row],[Category]]="Revenue",Transactions_Clean[[#This Row],[Amount(₹)]],Transactions_Clean[[#This Row],[Amount(₹)]]/8)</f>
        <v>-5537.625</v>
      </c>
    </row>
    <row r="2022" spans="1:12">
      <c r="A2022" t="s">
        <v>3236</v>
      </c>
      <c r="B2022" t="s">
        <v>283</v>
      </c>
      <c r="C2022" t="s">
        <v>44</v>
      </c>
      <c r="D2022">
        <v>-113517</v>
      </c>
      <c r="E2022" t="s">
        <v>23</v>
      </c>
      <c r="F2022" t="s">
        <v>32</v>
      </c>
      <c r="G2022" t="s">
        <v>33</v>
      </c>
      <c r="H2022" t="s">
        <v>26</v>
      </c>
      <c r="I2022" t="s">
        <v>27</v>
      </c>
      <c r="J2022" s="11">
        <v>45334</v>
      </c>
      <c r="K2022" t="str">
        <f>TEXT(Transactions_Clean[[#This Row],[Date]],"MMM-YYYY")</f>
        <v>Feb-2024</v>
      </c>
      <c r="L2022">
        <f>IF(Transactions_Clean[[#This Row],[Category]]="Revenue",Transactions_Clean[[#This Row],[Amount(₹)]],Transactions_Clean[[#This Row],[Amount(₹)]]/8)</f>
        <v>-14189.625</v>
      </c>
    </row>
    <row r="2023" spans="1:12">
      <c r="A2023" t="s">
        <v>3237</v>
      </c>
      <c r="B2023" t="s">
        <v>51</v>
      </c>
      <c r="C2023" t="s">
        <v>31</v>
      </c>
      <c r="D2023">
        <v>-7519</v>
      </c>
      <c r="E2023" t="s">
        <v>23</v>
      </c>
      <c r="F2023" t="s">
        <v>32</v>
      </c>
      <c r="G2023" t="s">
        <v>33</v>
      </c>
      <c r="H2023" t="s">
        <v>39</v>
      </c>
      <c r="I2023" t="s">
        <v>40</v>
      </c>
      <c r="J2023" s="11">
        <v>45839</v>
      </c>
      <c r="K2023" t="str">
        <f>TEXT(Transactions_Clean[[#This Row],[Date]],"MMM-YYYY")</f>
        <v>Jul-2025</v>
      </c>
      <c r="L2023">
        <f>IF(Transactions_Clean[[#This Row],[Category]]="Revenue",Transactions_Clean[[#This Row],[Amount(₹)]],Transactions_Clean[[#This Row],[Amount(₹)]]/8)</f>
        <v>-939.875</v>
      </c>
    </row>
    <row r="2024" spans="1:12">
      <c r="A2024" t="s">
        <v>3238</v>
      </c>
      <c r="B2024" t="s">
        <v>237</v>
      </c>
      <c r="C2024" t="s">
        <v>22</v>
      </c>
      <c r="D2024">
        <v>-67557</v>
      </c>
      <c r="E2024" t="s">
        <v>23</v>
      </c>
      <c r="F2024" t="s">
        <v>32</v>
      </c>
      <c r="G2024" t="s">
        <v>25</v>
      </c>
      <c r="H2024" t="s">
        <v>39</v>
      </c>
      <c r="I2024" t="s">
        <v>40</v>
      </c>
      <c r="J2024" s="11">
        <v>45914</v>
      </c>
      <c r="K2024" t="str">
        <f>TEXT(Transactions_Clean[[#This Row],[Date]],"MMM-YYYY")</f>
        <v>Sep-2025</v>
      </c>
      <c r="L2024">
        <f>IF(Transactions_Clean[[#This Row],[Category]]="Revenue",Transactions_Clean[[#This Row],[Amount(₹)]],Transactions_Clean[[#This Row],[Amount(₹)]]/8)</f>
        <v>-8444.625</v>
      </c>
    </row>
    <row r="2025" spans="1:12">
      <c r="A2025" t="s">
        <v>3240</v>
      </c>
      <c r="B2025" t="s">
        <v>66</v>
      </c>
      <c r="C2025" t="s">
        <v>61</v>
      </c>
      <c r="D2025">
        <v>-54437</v>
      </c>
      <c r="E2025" t="s">
        <v>62</v>
      </c>
      <c r="F2025" t="s">
        <v>32</v>
      </c>
      <c r="G2025" t="s">
        <v>63</v>
      </c>
      <c r="H2025" t="s">
        <v>39</v>
      </c>
      <c r="I2025" t="s">
        <v>34</v>
      </c>
      <c r="J2025" s="11">
        <v>45789</v>
      </c>
      <c r="K2025" t="str">
        <f>TEXT(Transactions_Clean[[#This Row],[Date]],"MMM-YYYY")</f>
        <v>May-2025</v>
      </c>
      <c r="L2025">
        <f>IF(Transactions_Clean[[#This Row],[Category]]="Revenue",Transactions_Clean[[#This Row],[Amount(₹)]],Transactions_Clean[[#This Row],[Amount(₹)]]/8)</f>
        <v>-6804.625</v>
      </c>
    </row>
    <row r="2026" spans="1:12">
      <c r="A2026" t="s">
        <v>3241</v>
      </c>
      <c r="B2026" t="s">
        <v>143</v>
      </c>
      <c r="C2026" t="s">
        <v>78</v>
      </c>
      <c r="D2026">
        <v>-67980</v>
      </c>
      <c r="E2026" t="s">
        <v>23</v>
      </c>
      <c r="F2026" t="s">
        <v>24</v>
      </c>
      <c r="G2026" t="s">
        <v>79</v>
      </c>
      <c r="H2026" t="s">
        <v>39</v>
      </c>
      <c r="I2026" t="s">
        <v>34</v>
      </c>
      <c r="J2026" s="11">
        <v>45796</v>
      </c>
      <c r="K2026" t="str">
        <f>TEXT(Transactions_Clean[[#This Row],[Date]],"MMM-YYYY")</f>
        <v>May-2025</v>
      </c>
      <c r="L2026">
        <f>IF(Transactions_Clean[[#This Row],[Category]]="Revenue",Transactions_Clean[[#This Row],[Amount(₹)]],Transactions_Clean[[#This Row],[Amount(₹)]]/8)</f>
        <v>-8497.5</v>
      </c>
    </row>
    <row r="2027" spans="1:12">
      <c r="A2027" t="s">
        <v>3242</v>
      </c>
      <c r="B2027" t="s">
        <v>4767</v>
      </c>
      <c r="C2027" t="s">
        <v>157</v>
      </c>
      <c r="D2027">
        <v>644023</v>
      </c>
      <c r="E2027" t="s">
        <v>62</v>
      </c>
      <c r="F2027" t="s">
        <v>32</v>
      </c>
      <c r="G2027" t="s">
        <v>25</v>
      </c>
      <c r="H2027" t="s">
        <v>26</v>
      </c>
      <c r="I2027" t="s">
        <v>48</v>
      </c>
      <c r="J2027" s="11">
        <v>45274</v>
      </c>
      <c r="K2027" t="str">
        <f>TEXT(Transactions_Clean[[#This Row],[Date]],"MMM-YYYY")</f>
        <v>Dec-2023</v>
      </c>
      <c r="L2027">
        <f>IF(Transactions_Clean[[#This Row],[Category]]="Revenue",Transactions_Clean[[#This Row],[Amount(₹)]],Transactions_Clean[[#This Row],[Amount(₹)]]/8)</f>
        <v>644023</v>
      </c>
    </row>
    <row r="2028" spans="1:12">
      <c r="A2028" t="s">
        <v>3243</v>
      </c>
      <c r="B2028" t="s">
        <v>4749</v>
      </c>
      <c r="C2028" t="s">
        <v>44</v>
      </c>
      <c r="D2028">
        <v>-161542</v>
      </c>
      <c r="E2028" t="s">
        <v>23</v>
      </c>
      <c r="F2028" t="s">
        <v>24</v>
      </c>
      <c r="G2028" t="s">
        <v>33</v>
      </c>
      <c r="H2028" t="s">
        <v>39</v>
      </c>
      <c r="I2028" t="s">
        <v>48</v>
      </c>
      <c r="J2028" s="11">
        <v>46014</v>
      </c>
      <c r="K2028" t="str">
        <f>TEXT(Transactions_Clean[[#This Row],[Date]],"MMM-YYYY")</f>
        <v>Dec-2025</v>
      </c>
      <c r="L2028">
        <f>IF(Transactions_Clean[[#This Row],[Category]]="Revenue",Transactions_Clean[[#This Row],[Amount(₹)]],Transactions_Clean[[#This Row],[Amount(₹)]]/8)</f>
        <v>-20192.75</v>
      </c>
    </row>
    <row r="2029" spans="1:12">
      <c r="A2029" t="s">
        <v>3244</v>
      </c>
      <c r="B2029" t="s">
        <v>4769</v>
      </c>
      <c r="C2029" t="s">
        <v>44</v>
      </c>
      <c r="D2029">
        <v>-106845</v>
      </c>
      <c r="E2029" t="s">
        <v>23</v>
      </c>
      <c r="F2029" t="s">
        <v>24</v>
      </c>
      <c r="G2029" t="s">
        <v>33</v>
      </c>
      <c r="H2029" t="s">
        <v>39</v>
      </c>
      <c r="I2029" t="s">
        <v>27</v>
      </c>
      <c r="J2029" s="11">
        <v>46069</v>
      </c>
      <c r="K2029" t="str">
        <f>TEXT(Transactions_Clean[[#This Row],[Date]],"MMM-YYYY")</f>
        <v>Feb-2026</v>
      </c>
      <c r="L2029">
        <f>IF(Transactions_Clean[[#This Row],[Category]]="Revenue",Transactions_Clean[[#This Row],[Amount(₹)]],Transactions_Clean[[#This Row],[Amount(₹)]]/8)</f>
        <v>-13355.625</v>
      </c>
    </row>
    <row r="2030" spans="1:12">
      <c r="A2030" t="s">
        <v>3246</v>
      </c>
      <c r="B2030" t="s">
        <v>169</v>
      </c>
      <c r="C2030" t="s">
        <v>73</v>
      </c>
      <c r="D2030">
        <v>-83644</v>
      </c>
      <c r="E2030" t="s">
        <v>74</v>
      </c>
      <c r="F2030" t="s">
        <v>32</v>
      </c>
      <c r="G2030" t="s">
        <v>25</v>
      </c>
      <c r="H2030" t="s">
        <v>39</v>
      </c>
      <c r="I2030" t="s">
        <v>27</v>
      </c>
      <c r="J2030" s="11">
        <v>46071</v>
      </c>
      <c r="K2030" t="str">
        <f>TEXT(Transactions_Clean[[#This Row],[Date]],"MMM-YYYY")</f>
        <v>Feb-2026</v>
      </c>
      <c r="L2030">
        <f>IF(Transactions_Clean[[#This Row],[Category]]="Revenue",Transactions_Clean[[#This Row],[Amount(₹)]],Transactions_Clean[[#This Row],[Amount(₹)]]/8)</f>
        <v>-10455.5</v>
      </c>
    </row>
    <row r="2031" spans="1:12">
      <c r="A2031" t="s">
        <v>3247</v>
      </c>
      <c r="B2031" t="s">
        <v>4751</v>
      </c>
      <c r="C2031" t="s">
        <v>38</v>
      </c>
      <c r="D2031">
        <v>-28558</v>
      </c>
      <c r="E2031" t="s">
        <v>23</v>
      </c>
      <c r="F2031" t="s">
        <v>32</v>
      </c>
      <c r="G2031" t="s">
        <v>33</v>
      </c>
      <c r="H2031" t="s">
        <v>39</v>
      </c>
      <c r="I2031" t="s">
        <v>34</v>
      </c>
      <c r="J2031" s="11">
        <v>45796</v>
      </c>
      <c r="K2031" t="str">
        <f>TEXT(Transactions_Clean[[#This Row],[Date]],"MMM-YYYY")</f>
        <v>May-2025</v>
      </c>
      <c r="L2031">
        <f>IF(Transactions_Clean[[#This Row],[Category]]="Revenue",Transactions_Clean[[#This Row],[Amount(₹)]],Transactions_Clean[[#This Row],[Amount(₹)]]/8)</f>
        <v>-3569.75</v>
      </c>
    </row>
    <row r="2032" spans="1:12">
      <c r="A2032" t="s">
        <v>3248</v>
      </c>
      <c r="B2032" t="s">
        <v>4754</v>
      </c>
      <c r="C2032" t="s">
        <v>78</v>
      </c>
      <c r="D2032">
        <v>-46976</v>
      </c>
      <c r="E2032" t="s">
        <v>23</v>
      </c>
      <c r="F2032" t="s">
        <v>24</v>
      </c>
      <c r="G2032" t="s">
        <v>79</v>
      </c>
      <c r="H2032" t="s">
        <v>39</v>
      </c>
      <c r="I2032" t="s">
        <v>34</v>
      </c>
      <c r="J2032" s="11">
        <v>45806</v>
      </c>
      <c r="K2032" t="str">
        <f>TEXT(Transactions_Clean[[#This Row],[Date]],"MMM-YYYY")</f>
        <v>May-2025</v>
      </c>
      <c r="L2032">
        <f>IF(Transactions_Clean[[#This Row],[Category]]="Revenue",Transactions_Clean[[#This Row],[Amount(₹)]],Transactions_Clean[[#This Row],[Amount(₹)]]/8)</f>
        <v>-5872</v>
      </c>
    </row>
    <row r="2033" spans="1:12">
      <c r="A2033" t="s">
        <v>3249</v>
      </c>
      <c r="B2033" t="s">
        <v>106</v>
      </c>
      <c r="C2033" t="s">
        <v>4750</v>
      </c>
      <c r="D2033">
        <v>-8888</v>
      </c>
      <c r="E2033" t="s">
        <v>23</v>
      </c>
      <c r="F2033" t="s">
        <v>32</v>
      </c>
      <c r="G2033" t="s">
        <v>33</v>
      </c>
      <c r="H2033" t="s">
        <v>39</v>
      </c>
      <c r="I2033" t="s">
        <v>27</v>
      </c>
      <c r="J2033" s="11">
        <v>46049</v>
      </c>
      <c r="K2033" t="str">
        <f>TEXT(Transactions_Clean[[#This Row],[Date]],"MMM-YYYY")</f>
        <v>Jan-2026</v>
      </c>
      <c r="L2033">
        <f>IF(Transactions_Clean[[#This Row],[Category]]="Revenue",Transactions_Clean[[#This Row],[Amount(₹)]],Transactions_Clean[[#This Row],[Amount(₹)]]/8)</f>
        <v>-1111</v>
      </c>
    </row>
    <row r="2034" spans="1:12">
      <c r="A2034" t="s">
        <v>3251</v>
      </c>
      <c r="B2034" t="s">
        <v>161</v>
      </c>
      <c r="C2034" t="s">
        <v>22</v>
      </c>
      <c r="D2034">
        <v>-196232</v>
      </c>
      <c r="E2034" t="s">
        <v>23</v>
      </c>
      <c r="F2034" t="s">
        <v>24</v>
      </c>
      <c r="G2034" t="s">
        <v>25</v>
      </c>
      <c r="H2034" t="s">
        <v>45</v>
      </c>
      <c r="I2034" t="s">
        <v>40</v>
      </c>
      <c r="J2034" s="11">
        <v>45504</v>
      </c>
      <c r="K2034" t="str">
        <f>TEXT(Transactions_Clean[[#This Row],[Date]],"MMM-YYYY")</f>
        <v>Jul-2024</v>
      </c>
      <c r="L2034">
        <f>IF(Transactions_Clean[[#This Row],[Category]]="Revenue",Transactions_Clean[[#This Row],[Amount(₹)]],Transactions_Clean[[#This Row],[Amount(₹)]]/8)</f>
        <v>-24529</v>
      </c>
    </row>
    <row r="2035" spans="1:12">
      <c r="A2035" t="s">
        <v>3252</v>
      </c>
      <c r="B2035" t="s">
        <v>177</v>
      </c>
      <c r="C2035" t="s">
        <v>78</v>
      </c>
      <c r="D2035">
        <v>-117153</v>
      </c>
      <c r="E2035" t="s">
        <v>23</v>
      </c>
      <c r="F2035" t="s">
        <v>32</v>
      </c>
      <c r="G2035" t="s">
        <v>79</v>
      </c>
      <c r="H2035" t="s">
        <v>45</v>
      </c>
      <c r="I2035" t="s">
        <v>34</v>
      </c>
      <c r="J2035" s="11">
        <v>45456</v>
      </c>
      <c r="K2035" t="str">
        <f>TEXT(Transactions_Clean[[#This Row],[Date]],"MMM-YYYY")</f>
        <v>Jun-2024</v>
      </c>
      <c r="L2035">
        <f>IF(Transactions_Clean[[#This Row],[Category]]="Revenue",Transactions_Clean[[#This Row],[Amount(₹)]],Transactions_Clean[[#This Row],[Amount(₹)]]/8)</f>
        <v>-14644.125</v>
      </c>
    </row>
    <row r="2036" spans="1:12">
      <c r="A2036" t="s">
        <v>3253</v>
      </c>
      <c r="B2036" t="s">
        <v>310</v>
      </c>
      <c r="C2036" t="s">
        <v>22</v>
      </c>
      <c r="D2036">
        <v>-130720</v>
      </c>
      <c r="E2036" t="s">
        <v>23</v>
      </c>
      <c r="F2036" t="s">
        <v>24</v>
      </c>
      <c r="G2036" t="s">
        <v>25</v>
      </c>
      <c r="H2036" t="s">
        <v>39</v>
      </c>
      <c r="I2036" t="s">
        <v>48</v>
      </c>
      <c r="J2036" s="11">
        <v>45959</v>
      </c>
      <c r="K2036" t="str">
        <f>TEXT(Transactions_Clean[[#This Row],[Date]],"MMM-YYYY")</f>
        <v>Oct-2025</v>
      </c>
      <c r="L2036">
        <f>IF(Transactions_Clean[[#This Row],[Category]]="Revenue",Transactions_Clean[[#This Row],[Amount(₹)]],Transactions_Clean[[#This Row],[Amount(₹)]]/8)</f>
        <v>-16340</v>
      </c>
    </row>
    <row r="2037" spans="1:12">
      <c r="A2037" t="s">
        <v>3254</v>
      </c>
      <c r="B2037" t="s">
        <v>51</v>
      </c>
      <c r="C2037" t="s">
        <v>31</v>
      </c>
      <c r="D2037">
        <v>-19872</v>
      </c>
      <c r="E2037" t="s">
        <v>23</v>
      </c>
      <c r="F2037" t="s">
        <v>24</v>
      </c>
      <c r="G2037" t="s">
        <v>33</v>
      </c>
      <c r="H2037" t="s">
        <v>26</v>
      </c>
      <c r="I2037" t="s">
        <v>34</v>
      </c>
      <c r="J2037" s="11">
        <v>45079</v>
      </c>
      <c r="K2037" t="str">
        <f>TEXT(Transactions_Clean[[#This Row],[Date]],"MMM-YYYY")</f>
        <v>Jun-2023</v>
      </c>
      <c r="L2037">
        <f>IF(Transactions_Clean[[#This Row],[Category]]="Revenue",Transactions_Clean[[#This Row],[Amount(₹)]],Transactions_Clean[[#This Row],[Amount(₹)]]/8)</f>
        <v>-2484</v>
      </c>
    </row>
    <row r="2038" spans="1:12">
      <c r="A2038" t="s">
        <v>3255</v>
      </c>
      <c r="B2038" t="s">
        <v>143</v>
      </c>
      <c r="C2038" t="s">
        <v>78</v>
      </c>
      <c r="D2038">
        <v>-79918</v>
      </c>
      <c r="E2038" t="s">
        <v>23</v>
      </c>
      <c r="F2038" t="s">
        <v>24</v>
      </c>
      <c r="G2038" t="s">
        <v>79</v>
      </c>
      <c r="H2038" t="s">
        <v>26</v>
      </c>
      <c r="I2038" t="s">
        <v>27</v>
      </c>
      <c r="J2038" s="11">
        <v>45299</v>
      </c>
      <c r="K2038" t="str">
        <f>TEXT(Transactions_Clean[[#This Row],[Date]],"MMM-YYYY")</f>
        <v>Jan-2024</v>
      </c>
      <c r="L2038">
        <f>IF(Transactions_Clean[[#This Row],[Category]]="Revenue",Transactions_Clean[[#This Row],[Amount(₹)]],Transactions_Clean[[#This Row],[Amount(₹)]]/8)</f>
        <v>-9989.75</v>
      </c>
    </row>
    <row r="2039" spans="1:12">
      <c r="A2039" t="s">
        <v>3256</v>
      </c>
      <c r="B2039" t="s">
        <v>4769</v>
      </c>
      <c r="C2039" t="s">
        <v>44</v>
      </c>
      <c r="D2039">
        <v>-85584</v>
      </c>
      <c r="E2039" t="s">
        <v>23</v>
      </c>
      <c r="F2039" t="s">
        <v>24</v>
      </c>
      <c r="G2039" t="s">
        <v>33</v>
      </c>
      <c r="H2039" t="s">
        <v>26</v>
      </c>
      <c r="I2039" t="s">
        <v>48</v>
      </c>
      <c r="J2039" s="11">
        <v>45231</v>
      </c>
      <c r="K2039" t="str">
        <f>TEXT(Transactions_Clean[[#This Row],[Date]],"MMM-YYYY")</f>
        <v>Nov-2023</v>
      </c>
      <c r="L2039">
        <f>IF(Transactions_Clean[[#This Row],[Category]]="Revenue",Transactions_Clean[[#This Row],[Amount(₹)]],Transactions_Clean[[#This Row],[Amount(₹)]]/8)</f>
        <v>-10698</v>
      </c>
    </row>
    <row r="2040" spans="1:12">
      <c r="A2040" t="s">
        <v>3257</v>
      </c>
      <c r="B2040" t="s">
        <v>4760</v>
      </c>
      <c r="C2040" t="s">
        <v>73</v>
      </c>
      <c r="D2040">
        <v>-11448</v>
      </c>
      <c r="E2040" t="s">
        <v>74</v>
      </c>
      <c r="F2040" t="s">
        <v>32</v>
      </c>
      <c r="G2040" t="s">
        <v>25</v>
      </c>
      <c r="H2040" t="s">
        <v>39</v>
      </c>
      <c r="I2040" t="s">
        <v>40</v>
      </c>
      <c r="J2040" s="11">
        <v>45845</v>
      </c>
      <c r="K2040" t="str">
        <f>TEXT(Transactions_Clean[[#This Row],[Date]],"MMM-YYYY")</f>
        <v>Jul-2025</v>
      </c>
      <c r="L2040">
        <f>IF(Transactions_Clean[[#This Row],[Category]]="Revenue",Transactions_Clean[[#This Row],[Amount(₹)]],Transactions_Clean[[#This Row],[Amount(₹)]]/8)</f>
        <v>-1431</v>
      </c>
    </row>
    <row r="2041" spans="1:12">
      <c r="A2041" t="s">
        <v>3258</v>
      </c>
      <c r="B2041" t="s">
        <v>4757</v>
      </c>
      <c r="C2041" t="s">
        <v>73</v>
      </c>
      <c r="D2041">
        <v>-74164</v>
      </c>
      <c r="E2041" t="s">
        <v>74</v>
      </c>
      <c r="F2041" t="s">
        <v>32</v>
      </c>
      <c r="G2041" t="s">
        <v>25</v>
      </c>
      <c r="H2041" t="s">
        <v>26</v>
      </c>
      <c r="I2041" t="s">
        <v>27</v>
      </c>
      <c r="J2041" s="11">
        <v>45537</v>
      </c>
      <c r="K2041" t="str">
        <f>TEXT(Transactions_Clean[[#This Row],[Date]],"MMM-YYYY")</f>
        <v>Sep-2024</v>
      </c>
      <c r="L2041">
        <f>IF(Transactions_Clean[[#This Row],[Category]]="Revenue",Transactions_Clean[[#This Row],[Amount(₹)]],Transactions_Clean[[#This Row],[Amount(₹)]]/8)</f>
        <v>-9270.5</v>
      </c>
    </row>
    <row r="2042" spans="1:12">
      <c r="A2042" t="s">
        <v>3259</v>
      </c>
      <c r="B2042" t="s">
        <v>4766</v>
      </c>
      <c r="C2042" t="s">
        <v>73</v>
      </c>
      <c r="D2042">
        <v>-83801</v>
      </c>
      <c r="E2042" t="s">
        <v>74</v>
      </c>
      <c r="F2042" t="s">
        <v>32</v>
      </c>
      <c r="G2042" t="s">
        <v>25</v>
      </c>
      <c r="H2042" t="s">
        <v>39</v>
      </c>
      <c r="I2042" t="s">
        <v>48</v>
      </c>
      <c r="J2042" s="11">
        <v>45945</v>
      </c>
      <c r="K2042" t="str">
        <f>TEXT(Transactions_Clean[[#This Row],[Date]],"MMM-YYYY")</f>
        <v>Oct-2025</v>
      </c>
      <c r="L2042">
        <f>IF(Transactions_Clean[[#This Row],[Category]]="Revenue",Transactions_Clean[[#This Row],[Amount(₹)]],Transactions_Clean[[#This Row],[Amount(₹)]]/8)</f>
        <v>-10475.125</v>
      </c>
    </row>
    <row r="2043" spans="1:12">
      <c r="A2043" t="s">
        <v>3260</v>
      </c>
      <c r="B2043" t="s">
        <v>345</v>
      </c>
      <c r="C2043" t="s">
        <v>22</v>
      </c>
      <c r="D2043">
        <v>-80604</v>
      </c>
      <c r="E2043" t="s">
        <v>23</v>
      </c>
      <c r="F2043" t="s">
        <v>24</v>
      </c>
      <c r="G2043" t="s">
        <v>25</v>
      </c>
      <c r="H2043" t="s">
        <v>39</v>
      </c>
      <c r="I2043" t="s">
        <v>34</v>
      </c>
      <c r="J2043" s="11">
        <v>45784</v>
      </c>
      <c r="K2043" t="str">
        <f>TEXT(Transactions_Clean[[#This Row],[Date]],"MMM-YYYY")</f>
        <v>May-2025</v>
      </c>
      <c r="L2043">
        <f>IF(Transactions_Clean[[#This Row],[Category]]="Revenue",Transactions_Clean[[#This Row],[Amount(₹)]],Transactions_Clean[[#This Row],[Amount(₹)]]/8)</f>
        <v>-10075.5</v>
      </c>
    </row>
    <row r="2044" spans="1:12">
      <c r="A2044" t="s">
        <v>3261</v>
      </c>
      <c r="B2044" t="s">
        <v>687</v>
      </c>
      <c r="C2044" t="s">
        <v>44</v>
      </c>
      <c r="D2044">
        <v>-115003</v>
      </c>
      <c r="E2044" t="s">
        <v>23</v>
      </c>
      <c r="F2044" t="s">
        <v>24</v>
      </c>
      <c r="G2044" t="s">
        <v>33</v>
      </c>
      <c r="H2044" t="s">
        <v>26</v>
      </c>
      <c r="I2044" t="s">
        <v>34</v>
      </c>
      <c r="J2044" s="11">
        <v>45043</v>
      </c>
      <c r="K2044" t="str">
        <f>TEXT(Transactions_Clean[[#This Row],[Date]],"MMM-YYYY")</f>
        <v>Apr-2023</v>
      </c>
      <c r="L2044">
        <f>IF(Transactions_Clean[[#This Row],[Category]]="Revenue",Transactions_Clean[[#This Row],[Amount(₹)]],Transactions_Clean[[#This Row],[Amount(₹)]]/8)</f>
        <v>-14375.375</v>
      </c>
    </row>
    <row r="2045" spans="1:12">
      <c r="A2045" t="s">
        <v>3263</v>
      </c>
      <c r="B2045" t="s">
        <v>4768</v>
      </c>
      <c r="C2045" t="s">
        <v>157</v>
      </c>
      <c r="D2045">
        <v>686425</v>
      </c>
      <c r="E2045" t="s">
        <v>62</v>
      </c>
      <c r="F2045" t="s">
        <v>32</v>
      </c>
      <c r="G2045" t="s">
        <v>25</v>
      </c>
      <c r="H2045" t="s">
        <v>45</v>
      </c>
      <c r="I2045" t="s">
        <v>48</v>
      </c>
      <c r="J2045" s="11">
        <v>45655</v>
      </c>
      <c r="K2045" t="str">
        <f>TEXT(Transactions_Clean[[#This Row],[Date]],"MMM-YYYY")</f>
        <v>Dec-2024</v>
      </c>
      <c r="L2045">
        <f>IF(Transactions_Clean[[#This Row],[Category]]="Revenue",Transactions_Clean[[#This Row],[Amount(₹)]],Transactions_Clean[[#This Row],[Amount(₹)]]/8)</f>
        <v>686425</v>
      </c>
    </row>
    <row r="2046" spans="1:12">
      <c r="A2046" t="s">
        <v>3264</v>
      </c>
      <c r="B2046" t="s">
        <v>51</v>
      </c>
      <c r="C2046" t="s">
        <v>31</v>
      </c>
      <c r="D2046">
        <v>-31519</v>
      </c>
      <c r="E2046" t="s">
        <v>23</v>
      </c>
      <c r="F2046" t="s">
        <v>32</v>
      </c>
      <c r="G2046" t="s">
        <v>33</v>
      </c>
      <c r="H2046" t="s">
        <v>45</v>
      </c>
      <c r="I2046" t="s">
        <v>40</v>
      </c>
      <c r="J2046" s="11">
        <v>45486</v>
      </c>
      <c r="K2046" t="str">
        <f>TEXT(Transactions_Clean[[#This Row],[Date]],"MMM-YYYY")</f>
        <v>Jul-2024</v>
      </c>
      <c r="L2046">
        <f>IF(Transactions_Clean[[#This Row],[Category]]="Revenue",Transactions_Clean[[#This Row],[Amount(₹)]],Transactions_Clean[[#This Row],[Amount(₹)]]/8)</f>
        <v>-3939.875</v>
      </c>
    </row>
    <row r="2047" spans="1:12">
      <c r="A2047" t="s">
        <v>3265</v>
      </c>
      <c r="B2047" t="s">
        <v>212</v>
      </c>
      <c r="C2047" t="s">
        <v>73</v>
      </c>
      <c r="D2047">
        <v>-82576</v>
      </c>
      <c r="E2047" t="s">
        <v>74</v>
      </c>
      <c r="F2047" t="s">
        <v>24</v>
      </c>
      <c r="G2047" t="s">
        <v>25</v>
      </c>
      <c r="H2047" t="s">
        <v>39</v>
      </c>
      <c r="I2047" t="s">
        <v>40</v>
      </c>
      <c r="J2047" s="11">
        <v>45924</v>
      </c>
      <c r="K2047" t="str">
        <f>TEXT(Transactions_Clean[[#This Row],[Date]],"MMM-YYYY")</f>
        <v>Sep-2025</v>
      </c>
      <c r="L2047">
        <f>IF(Transactions_Clean[[#This Row],[Category]]="Revenue",Transactions_Clean[[#This Row],[Amount(₹)]],Transactions_Clean[[#This Row],[Amount(₹)]]/8)</f>
        <v>-10322</v>
      </c>
    </row>
    <row r="2048" spans="1:12">
      <c r="A2048" t="s">
        <v>3266</v>
      </c>
      <c r="B2048" t="s">
        <v>4774</v>
      </c>
      <c r="C2048" t="s">
        <v>440</v>
      </c>
      <c r="D2048">
        <v>-142787</v>
      </c>
      <c r="E2048" t="s">
        <v>23</v>
      </c>
      <c r="F2048" t="s">
        <v>32</v>
      </c>
      <c r="G2048" t="s">
        <v>33</v>
      </c>
      <c r="H2048" t="s">
        <v>26</v>
      </c>
      <c r="I2048" t="s">
        <v>48</v>
      </c>
      <c r="J2048" s="11">
        <v>45281</v>
      </c>
      <c r="K2048" t="str">
        <f>TEXT(Transactions_Clean[[#This Row],[Date]],"MMM-YYYY")</f>
        <v>Dec-2023</v>
      </c>
      <c r="L2048">
        <f>IF(Transactions_Clean[[#This Row],[Category]]="Revenue",Transactions_Clean[[#This Row],[Amount(₹)]],Transactions_Clean[[#This Row],[Amount(₹)]]/8)</f>
        <v>-17848.375</v>
      </c>
    </row>
    <row r="2049" spans="1:12">
      <c r="A2049" t="s">
        <v>3268</v>
      </c>
      <c r="B2049" t="s">
        <v>4766</v>
      </c>
      <c r="C2049" t="s">
        <v>4750</v>
      </c>
      <c r="D2049">
        <v>-25891</v>
      </c>
      <c r="E2049" t="s">
        <v>74</v>
      </c>
      <c r="F2049" t="s">
        <v>24</v>
      </c>
      <c r="G2049" t="s">
        <v>25</v>
      </c>
      <c r="H2049" t="s">
        <v>39</v>
      </c>
      <c r="I2049" t="s">
        <v>48</v>
      </c>
      <c r="J2049" s="11">
        <v>45980</v>
      </c>
      <c r="K2049" t="str">
        <f>TEXT(Transactions_Clean[[#This Row],[Date]],"MMM-YYYY")</f>
        <v>Nov-2025</v>
      </c>
      <c r="L2049">
        <f>IF(Transactions_Clean[[#This Row],[Category]]="Revenue",Transactions_Clean[[#This Row],[Amount(₹)]],Transactions_Clean[[#This Row],[Amount(₹)]]/8)</f>
        <v>-3236.375</v>
      </c>
    </row>
    <row r="2050" spans="1:12">
      <c r="A2050" t="s">
        <v>3269</v>
      </c>
      <c r="B2050" t="s">
        <v>4765</v>
      </c>
      <c r="C2050" t="s">
        <v>73</v>
      </c>
      <c r="D2050">
        <v>-84706</v>
      </c>
      <c r="E2050" t="s">
        <v>74</v>
      </c>
      <c r="F2050" t="s">
        <v>24</v>
      </c>
      <c r="G2050" t="s">
        <v>25</v>
      </c>
      <c r="H2050" t="s">
        <v>45</v>
      </c>
      <c r="I2050" t="s">
        <v>48</v>
      </c>
      <c r="J2050" s="11">
        <v>45578</v>
      </c>
      <c r="K2050" t="str">
        <f>TEXT(Transactions_Clean[[#This Row],[Date]],"MMM-YYYY")</f>
        <v>Oct-2024</v>
      </c>
      <c r="L2050">
        <f>IF(Transactions_Clean[[#This Row],[Category]]="Revenue",Transactions_Clean[[#This Row],[Amount(₹)]],Transactions_Clean[[#This Row],[Amount(₹)]]/8)</f>
        <v>-10588.25</v>
      </c>
    </row>
    <row r="2051" spans="1:12">
      <c r="A2051" t="s">
        <v>3271</v>
      </c>
      <c r="B2051" t="s">
        <v>283</v>
      </c>
      <c r="C2051" t="s">
        <v>44</v>
      </c>
      <c r="D2051">
        <v>-149852</v>
      </c>
      <c r="E2051" t="s">
        <v>23</v>
      </c>
      <c r="F2051" t="s">
        <v>32</v>
      </c>
      <c r="G2051" t="s">
        <v>33</v>
      </c>
      <c r="H2051" t="s">
        <v>39</v>
      </c>
      <c r="I2051" t="s">
        <v>34</v>
      </c>
      <c r="J2051" s="11">
        <v>45776</v>
      </c>
      <c r="K2051" t="str">
        <f>TEXT(Transactions_Clean[[#This Row],[Date]],"MMM-YYYY")</f>
        <v>Apr-2025</v>
      </c>
      <c r="L2051">
        <f>IF(Transactions_Clean[[#This Row],[Category]]="Revenue",Transactions_Clean[[#This Row],[Amount(₹)]],Transactions_Clean[[#This Row],[Amount(₹)]]/8)</f>
        <v>-18731.5</v>
      </c>
    </row>
    <row r="2052" spans="1:12">
      <c r="A2052" t="s">
        <v>3272</v>
      </c>
      <c r="B2052" t="s">
        <v>4755</v>
      </c>
      <c r="C2052" t="s">
        <v>78</v>
      </c>
      <c r="D2052">
        <v>-107361</v>
      </c>
      <c r="E2052" t="s">
        <v>23</v>
      </c>
      <c r="F2052" t="s">
        <v>24</v>
      </c>
      <c r="G2052" t="s">
        <v>79</v>
      </c>
      <c r="H2052" t="s">
        <v>45</v>
      </c>
      <c r="I2052" t="s">
        <v>34</v>
      </c>
      <c r="J2052" s="11">
        <v>45458</v>
      </c>
      <c r="K2052" t="str">
        <f>TEXT(Transactions_Clean[[#This Row],[Date]],"MMM-YYYY")</f>
        <v>Jun-2024</v>
      </c>
      <c r="L2052">
        <f>IF(Transactions_Clean[[#This Row],[Category]]="Revenue",Transactions_Clean[[#This Row],[Amount(₹)]],Transactions_Clean[[#This Row],[Amount(₹)]]/8)</f>
        <v>-13420.125</v>
      </c>
    </row>
    <row r="2053" spans="1:12">
      <c r="A2053" t="s">
        <v>3273</v>
      </c>
      <c r="B2053" t="s">
        <v>100</v>
      </c>
      <c r="C2053" t="s">
        <v>31</v>
      </c>
      <c r="D2053">
        <v>-28158</v>
      </c>
      <c r="E2053" t="s">
        <v>23</v>
      </c>
      <c r="F2053" t="s">
        <v>24</v>
      </c>
      <c r="G2053" t="s">
        <v>33</v>
      </c>
      <c r="H2053" t="s">
        <v>45</v>
      </c>
      <c r="I2053" t="s">
        <v>27</v>
      </c>
      <c r="J2053" s="11">
        <v>45672</v>
      </c>
      <c r="K2053" t="str">
        <f>TEXT(Transactions_Clean[[#This Row],[Date]],"MMM-YYYY")</f>
        <v>Jan-2025</v>
      </c>
      <c r="L2053">
        <f>IF(Transactions_Clean[[#This Row],[Category]]="Revenue",Transactions_Clean[[#This Row],[Amount(₹)]],Transactions_Clean[[#This Row],[Amount(₹)]]/8)</f>
        <v>-3519.75</v>
      </c>
    </row>
    <row r="2054" spans="1:12">
      <c r="A2054" t="s">
        <v>3274</v>
      </c>
      <c r="B2054" t="s">
        <v>215</v>
      </c>
      <c r="C2054" t="s">
        <v>61</v>
      </c>
      <c r="D2054">
        <v>-43347</v>
      </c>
      <c r="E2054" t="s">
        <v>62</v>
      </c>
      <c r="F2054" t="s">
        <v>24</v>
      </c>
      <c r="G2054" t="s">
        <v>63</v>
      </c>
      <c r="H2054" t="s">
        <v>39</v>
      </c>
      <c r="I2054" t="s">
        <v>34</v>
      </c>
      <c r="J2054" s="11">
        <v>45831</v>
      </c>
      <c r="K2054" t="str">
        <f>TEXT(Transactions_Clean[[#This Row],[Date]],"MMM-YYYY")</f>
        <v>Jun-2025</v>
      </c>
      <c r="L2054">
        <f>IF(Transactions_Clean[[#This Row],[Category]]="Revenue",Transactions_Clean[[#This Row],[Amount(₹)]],Transactions_Clean[[#This Row],[Amount(₹)]]/8)</f>
        <v>-5418.375</v>
      </c>
    </row>
    <row r="2055" spans="1:12">
      <c r="A2055" t="s">
        <v>3275</v>
      </c>
      <c r="B2055" t="s">
        <v>4759</v>
      </c>
      <c r="C2055" t="s">
        <v>31</v>
      </c>
      <c r="D2055">
        <v>-15281</v>
      </c>
      <c r="E2055" t="s">
        <v>23</v>
      </c>
      <c r="F2055" t="s">
        <v>32</v>
      </c>
      <c r="G2055" t="s">
        <v>33</v>
      </c>
      <c r="H2055" t="s">
        <v>39</v>
      </c>
      <c r="I2055" t="s">
        <v>34</v>
      </c>
      <c r="J2055" s="11">
        <v>45767</v>
      </c>
      <c r="K2055" t="str">
        <f>TEXT(Transactions_Clean[[#This Row],[Date]],"MMM-YYYY")</f>
        <v>Apr-2025</v>
      </c>
      <c r="L2055">
        <f>IF(Transactions_Clean[[#This Row],[Category]]="Revenue",Transactions_Clean[[#This Row],[Amount(₹)]],Transactions_Clean[[#This Row],[Amount(₹)]]/8)</f>
        <v>-1910.125</v>
      </c>
    </row>
    <row r="2056" spans="1:12">
      <c r="A2056" t="s">
        <v>3277</v>
      </c>
      <c r="B2056" t="s">
        <v>180</v>
      </c>
      <c r="C2056" t="s">
        <v>44</v>
      </c>
      <c r="D2056">
        <v>-42345</v>
      </c>
      <c r="E2056" t="s">
        <v>23</v>
      </c>
      <c r="F2056" t="s">
        <v>32</v>
      </c>
      <c r="G2056" t="s">
        <v>33</v>
      </c>
      <c r="H2056" t="s">
        <v>39</v>
      </c>
      <c r="I2056" t="s">
        <v>48</v>
      </c>
      <c r="J2056" s="11">
        <v>45932</v>
      </c>
      <c r="K2056" t="str">
        <f>TEXT(Transactions_Clean[[#This Row],[Date]],"MMM-YYYY")</f>
        <v>Oct-2025</v>
      </c>
      <c r="L2056">
        <f>IF(Transactions_Clean[[#This Row],[Category]]="Revenue",Transactions_Clean[[#This Row],[Amount(₹)]],Transactions_Clean[[#This Row],[Amount(₹)]]/8)</f>
        <v>-5293.125</v>
      </c>
    </row>
    <row r="2057" spans="1:12">
      <c r="A2057" t="s">
        <v>3278</v>
      </c>
      <c r="B2057" t="s">
        <v>4758</v>
      </c>
      <c r="C2057" t="s">
        <v>78</v>
      </c>
      <c r="D2057">
        <v>-89838</v>
      </c>
      <c r="E2057" t="s">
        <v>23</v>
      </c>
      <c r="F2057" t="s">
        <v>24</v>
      </c>
      <c r="G2057" t="s">
        <v>79</v>
      </c>
      <c r="H2057" t="s">
        <v>26</v>
      </c>
      <c r="I2057" t="s">
        <v>27</v>
      </c>
      <c r="J2057" s="11">
        <v>45346</v>
      </c>
      <c r="K2057" t="str">
        <f>TEXT(Transactions_Clean[[#This Row],[Date]],"MMM-YYYY")</f>
        <v>Feb-2024</v>
      </c>
      <c r="L2057">
        <f>IF(Transactions_Clean[[#This Row],[Category]]="Revenue",Transactions_Clean[[#This Row],[Amount(₹)]],Transactions_Clean[[#This Row],[Amount(₹)]]/8)</f>
        <v>-11229.75</v>
      </c>
    </row>
    <row r="2058" spans="1:12">
      <c r="A2058" t="s">
        <v>3279</v>
      </c>
      <c r="B2058" t="s">
        <v>72</v>
      </c>
      <c r="C2058" t="s">
        <v>73</v>
      </c>
      <c r="D2058">
        <v>-94562</v>
      </c>
      <c r="E2058" t="s">
        <v>74</v>
      </c>
      <c r="F2058" t="s">
        <v>32</v>
      </c>
      <c r="G2058" t="s">
        <v>25</v>
      </c>
      <c r="H2058" t="s">
        <v>45</v>
      </c>
      <c r="I2058" t="s">
        <v>48</v>
      </c>
      <c r="J2058" s="11">
        <v>45641</v>
      </c>
      <c r="K2058" t="str">
        <f>TEXT(Transactions_Clean[[#This Row],[Date]],"MMM-YYYY")</f>
        <v>Dec-2024</v>
      </c>
      <c r="L2058">
        <f>IF(Transactions_Clean[[#This Row],[Category]]="Revenue",Transactions_Clean[[#This Row],[Amount(₹)]],Transactions_Clean[[#This Row],[Amount(₹)]]/8)</f>
        <v>-11820.25</v>
      </c>
    </row>
    <row r="2059" spans="1:12">
      <c r="A2059" t="s">
        <v>3280</v>
      </c>
      <c r="B2059" t="s">
        <v>4771</v>
      </c>
      <c r="C2059" t="s">
        <v>440</v>
      </c>
      <c r="D2059">
        <v>-95420</v>
      </c>
      <c r="E2059" t="s">
        <v>23</v>
      </c>
      <c r="F2059" t="s">
        <v>24</v>
      </c>
      <c r="G2059" t="s">
        <v>33</v>
      </c>
      <c r="H2059" t="s">
        <v>45</v>
      </c>
      <c r="I2059" t="s">
        <v>34</v>
      </c>
      <c r="J2059" s="11">
        <v>45448</v>
      </c>
      <c r="K2059" t="str">
        <f>TEXT(Transactions_Clean[[#This Row],[Date]],"MMM-YYYY")</f>
        <v>Jun-2024</v>
      </c>
      <c r="L2059">
        <f>IF(Transactions_Clean[[#This Row],[Category]]="Revenue",Transactions_Clean[[#This Row],[Amount(₹)]],Transactions_Clean[[#This Row],[Amount(₹)]]/8)</f>
        <v>-11927.5</v>
      </c>
    </row>
    <row r="2060" spans="1:12">
      <c r="A2060" t="s">
        <v>3282</v>
      </c>
      <c r="B2060" t="s">
        <v>283</v>
      </c>
      <c r="C2060" t="s">
        <v>44</v>
      </c>
      <c r="D2060">
        <v>-85306</v>
      </c>
      <c r="E2060" t="s">
        <v>23</v>
      </c>
      <c r="F2060" t="s">
        <v>24</v>
      </c>
      <c r="G2060" t="s">
        <v>33</v>
      </c>
      <c r="H2060" t="s">
        <v>45</v>
      </c>
      <c r="I2060" t="s">
        <v>48</v>
      </c>
      <c r="J2060" s="11">
        <v>45621</v>
      </c>
      <c r="K2060" t="str">
        <f>TEXT(Transactions_Clean[[#This Row],[Date]],"MMM-YYYY")</f>
        <v>Nov-2024</v>
      </c>
      <c r="L2060">
        <f>IF(Transactions_Clean[[#This Row],[Category]]="Revenue",Transactions_Clean[[#This Row],[Amount(₹)]],Transactions_Clean[[#This Row],[Amount(₹)]]/8)</f>
        <v>-10663.25</v>
      </c>
    </row>
    <row r="2061" spans="1:12">
      <c r="A2061" t="s">
        <v>3283</v>
      </c>
      <c r="B2061" t="s">
        <v>215</v>
      </c>
      <c r="C2061" t="s">
        <v>61</v>
      </c>
      <c r="D2061">
        <v>-25818</v>
      </c>
      <c r="E2061" t="s">
        <v>62</v>
      </c>
      <c r="F2061" t="s">
        <v>24</v>
      </c>
      <c r="G2061" t="s">
        <v>63</v>
      </c>
      <c r="H2061" t="s">
        <v>45</v>
      </c>
      <c r="I2061" t="s">
        <v>34</v>
      </c>
      <c r="J2061" s="11">
        <v>45402</v>
      </c>
      <c r="K2061" t="str">
        <f>TEXT(Transactions_Clean[[#This Row],[Date]],"MMM-YYYY")</f>
        <v>Apr-2024</v>
      </c>
      <c r="L2061">
        <f>IF(Transactions_Clean[[#This Row],[Category]]="Revenue",Transactions_Clean[[#This Row],[Amount(₹)]],Transactions_Clean[[#This Row],[Amount(₹)]]/8)</f>
        <v>-3227.25</v>
      </c>
    </row>
    <row r="2062" spans="1:12">
      <c r="A2062" t="s">
        <v>3284</v>
      </c>
      <c r="B2062" t="s">
        <v>4759</v>
      </c>
      <c r="C2062" t="s">
        <v>31</v>
      </c>
      <c r="D2062">
        <v>-36729</v>
      </c>
      <c r="E2062" t="s">
        <v>23</v>
      </c>
      <c r="F2062" t="s">
        <v>32</v>
      </c>
      <c r="G2062" t="s">
        <v>33</v>
      </c>
      <c r="H2062" t="s">
        <v>26</v>
      </c>
      <c r="I2062" t="s">
        <v>27</v>
      </c>
      <c r="J2062" s="11">
        <v>45316</v>
      </c>
      <c r="K2062" t="str">
        <f>TEXT(Transactions_Clean[[#This Row],[Date]],"MMM-YYYY")</f>
        <v>Jan-2024</v>
      </c>
      <c r="L2062">
        <f>IF(Transactions_Clean[[#This Row],[Category]]="Revenue",Transactions_Clean[[#This Row],[Amount(₹)]],Transactions_Clean[[#This Row],[Amount(₹)]]/8)</f>
        <v>-4591.125</v>
      </c>
    </row>
    <row r="2063" spans="1:12">
      <c r="A2063" t="s">
        <v>3286</v>
      </c>
      <c r="B2063" t="s">
        <v>237</v>
      </c>
      <c r="C2063" t="s">
        <v>22</v>
      </c>
      <c r="D2063">
        <v>-133851</v>
      </c>
      <c r="E2063" t="s">
        <v>23</v>
      </c>
      <c r="F2063" t="s">
        <v>24</v>
      </c>
      <c r="G2063" t="s">
        <v>25</v>
      </c>
      <c r="H2063" t="s">
        <v>26</v>
      </c>
      <c r="I2063" t="s">
        <v>27</v>
      </c>
      <c r="J2063" s="11">
        <v>45351</v>
      </c>
      <c r="K2063" t="str">
        <f>TEXT(Transactions_Clean[[#This Row],[Date]],"MMM-YYYY")</f>
        <v>Feb-2024</v>
      </c>
      <c r="L2063">
        <f>IF(Transactions_Clean[[#This Row],[Category]]="Revenue",Transactions_Clean[[#This Row],[Amount(₹)]],Transactions_Clean[[#This Row],[Amount(₹)]]/8)</f>
        <v>-16731.375</v>
      </c>
    </row>
    <row r="2064" spans="1:12">
      <c r="A2064" t="s">
        <v>3288</v>
      </c>
      <c r="B2064" t="s">
        <v>51</v>
      </c>
      <c r="C2064" t="s">
        <v>31</v>
      </c>
      <c r="D2064">
        <v>-31568</v>
      </c>
      <c r="E2064" t="s">
        <v>23</v>
      </c>
      <c r="F2064" t="s">
        <v>32</v>
      </c>
      <c r="G2064" t="s">
        <v>33</v>
      </c>
      <c r="H2064" t="s">
        <v>39</v>
      </c>
      <c r="I2064" t="s">
        <v>48</v>
      </c>
      <c r="J2064" s="11">
        <v>46012</v>
      </c>
      <c r="K2064" t="str">
        <f>TEXT(Transactions_Clean[[#This Row],[Date]],"MMM-YYYY")</f>
        <v>Dec-2025</v>
      </c>
      <c r="L2064">
        <f>IF(Transactions_Clean[[#This Row],[Category]]="Revenue",Transactions_Clean[[#This Row],[Amount(₹)]],Transactions_Clean[[#This Row],[Amount(₹)]]/8)</f>
        <v>-3946</v>
      </c>
    </row>
    <row r="2065" spans="1:12">
      <c r="A2065" t="s">
        <v>3289</v>
      </c>
      <c r="B2065" t="s">
        <v>4765</v>
      </c>
      <c r="C2065" t="s">
        <v>73</v>
      </c>
      <c r="D2065">
        <v>-17514</v>
      </c>
      <c r="E2065" t="s">
        <v>74</v>
      </c>
      <c r="F2065" t="s">
        <v>32</v>
      </c>
      <c r="G2065" t="s">
        <v>25</v>
      </c>
      <c r="H2065" t="s">
        <v>26</v>
      </c>
      <c r="I2065" t="s">
        <v>48</v>
      </c>
      <c r="J2065" s="11">
        <v>45211</v>
      </c>
      <c r="K2065" t="str">
        <f>TEXT(Transactions_Clean[[#This Row],[Date]],"MMM-YYYY")</f>
        <v>Oct-2023</v>
      </c>
      <c r="L2065">
        <f>IF(Transactions_Clean[[#This Row],[Category]]="Revenue",Transactions_Clean[[#This Row],[Amount(₹)]],Transactions_Clean[[#This Row],[Amount(₹)]]/8)</f>
        <v>-2189.25</v>
      </c>
    </row>
    <row r="2066" spans="1:12">
      <c r="A2066" t="s">
        <v>3290</v>
      </c>
      <c r="B2066" t="s">
        <v>174</v>
      </c>
      <c r="C2066" t="s">
        <v>22</v>
      </c>
      <c r="D2066">
        <v>-26311</v>
      </c>
      <c r="E2066" t="s">
        <v>23</v>
      </c>
      <c r="F2066" t="s">
        <v>32</v>
      </c>
      <c r="G2066" t="s">
        <v>25</v>
      </c>
      <c r="H2066" t="s">
        <v>39</v>
      </c>
      <c r="I2066" t="s">
        <v>27</v>
      </c>
      <c r="J2066" s="11">
        <v>46024</v>
      </c>
      <c r="K2066" t="str">
        <f>TEXT(Transactions_Clean[[#This Row],[Date]],"MMM-YYYY")</f>
        <v>Jan-2026</v>
      </c>
      <c r="L2066">
        <f>IF(Transactions_Clean[[#This Row],[Category]]="Revenue",Transactions_Clean[[#This Row],[Amount(₹)]],Transactions_Clean[[#This Row],[Amount(₹)]]/8)</f>
        <v>-3288.875</v>
      </c>
    </row>
    <row r="2067" spans="1:12">
      <c r="A2067" t="s">
        <v>3291</v>
      </c>
      <c r="B2067" t="s">
        <v>4757</v>
      </c>
      <c r="C2067" t="s">
        <v>73</v>
      </c>
      <c r="D2067">
        <v>-57809</v>
      </c>
      <c r="E2067" t="s">
        <v>74</v>
      </c>
      <c r="F2067" t="s">
        <v>24</v>
      </c>
      <c r="G2067" t="s">
        <v>25</v>
      </c>
      <c r="H2067" t="s">
        <v>45</v>
      </c>
      <c r="I2067" t="s">
        <v>27</v>
      </c>
      <c r="J2067" s="11">
        <v>45670</v>
      </c>
      <c r="K2067" t="str">
        <f>TEXT(Transactions_Clean[[#This Row],[Date]],"MMM-YYYY")</f>
        <v>Jan-2025</v>
      </c>
      <c r="L2067">
        <f>IF(Transactions_Clean[[#This Row],[Category]]="Revenue",Transactions_Clean[[#This Row],[Amount(₹)]],Transactions_Clean[[#This Row],[Amount(₹)]]/8)</f>
        <v>-7226.125</v>
      </c>
    </row>
    <row r="2068" spans="1:12">
      <c r="A2068" t="s">
        <v>3292</v>
      </c>
      <c r="B2068" t="s">
        <v>129</v>
      </c>
      <c r="C2068" t="s">
        <v>38</v>
      </c>
      <c r="D2068">
        <v>-48662</v>
      </c>
      <c r="E2068" t="s">
        <v>23</v>
      </c>
      <c r="F2068" t="s">
        <v>24</v>
      </c>
      <c r="G2068" t="s">
        <v>33</v>
      </c>
      <c r="H2068" t="s">
        <v>26</v>
      </c>
      <c r="I2068" t="s">
        <v>27</v>
      </c>
      <c r="J2068" s="11">
        <v>45320</v>
      </c>
      <c r="K2068" t="str">
        <f>TEXT(Transactions_Clean[[#This Row],[Date]],"MMM-YYYY")</f>
        <v>Jan-2024</v>
      </c>
      <c r="L2068">
        <f>IF(Transactions_Clean[[#This Row],[Category]]="Revenue",Transactions_Clean[[#This Row],[Amount(₹)]],Transactions_Clean[[#This Row],[Amount(₹)]]/8)</f>
        <v>-6082.75</v>
      </c>
    </row>
    <row r="2069" spans="1:12">
      <c r="A2069" t="s">
        <v>3294</v>
      </c>
      <c r="B2069" t="s">
        <v>4759</v>
      </c>
      <c r="C2069" t="s">
        <v>31</v>
      </c>
      <c r="D2069">
        <v>-35989</v>
      </c>
      <c r="E2069" t="s">
        <v>23</v>
      </c>
      <c r="F2069" t="s">
        <v>24</v>
      </c>
      <c r="G2069" t="s">
        <v>33</v>
      </c>
      <c r="H2069" t="s">
        <v>26</v>
      </c>
      <c r="I2069" t="s">
        <v>40</v>
      </c>
      <c r="J2069" s="11">
        <v>45025</v>
      </c>
      <c r="K2069" t="str">
        <f>TEXT(Transactions_Clean[[#This Row],[Date]],"MMM-YYYY")</f>
        <v>Apr-2023</v>
      </c>
      <c r="L2069">
        <f>IF(Transactions_Clean[[#This Row],[Category]]="Revenue",Transactions_Clean[[#This Row],[Amount(₹)]],Transactions_Clean[[#This Row],[Amount(₹)]]/8)</f>
        <v>-4498.625</v>
      </c>
    </row>
    <row r="2070" spans="1:12">
      <c r="A2070" t="s">
        <v>3295</v>
      </c>
      <c r="B2070" t="s">
        <v>169</v>
      </c>
      <c r="C2070" t="s">
        <v>73</v>
      </c>
      <c r="D2070">
        <v>-50611</v>
      </c>
      <c r="E2070" t="s">
        <v>74</v>
      </c>
      <c r="F2070" t="s">
        <v>24</v>
      </c>
      <c r="G2070" t="s">
        <v>25</v>
      </c>
      <c r="H2070" t="s">
        <v>39</v>
      </c>
      <c r="I2070" t="s">
        <v>27</v>
      </c>
      <c r="J2070" s="11">
        <v>46030</v>
      </c>
      <c r="K2070" t="str">
        <f>TEXT(Transactions_Clean[[#This Row],[Date]],"MMM-YYYY")</f>
        <v>Jan-2026</v>
      </c>
      <c r="L2070">
        <f>IF(Transactions_Clean[[#This Row],[Category]]="Revenue",Transactions_Clean[[#This Row],[Amount(₹)]],Transactions_Clean[[#This Row],[Amount(₹)]]/8)</f>
        <v>-6326.375</v>
      </c>
    </row>
    <row r="2071" spans="1:12">
      <c r="A2071" t="s">
        <v>3296</v>
      </c>
      <c r="B2071" t="s">
        <v>4766</v>
      </c>
      <c r="C2071" t="s">
        <v>73</v>
      </c>
      <c r="D2071">
        <v>-89714</v>
      </c>
      <c r="E2071" t="s">
        <v>74</v>
      </c>
      <c r="F2071" t="s">
        <v>24</v>
      </c>
      <c r="G2071" t="s">
        <v>25</v>
      </c>
      <c r="H2071" t="s">
        <v>39</v>
      </c>
      <c r="I2071" t="s">
        <v>27</v>
      </c>
      <c r="J2071" s="11">
        <v>46077</v>
      </c>
      <c r="K2071" t="str">
        <f>TEXT(Transactions_Clean[[#This Row],[Date]],"MMM-YYYY")</f>
        <v>Feb-2026</v>
      </c>
      <c r="L2071">
        <f>IF(Transactions_Clean[[#This Row],[Category]]="Revenue",Transactions_Clean[[#This Row],[Amount(₹)]],Transactions_Clean[[#This Row],[Amount(₹)]]/8)</f>
        <v>-11214.25</v>
      </c>
    </row>
    <row r="2072" spans="1:12">
      <c r="A2072" t="s">
        <v>3298</v>
      </c>
      <c r="B2072" t="s">
        <v>174</v>
      </c>
      <c r="C2072" t="s">
        <v>22</v>
      </c>
      <c r="D2072">
        <v>-216492</v>
      </c>
      <c r="E2072" t="s">
        <v>23</v>
      </c>
      <c r="F2072" t="s">
        <v>32</v>
      </c>
      <c r="G2072" t="s">
        <v>25</v>
      </c>
      <c r="H2072" t="s">
        <v>26</v>
      </c>
      <c r="I2072" t="s">
        <v>40</v>
      </c>
      <c r="J2072" s="11">
        <v>45184</v>
      </c>
      <c r="K2072" t="str">
        <f>TEXT(Transactions_Clean[[#This Row],[Date]],"MMM-YYYY")</f>
        <v>Sep-2023</v>
      </c>
      <c r="L2072">
        <f>IF(Transactions_Clean[[#This Row],[Category]]="Revenue",Transactions_Clean[[#This Row],[Amount(₹)]],Transactions_Clean[[#This Row],[Amount(₹)]]/8)</f>
        <v>-27061.5</v>
      </c>
    </row>
    <row r="2073" spans="1:12">
      <c r="A2073" t="s">
        <v>3300</v>
      </c>
      <c r="B2073" t="s">
        <v>180</v>
      </c>
      <c r="C2073" t="s">
        <v>44</v>
      </c>
      <c r="D2073">
        <v>-134883</v>
      </c>
      <c r="E2073" t="s">
        <v>23</v>
      </c>
      <c r="F2073" t="s">
        <v>24</v>
      </c>
      <c r="G2073" t="s">
        <v>33</v>
      </c>
      <c r="H2073" t="s">
        <v>26</v>
      </c>
      <c r="I2073" t="s">
        <v>34</v>
      </c>
      <c r="J2073" s="11">
        <v>45073</v>
      </c>
      <c r="K2073" t="str">
        <f>TEXT(Transactions_Clean[[#This Row],[Date]],"MMM-YYYY")</f>
        <v>May-2023</v>
      </c>
      <c r="L2073">
        <f>IF(Transactions_Clean[[#This Row],[Category]]="Revenue",Transactions_Clean[[#This Row],[Amount(₹)]],Transactions_Clean[[#This Row],[Amount(₹)]]/8)</f>
        <v>-16860.375</v>
      </c>
    </row>
    <row r="2074" spans="1:12">
      <c r="A2074" t="s">
        <v>3301</v>
      </c>
      <c r="B2074" t="s">
        <v>4766</v>
      </c>
      <c r="C2074" t="s">
        <v>73</v>
      </c>
      <c r="D2074">
        <v>-72871</v>
      </c>
      <c r="E2074" t="s">
        <v>74</v>
      </c>
      <c r="F2074" t="s">
        <v>32</v>
      </c>
      <c r="G2074" t="s">
        <v>25</v>
      </c>
      <c r="H2074" t="s">
        <v>45</v>
      </c>
      <c r="I2074" t="s">
        <v>40</v>
      </c>
      <c r="J2074" s="11">
        <v>45540</v>
      </c>
      <c r="K2074" t="str">
        <f>TEXT(Transactions_Clean[[#This Row],[Date]],"MMM-YYYY")</f>
        <v>Sep-2024</v>
      </c>
      <c r="L2074">
        <f>IF(Transactions_Clean[[#This Row],[Category]]="Revenue",Transactions_Clean[[#This Row],[Amount(₹)]],Transactions_Clean[[#This Row],[Amount(₹)]]/8)</f>
        <v>-9108.875</v>
      </c>
    </row>
    <row r="2075" spans="1:12">
      <c r="A2075" t="s">
        <v>3303</v>
      </c>
      <c r="B2075" t="s">
        <v>4757</v>
      </c>
      <c r="C2075" t="s">
        <v>73</v>
      </c>
      <c r="D2075">
        <v>-77355</v>
      </c>
      <c r="E2075" t="s">
        <v>74</v>
      </c>
      <c r="F2075" t="s">
        <v>24</v>
      </c>
      <c r="G2075" t="s">
        <v>25</v>
      </c>
      <c r="H2075" t="s">
        <v>39</v>
      </c>
      <c r="I2075" t="s">
        <v>40</v>
      </c>
      <c r="J2075" s="11">
        <v>45891</v>
      </c>
      <c r="K2075" t="str">
        <f>TEXT(Transactions_Clean[[#This Row],[Date]],"MMM-YYYY")</f>
        <v>Aug-2025</v>
      </c>
      <c r="L2075">
        <f>IF(Transactions_Clean[[#This Row],[Category]]="Revenue",Transactions_Clean[[#This Row],[Amount(₹)]],Transactions_Clean[[#This Row],[Amount(₹)]]/8)</f>
        <v>-9669.375</v>
      </c>
    </row>
    <row r="2076" spans="1:12">
      <c r="A2076" t="s">
        <v>3304</v>
      </c>
      <c r="B2076" t="s">
        <v>215</v>
      </c>
      <c r="C2076" t="s">
        <v>61</v>
      </c>
      <c r="D2076">
        <v>-56163</v>
      </c>
      <c r="E2076" t="s">
        <v>62</v>
      </c>
      <c r="F2076" t="s">
        <v>24</v>
      </c>
      <c r="G2076" t="s">
        <v>63</v>
      </c>
      <c r="H2076" t="s">
        <v>39</v>
      </c>
      <c r="I2076" t="s">
        <v>34</v>
      </c>
      <c r="J2076" s="11">
        <v>45814</v>
      </c>
      <c r="K2076" t="str">
        <f>TEXT(Transactions_Clean[[#This Row],[Date]],"MMM-YYYY")</f>
        <v>Jun-2025</v>
      </c>
      <c r="L2076">
        <f>IF(Transactions_Clean[[#This Row],[Category]]="Revenue",Transactions_Clean[[#This Row],[Amount(₹)]],Transactions_Clean[[#This Row],[Amount(₹)]]/8)</f>
        <v>-7020.375</v>
      </c>
    </row>
    <row r="2077" spans="1:12">
      <c r="A2077" t="s">
        <v>3305</v>
      </c>
      <c r="B2077" t="s">
        <v>106</v>
      </c>
      <c r="C2077" t="s">
        <v>31</v>
      </c>
      <c r="D2077">
        <v>-25696</v>
      </c>
      <c r="E2077" t="s">
        <v>23</v>
      </c>
      <c r="F2077" t="s">
        <v>32</v>
      </c>
      <c r="G2077" t="s">
        <v>33</v>
      </c>
      <c r="H2077" t="s">
        <v>45</v>
      </c>
      <c r="I2077" t="s">
        <v>27</v>
      </c>
      <c r="J2077" s="11">
        <v>45680</v>
      </c>
      <c r="K2077" t="str">
        <f>TEXT(Transactions_Clean[[#This Row],[Date]],"MMM-YYYY")</f>
        <v>Jan-2025</v>
      </c>
      <c r="L2077">
        <f>IF(Transactions_Clean[[#This Row],[Category]]="Revenue",Transactions_Clean[[#This Row],[Amount(₹)]],Transactions_Clean[[#This Row],[Amount(₹)]]/8)</f>
        <v>-3212</v>
      </c>
    </row>
    <row r="2078" spans="1:12">
      <c r="A2078" t="s">
        <v>3306</v>
      </c>
      <c r="B2078" t="s">
        <v>66</v>
      </c>
      <c r="C2078" t="s">
        <v>61</v>
      </c>
      <c r="D2078">
        <v>-62098</v>
      </c>
      <c r="E2078" t="s">
        <v>62</v>
      </c>
      <c r="F2078" t="s">
        <v>24</v>
      </c>
      <c r="G2078" t="s">
        <v>63</v>
      </c>
      <c r="H2078" t="s">
        <v>26</v>
      </c>
      <c r="I2078" t="s">
        <v>34</v>
      </c>
      <c r="J2078" s="11">
        <v>45060</v>
      </c>
      <c r="K2078" t="str">
        <f>TEXT(Transactions_Clean[[#This Row],[Date]],"MMM-YYYY")</f>
        <v>May-2023</v>
      </c>
      <c r="L2078">
        <f>IF(Transactions_Clean[[#This Row],[Category]]="Revenue",Transactions_Clean[[#This Row],[Amount(₹)]],Transactions_Clean[[#This Row],[Amount(₹)]]/8)</f>
        <v>-7762.25</v>
      </c>
    </row>
    <row r="2079" spans="1:12">
      <c r="A2079" t="s">
        <v>3307</v>
      </c>
      <c r="B2079" t="s">
        <v>4759</v>
      </c>
      <c r="C2079" t="s">
        <v>31</v>
      </c>
      <c r="D2079">
        <v>-6348</v>
      </c>
      <c r="E2079" t="s">
        <v>23</v>
      </c>
      <c r="F2079" t="s">
        <v>24</v>
      </c>
      <c r="G2079" t="s">
        <v>33</v>
      </c>
      <c r="H2079" t="s">
        <v>26</v>
      </c>
      <c r="I2079" t="s">
        <v>40</v>
      </c>
      <c r="J2079" s="11">
        <v>45187</v>
      </c>
      <c r="K2079" t="str">
        <f>TEXT(Transactions_Clean[[#This Row],[Date]],"MMM-YYYY")</f>
        <v>Sep-2023</v>
      </c>
      <c r="L2079">
        <f>IF(Transactions_Clean[[#This Row],[Category]]="Revenue",Transactions_Clean[[#This Row],[Amount(₹)]],Transactions_Clean[[#This Row],[Amount(₹)]]/8)</f>
        <v>-793.5</v>
      </c>
    </row>
    <row r="2080" spans="1:12">
      <c r="A2080" t="s">
        <v>3309</v>
      </c>
      <c r="B2080" t="s">
        <v>30</v>
      </c>
      <c r="C2080" t="s">
        <v>31</v>
      </c>
      <c r="D2080">
        <v>-21577</v>
      </c>
      <c r="E2080" t="s">
        <v>23</v>
      </c>
      <c r="F2080" t="s">
        <v>24</v>
      </c>
      <c r="G2080" t="s">
        <v>33</v>
      </c>
      <c r="H2080" t="s">
        <v>45</v>
      </c>
      <c r="I2080" t="s">
        <v>27</v>
      </c>
      <c r="J2080" s="11">
        <v>45697</v>
      </c>
      <c r="K2080" t="str">
        <f>TEXT(Transactions_Clean[[#This Row],[Date]],"MMM-YYYY")</f>
        <v>Feb-2025</v>
      </c>
      <c r="L2080">
        <f>IF(Transactions_Clean[[#This Row],[Category]]="Revenue",Transactions_Clean[[#This Row],[Amount(₹)]],Transactions_Clean[[#This Row],[Amount(₹)]]/8)</f>
        <v>-2697.125</v>
      </c>
    </row>
    <row r="2081" spans="1:12">
      <c r="A2081" t="s">
        <v>3310</v>
      </c>
      <c r="B2081" t="s">
        <v>616</v>
      </c>
      <c r="C2081" t="s">
        <v>22</v>
      </c>
      <c r="D2081">
        <v>-142992</v>
      </c>
      <c r="E2081" t="s">
        <v>23</v>
      </c>
      <c r="F2081" t="s">
        <v>24</v>
      </c>
      <c r="G2081" t="s">
        <v>25</v>
      </c>
      <c r="H2081" t="s">
        <v>26</v>
      </c>
      <c r="I2081" t="s">
        <v>40</v>
      </c>
      <c r="J2081" s="11">
        <v>44993</v>
      </c>
      <c r="K2081" t="str">
        <f>TEXT(Transactions_Clean[[#This Row],[Date]],"MMM-YYYY")</f>
        <v>Mar-2023</v>
      </c>
      <c r="L2081">
        <f>IF(Transactions_Clean[[#This Row],[Category]]="Revenue",Transactions_Clean[[#This Row],[Amount(₹)]],Transactions_Clean[[#This Row],[Amount(₹)]]/8)</f>
        <v>-17874</v>
      </c>
    </row>
    <row r="2082" spans="1:12">
      <c r="A2082" t="s">
        <v>3312</v>
      </c>
      <c r="B2082" t="s">
        <v>212</v>
      </c>
      <c r="C2082" t="s">
        <v>73</v>
      </c>
      <c r="D2082">
        <v>-82852</v>
      </c>
      <c r="E2082" t="s">
        <v>74</v>
      </c>
      <c r="F2082" t="s">
        <v>32</v>
      </c>
      <c r="G2082" t="s">
        <v>25</v>
      </c>
      <c r="H2082" t="s">
        <v>45</v>
      </c>
      <c r="I2082" t="s">
        <v>40</v>
      </c>
      <c r="J2082" s="11">
        <v>45548</v>
      </c>
      <c r="K2082" t="str">
        <f>TEXT(Transactions_Clean[[#This Row],[Date]],"MMM-YYYY")</f>
        <v>Sep-2024</v>
      </c>
      <c r="L2082">
        <f>IF(Transactions_Clean[[#This Row],[Category]]="Revenue",Transactions_Clean[[#This Row],[Amount(₹)]],Transactions_Clean[[#This Row],[Amount(₹)]]/8)</f>
        <v>-10356.5</v>
      </c>
    </row>
    <row r="2083" spans="1:12">
      <c r="A2083" t="s">
        <v>3314</v>
      </c>
      <c r="B2083" t="s">
        <v>4758</v>
      </c>
      <c r="C2083" t="s">
        <v>78</v>
      </c>
      <c r="D2083">
        <v>-90282</v>
      </c>
      <c r="E2083" t="s">
        <v>23</v>
      </c>
      <c r="F2083" t="s">
        <v>32</v>
      </c>
      <c r="G2083" t="s">
        <v>79</v>
      </c>
      <c r="H2083" t="s">
        <v>39</v>
      </c>
      <c r="I2083" t="s">
        <v>40</v>
      </c>
      <c r="J2083" s="11">
        <v>45881</v>
      </c>
      <c r="K2083" t="str">
        <f>TEXT(Transactions_Clean[[#This Row],[Date]],"MMM-YYYY")</f>
        <v>Aug-2025</v>
      </c>
      <c r="L2083">
        <f>IF(Transactions_Clean[[#This Row],[Category]]="Revenue",Transactions_Clean[[#This Row],[Amount(₹)]],Transactions_Clean[[#This Row],[Amount(₹)]]/8)</f>
        <v>-11285.25</v>
      </c>
    </row>
    <row r="2084" spans="1:12">
      <c r="A2084" t="s">
        <v>3315</v>
      </c>
      <c r="B2084" t="s">
        <v>4756</v>
      </c>
      <c r="C2084" t="s">
        <v>73</v>
      </c>
      <c r="D2084">
        <v>-86774</v>
      </c>
      <c r="E2084" t="s">
        <v>74</v>
      </c>
      <c r="F2084" t="s">
        <v>24</v>
      </c>
      <c r="G2084" t="s">
        <v>25</v>
      </c>
      <c r="H2084" t="s">
        <v>26</v>
      </c>
      <c r="I2084" t="s">
        <v>40</v>
      </c>
      <c r="J2084" s="11">
        <v>45158</v>
      </c>
      <c r="K2084" t="str">
        <f>TEXT(Transactions_Clean[[#This Row],[Date]],"MMM-YYYY")</f>
        <v>Aug-2023</v>
      </c>
      <c r="L2084">
        <f>IF(Transactions_Clean[[#This Row],[Category]]="Revenue",Transactions_Clean[[#This Row],[Amount(₹)]],Transactions_Clean[[#This Row],[Amount(₹)]]/8)</f>
        <v>-10846.75</v>
      </c>
    </row>
    <row r="2085" spans="1:12">
      <c r="A2085" t="s">
        <v>3317</v>
      </c>
      <c r="B2085" t="s">
        <v>30</v>
      </c>
      <c r="C2085" t="s">
        <v>4750</v>
      </c>
      <c r="D2085">
        <v>-32210</v>
      </c>
      <c r="E2085" t="s">
        <v>23</v>
      </c>
      <c r="F2085" t="s">
        <v>32</v>
      </c>
      <c r="G2085" t="s">
        <v>33</v>
      </c>
      <c r="H2085" t="s">
        <v>26</v>
      </c>
      <c r="I2085" t="s">
        <v>40</v>
      </c>
      <c r="J2085" s="11">
        <v>45111</v>
      </c>
      <c r="K2085" t="str">
        <f>TEXT(Transactions_Clean[[#This Row],[Date]],"MMM-YYYY")</f>
        <v>Jul-2023</v>
      </c>
      <c r="L2085">
        <f>IF(Transactions_Clean[[#This Row],[Category]]="Revenue",Transactions_Clean[[#This Row],[Amount(₹)]],Transactions_Clean[[#This Row],[Amount(₹)]]/8)</f>
        <v>-4026.25</v>
      </c>
    </row>
    <row r="2086" spans="1:12">
      <c r="A2086" t="s">
        <v>3319</v>
      </c>
      <c r="B2086" t="s">
        <v>345</v>
      </c>
      <c r="C2086" t="s">
        <v>22</v>
      </c>
      <c r="D2086">
        <v>-55286</v>
      </c>
      <c r="E2086" t="s">
        <v>23</v>
      </c>
      <c r="F2086" t="s">
        <v>24</v>
      </c>
      <c r="G2086" t="s">
        <v>25</v>
      </c>
      <c r="H2086" t="s">
        <v>26</v>
      </c>
      <c r="I2086" t="s">
        <v>34</v>
      </c>
      <c r="J2086" s="11">
        <v>45049</v>
      </c>
      <c r="K2086" t="str">
        <f>TEXT(Transactions_Clean[[#This Row],[Date]],"MMM-YYYY")</f>
        <v>May-2023</v>
      </c>
      <c r="L2086">
        <f>IF(Transactions_Clean[[#This Row],[Category]]="Revenue",Transactions_Clean[[#This Row],[Amount(₹)]],Transactions_Clean[[#This Row],[Amount(₹)]]/8)</f>
        <v>-6910.75</v>
      </c>
    </row>
    <row r="2087" spans="1:12">
      <c r="A2087" t="s">
        <v>3320</v>
      </c>
      <c r="B2087" t="s">
        <v>215</v>
      </c>
      <c r="C2087" t="s">
        <v>61</v>
      </c>
      <c r="D2087">
        <v>-40719</v>
      </c>
      <c r="E2087" t="s">
        <v>62</v>
      </c>
      <c r="F2087" t="s">
        <v>24</v>
      </c>
      <c r="G2087" t="s">
        <v>63</v>
      </c>
      <c r="H2087" t="s">
        <v>26</v>
      </c>
      <c r="I2087" t="s">
        <v>40</v>
      </c>
      <c r="J2087" s="11">
        <v>45193</v>
      </c>
      <c r="K2087" t="str">
        <f>TEXT(Transactions_Clean[[#This Row],[Date]],"MMM-YYYY")</f>
        <v>Sep-2023</v>
      </c>
      <c r="L2087">
        <f>IF(Transactions_Clean[[#This Row],[Category]]="Revenue",Transactions_Clean[[#This Row],[Amount(₹)]],Transactions_Clean[[#This Row],[Amount(₹)]]/8)</f>
        <v>-5089.875</v>
      </c>
    </row>
    <row r="2088" spans="1:12">
      <c r="A2088" t="s">
        <v>3321</v>
      </c>
      <c r="B2088" t="s">
        <v>60</v>
      </c>
      <c r="C2088" t="s">
        <v>61</v>
      </c>
      <c r="D2088">
        <v>-52698</v>
      </c>
      <c r="E2088" t="s">
        <v>62</v>
      </c>
      <c r="F2088" t="s">
        <v>24</v>
      </c>
      <c r="G2088" t="s">
        <v>63</v>
      </c>
      <c r="H2088" t="s">
        <v>26</v>
      </c>
      <c r="I2088" t="s">
        <v>48</v>
      </c>
      <c r="J2088" s="11">
        <v>45290</v>
      </c>
      <c r="K2088" t="str">
        <f>TEXT(Transactions_Clean[[#This Row],[Date]],"MMM-YYYY")</f>
        <v>Dec-2023</v>
      </c>
      <c r="L2088">
        <f>IF(Transactions_Clean[[#This Row],[Category]]="Revenue",Transactions_Clean[[#This Row],[Amount(₹)]],Transactions_Clean[[#This Row],[Amount(₹)]]/8)</f>
        <v>-6587.25</v>
      </c>
    </row>
    <row r="2089" spans="1:12">
      <c r="A2089" t="s">
        <v>3322</v>
      </c>
      <c r="B2089" t="s">
        <v>305</v>
      </c>
      <c r="C2089" t="s">
        <v>38</v>
      </c>
      <c r="D2089">
        <v>-40695</v>
      </c>
      <c r="E2089" t="s">
        <v>23</v>
      </c>
      <c r="F2089" t="s">
        <v>24</v>
      </c>
      <c r="G2089" t="s">
        <v>33</v>
      </c>
      <c r="H2089" t="s">
        <v>26</v>
      </c>
      <c r="I2089" t="s">
        <v>40</v>
      </c>
      <c r="J2089" s="11">
        <v>45152</v>
      </c>
      <c r="K2089" t="str">
        <f>TEXT(Transactions_Clean[[#This Row],[Date]],"MMM-YYYY")</f>
        <v>Aug-2023</v>
      </c>
      <c r="L2089">
        <f>IF(Transactions_Clean[[#This Row],[Category]]="Revenue",Transactions_Clean[[#This Row],[Amount(₹)]],Transactions_Clean[[#This Row],[Amount(₹)]]/8)</f>
        <v>-5086.875</v>
      </c>
    </row>
    <row r="2090" spans="1:12">
      <c r="A2090" t="s">
        <v>3324</v>
      </c>
      <c r="B2090" t="s">
        <v>100</v>
      </c>
      <c r="C2090" t="s">
        <v>31</v>
      </c>
      <c r="D2090">
        <v>-24218</v>
      </c>
      <c r="E2090" t="s">
        <v>23</v>
      </c>
      <c r="F2090" t="s">
        <v>32</v>
      </c>
      <c r="G2090" t="s">
        <v>33</v>
      </c>
      <c r="H2090" t="s">
        <v>45</v>
      </c>
      <c r="I2090" t="s">
        <v>40</v>
      </c>
      <c r="J2090" s="11">
        <v>45550</v>
      </c>
      <c r="K2090" t="str">
        <f>TEXT(Transactions_Clean[[#This Row],[Date]],"MMM-YYYY")</f>
        <v>Sep-2024</v>
      </c>
      <c r="L2090">
        <f>IF(Transactions_Clean[[#This Row],[Category]]="Revenue",Transactions_Clean[[#This Row],[Amount(₹)]],Transactions_Clean[[#This Row],[Amount(₹)]]/8)</f>
        <v>-3027.25</v>
      </c>
    </row>
    <row r="2091" spans="1:12">
      <c r="A2091" t="s">
        <v>3325</v>
      </c>
      <c r="B2091" t="s">
        <v>290</v>
      </c>
      <c r="C2091" t="s">
        <v>440</v>
      </c>
      <c r="D2091">
        <v>-123059</v>
      </c>
      <c r="E2091" t="s">
        <v>23</v>
      </c>
      <c r="F2091" t="s">
        <v>32</v>
      </c>
      <c r="G2091" t="s">
        <v>33</v>
      </c>
      <c r="H2091" t="s">
        <v>26</v>
      </c>
      <c r="I2091" t="s">
        <v>27</v>
      </c>
      <c r="J2091" s="11">
        <v>45628</v>
      </c>
      <c r="K2091" t="str">
        <f>TEXT(Transactions_Clean[[#This Row],[Date]],"MMM-YYYY")</f>
        <v>Dec-2024</v>
      </c>
      <c r="L2091">
        <f>IF(Transactions_Clean[[#This Row],[Category]]="Revenue",Transactions_Clean[[#This Row],[Amount(₹)]],Transactions_Clean[[#This Row],[Amount(₹)]]/8)</f>
        <v>-15382.375</v>
      </c>
    </row>
    <row r="2092" spans="1:12">
      <c r="A2092" t="s">
        <v>3326</v>
      </c>
      <c r="B2092" t="s">
        <v>143</v>
      </c>
      <c r="C2092" t="s">
        <v>78</v>
      </c>
      <c r="D2092">
        <v>-37356</v>
      </c>
      <c r="E2092" t="s">
        <v>23</v>
      </c>
      <c r="F2092" t="s">
        <v>32</v>
      </c>
      <c r="G2092" t="s">
        <v>79</v>
      </c>
      <c r="H2092" t="s">
        <v>26</v>
      </c>
      <c r="I2092" t="s">
        <v>48</v>
      </c>
      <c r="J2092" s="11">
        <v>45207</v>
      </c>
      <c r="K2092" t="str">
        <f>TEXT(Transactions_Clean[[#This Row],[Date]],"MMM-YYYY")</f>
        <v>Oct-2023</v>
      </c>
      <c r="L2092">
        <f>IF(Transactions_Clean[[#This Row],[Category]]="Revenue",Transactions_Clean[[#This Row],[Amount(₹)]],Transactions_Clean[[#This Row],[Amount(₹)]]/8)</f>
        <v>-4669.5</v>
      </c>
    </row>
    <row r="2093" spans="1:12">
      <c r="A2093" t="s">
        <v>3327</v>
      </c>
      <c r="B2093" t="s">
        <v>4774</v>
      </c>
      <c r="C2093" t="s">
        <v>440</v>
      </c>
      <c r="D2093">
        <v>-132954</v>
      </c>
      <c r="E2093" t="s">
        <v>23</v>
      </c>
      <c r="F2093" t="s">
        <v>24</v>
      </c>
      <c r="G2093" t="s">
        <v>33</v>
      </c>
      <c r="H2093" t="s">
        <v>26</v>
      </c>
      <c r="I2093" t="s">
        <v>40</v>
      </c>
      <c r="J2093" s="11">
        <v>45131</v>
      </c>
      <c r="K2093" t="str">
        <f>TEXT(Transactions_Clean[[#This Row],[Date]],"MMM-YYYY")</f>
        <v>Jul-2023</v>
      </c>
      <c r="L2093">
        <f>IF(Transactions_Clean[[#This Row],[Category]]="Revenue",Transactions_Clean[[#This Row],[Amount(₹)]],Transactions_Clean[[#This Row],[Amount(₹)]]/8)</f>
        <v>-16619.25</v>
      </c>
    </row>
    <row r="2094" spans="1:12">
      <c r="A2094" t="s">
        <v>3328</v>
      </c>
      <c r="B2094" t="s">
        <v>237</v>
      </c>
      <c r="C2094" t="s">
        <v>22</v>
      </c>
      <c r="D2094">
        <v>-101916</v>
      </c>
      <c r="E2094" t="s">
        <v>23</v>
      </c>
      <c r="F2094" t="s">
        <v>24</v>
      </c>
      <c r="G2094" t="s">
        <v>25</v>
      </c>
      <c r="H2094" t="s">
        <v>39</v>
      </c>
      <c r="I2094" t="s">
        <v>34</v>
      </c>
      <c r="J2094" s="11">
        <v>45825</v>
      </c>
      <c r="K2094" t="str">
        <f>TEXT(Transactions_Clean[[#This Row],[Date]],"MMM-YYYY")</f>
        <v>Jun-2025</v>
      </c>
      <c r="L2094">
        <f>IF(Transactions_Clean[[#This Row],[Category]]="Revenue",Transactions_Clean[[#This Row],[Amount(₹)]],Transactions_Clean[[#This Row],[Amount(₹)]]/8)</f>
        <v>-12739.5</v>
      </c>
    </row>
    <row r="2095" spans="1:12">
      <c r="A2095" t="s">
        <v>3329</v>
      </c>
      <c r="B2095" t="s">
        <v>4766</v>
      </c>
      <c r="C2095" t="s">
        <v>73</v>
      </c>
      <c r="D2095">
        <v>-40688</v>
      </c>
      <c r="E2095" t="s">
        <v>74</v>
      </c>
      <c r="F2095" t="s">
        <v>32</v>
      </c>
      <c r="G2095" t="s">
        <v>25</v>
      </c>
      <c r="H2095" t="s">
        <v>45</v>
      </c>
      <c r="I2095" t="s">
        <v>27</v>
      </c>
      <c r="J2095" s="11">
        <v>45661</v>
      </c>
      <c r="K2095" t="str">
        <f>TEXT(Transactions_Clean[[#This Row],[Date]],"MMM-YYYY")</f>
        <v>Jan-2025</v>
      </c>
      <c r="L2095">
        <f>IF(Transactions_Clean[[#This Row],[Category]]="Revenue",Transactions_Clean[[#This Row],[Amount(₹)]],Transactions_Clean[[#This Row],[Amount(₹)]]/8)</f>
        <v>-5086</v>
      </c>
    </row>
    <row r="2096" spans="1:12">
      <c r="A2096" t="s">
        <v>3330</v>
      </c>
      <c r="B2096" t="s">
        <v>143</v>
      </c>
      <c r="C2096" t="s">
        <v>78</v>
      </c>
      <c r="D2096">
        <v>-101627</v>
      </c>
      <c r="E2096" t="s">
        <v>23</v>
      </c>
      <c r="F2096" t="s">
        <v>32</v>
      </c>
      <c r="G2096" t="s">
        <v>79</v>
      </c>
      <c r="H2096" t="s">
        <v>39</v>
      </c>
      <c r="I2096" t="s">
        <v>34</v>
      </c>
      <c r="J2096" s="11">
        <v>45786</v>
      </c>
      <c r="K2096" t="str">
        <f>TEXT(Transactions_Clean[[#This Row],[Date]],"MMM-YYYY")</f>
        <v>May-2025</v>
      </c>
      <c r="L2096">
        <f>IF(Transactions_Clean[[#This Row],[Category]]="Revenue",Transactions_Clean[[#This Row],[Amount(₹)]],Transactions_Clean[[#This Row],[Amount(₹)]]/8)</f>
        <v>-12703.375</v>
      </c>
    </row>
    <row r="2097" spans="1:12">
      <c r="A2097" t="s">
        <v>3331</v>
      </c>
      <c r="B2097" t="s">
        <v>51</v>
      </c>
      <c r="C2097" t="s">
        <v>31</v>
      </c>
      <c r="D2097">
        <v>-37957</v>
      </c>
      <c r="E2097" t="s">
        <v>23</v>
      </c>
      <c r="F2097" t="s">
        <v>32</v>
      </c>
      <c r="G2097" t="s">
        <v>33</v>
      </c>
      <c r="H2097" t="s">
        <v>26</v>
      </c>
      <c r="I2097" t="s">
        <v>48</v>
      </c>
      <c r="J2097" s="11">
        <v>45209</v>
      </c>
      <c r="K2097" t="str">
        <f>TEXT(Transactions_Clean[[#This Row],[Date]],"MMM-YYYY")</f>
        <v>Oct-2023</v>
      </c>
      <c r="L2097">
        <f>IF(Transactions_Clean[[#This Row],[Category]]="Revenue",Transactions_Clean[[#This Row],[Amount(₹)]],Transactions_Clean[[#This Row],[Amount(₹)]]/8)</f>
        <v>-4744.625</v>
      </c>
    </row>
    <row r="2098" spans="1:12">
      <c r="A2098" t="s">
        <v>3332</v>
      </c>
      <c r="B2098" t="s">
        <v>4773</v>
      </c>
      <c r="C2098" t="s">
        <v>157</v>
      </c>
      <c r="D2098">
        <v>537345</v>
      </c>
      <c r="E2098" t="s">
        <v>62</v>
      </c>
      <c r="F2098" t="s">
        <v>32</v>
      </c>
      <c r="G2098" t="s">
        <v>25</v>
      </c>
      <c r="H2098" t="s">
        <v>26</v>
      </c>
      <c r="I2098" t="s">
        <v>34</v>
      </c>
      <c r="J2098" s="11">
        <v>45066</v>
      </c>
      <c r="K2098" t="str">
        <f>TEXT(Transactions_Clean[[#This Row],[Date]],"MMM-YYYY")</f>
        <v>May-2023</v>
      </c>
      <c r="L2098">
        <f>IF(Transactions_Clean[[#This Row],[Category]]="Revenue",Transactions_Clean[[#This Row],[Amount(₹)]],Transactions_Clean[[#This Row],[Amount(₹)]]/8)</f>
        <v>537345</v>
      </c>
    </row>
    <row r="2099" spans="1:12">
      <c r="A2099" t="s">
        <v>3334</v>
      </c>
      <c r="B2099" t="s">
        <v>60</v>
      </c>
      <c r="C2099" t="s">
        <v>61</v>
      </c>
      <c r="D2099">
        <v>-64387</v>
      </c>
      <c r="E2099" t="s">
        <v>62</v>
      </c>
      <c r="F2099" t="s">
        <v>32</v>
      </c>
      <c r="G2099" t="s">
        <v>63</v>
      </c>
      <c r="H2099" t="s">
        <v>26</v>
      </c>
      <c r="I2099" t="s">
        <v>27</v>
      </c>
      <c r="J2099" s="11">
        <v>45308</v>
      </c>
      <c r="K2099" t="str">
        <f>TEXT(Transactions_Clean[[#This Row],[Date]],"MMM-YYYY")</f>
        <v>Jan-2024</v>
      </c>
      <c r="L2099">
        <f>IF(Transactions_Clean[[#This Row],[Category]]="Revenue",Transactions_Clean[[#This Row],[Amount(₹)]],Transactions_Clean[[#This Row],[Amount(₹)]]/8)</f>
        <v>-8048.375</v>
      </c>
    </row>
    <row r="2100" spans="1:12">
      <c r="A2100" t="s">
        <v>3336</v>
      </c>
      <c r="B2100" t="s">
        <v>169</v>
      </c>
      <c r="C2100" t="s">
        <v>73</v>
      </c>
      <c r="D2100">
        <v>-23653</v>
      </c>
      <c r="E2100" t="s">
        <v>74</v>
      </c>
      <c r="F2100" t="s">
        <v>24</v>
      </c>
      <c r="G2100" t="s">
        <v>25</v>
      </c>
      <c r="H2100" t="s">
        <v>45</v>
      </c>
      <c r="I2100" t="s">
        <v>48</v>
      </c>
      <c r="J2100" s="11">
        <v>45567</v>
      </c>
      <c r="K2100" t="str">
        <f>TEXT(Transactions_Clean[[#This Row],[Date]],"MMM-YYYY")</f>
        <v>Oct-2024</v>
      </c>
      <c r="L2100">
        <f>IF(Transactions_Clean[[#This Row],[Category]]="Revenue",Transactions_Clean[[#This Row],[Amount(₹)]],Transactions_Clean[[#This Row],[Amount(₹)]]/8)</f>
        <v>-2956.625</v>
      </c>
    </row>
    <row r="2101" spans="1:12">
      <c r="A2101" t="s">
        <v>3337</v>
      </c>
      <c r="B2101" t="s">
        <v>30</v>
      </c>
      <c r="C2101" t="s">
        <v>31</v>
      </c>
      <c r="D2101">
        <v>-5788</v>
      </c>
      <c r="E2101" t="s">
        <v>23</v>
      </c>
      <c r="F2101" t="s">
        <v>24</v>
      </c>
      <c r="G2101" t="s">
        <v>33</v>
      </c>
      <c r="H2101" t="s">
        <v>45</v>
      </c>
      <c r="I2101" t="s">
        <v>48</v>
      </c>
      <c r="J2101" s="11">
        <v>45601</v>
      </c>
      <c r="K2101" t="str">
        <f>TEXT(Transactions_Clean[[#This Row],[Date]],"MMM-YYYY")</f>
        <v>Nov-2024</v>
      </c>
      <c r="L2101">
        <f>IF(Transactions_Clean[[#This Row],[Category]]="Revenue",Transactions_Clean[[#This Row],[Amount(₹)]],Transactions_Clean[[#This Row],[Amount(₹)]]/8)</f>
        <v>-723.5</v>
      </c>
    </row>
    <row r="2102" spans="1:12">
      <c r="A2102" t="s">
        <v>3339</v>
      </c>
      <c r="B2102" t="s">
        <v>4759</v>
      </c>
      <c r="C2102" t="s">
        <v>31</v>
      </c>
      <c r="D2102">
        <v>-42125</v>
      </c>
      <c r="E2102" t="s">
        <v>23</v>
      </c>
      <c r="F2102" t="s">
        <v>32</v>
      </c>
      <c r="G2102" t="s">
        <v>33</v>
      </c>
      <c r="H2102" t="s">
        <v>45</v>
      </c>
      <c r="I2102" t="s">
        <v>27</v>
      </c>
      <c r="J2102" s="11">
        <v>45705</v>
      </c>
      <c r="K2102" t="str">
        <f>TEXT(Transactions_Clean[[#This Row],[Date]],"MMM-YYYY")</f>
        <v>Feb-2025</v>
      </c>
      <c r="L2102">
        <f>IF(Transactions_Clean[[#This Row],[Category]]="Revenue",Transactions_Clean[[#This Row],[Amount(₹)]],Transactions_Clean[[#This Row],[Amount(₹)]]/8)</f>
        <v>-5265.625</v>
      </c>
    </row>
    <row r="2103" spans="1:12">
      <c r="A2103" t="s">
        <v>3341</v>
      </c>
      <c r="B2103" t="s">
        <v>215</v>
      </c>
      <c r="C2103" t="s">
        <v>61</v>
      </c>
      <c r="D2103">
        <v>-39711</v>
      </c>
      <c r="E2103" t="s">
        <v>62</v>
      </c>
      <c r="F2103" t="s">
        <v>24</v>
      </c>
      <c r="G2103" t="s">
        <v>63</v>
      </c>
      <c r="H2103" t="s">
        <v>39</v>
      </c>
      <c r="I2103" t="s">
        <v>27</v>
      </c>
      <c r="J2103" s="11">
        <v>46078</v>
      </c>
      <c r="K2103" t="str">
        <f>TEXT(Transactions_Clean[[#This Row],[Date]],"MMM-YYYY")</f>
        <v>Feb-2026</v>
      </c>
      <c r="L2103">
        <f>IF(Transactions_Clean[[#This Row],[Category]]="Revenue",Transactions_Clean[[#This Row],[Amount(₹)]],Transactions_Clean[[#This Row],[Amount(₹)]]/8)</f>
        <v>-4963.875</v>
      </c>
    </row>
    <row r="2104" spans="1:12">
      <c r="A2104" t="s">
        <v>3342</v>
      </c>
      <c r="B2104" t="s">
        <v>100</v>
      </c>
      <c r="C2104" t="s">
        <v>31</v>
      </c>
      <c r="D2104">
        <v>-24975</v>
      </c>
      <c r="E2104" t="s">
        <v>23</v>
      </c>
      <c r="F2104" t="s">
        <v>32</v>
      </c>
      <c r="G2104" t="s">
        <v>33</v>
      </c>
      <c r="H2104" t="s">
        <v>39</v>
      </c>
      <c r="I2104" t="s">
        <v>27</v>
      </c>
      <c r="J2104" s="11">
        <v>46038</v>
      </c>
      <c r="K2104" t="str">
        <f>TEXT(Transactions_Clean[[#This Row],[Date]],"MMM-YYYY")</f>
        <v>Jan-2026</v>
      </c>
      <c r="L2104">
        <f>IF(Transactions_Clean[[#This Row],[Category]]="Revenue",Transactions_Clean[[#This Row],[Amount(₹)]],Transactions_Clean[[#This Row],[Amount(₹)]]/8)</f>
        <v>-3121.875</v>
      </c>
    </row>
    <row r="2105" spans="1:12">
      <c r="A2105" t="s">
        <v>3343</v>
      </c>
      <c r="B2105" t="s">
        <v>116</v>
      </c>
      <c r="C2105" t="s">
        <v>73</v>
      </c>
      <c r="D2105">
        <v>-86616</v>
      </c>
      <c r="E2105" t="s">
        <v>74</v>
      </c>
      <c r="F2105" t="s">
        <v>24</v>
      </c>
      <c r="G2105" t="s">
        <v>25</v>
      </c>
      <c r="H2105" t="s">
        <v>45</v>
      </c>
      <c r="I2105" t="s">
        <v>27</v>
      </c>
      <c r="J2105" s="11">
        <v>45728</v>
      </c>
      <c r="K2105" t="str">
        <f>TEXT(Transactions_Clean[[#This Row],[Date]],"MMM-YYYY")</f>
        <v>Mar-2025</v>
      </c>
      <c r="L2105">
        <f>IF(Transactions_Clean[[#This Row],[Category]]="Revenue",Transactions_Clean[[#This Row],[Amount(₹)]],Transactions_Clean[[#This Row],[Amount(₹)]]/8)</f>
        <v>-10827</v>
      </c>
    </row>
    <row r="2106" spans="1:12">
      <c r="A2106" t="s">
        <v>3344</v>
      </c>
      <c r="B2106" t="s">
        <v>4760</v>
      </c>
      <c r="C2106" t="s">
        <v>73</v>
      </c>
      <c r="D2106">
        <v>-70491</v>
      </c>
      <c r="E2106" t="s">
        <v>74</v>
      </c>
      <c r="F2106" t="s">
        <v>32</v>
      </c>
      <c r="G2106" t="s">
        <v>25</v>
      </c>
      <c r="H2106" t="s">
        <v>39</v>
      </c>
      <c r="I2106" t="s">
        <v>40</v>
      </c>
      <c r="J2106" s="11">
        <v>45906</v>
      </c>
      <c r="K2106" t="str">
        <f>TEXT(Transactions_Clean[[#This Row],[Date]],"MMM-YYYY")</f>
        <v>Sep-2025</v>
      </c>
      <c r="L2106">
        <f>IF(Transactions_Clean[[#This Row],[Category]]="Revenue",Transactions_Clean[[#This Row],[Amount(₹)]],Transactions_Clean[[#This Row],[Amount(₹)]]/8)</f>
        <v>-8811.375</v>
      </c>
    </row>
    <row r="2107" spans="1:12">
      <c r="A2107" t="s">
        <v>3345</v>
      </c>
      <c r="B2107" t="s">
        <v>4766</v>
      </c>
      <c r="C2107" t="s">
        <v>73</v>
      </c>
      <c r="D2107">
        <v>-22464</v>
      </c>
      <c r="E2107" t="s">
        <v>74</v>
      </c>
      <c r="F2107" t="s">
        <v>24</v>
      </c>
      <c r="G2107" t="s">
        <v>25</v>
      </c>
      <c r="H2107" t="s">
        <v>26</v>
      </c>
      <c r="I2107" t="s">
        <v>48</v>
      </c>
      <c r="J2107" s="11">
        <v>45251</v>
      </c>
      <c r="K2107" t="str">
        <f>TEXT(Transactions_Clean[[#This Row],[Date]],"MMM-YYYY")</f>
        <v>Nov-2023</v>
      </c>
      <c r="L2107">
        <f>IF(Transactions_Clean[[#This Row],[Category]]="Revenue",Transactions_Clean[[#This Row],[Amount(₹)]],Transactions_Clean[[#This Row],[Amount(₹)]]/8)</f>
        <v>-2808</v>
      </c>
    </row>
    <row r="2108" spans="1:12">
      <c r="A2108" t="s">
        <v>3346</v>
      </c>
      <c r="B2108" t="s">
        <v>4768</v>
      </c>
      <c r="C2108" t="s">
        <v>157</v>
      </c>
      <c r="D2108">
        <v>718258</v>
      </c>
      <c r="E2108" t="s">
        <v>62</v>
      </c>
      <c r="F2108" t="s">
        <v>32</v>
      </c>
      <c r="G2108" t="s">
        <v>25</v>
      </c>
      <c r="H2108" t="s">
        <v>39</v>
      </c>
      <c r="I2108" t="s">
        <v>27</v>
      </c>
      <c r="J2108" s="11">
        <v>46040</v>
      </c>
      <c r="K2108" t="str">
        <f>TEXT(Transactions_Clean[[#This Row],[Date]],"MMM-YYYY")</f>
        <v>Jan-2026</v>
      </c>
      <c r="L2108">
        <f>IF(Transactions_Clean[[#This Row],[Category]]="Revenue",Transactions_Clean[[#This Row],[Amount(₹)]],Transactions_Clean[[#This Row],[Amount(₹)]]/8)</f>
        <v>718258</v>
      </c>
    </row>
    <row r="2109" spans="1:12">
      <c r="A2109" t="s">
        <v>3348</v>
      </c>
      <c r="B2109" t="s">
        <v>30</v>
      </c>
      <c r="C2109" t="s">
        <v>31</v>
      </c>
      <c r="D2109">
        <v>-29773</v>
      </c>
      <c r="E2109" t="s">
        <v>23</v>
      </c>
      <c r="F2109" t="s">
        <v>24</v>
      </c>
      <c r="G2109" t="s">
        <v>33</v>
      </c>
      <c r="H2109" t="s">
        <v>45</v>
      </c>
      <c r="I2109" t="s">
        <v>27</v>
      </c>
      <c r="J2109" s="11">
        <v>45697</v>
      </c>
      <c r="K2109" t="str">
        <f>TEXT(Transactions_Clean[[#This Row],[Date]],"MMM-YYYY")</f>
        <v>Feb-2025</v>
      </c>
      <c r="L2109">
        <f>IF(Transactions_Clean[[#This Row],[Category]]="Revenue",Transactions_Clean[[#This Row],[Amount(₹)]],Transactions_Clean[[#This Row],[Amount(₹)]]/8)</f>
        <v>-3721.625</v>
      </c>
    </row>
    <row r="2110" spans="1:12">
      <c r="A2110" t="s">
        <v>3349</v>
      </c>
      <c r="B2110" t="s">
        <v>4771</v>
      </c>
      <c r="C2110" t="s">
        <v>440</v>
      </c>
      <c r="D2110">
        <v>-104025</v>
      </c>
      <c r="E2110" t="s">
        <v>23</v>
      </c>
      <c r="F2110" t="s">
        <v>32</v>
      </c>
      <c r="G2110" t="s">
        <v>33</v>
      </c>
      <c r="H2110" t="s">
        <v>45</v>
      </c>
      <c r="I2110" t="s">
        <v>40</v>
      </c>
      <c r="J2110" s="11">
        <v>45516</v>
      </c>
      <c r="K2110" t="str">
        <f>TEXT(Transactions_Clean[[#This Row],[Date]],"MMM-YYYY")</f>
        <v>Aug-2024</v>
      </c>
      <c r="L2110">
        <f>IF(Transactions_Clean[[#This Row],[Category]]="Revenue",Transactions_Clean[[#This Row],[Amount(₹)]],Transactions_Clean[[#This Row],[Amount(₹)]]/8)</f>
        <v>-13003.125</v>
      </c>
    </row>
    <row r="2111" spans="1:12">
      <c r="A2111" t="s">
        <v>3351</v>
      </c>
      <c r="B2111" t="s">
        <v>4754</v>
      </c>
      <c r="C2111" t="s">
        <v>78</v>
      </c>
      <c r="D2111">
        <v>-48907</v>
      </c>
      <c r="E2111" t="s">
        <v>23</v>
      </c>
      <c r="F2111" t="s">
        <v>32</v>
      </c>
      <c r="G2111" t="s">
        <v>79</v>
      </c>
      <c r="H2111" t="s">
        <v>39</v>
      </c>
      <c r="I2111" t="s">
        <v>40</v>
      </c>
      <c r="J2111" s="11">
        <v>45858</v>
      </c>
      <c r="K2111" t="str">
        <f>TEXT(Transactions_Clean[[#This Row],[Date]],"MMM-YYYY")</f>
        <v>Jul-2025</v>
      </c>
      <c r="L2111">
        <f>IF(Transactions_Clean[[#This Row],[Category]]="Revenue",Transactions_Clean[[#This Row],[Amount(₹)]],Transactions_Clean[[#This Row],[Amount(₹)]]/8)</f>
        <v>-6113.375</v>
      </c>
    </row>
    <row r="2112" spans="1:12">
      <c r="A2112" t="s">
        <v>3352</v>
      </c>
      <c r="B2112" t="s">
        <v>4749</v>
      </c>
      <c r="C2112" t="s">
        <v>44</v>
      </c>
      <c r="D2112">
        <v>-41793</v>
      </c>
      <c r="E2112" t="s">
        <v>23</v>
      </c>
      <c r="F2112" t="s">
        <v>24</v>
      </c>
      <c r="G2112" t="s">
        <v>33</v>
      </c>
      <c r="H2112" t="s">
        <v>26</v>
      </c>
      <c r="I2112" t="s">
        <v>34</v>
      </c>
      <c r="J2112" s="11">
        <v>45101</v>
      </c>
      <c r="K2112" t="str">
        <f>TEXT(Transactions_Clean[[#This Row],[Date]],"MMM-YYYY")</f>
        <v>Jun-2023</v>
      </c>
      <c r="L2112">
        <f>IF(Transactions_Clean[[#This Row],[Category]]="Revenue",Transactions_Clean[[#This Row],[Amount(₹)]],Transactions_Clean[[#This Row],[Amount(₹)]]/8)</f>
        <v>-5224.125</v>
      </c>
    </row>
    <row r="2113" spans="1:12">
      <c r="A2113" t="s">
        <v>3353</v>
      </c>
      <c r="B2113" t="s">
        <v>60</v>
      </c>
      <c r="C2113" t="s">
        <v>61</v>
      </c>
      <c r="D2113">
        <v>-41392</v>
      </c>
      <c r="E2113" t="s">
        <v>62</v>
      </c>
      <c r="F2113" t="s">
        <v>32</v>
      </c>
      <c r="G2113" t="s">
        <v>63</v>
      </c>
      <c r="H2113" t="s">
        <v>45</v>
      </c>
      <c r="I2113" t="s">
        <v>27</v>
      </c>
      <c r="J2113" s="11">
        <v>45694</v>
      </c>
      <c r="K2113" t="str">
        <f>TEXT(Transactions_Clean[[#This Row],[Date]],"MMM-YYYY")</f>
        <v>Feb-2025</v>
      </c>
      <c r="L2113">
        <f>IF(Transactions_Clean[[#This Row],[Category]]="Revenue",Transactions_Clean[[#This Row],[Amount(₹)]],Transactions_Clean[[#This Row],[Amount(₹)]]/8)</f>
        <v>-5174</v>
      </c>
    </row>
    <row r="2114" spans="1:12">
      <c r="A2114" t="s">
        <v>3354</v>
      </c>
      <c r="B2114" t="s">
        <v>4757</v>
      </c>
      <c r="C2114" t="s">
        <v>73</v>
      </c>
      <c r="D2114">
        <v>-31999</v>
      </c>
      <c r="E2114" t="s">
        <v>74</v>
      </c>
      <c r="F2114" t="s">
        <v>24</v>
      </c>
      <c r="G2114" t="s">
        <v>25</v>
      </c>
      <c r="H2114" t="s">
        <v>45</v>
      </c>
      <c r="I2114" t="s">
        <v>34</v>
      </c>
      <c r="J2114" s="11">
        <v>45458</v>
      </c>
      <c r="K2114" t="str">
        <f>TEXT(Transactions_Clean[[#This Row],[Date]],"MMM-YYYY")</f>
        <v>Jun-2024</v>
      </c>
      <c r="L2114">
        <f>IF(Transactions_Clean[[#This Row],[Category]]="Revenue",Transactions_Clean[[#This Row],[Amount(₹)]],Transactions_Clean[[#This Row],[Amount(₹)]]/8)</f>
        <v>-3999.875</v>
      </c>
    </row>
    <row r="2115" spans="1:12">
      <c r="A2115" t="s">
        <v>3355</v>
      </c>
      <c r="B2115" t="s">
        <v>4759</v>
      </c>
      <c r="C2115" t="s">
        <v>31</v>
      </c>
      <c r="D2115">
        <v>-44402</v>
      </c>
      <c r="E2115" t="s">
        <v>23</v>
      </c>
      <c r="F2115" t="s">
        <v>24</v>
      </c>
      <c r="G2115" t="s">
        <v>33</v>
      </c>
      <c r="H2115" t="s">
        <v>26</v>
      </c>
      <c r="I2115" t="s">
        <v>34</v>
      </c>
      <c r="J2115" s="11">
        <v>45101</v>
      </c>
      <c r="K2115" t="str">
        <f>TEXT(Transactions_Clean[[#This Row],[Date]],"MMM-YYYY")</f>
        <v>Jun-2023</v>
      </c>
      <c r="L2115">
        <f>IF(Transactions_Clean[[#This Row],[Category]]="Revenue",Transactions_Clean[[#This Row],[Amount(₹)]],Transactions_Clean[[#This Row],[Amount(₹)]]/8)</f>
        <v>-5550.25</v>
      </c>
    </row>
    <row r="2116" spans="1:12">
      <c r="A2116" t="s">
        <v>3356</v>
      </c>
      <c r="B2116" t="s">
        <v>129</v>
      </c>
      <c r="C2116" t="s">
        <v>38</v>
      </c>
      <c r="D2116">
        <v>-49215</v>
      </c>
      <c r="E2116" t="s">
        <v>23</v>
      </c>
      <c r="F2116" t="s">
        <v>32</v>
      </c>
      <c r="G2116" t="s">
        <v>33</v>
      </c>
      <c r="H2116" t="s">
        <v>45</v>
      </c>
      <c r="I2116" t="s">
        <v>40</v>
      </c>
      <c r="J2116" s="11">
        <v>45498</v>
      </c>
      <c r="K2116" t="str">
        <f>TEXT(Transactions_Clean[[#This Row],[Date]],"MMM-YYYY")</f>
        <v>Jul-2024</v>
      </c>
      <c r="L2116">
        <f>IF(Transactions_Clean[[#This Row],[Category]]="Revenue",Transactions_Clean[[#This Row],[Amount(₹)]],Transactions_Clean[[#This Row],[Amount(₹)]]/8)</f>
        <v>-6151.875</v>
      </c>
    </row>
    <row r="2117" spans="1:12">
      <c r="A2117" t="s">
        <v>3357</v>
      </c>
      <c r="B2117" t="s">
        <v>72</v>
      </c>
      <c r="C2117" t="s">
        <v>73</v>
      </c>
      <c r="D2117">
        <v>-85767</v>
      </c>
      <c r="E2117" t="s">
        <v>74</v>
      </c>
      <c r="F2117" t="s">
        <v>24</v>
      </c>
      <c r="G2117" t="s">
        <v>25</v>
      </c>
      <c r="H2117" t="s">
        <v>39</v>
      </c>
      <c r="I2117" t="s">
        <v>34</v>
      </c>
      <c r="J2117" s="11">
        <v>45780</v>
      </c>
      <c r="K2117" t="str">
        <f>TEXT(Transactions_Clean[[#This Row],[Date]],"MMM-YYYY")</f>
        <v>May-2025</v>
      </c>
      <c r="L2117">
        <f>IF(Transactions_Clean[[#This Row],[Category]]="Revenue",Transactions_Clean[[#This Row],[Amount(₹)]],Transactions_Clean[[#This Row],[Amount(₹)]]/8)</f>
        <v>-10720.875</v>
      </c>
    </row>
    <row r="2118" spans="1:12">
      <c r="A2118" t="s">
        <v>3359</v>
      </c>
      <c r="B2118" t="s">
        <v>4794</v>
      </c>
      <c r="C2118" t="s">
        <v>136</v>
      </c>
      <c r="D2118">
        <v>-10561099</v>
      </c>
      <c r="E2118" t="s">
        <v>62</v>
      </c>
      <c r="F2118" t="s">
        <v>32</v>
      </c>
      <c r="G2118" t="s">
        <v>63</v>
      </c>
      <c r="H2118" t="s">
        <v>39</v>
      </c>
      <c r="I2118" t="s">
        <v>48</v>
      </c>
      <c r="J2118" s="11">
        <v>45989</v>
      </c>
      <c r="K2118" t="str">
        <f>TEXT(Transactions_Clean[[#This Row],[Date]],"MMM-YYYY")</f>
        <v>Nov-2025</v>
      </c>
      <c r="L2118">
        <f>IF(Transactions_Clean[[#This Row],[Category]]="Revenue",Transactions_Clean[[#This Row],[Amount(₹)]],Transactions_Clean[[#This Row],[Amount(₹)]]/8)</f>
        <v>-1320137.375</v>
      </c>
    </row>
    <row r="2119" spans="1:12">
      <c r="A2119" t="s">
        <v>3361</v>
      </c>
      <c r="B2119" t="s">
        <v>4754</v>
      </c>
      <c r="C2119" t="s">
        <v>78</v>
      </c>
      <c r="D2119">
        <v>-113889</v>
      </c>
      <c r="E2119" t="s">
        <v>23</v>
      </c>
      <c r="F2119" t="s">
        <v>24</v>
      </c>
      <c r="G2119" t="s">
        <v>79</v>
      </c>
      <c r="H2119" t="s">
        <v>45</v>
      </c>
      <c r="I2119" t="s">
        <v>48</v>
      </c>
      <c r="J2119" s="11">
        <v>45638</v>
      </c>
      <c r="K2119" t="str">
        <f>TEXT(Transactions_Clean[[#This Row],[Date]],"MMM-YYYY")</f>
        <v>Dec-2024</v>
      </c>
      <c r="L2119">
        <f>IF(Transactions_Clean[[#This Row],[Category]]="Revenue",Transactions_Clean[[#This Row],[Amount(₹)]],Transactions_Clean[[#This Row],[Amount(₹)]]/8)</f>
        <v>-14236.125</v>
      </c>
    </row>
    <row r="2120" spans="1:12">
      <c r="A2120" t="s">
        <v>3363</v>
      </c>
      <c r="B2120" t="s">
        <v>106</v>
      </c>
      <c r="C2120" t="s">
        <v>31</v>
      </c>
      <c r="D2120">
        <v>-35731</v>
      </c>
      <c r="E2120" t="s">
        <v>23</v>
      </c>
      <c r="F2120" t="s">
        <v>24</v>
      </c>
      <c r="G2120" t="s">
        <v>33</v>
      </c>
      <c r="H2120" t="s">
        <v>26</v>
      </c>
      <c r="I2120" t="s">
        <v>34</v>
      </c>
      <c r="J2120" s="11">
        <v>45084</v>
      </c>
      <c r="K2120" t="str">
        <f>TEXT(Transactions_Clean[[#This Row],[Date]],"MMM-YYYY")</f>
        <v>Jun-2023</v>
      </c>
      <c r="L2120">
        <f>IF(Transactions_Clean[[#This Row],[Category]]="Revenue",Transactions_Clean[[#This Row],[Amount(₹)]],Transactions_Clean[[#This Row],[Amount(₹)]]/8)</f>
        <v>-4466.375</v>
      </c>
    </row>
    <row r="2121" spans="1:12">
      <c r="A2121" t="s">
        <v>3364</v>
      </c>
      <c r="B2121" t="s">
        <v>4762</v>
      </c>
      <c r="C2121" t="s">
        <v>157</v>
      </c>
      <c r="D2121">
        <v>690651</v>
      </c>
      <c r="E2121" t="s">
        <v>62</v>
      </c>
      <c r="F2121" t="s">
        <v>32</v>
      </c>
      <c r="G2121" t="s">
        <v>25</v>
      </c>
      <c r="H2121" t="s">
        <v>39</v>
      </c>
      <c r="I2121" t="s">
        <v>40</v>
      </c>
      <c r="J2121" s="11">
        <v>45884</v>
      </c>
      <c r="K2121" t="str">
        <f>TEXT(Transactions_Clean[[#This Row],[Date]],"MMM-YYYY")</f>
        <v>Aug-2025</v>
      </c>
      <c r="L2121">
        <f>IF(Transactions_Clean[[#This Row],[Category]]="Revenue",Transactions_Clean[[#This Row],[Amount(₹)]],Transactions_Clean[[#This Row],[Amount(₹)]]/8)</f>
        <v>690651</v>
      </c>
    </row>
    <row r="2122" spans="1:12">
      <c r="A2122" t="s">
        <v>3365</v>
      </c>
      <c r="B2122" t="s">
        <v>4751</v>
      </c>
      <c r="C2122" t="s">
        <v>38</v>
      </c>
      <c r="D2122">
        <v>-10841</v>
      </c>
      <c r="E2122" t="s">
        <v>23</v>
      </c>
      <c r="F2122" t="s">
        <v>24</v>
      </c>
      <c r="G2122" t="s">
        <v>33</v>
      </c>
      <c r="H2122" t="s">
        <v>26</v>
      </c>
      <c r="I2122" t="s">
        <v>34</v>
      </c>
      <c r="J2122" s="11">
        <v>45070</v>
      </c>
      <c r="K2122" t="str">
        <f>TEXT(Transactions_Clean[[#This Row],[Date]],"MMM-YYYY")</f>
        <v>May-2023</v>
      </c>
      <c r="L2122">
        <f>IF(Transactions_Clean[[#This Row],[Category]]="Revenue",Transactions_Clean[[#This Row],[Amount(₹)]],Transactions_Clean[[#This Row],[Amount(₹)]]/8)</f>
        <v>-1355.125</v>
      </c>
    </row>
    <row r="2123" spans="1:12">
      <c r="A2123" t="s">
        <v>3366</v>
      </c>
      <c r="B2123" t="s">
        <v>169</v>
      </c>
      <c r="C2123" t="s">
        <v>73</v>
      </c>
      <c r="D2123">
        <v>-39831</v>
      </c>
      <c r="E2123" t="s">
        <v>74</v>
      </c>
      <c r="F2123" t="s">
        <v>32</v>
      </c>
      <c r="G2123" t="s">
        <v>25</v>
      </c>
      <c r="H2123" t="s">
        <v>26</v>
      </c>
      <c r="I2123" t="s">
        <v>40</v>
      </c>
      <c r="J2123" s="11">
        <v>45116</v>
      </c>
      <c r="K2123" t="str">
        <f>TEXT(Transactions_Clean[[#This Row],[Date]],"MMM-YYYY")</f>
        <v>Jul-2023</v>
      </c>
      <c r="L2123">
        <f>IF(Transactions_Clean[[#This Row],[Category]]="Revenue",Transactions_Clean[[#This Row],[Amount(₹)]],Transactions_Clean[[#This Row],[Amount(₹)]]/8)</f>
        <v>-4978.875</v>
      </c>
    </row>
    <row r="2124" spans="1:12">
      <c r="A2124" t="s">
        <v>3367</v>
      </c>
      <c r="B2124" t="s">
        <v>60</v>
      </c>
      <c r="C2124" t="s">
        <v>4750</v>
      </c>
      <c r="D2124">
        <v>-39837</v>
      </c>
      <c r="E2124" t="s">
        <v>62</v>
      </c>
      <c r="F2124" t="s">
        <v>24</v>
      </c>
      <c r="G2124" t="s">
        <v>63</v>
      </c>
      <c r="H2124" t="s">
        <v>26</v>
      </c>
      <c r="I2124" t="s">
        <v>27</v>
      </c>
      <c r="J2124" s="11">
        <v>45311</v>
      </c>
      <c r="K2124" t="str">
        <f>TEXT(Transactions_Clean[[#This Row],[Date]],"MMM-YYYY")</f>
        <v>Jan-2024</v>
      </c>
      <c r="L2124">
        <f>IF(Transactions_Clean[[#This Row],[Category]]="Revenue",Transactions_Clean[[#This Row],[Amount(₹)]],Transactions_Clean[[#This Row],[Amount(₹)]]/8)</f>
        <v>-4979.625</v>
      </c>
    </row>
    <row r="2125" spans="1:12">
      <c r="A2125" t="s">
        <v>3368</v>
      </c>
      <c r="B2125" t="s">
        <v>4766</v>
      </c>
      <c r="C2125" t="s">
        <v>73</v>
      </c>
      <c r="D2125">
        <v>-54500</v>
      </c>
      <c r="E2125" t="s">
        <v>74</v>
      </c>
      <c r="F2125" t="s">
        <v>24</v>
      </c>
      <c r="G2125" t="s">
        <v>25</v>
      </c>
      <c r="H2125" t="s">
        <v>45</v>
      </c>
      <c r="I2125" t="s">
        <v>27</v>
      </c>
      <c r="J2125" s="11">
        <v>45743</v>
      </c>
      <c r="K2125" t="str">
        <f>TEXT(Transactions_Clean[[#This Row],[Date]],"MMM-YYYY")</f>
        <v>Mar-2025</v>
      </c>
      <c r="L2125">
        <f>IF(Transactions_Clean[[#This Row],[Category]]="Revenue",Transactions_Clean[[#This Row],[Amount(₹)]],Transactions_Clean[[#This Row],[Amount(₹)]]/8)</f>
        <v>-6812.5</v>
      </c>
    </row>
    <row r="2126" spans="1:12">
      <c r="A2126" t="s">
        <v>3369</v>
      </c>
      <c r="B2126" t="s">
        <v>4767</v>
      </c>
      <c r="C2126" t="s">
        <v>157</v>
      </c>
      <c r="D2126">
        <v>605387</v>
      </c>
      <c r="E2126" t="s">
        <v>62</v>
      </c>
      <c r="F2126" t="s">
        <v>32</v>
      </c>
      <c r="G2126" t="s">
        <v>25</v>
      </c>
      <c r="H2126" t="s">
        <v>45</v>
      </c>
      <c r="I2126" t="s">
        <v>34</v>
      </c>
      <c r="J2126" s="11">
        <v>45471</v>
      </c>
      <c r="K2126" t="str">
        <f>TEXT(Transactions_Clean[[#This Row],[Date]],"MMM-YYYY")</f>
        <v>Jun-2024</v>
      </c>
      <c r="L2126">
        <f>IF(Transactions_Clean[[#This Row],[Category]]="Revenue",Transactions_Clean[[#This Row],[Amount(₹)]],Transactions_Clean[[#This Row],[Amount(₹)]]/8)</f>
        <v>605387</v>
      </c>
    </row>
    <row r="2127" spans="1:12">
      <c r="A2127" t="s">
        <v>3370</v>
      </c>
      <c r="B2127" t="s">
        <v>310</v>
      </c>
      <c r="C2127" t="s">
        <v>22</v>
      </c>
      <c r="D2127">
        <v>-194739</v>
      </c>
      <c r="E2127" t="s">
        <v>23</v>
      </c>
      <c r="F2127" t="s">
        <v>32</v>
      </c>
      <c r="G2127" t="s">
        <v>25</v>
      </c>
      <c r="H2127" t="s">
        <v>45</v>
      </c>
      <c r="I2127" t="s">
        <v>27</v>
      </c>
      <c r="J2127" s="11">
        <v>45840</v>
      </c>
      <c r="K2127" t="str">
        <f>TEXT(Transactions_Clean[[#This Row],[Date]],"MMM-YYYY")</f>
        <v>Jul-2025</v>
      </c>
      <c r="L2127">
        <f>IF(Transactions_Clean[[#This Row],[Category]]="Revenue",Transactions_Clean[[#This Row],[Amount(₹)]],Transactions_Clean[[#This Row],[Amount(₹)]]/8)</f>
        <v>-24342.375</v>
      </c>
    </row>
    <row r="2128" spans="1:12">
      <c r="A2128" t="s">
        <v>3372</v>
      </c>
      <c r="B2128" t="s">
        <v>106</v>
      </c>
      <c r="C2128" t="s">
        <v>31</v>
      </c>
      <c r="D2128">
        <v>-21513</v>
      </c>
      <c r="E2128" t="s">
        <v>23</v>
      </c>
      <c r="F2128" t="s">
        <v>24</v>
      </c>
      <c r="G2128" t="s">
        <v>33</v>
      </c>
      <c r="H2128" t="s">
        <v>45</v>
      </c>
      <c r="I2128" t="s">
        <v>48</v>
      </c>
      <c r="J2128" s="11">
        <v>45571</v>
      </c>
      <c r="K2128" t="str">
        <f>TEXT(Transactions_Clean[[#This Row],[Date]],"MMM-YYYY")</f>
        <v>Oct-2024</v>
      </c>
      <c r="L2128">
        <f>IF(Transactions_Clean[[#This Row],[Category]]="Revenue",Transactions_Clean[[#This Row],[Amount(₹)]],Transactions_Clean[[#This Row],[Amount(₹)]]/8)</f>
        <v>-2689.125</v>
      </c>
    </row>
    <row r="2129" spans="1:12">
      <c r="A2129" t="s">
        <v>3373</v>
      </c>
      <c r="B2129" t="s">
        <v>100</v>
      </c>
      <c r="C2129" t="s">
        <v>31</v>
      </c>
      <c r="D2129">
        <v>-29538</v>
      </c>
      <c r="E2129" t="s">
        <v>23</v>
      </c>
      <c r="F2129" t="s">
        <v>24</v>
      </c>
      <c r="G2129" t="s">
        <v>33</v>
      </c>
      <c r="H2129" t="s">
        <v>45</v>
      </c>
      <c r="I2129" t="s">
        <v>48</v>
      </c>
      <c r="J2129" s="11">
        <v>45625</v>
      </c>
      <c r="K2129" t="str">
        <f>TEXT(Transactions_Clean[[#This Row],[Date]],"MMM-YYYY")</f>
        <v>Nov-2024</v>
      </c>
      <c r="L2129">
        <f>IF(Transactions_Clean[[#This Row],[Category]]="Revenue",Transactions_Clean[[#This Row],[Amount(₹)]],Transactions_Clean[[#This Row],[Amount(₹)]]/8)</f>
        <v>-3692.25</v>
      </c>
    </row>
    <row r="2130" spans="1:12">
      <c r="A2130" t="s">
        <v>3375</v>
      </c>
      <c r="B2130" t="s">
        <v>60</v>
      </c>
      <c r="C2130" t="s">
        <v>61</v>
      </c>
      <c r="D2130">
        <v>-40076</v>
      </c>
      <c r="E2130" t="s">
        <v>62</v>
      </c>
      <c r="F2130" t="s">
        <v>32</v>
      </c>
      <c r="G2130" t="s">
        <v>63</v>
      </c>
      <c r="H2130" t="s">
        <v>39</v>
      </c>
      <c r="I2130" t="s">
        <v>40</v>
      </c>
      <c r="J2130" s="11">
        <v>45902</v>
      </c>
      <c r="K2130" t="str">
        <f>TEXT(Transactions_Clean[[#This Row],[Date]],"MMM-YYYY")</f>
        <v>Sep-2025</v>
      </c>
      <c r="L2130">
        <f>IF(Transactions_Clean[[#This Row],[Category]]="Revenue",Transactions_Clean[[#This Row],[Amount(₹)]],Transactions_Clean[[#This Row],[Amount(₹)]]/8)</f>
        <v>-5009.5</v>
      </c>
    </row>
    <row r="2131" spans="1:12">
      <c r="A2131" t="s">
        <v>3376</v>
      </c>
      <c r="B2131" t="s">
        <v>4766</v>
      </c>
      <c r="C2131" t="s">
        <v>73</v>
      </c>
      <c r="D2131">
        <v>-33192</v>
      </c>
      <c r="E2131" t="s">
        <v>74</v>
      </c>
      <c r="F2131" t="s">
        <v>24</v>
      </c>
      <c r="G2131" t="s">
        <v>25</v>
      </c>
      <c r="H2131" t="s">
        <v>26</v>
      </c>
      <c r="I2131" t="s">
        <v>27</v>
      </c>
      <c r="J2131" s="11">
        <v>45367</v>
      </c>
      <c r="K2131" t="str">
        <f>TEXT(Transactions_Clean[[#This Row],[Date]],"MMM-YYYY")</f>
        <v>Mar-2024</v>
      </c>
      <c r="L2131">
        <f>IF(Transactions_Clean[[#This Row],[Category]]="Revenue",Transactions_Clean[[#This Row],[Amount(₹)]],Transactions_Clean[[#This Row],[Amount(₹)]]/8)</f>
        <v>-4149</v>
      </c>
    </row>
    <row r="2132" spans="1:12">
      <c r="A2132" t="s">
        <v>3377</v>
      </c>
      <c r="B2132" t="s">
        <v>4757</v>
      </c>
      <c r="C2132" t="s">
        <v>73</v>
      </c>
      <c r="D2132">
        <v>-88969</v>
      </c>
      <c r="E2132" t="s">
        <v>74</v>
      </c>
      <c r="F2132" t="s">
        <v>24</v>
      </c>
      <c r="G2132" t="s">
        <v>25</v>
      </c>
      <c r="H2132" t="s">
        <v>45</v>
      </c>
      <c r="I2132" t="s">
        <v>34</v>
      </c>
      <c r="J2132" s="11">
        <v>45471</v>
      </c>
      <c r="K2132" t="str">
        <f>TEXT(Transactions_Clean[[#This Row],[Date]],"MMM-YYYY")</f>
        <v>Jun-2024</v>
      </c>
      <c r="L2132">
        <f>IF(Transactions_Clean[[#This Row],[Category]]="Revenue",Transactions_Clean[[#This Row],[Amount(₹)]],Transactions_Clean[[#This Row],[Amount(₹)]]/8)</f>
        <v>-11121.125</v>
      </c>
    </row>
    <row r="2133" spans="1:12">
      <c r="A2133" t="s">
        <v>3378</v>
      </c>
      <c r="B2133" t="s">
        <v>4773</v>
      </c>
      <c r="C2133" t="s">
        <v>157</v>
      </c>
      <c r="D2133">
        <v>703480</v>
      </c>
      <c r="E2133" t="s">
        <v>62</v>
      </c>
      <c r="F2133" t="s">
        <v>32</v>
      </c>
      <c r="G2133" t="s">
        <v>25</v>
      </c>
      <c r="H2133" t="s">
        <v>45</v>
      </c>
      <c r="I2133" t="s">
        <v>48</v>
      </c>
      <c r="J2133" s="11">
        <v>45638</v>
      </c>
      <c r="K2133" t="str">
        <f>TEXT(Transactions_Clean[[#This Row],[Date]],"MMM-YYYY")</f>
        <v>Dec-2024</v>
      </c>
      <c r="L2133">
        <f>IF(Transactions_Clean[[#This Row],[Category]]="Revenue",Transactions_Clean[[#This Row],[Amount(₹)]],Transactions_Clean[[#This Row],[Amount(₹)]]/8)</f>
        <v>703480</v>
      </c>
    </row>
    <row r="2134" spans="1:12">
      <c r="A2134" t="s">
        <v>3379</v>
      </c>
      <c r="B2134" t="s">
        <v>4751</v>
      </c>
      <c r="C2134" t="s">
        <v>38</v>
      </c>
      <c r="D2134">
        <v>-33483</v>
      </c>
      <c r="E2134" t="s">
        <v>23</v>
      </c>
      <c r="F2134" t="s">
        <v>24</v>
      </c>
      <c r="G2134" t="s">
        <v>33</v>
      </c>
      <c r="H2134" t="s">
        <v>45</v>
      </c>
      <c r="I2134" t="s">
        <v>48</v>
      </c>
      <c r="J2134" s="11">
        <v>45652</v>
      </c>
      <c r="K2134" t="str">
        <f>TEXT(Transactions_Clean[[#This Row],[Date]],"MMM-YYYY")</f>
        <v>Dec-2024</v>
      </c>
      <c r="L2134">
        <f>IF(Transactions_Clean[[#This Row],[Category]]="Revenue",Transactions_Clean[[#This Row],[Amount(₹)]],Transactions_Clean[[#This Row],[Amount(₹)]]/8)</f>
        <v>-4185.375</v>
      </c>
    </row>
    <row r="2135" spans="1:12">
      <c r="A2135" t="s">
        <v>3380</v>
      </c>
      <c r="B2135" t="s">
        <v>4760</v>
      </c>
      <c r="C2135" t="s">
        <v>73</v>
      </c>
      <c r="D2135">
        <v>-91540</v>
      </c>
      <c r="E2135" t="s">
        <v>74</v>
      </c>
      <c r="F2135" t="s">
        <v>32</v>
      </c>
      <c r="G2135" t="s">
        <v>25</v>
      </c>
      <c r="H2135" t="s">
        <v>45</v>
      </c>
      <c r="I2135" t="s">
        <v>34</v>
      </c>
      <c r="J2135" s="11">
        <v>45399</v>
      </c>
      <c r="K2135" t="str">
        <f>TEXT(Transactions_Clean[[#This Row],[Date]],"MMM-YYYY")</f>
        <v>Apr-2024</v>
      </c>
      <c r="L2135">
        <f>IF(Transactions_Clean[[#This Row],[Category]]="Revenue",Transactions_Clean[[#This Row],[Amount(₹)]],Transactions_Clean[[#This Row],[Amount(₹)]]/8)</f>
        <v>-11442.5</v>
      </c>
    </row>
    <row r="2136" spans="1:12">
      <c r="A2136" t="s">
        <v>3381</v>
      </c>
      <c r="B2136" t="s">
        <v>66</v>
      </c>
      <c r="C2136" t="s">
        <v>61</v>
      </c>
      <c r="D2136">
        <v>-33254</v>
      </c>
      <c r="E2136" t="s">
        <v>62</v>
      </c>
      <c r="F2136" t="s">
        <v>32</v>
      </c>
      <c r="G2136" t="s">
        <v>63</v>
      </c>
      <c r="H2136" t="s">
        <v>39</v>
      </c>
      <c r="I2136" t="s">
        <v>27</v>
      </c>
      <c r="J2136" s="11">
        <v>46076</v>
      </c>
      <c r="K2136" t="str">
        <f>TEXT(Transactions_Clean[[#This Row],[Date]],"MMM-YYYY")</f>
        <v>Feb-2026</v>
      </c>
      <c r="L2136">
        <f>IF(Transactions_Clean[[#This Row],[Category]]="Revenue",Transactions_Clean[[#This Row],[Amount(₹)]],Transactions_Clean[[#This Row],[Amount(₹)]]/8)</f>
        <v>-4156.75</v>
      </c>
    </row>
    <row r="2137" spans="1:12">
      <c r="A2137" t="s">
        <v>3383</v>
      </c>
      <c r="B2137" t="s">
        <v>60</v>
      </c>
      <c r="C2137" t="s">
        <v>61</v>
      </c>
      <c r="D2137">
        <v>-51535</v>
      </c>
      <c r="E2137" t="s">
        <v>62</v>
      </c>
      <c r="F2137" t="s">
        <v>24</v>
      </c>
      <c r="G2137" t="s">
        <v>63</v>
      </c>
      <c r="H2137" t="s">
        <v>45</v>
      </c>
      <c r="I2137" t="s">
        <v>48</v>
      </c>
      <c r="J2137" s="11">
        <v>45652</v>
      </c>
      <c r="K2137" t="str">
        <f>TEXT(Transactions_Clean[[#This Row],[Date]],"MMM-YYYY")</f>
        <v>Dec-2024</v>
      </c>
      <c r="L2137">
        <f>IF(Transactions_Clean[[#This Row],[Category]]="Revenue",Transactions_Clean[[#This Row],[Amount(₹)]],Transactions_Clean[[#This Row],[Amount(₹)]]/8)</f>
        <v>-6441.875</v>
      </c>
    </row>
    <row r="2138" spans="1:12">
      <c r="A2138" t="s">
        <v>3384</v>
      </c>
      <c r="B2138" t="s">
        <v>4763</v>
      </c>
      <c r="C2138" t="s">
        <v>22</v>
      </c>
      <c r="D2138">
        <v>-81292</v>
      </c>
      <c r="E2138" t="s">
        <v>23</v>
      </c>
      <c r="F2138" t="s">
        <v>32</v>
      </c>
      <c r="G2138" t="s">
        <v>25</v>
      </c>
      <c r="H2138" t="s">
        <v>39</v>
      </c>
      <c r="I2138" t="s">
        <v>34</v>
      </c>
      <c r="J2138" s="11">
        <v>45795</v>
      </c>
      <c r="K2138" t="str">
        <f>TEXT(Transactions_Clean[[#This Row],[Date]],"MMM-YYYY")</f>
        <v>May-2025</v>
      </c>
      <c r="L2138">
        <f>IF(Transactions_Clean[[#This Row],[Category]]="Revenue",Transactions_Clean[[#This Row],[Amount(₹)]],Transactions_Clean[[#This Row],[Amount(₹)]]/8)</f>
        <v>-10161.5</v>
      </c>
    </row>
    <row r="2139" spans="1:12">
      <c r="A2139" t="s">
        <v>3385</v>
      </c>
      <c r="B2139" t="s">
        <v>60</v>
      </c>
      <c r="C2139" t="s">
        <v>61</v>
      </c>
      <c r="D2139">
        <v>-48863</v>
      </c>
      <c r="E2139" t="s">
        <v>62</v>
      </c>
      <c r="F2139" t="s">
        <v>24</v>
      </c>
      <c r="G2139" t="s">
        <v>63</v>
      </c>
      <c r="H2139" t="s">
        <v>45</v>
      </c>
      <c r="I2139" t="s">
        <v>34</v>
      </c>
      <c r="J2139" s="11">
        <v>45452</v>
      </c>
      <c r="K2139" t="str">
        <f>TEXT(Transactions_Clean[[#This Row],[Date]],"MMM-YYYY")</f>
        <v>Jun-2024</v>
      </c>
      <c r="L2139">
        <f>IF(Transactions_Clean[[#This Row],[Category]]="Revenue",Transactions_Clean[[#This Row],[Amount(₹)]],Transactions_Clean[[#This Row],[Amount(₹)]]/8)</f>
        <v>-6107.875</v>
      </c>
    </row>
    <row r="2140" spans="1:12">
      <c r="A2140" t="s">
        <v>3386</v>
      </c>
      <c r="B2140" t="s">
        <v>4755</v>
      </c>
      <c r="C2140" t="s">
        <v>78</v>
      </c>
      <c r="D2140">
        <v>-60886</v>
      </c>
      <c r="E2140" t="s">
        <v>23</v>
      </c>
      <c r="F2140" t="s">
        <v>24</v>
      </c>
      <c r="G2140" t="s">
        <v>79</v>
      </c>
      <c r="H2140" t="s">
        <v>39</v>
      </c>
      <c r="I2140" t="s">
        <v>34</v>
      </c>
      <c r="J2140" s="11">
        <v>45824</v>
      </c>
      <c r="K2140" t="str">
        <f>TEXT(Transactions_Clean[[#This Row],[Date]],"MMM-YYYY")</f>
        <v>Jun-2025</v>
      </c>
      <c r="L2140">
        <f>IF(Transactions_Clean[[#This Row],[Category]]="Revenue",Transactions_Clean[[#This Row],[Amount(₹)]],Transactions_Clean[[#This Row],[Amount(₹)]]/8)</f>
        <v>-7610.75</v>
      </c>
    </row>
    <row r="2141" spans="1:12">
      <c r="A2141" t="s">
        <v>3387</v>
      </c>
      <c r="B2141" t="s">
        <v>180</v>
      </c>
      <c r="C2141" t="s">
        <v>44</v>
      </c>
      <c r="D2141">
        <v>-166542</v>
      </c>
      <c r="E2141" t="s">
        <v>23</v>
      </c>
      <c r="F2141" t="s">
        <v>24</v>
      </c>
      <c r="G2141" t="s">
        <v>33</v>
      </c>
      <c r="H2141" t="s">
        <v>26</v>
      </c>
      <c r="I2141" t="s">
        <v>34</v>
      </c>
      <c r="J2141" s="11">
        <v>45076</v>
      </c>
      <c r="K2141" t="str">
        <f>TEXT(Transactions_Clean[[#This Row],[Date]],"MMM-YYYY")</f>
        <v>May-2023</v>
      </c>
      <c r="L2141">
        <f>IF(Transactions_Clean[[#This Row],[Category]]="Revenue",Transactions_Clean[[#This Row],[Amount(₹)]],Transactions_Clean[[#This Row],[Amount(₹)]]/8)</f>
        <v>-20817.75</v>
      </c>
    </row>
    <row r="2142" spans="1:12">
      <c r="A2142" t="s">
        <v>3389</v>
      </c>
      <c r="B2142" t="s">
        <v>169</v>
      </c>
      <c r="C2142" t="s">
        <v>73</v>
      </c>
      <c r="D2142">
        <v>-53702</v>
      </c>
      <c r="E2142" t="s">
        <v>74</v>
      </c>
      <c r="F2142" t="s">
        <v>24</v>
      </c>
      <c r="G2142" t="s">
        <v>25</v>
      </c>
      <c r="H2142" t="s">
        <v>39</v>
      </c>
      <c r="I2142" t="s">
        <v>48</v>
      </c>
      <c r="J2142" s="11">
        <v>45960</v>
      </c>
      <c r="K2142" t="str">
        <f>TEXT(Transactions_Clean[[#This Row],[Date]],"MMM-YYYY")</f>
        <v>Oct-2025</v>
      </c>
      <c r="L2142">
        <f>IF(Transactions_Clean[[#This Row],[Category]]="Revenue",Transactions_Clean[[#This Row],[Amount(₹)]],Transactions_Clean[[#This Row],[Amount(₹)]]/8)</f>
        <v>-6712.75</v>
      </c>
    </row>
    <row r="2143" spans="1:12">
      <c r="A2143" t="s">
        <v>3390</v>
      </c>
      <c r="B2143" t="s">
        <v>215</v>
      </c>
      <c r="C2143" t="s">
        <v>61</v>
      </c>
      <c r="D2143">
        <v>-47144</v>
      </c>
      <c r="E2143" t="s">
        <v>62</v>
      </c>
      <c r="F2143" t="s">
        <v>32</v>
      </c>
      <c r="G2143" t="s">
        <v>63</v>
      </c>
      <c r="H2143" t="s">
        <v>45</v>
      </c>
      <c r="I2143" t="s">
        <v>27</v>
      </c>
      <c r="J2143" s="11">
        <v>45667</v>
      </c>
      <c r="K2143" t="str">
        <f>TEXT(Transactions_Clean[[#This Row],[Date]],"MMM-YYYY")</f>
        <v>Jan-2025</v>
      </c>
      <c r="L2143">
        <f>IF(Transactions_Clean[[#This Row],[Category]]="Revenue",Transactions_Clean[[#This Row],[Amount(₹)]],Transactions_Clean[[#This Row],[Amount(₹)]]/8)</f>
        <v>-5893</v>
      </c>
    </row>
    <row r="2144" spans="1:12">
      <c r="A2144" t="s">
        <v>3391</v>
      </c>
      <c r="B2144" t="s">
        <v>310</v>
      </c>
      <c r="C2144" t="s">
        <v>4750</v>
      </c>
      <c r="D2144">
        <v>-130586</v>
      </c>
      <c r="E2144" t="s">
        <v>23</v>
      </c>
      <c r="F2144" t="s">
        <v>32</v>
      </c>
      <c r="G2144" t="s">
        <v>25</v>
      </c>
      <c r="H2144" t="s">
        <v>39</v>
      </c>
      <c r="I2144" t="s">
        <v>40</v>
      </c>
      <c r="J2144" s="11">
        <v>45858</v>
      </c>
      <c r="K2144" t="str">
        <f>TEXT(Transactions_Clean[[#This Row],[Date]],"MMM-YYYY")</f>
        <v>Jul-2025</v>
      </c>
      <c r="L2144">
        <f>IF(Transactions_Clean[[#This Row],[Category]]="Revenue",Transactions_Clean[[#This Row],[Amount(₹)]],Transactions_Clean[[#This Row],[Amount(₹)]]/8)</f>
        <v>-16323.25</v>
      </c>
    </row>
    <row r="2145" spans="1:12">
      <c r="A2145" t="s">
        <v>3393</v>
      </c>
      <c r="B2145" t="s">
        <v>687</v>
      </c>
      <c r="C2145" t="s">
        <v>44</v>
      </c>
      <c r="D2145">
        <v>-157786</v>
      </c>
      <c r="E2145" t="s">
        <v>23</v>
      </c>
      <c r="F2145" t="s">
        <v>32</v>
      </c>
      <c r="G2145" t="s">
        <v>33</v>
      </c>
      <c r="H2145" t="s">
        <v>26</v>
      </c>
      <c r="I2145" t="s">
        <v>48</v>
      </c>
      <c r="J2145" s="11">
        <v>45239</v>
      </c>
      <c r="K2145" t="str">
        <f>TEXT(Transactions_Clean[[#This Row],[Date]],"MMM-YYYY")</f>
        <v>Nov-2023</v>
      </c>
      <c r="L2145">
        <f>IF(Transactions_Clean[[#This Row],[Category]]="Revenue",Transactions_Clean[[#This Row],[Amount(₹)]],Transactions_Clean[[#This Row],[Amount(₹)]]/8)</f>
        <v>-19723.25</v>
      </c>
    </row>
    <row r="2146" spans="1:12">
      <c r="A2146" t="s">
        <v>3394</v>
      </c>
      <c r="B2146" t="s">
        <v>169</v>
      </c>
      <c r="C2146" t="s">
        <v>73</v>
      </c>
      <c r="D2146">
        <v>-83703</v>
      </c>
      <c r="E2146" t="s">
        <v>74</v>
      </c>
      <c r="F2146" t="s">
        <v>24</v>
      </c>
      <c r="G2146" t="s">
        <v>25</v>
      </c>
      <c r="H2146" t="s">
        <v>39</v>
      </c>
      <c r="I2146" t="s">
        <v>27</v>
      </c>
      <c r="J2146" s="11">
        <v>46061</v>
      </c>
      <c r="K2146" t="str">
        <f>TEXT(Transactions_Clean[[#This Row],[Date]],"MMM-YYYY")</f>
        <v>Feb-2026</v>
      </c>
      <c r="L2146">
        <f>IF(Transactions_Clean[[#This Row],[Category]]="Revenue",Transactions_Clean[[#This Row],[Amount(₹)]],Transactions_Clean[[#This Row],[Amount(₹)]]/8)</f>
        <v>-10462.875</v>
      </c>
    </row>
    <row r="2147" spans="1:12">
      <c r="A2147" t="s">
        <v>3395</v>
      </c>
      <c r="B2147" t="s">
        <v>66</v>
      </c>
      <c r="C2147" t="s">
        <v>61</v>
      </c>
      <c r="D2147">
        <v>-60502</v>
      </c>
      <c r="E2147" t="s">
        <v>62</v>
      </c>
      <c r="F2147" t="s">
        <v>32</v>
      </c>
      <c r="G2147" t="s">
        <v>63</v>
      </c>
      <c r="H2147" t="s">
        <v>26</v>
      </c>
      <c r="I2147" t="s">
        <v>34</v>
      </c>
      <c r="J2147" s="11">
        <v>45050</v>
      </c>
      <c r="K2147" t="str">
        <f>TEXT(Transactions_Clean[[#This Row],[Date]],"MMM-YYYY")</f>
        <v>May-2023</v>
      </c>
      <c r="L2147">
        <f>IF(Transactions_Clean[[#This Row],[Category]]="Revenue",Transactions_Clean[[#This Row],[Amount(₹)]],Transactions_Clean[[#This Row],[Amount(₹)]]/8)</f>
        <v>-7562.75</v>
      </c>
    </row>
    <row r="2148" spans="1:12">
      <c r="A2148" t="s">
        <v>3397</v>
      </c>
      <c r="B2148" t="s">
        <v>72</v>
      </c>
      <c r="C2148" t="s">
        <v>73</v>
      </c>
      <c r="D2148">
        <v>-61230</v>
      </c>
      <c r="E2148" t="s">
        <v>74</v>
      </c>
      <c r="F2148" t="s">
        <v>32</v>
      </c>
      <c r="G2148" t="s">
        <v>25</v>
      </c>
      <c r="H2148" t="s">
        <v>45</v>
      </c>
      <c r="I2148" t="s">
        <v>27</v>
      </c>
      <c r="J2148" s="11">
        <v>45698</v>
      </c>
      <c r="K2148" t="str">
        <f>TEXT(Transactions_Clean[[#This Row],[Date]],"MMM-YYYY")</f>
        <v>Feb-2025</v>
      </c>
      <c r="L2148">
        <f>IF(Transactions_Clean[[#This Row],[Category]]="Revenue",Transactions_Clean[[#This Row],[Amount(₹)]],Transactions_Clean[[#This Row],[Amount(₹)]]/8)</f>
        <v>-7653.75</v>
      </c>
    </row>
    <row r="2149" spans="1:12">
      <c r="A2149" t="s">
        <v>3398</v>
      </c>
      <c r="B2149" t="s">
        <v>51</v>
      </c>
      <c r="C2149" t="s">
        <v>31</v>
      </c>
      <c r="D2149">
        <v>-16972</v>
      </c>
      <c r="E2149" t="s">
        <v>23</v>
      </c>
      <c r="F2149" t="s">
        <v>32</v>
      </c>
      <c r="G2149" t="s">
        <v>33</v>
      </c>
      <c r="H2149" t="s">
        <v>39</v>
      </c>
      <c r="I2149" t="s">
        <v>34</v>
      </c>
      <c r="J2149" s="11">
        <v>45838</v>
      </c>
      <c r="K2149" t="str">
        <f>TEXT(Transactions_Clean[[#This Row],[Date]],"MMM-YYYY")</f>
        <v>Jun-2025</v>
      </c>
      <c r="L2149">
        <f>IF(Transactions_Clean[[#This Row],[Category]]="Revenue",Transactions_Clean[[#This Row],[Amount(₹)]],Transactions_Clean[[#This Row],[Amount(₹)]]/8)</f>
        <v>-2121.5</v>
      </c>
    </row>
    <row r="2150" spans="1:12">
      <c r="A2150" t="s">
        <v>3400</v>
      </c>
      <c r="B2150" t="s">
        <v>4763</v>
      </c>
      <c r="C2150" t="s">
        <v>22</v>
      </c>
      <c r="D2150">
        <v>-208605</v>
      </c>
      <c r="E2150" t="s">
        <v>23</v>
      </c>
      <c r="F2150" t="s">
        <v>24</v>
      </c>
      <c r="G2150" t="s">
        <v>25</v>
      </c>
      <c r="H2150" t="s">
        <v>26</v>
      </c>
      <c r="I2150" t="s">
        <v>40</v>
      </c>
      <c r="J2150" s="11">
        <v>45199</v>
      </c>
      <c r="K2150" t="str">
        <f>TEXT(Transactions_Clean[[#This Row],[Date]],"MMM-YYYY")</f>
        <v>Sep-2023</v>
      </c>
      <c r="L2150">
        <f>IF(Transactions_Clean[[#This Row],[Category]]="Revenue",Transactions_Clean[[#This Row],[Amount(₹)]],Transactions_Clean[[#This Row],[Amount(₹)]]/8)</f>
        <v>-26075.625</v>
      </c>
    </row>
    <row r="2151" spans="1:12">
      <c r="A2151" t="s">
        <v>3401</v>
      </c>
      <c r="B2151" t="s">
        <v>60</v>
      </c>
      <c r="C2151" t="s">
        <v>61</v>
      </c>
      <c r="D2151">
        <v>-47856</v>
      </c>
      <c r="E2151" t="s">
        <v>62</v>
      </c>
      <c r="F2151" t="s">
        <v>32</v>
      </c>
      <c r="G2151" t="s">
        <v>63</v>
      </c>
      <c r="H2151" t="s">
        <v>45</v>
      </c>
      <c r="I2151" t="s">
        <v>27</v>
      </c>
      <c r="J2151" s="11">
        <v>45688</v>
      </c>
      <c r="K2151" t="str">
        <f>TEXT(Transactions_Clean[[#This Row],[Date]],"MMM-YYYY")</f>
        <v>Jan-2025</v>
      </c>
      <c r="L2151">
        <f>IF(Transactions_Clean[[#This Row],[Category]]="Revenue",Transactions_Clean[[#This Row],[Amount(₹)]],Transactions_Clean[[#This Row],[Amount(₹)]]/8)</f>
        <v>-5982</v>
      </c>
    </row>
    <row r="2152" spans="1:12">
      <c r="A2152" t="s">
        <v>3403</v>
      </c>
      <c r="B2152" t="s">
        <v>4753</v>
      </c>
      <c r="C2152" t="s">
        <v>38</v>
      </c>
      <c r="D2152">
        <v>-43365</v>
      </c>
      <c r="E2152" t="s">
        <v>23</v>
      </c>
      <c r="F2152" t="s">
        <v>32</v>
      </c>
      <c r="G2152" t="s">
        <v>33</v>
      </c>
      <c r="H2152" t="s">
        <v>26</v>
      </c>
      <c r="I2152" t="s">
        <v>27</v>
      </c>
      <c r="J2152" s="11">
        <v>45295</v>
      </c>
      <c r="K2152" t="str">
        <f>TEXT(Transactions_Clean[[#This Row],[Date]],"MMM-YYYY")</f>
        <v>Jan-2024</v>
      </c>
      <c r="L2152">
        <f>IF(Transactions_Clean[[#This Row],[Category]]="Revenue",Transactions_Clean[[#This Row],[Amount(₹)]],Transactions_Clean[[#This Row],[Amount(₹)]]/8)</f>
        <v>-5420.625</v>
      </c>
    </row>
    <row r="2153" spans="1:12">
      <c r="A2153" t="s">
        <v>3404</v>
      </c>
      <c r="B2153" t="s">
        <v>169</v>
      </c>
      <c r="C2153" t="s">
        <v>73</v>
      </c>
      <c r="D2153">
        <v>-79529</v>
      </c>
      <c r="E2153" t="s">
        <v>74</v>
      </c>
      <c r="F2153" t="s">
        <v>24</v>
      </c>
      <c r="G2153" t="s">
        <v>25</v>
      </c>
      <c r="H2153" t="s">
        <v>26</v>
      </c>
      <c r="I2153" t="s">
        <v>48</v>
      </c>
      <c r="J2153" s="11">
        <v>45209</v>
      </c>
      <c r="K2153" t="str">
        <f>TEXT(Transactions_Clean[[#This Row],[Date]],"MMM-YYYY")</f>
        <v>Oct-2023</v>
      </c>
      <c r="L2153">
        <f>IF(Transactions_Clean[[#This Row],[Category]]="Revenue",Transactions_Clean[[#This Row],[Amount(₹)]],Transactions_Clean[[#This Row],[Amount(₹)]]/8)</f>
        <v>-9941.125</v>
      </c>
    </row>
    <row r="2154" spans="1:12">
      <c r="A2154" t="s">
        <v>3405</v>
      </c>
      <c r="B2154" t="s">
        <v>169</v>
      </c>
      <c r="C2154" t="s">
        <v>73</v>
      </c>
      <c r="D2154">
        <v>-29260</v>
      </c>
      <c r="E2154" t="s">
        <v>74</v>
      </c>
      <c r="F2154" t="s">
        <v>24</v>
      </c>
      <c r="G2154" t="s">
        <v>25</v>
      </c>
      <c r="H2154" t="s">
        <v>39</v>
      </c>
      <c r="I2154" t="s">
        <v>40</v>
      </c>
      <c r="J2154" s="11">
        <v>45905</v>
      </c>
      <c r="K2154" t="str">
        <f>TEXT(Transactions_Clean[[#This Row],[Date]],"MMM-YYYY")</f>
        <v>Sep-2025</v>
      </c>
      <c r="L2154">
        <f>IF(Transactions_Clean[[#This Row],[Category]]="Revenue",Transactions_Clean[[#This Row],[Amount(₹)]],Transactions_Clean[[#This Row],[Amount(₹)]]/8)</f>
        <v>-3657.5</v>
      </c>
    </row>
    <row r="2155" spans="1:12">
      <c r="A2155" t="s">
        <v>3406</v>
      </c>
      <c r="B2155" t="s">
        <v>4774</v>
      </c>
      <c r="C2155" t="s">
        <v>440</v>
      </c>
      <c r="D2155">
        <v>-145476</v>
      </c>
      <c r="E2155" t="s">
        <v>23</v>
      </c>
      <c r="F2155" t="s">
        <v>24</v>
      </c>
      <c r="G2155" t="s">
        <v>33</v>
      </c>
      <c r="H2155" t="s">
        <v>39</v>
      </c>
      <c r="I2155" t="s">
        <v>40</v>
      </c>
      <c r="J2155" s="11">
        <v>45907</v>
      </c>
      <c r="K2155" t="str">
        <f>TEXT(Transactions_Clean[[#This Row],[Date]],"MMM-YYYY")</f>
        <v>Sep-2025</v>
      </c>
      <c r="L2155">
        <f>IF(Transactions_Clean[[#This Row],[Category]]="Revenue",Transactions_Clean[[#This Row],[Amount(₹)]],Transactions_Clean[[#This Row],[Amount(₹)]]/8)</f>
        <v>-18184.5</v>
      </c>
    </row>
    <row r="2156" spans="1:12">
      <c r="A2156" t="s">
        <v>3408</v>
      </c>
      <c r="B2156" t="s">
        <v>116</v>
      </c>
      <c r="C2156" t="s">
        <v>73</v>
      </c>
      <c r="D2156">
        <v>-24015</v>
      </c>
      <c r="E2156" t="s">
        <v>74</v>
      </c>
      <c r="F2156" t="s">
        <v>32</v>
      </c>
      <c r="G2156" t="s">
        <v>25</v>
      </c>
      <c r="H2156" t="s">
        <v>26</v>
      </c>
      <c r="I2156" t="s">
        <v>27</v>
      </c>
      <c r="J2156" s="11">
        <v>45537</v>
      </c>
      <c r="K2156" t="str">
        <f>TEXT(Transactions_Clean[[#This Row],[Date]],"MMM-YYYY")</f>
        <v>Sep-2024</v>
      </c>
      <c r="L2156">
        <f>IF(Transactions_Clean[[#This Row],[Category]]="Revenue",Transactions_Clean[[#This Row],[Amount(₹)]],Transactions_Clean[[#This Row],[Amount(₹)]]/8)</f>
        <v>-3001.875</v>
      </c>
    </row>
    <row r="2157" spans="1:12">
      <c r="A2157" t="s">
        <v>3409</v>
      </c>
      <c r="B2157" t="s">
        <v>37</v>
      </c>
      <c r="C2157" t="s">
        <v>38</v>
      </c>
      <c r="D2157">
        <v>-16774</v>
      </c>
      <c r="E2157" t="s">
        <v>23</v>
      </c>
      <c r="F2157" t="s">
        <v>24</v>
      </c>
      <c r="G2157" t="s">
        <v>33</v>
      </c>
      <c r="H2157" t="s">
        <v>26</v>
      </c>
      <c r="I2157" t="s">
        <v>48</v>
      </c>
      <c r="J2157" s="11">
        <v>45208</v>
      </c>
      <c r="K2157" t="str">
        <f>TEXT(Transactions_Clean[[#This Row],[Date]],"MMM-YYYY")</f>
        <v>Oct-2023</v>
      </c>
      <c r="L2157">
        <f>IF(Transactions_Clean[[#This Row],[Category]]="Revenue",Transactions_Clean[[#This Row],[Amount(₹)]],Transactions_Clean[[#This Row],[Amount(₹)]]/8)</f>
        <v>-2096.75</v>
      </c>
    </row>
    <row r="2158" spans="1:12">
      <c r="A2158" t="s">
        <v>3410</v>
      </c>
      <c r="B2158" t="s">
        <v>212</v>
      </c>
      <c r="C2158" t="s">
        <v>73</v>
      </c>
      <c r="D2158">
        <v>-32218</v>
      </c>
      <c r="E2158" t="s">
        <v>74</v>
      </c>
      <c r="F2158" t="s">
        <v>24</v>
      </c>
      <c r="G2158" t="s">
        <v>25</v>
      </c>
      <c r="H2158" t="s">
        <v>39</v>
      </c>
      <c r="I2158" t="s">
        <v>34</v>
      </c>
      <c r="J2158" s="11">
        <v>45770</v>
      </c>
      <c r="K2158" t="str">
        <f>TEXT(Transactions_Clean[[#This Row],[Date]],"MMM-YYYY")</f>
        <v>Apr-2025</v>
      </c>
      <c r="L2158">
        <f>IF(Transactions_Clean[[#This Row],[Category]]="Revenue",Transactions_Clean[[#This Row],[Amount(₹)]],Transactions_Clean[[#This Row],[Amount(₹)]]/8)</f>
        <v>-4027.25</v>
      </c>
    </row>
    <row r="2159" spans="1:12">
      <c r="A2159" t="s">
        <v>3411</v>
      </c>
      <c r="B2159" t="s">
        <v>4773</v>
      </c>
      <c r="C2159" t="s">
        <v>157</v>
      </c>
      <c r="D2159">
        <v>758949</v>
      </c>
      <c r="E2159" t="s">
        <v>62</v>
      </c>
      <c r="F2159" t="s">
        <v>32</v>
      </c>
      <c r="G2159" t="s">
        <v>25</v>
      </c>
      <c r="H2159" t="s">
        <v>39</v>
      </c>
      <c r="I2159" t="s">
        <v>48</v>
      </c>
      <c r="J2159" s="11">
        <v>46010</v>
      </c>
      <c r="K2159" t="str">
        <f>TEXT(Transactions_Clean[[#This Row],[Date]],"MMM-YYYY")</f>
        <v>Dec-2025</v>
      </c>
      <c r="L2159">
        <f>IF(Transactions_Clean[[#This Row],[Category]]="Revenue",Transactions_Clean[[#This Row],[Amount(₹)]],Transactions_Clean[[#This Row],[Amount(₹)]]/8)</f>
        <v>758949</v>
      </c>
    </row>
    <row r="2160" spans="1:12">
      <c r="A2160" t="s">
        <v>3412</v>
      </c>
      <c r="B2160" t="s">
        <v>4752</v>
      </c>
      <c r="C2160" t="s">
        <v>44</v>
      </c>
      <c r="D2160">
        <v>-83870</v>
      </c>
      <c r="E2160" t="s">
        <v>23</v>
      </c>
      <c r="F2160" t="s">
        <v>32</v>
      </c>
      <c r="G2160" t="s">
        <v>33</v>
      </c>
      <c r="H2160" t="s">
        <v>45</v>
      </c>
      <c r="I2160" t="s">
        <v>48</v>
      </c>
      <c r="J2160" s="11">
        <v>45581</v>
      </c>
      <c r="K2160" t="str">
        <f>TEXT(Transactions_Clean[[#This Row],[Date]],"MMM-YYYY")</f>
        <v>Oct-2024</v>
      </c>
      <c r="L2160">
        <f>IF(Transactions_Clean[[#This Row],[Category]]="Revenue",Transactions_Clean[[#This Row],[Amount(₹)]],Transactions_Clean[[#This Row],[Amount(₹)]]/8)</f>
        <v>-10483.75</v>
      </c>
    </row>
    <row r="2161" spans="1:12">
      <c r="A2161" t="s">
        <v>3413</v>
      </c>
      <c r="B2161" t="s">
        <v>51</v>
      </c>
      <c r="C2161" t="s">
        <v>31</v>
      </c>
      <c r="D2161">
        <v>-18295</v>
      </c>
      <c r="E2161" t="s">
        <v>23</v>
      </c>
      <c r="F2161" t="s">
        <v>32</v>
      </c>
      <c r="G2161" t="s">
        <v>33</v>
      </c>
      <c r="H2161" t="s">
        <v>45</v>
      </c>
      <c r="I2161" t="s">
        <v>34</v>
      </c>
      <c r="J2161" s="11">
        <v>45438</v>
      </c>
      <c r="K2161" t="str">
        <f>TEXT(Transactions_Clean[[#This Row],[Date]],"MMM-YYYY")</f>
        <v>May-2024</v>
      </c>
      <c r="L2161">
        <f>IF(Transactions_Clean[[#This Row],[Category]]="Revenue",Transactions_Clean[[#This Row],[Amount(₹)]],Transactions_Clean[[#This Row],[Amount(₹)]]/8)</f>
        <v>-2286.875</v>
      </c>
    </row>
    <row r="2162" spans="1:12">
      <c r="A2162" t="s">
        <v>3415</v>
      </c>
      <c r="B2162" t="s">
        <v>345</v>
      </c>
      <c r="C2162" t="s">
        <v>22</v>
      </c>
      <c r="D2162">
        <v>-47167</v>
      </c>
      <c r="E2162" t="s">
        <v>23</v>
      </c>
      <c r="F2162" t="s">
        <v>24</v>
      </c>
      <c r="G2162" t="s">
        <v>25</v>
      </c>
      <c r="H2162" t="s">
        <v>45</v>
      </c>
      <c r="I2162" t="s">
        <v>40</v>
      </c>
      <c r="J2162" s="11">
        <v>45478</v>
      </c>
      <c r="K2162" t="str">
        <f>TEXT(Transactions_Clean[[#This Row],[Date]],"MMM-YYYY")</f>
        <v>Jul-2024</v>
      </c>
      <c r="L2162">
        <f>IF(Transactions_Clean[[#This Row],[Category]]="Revenue",Transactions_Clean[[#This Row],[Amount(₹)]],Transactions_Clean[[#This Row],[Amount(₹)]]/8)</f>
        <v>-5895.875</v>
      </c>
    </row>
    <row r="2163" spans="1:12">
      <c r="A2163" t="s">
        <v>3417</v>
      </c>
      <c r="B2163" t="s">
        <v>4763</v>
      </c>
      <c r="C2163" t="s">
        <v>22</v>
      </c>
      <c r="D2163">
        <v>-198334</v>
      </c>
      <c r="E2163" t="s">
        <v>23</v>
      </c>
      <c r="F2163" t="s">
        <v>24</v>
      </c>
      <c r="G2163" t="s">
        <v>25</v>
      </c>
      <c r="H2163" t="s">
        <v>45</v>
      </c>
      <c r="I2163" t="s">
        <v>40</v>
      </c>
      <c r="J2163" s="11">
        <v>45524</v>
      </c>
      <c r="K2163" t="str">
        <f>TEXT(Transactions_Clean[[#This Row],[Date]],"MMM-YYYY")</f>
        <v>Aug-2024</v>
      </c>
      <c r="L2163">
        <f>IF(Transactions_Clean[[#This Row],[Category]]="Revenue",Transactions_Clean[[#This Row],[Amount(₹)]],Transactions_Clean[[#This Row],[Amount(₹)]]/8)</f>
        <v>-24791.75</v>
      </c>
    </row>
    <row r="2164" spans="1:12">
      <c r="A2164" t="s">
        <v>3418</v>
      </c>
      <c r="B2164" t="s">
        <v>215</v>
      </c>
      <c r="C2164" t="s">
        <v>61</v>
      </c>
      <c r="D2164">
        <v>-16637</v>
      </c>
      <c r="E2164" t="s">
        <v>62</v>
      </c>
      <c r="F2164" t="s">
        <v>24</v>
      </c>
      <c r="G2164" t="s">
        <v>63</v>
      </c>
      <c r="H2164" t="s">
        <v>45</v>
      </c>
      <c r="I2164" t="s">
        <v>40</v>
      </c>
      <c r="J2164" s="11">
        <v>45549</v>
      </c>
      <c r="K2164" t="str">
        <f>TEXT(Transactions_Clean[[#This Row],[Date]],"MMM-YYYY")</f>
        <v>Sep-2024</v>
      </c>
      <c r="L2164">
        <f>IF(Transactions_Clean[[#This Row],[Category]]="Revenue",Transactions_Clean[[#This Row],[Amount(₹)]],Transactions_Clean[[#This Row],[Amount(₹)]]/8)</f>
        <v>-2079.625</v>
      </c>
    </row>
    <row r="2165" spans="1:12">
      <c r="A2165" t="s">
        <v>3420</v>
      </c>
      <c r="B2165" t="s">
        <v>66</v>
      </c>
      <c r="C2165" t="s">
        <v>61</v>
      </c>
      <c r="D2165">
        <v>-18587</v>
      </c>
      <c r="E2165" t="s">
        <v>62</v>
      </c>
      <c r="F2165" t="s">
        <v>32</v>
      </c>
      <c r="G2165" t="s">
        <v>63</v>
      </c>
      <c r="H2165" t="s">
        <v>45</v>
      </c>
      <c r="I2165" t="s">
        <v>34</v>
      </c>
      <c r="J2165" s="11">
        <v>45418</v>
      </c>
      <c r="K2165" t="str">
        <f>TEXT(Transactions_Clean[[#This Row],[Date]],"MMM-YYYY")</f>
        <v>May-2024</v>
      </c>
      <c r="L2165">
        <f>IF(Transactions_Clean[[#This Row],[Category]]="Revenue",Transactions_Clean[[#This Row],[Amount(₹)]],Transactions_Clean[[#This Row],[Amount(₹)]]/8)</f>
        <v>-2323.375</v>
      </c>
    </row>
    <row r="2166" spans="1:12">
      <c r="A2166" t="s">
        <v>3421</v>
      </c>
      <c r="B2166" t="s">
        <v>4755</v>
      </c>
      <c r="C2166" t="s">
        <v>78</v>
      </c>
      <c r="D2166">
        <v>-27245</v>
      </c>
      <c r="E2166" t="s">
        <v>23</v>
      </c>
      <c r="F2166" t="s">
        <v>24</v>
      </c>
      <c r="G2166" t="s">
        <v>79</v>
      </c>
      <c r="H2166" t="s">
        <v>39</v>
      </c>
      <c r="I2166" t="s">
        <v>27</v>
      </c>
      <c r="J2166" s="11">
        <v>46070</v>
      </c>
      <c r="K2166" t="str">
        <f>TEXT(Transactions_Clean[[#This Row],[Date]],"MMM-YYYY")</f>
        <v>Feb-2026</v>
      </c>
      <c r="L2166">
        <f>IF(Transactions_Clean[[#This Row],[Category]]="Revenue",Transactions_Clean[[#This Row],[Amount(₹)]],Transactions_Clean[[#This Row],[Amount(₹)]]/8)</f>
        <v>-3405.625</v>
      </c>
    </row>
    <row r="2167" spans="1:12">
      <c r="A2167" t="s">
        <v>3422</v>
      </c>
      <c r="B2167" t="s">
        <v>4756</v>
      </c>
      <c r="C2167" t="s">
        <v>73</v>
      </c>
      <c r="D2167">
        <v>-61454</v>
      </c>
      <c r="E2167" t="s">
        <v>74</v>
      </c>
      <c r="F2167" t="s">
        <v>24</v>
      </c>
      <c r="G2167" t="s">
        <v>25</v>
      </c>
      <c r="H2167" t="s">
        <v>45</v>
      </c>
      <c r="I2167" t="s">
        <v>27</v>
      </c>
      <c r="J2167" s="11">
        <v>45700</v>
      </c>
      <c r="K2167" t="str">
        <f>TEXT(Transactions_Clean[[#This Row],[Date]],"MMM-YYYY")</f>
        <v>Feb-2025</v>
      </c>
      <c r="L2167">
        <f>IF(Transactions_Clean[[#This Row],[Category]]="Revenue",Transactions_Clean[[#This Row],[Amount(₹)]],Transactions_Clean[[#This Row],[Amount(₹)]]/8)</f>
        <v>-7681.75</v>
      </c>
    </row>
    <row r="2168" spans="1:12">
      <c r="A2168" t="s">
        <v>3423</v>
      </c>
      <c r="B2168" t="s">
        <v>4755</v>
      </c>
      <c r="C2168" t="s">
        <v>78</v>
      </c>
      <c r="D2168">
        <v>-119296</v>
      </c>
      <c r="E2168" t="s">
        <v>23</v>
      </c>
      <c r="F2168" t="s">
        <v>24</v>
      </c>
      <c r="G2168" t="s">
        <v>79</v>
      </c>
      <c r="H2168" t="s">
        <v>39</v>
      </c>
      <c r="I2168" t="s">
        <v>34</v>
      </c>
      <c r="J2168" s="11">
        <v>45761</v>
      </c>
      <c r="K2168" t="str">
        <f>TEXT(Transactions_Clean[[#This Row],[Date]],"MMM-YYYY")</f>
        <v>Apr-2025</v>
      </c>
      <c r="L2168">
        <f>IF(Transactions_Clean[[#This Row],[Category]]="Revenue",Transactions_Clean[[#This Row],[Amount(₹)]],Transactions_Clean[[#This Row],[Amount(₹)]]/8)</f>
        <v>-14912</v>
      </c>
    </row>
    <row r="2169" spans="1:12">
      <c r="A2169" t="s">
        <v>3424</v>
      </c>
      <c r="B2169" t="s">
        <v>143</v>
      </c>
      <c r="C2169" t="s">
        <v>78</v>
      </c>
      <c r="D2169">
        <v>-62867</v>
      </c>
      <c r="E2169" t="s">
        <v>23</v>
      </c>
      <c r="F2169" t="s">
        <v>24</v>
      </c>
      <c r="G2169" t="s">
        <v>79</v>
      </c>
      <c r="H2169" t="s">
        <v>39</v>
      </c>
      <c r="I2169" t="s">
        <v>48</v>
      </c>
      <c r="J2169" s="11">
        <v>45960</v>
      </c>
      <c r="K2169" t="str">
        <f>TEXT(Transactions_Clean[[#This Row],[Date]],"MMM-YYYY")</f>
        <v>Oct-2025</v>
      </c>
      <c r="L2169">
        <f>IF(Transactions_Clean[[#This Row],[Category]]="Revenue",Transactions_Clean[[#This Row],[Amount(₹)]],Transactions_Clean[[#This Row],[Amount(₹)]]/8)</f>
        <v>-7858.375</v>
      </c>
    </row>
    <row r="2170" spans="1:12">
      <c r="A2170" t="s">
        <v>3425</v>
      </c>
      <c r="B2170" t="s">
        <v>4753</v>
      </c>
      <c r="C2170" t="s">
        <v>38</v>
      </c>
      <c r="D2170">
        <v>-12256</v>
      </c>
      <c r="E2170" t="s">
        <v>23</v>
      </c>
      <c r="F2170" t="s">
        <v>32</v>
      </c>
      <c r="G2170" t="s">
        <v>33</v>
      </c>
      <c r="H2170" t="s">
        <v>45</v>
      </c>
      <c r="I2170" t="s">
        <v>27</v>
      </c>
      <c r="J2170" s="11">
        <v>45731</v>
      </c>
      <c r="K2170" t="str">
        <f>TEXT(Transactions_Clean[[#This Row],[Date]],"MMM-YYYY")</f>
        <v>Mar-2025</v>
      </c>
      <c r="L2170">
        <f>IF(Transactions_Clean[[#This Row],[Category]]="Revenue",Transactions_Clean[[#This Row],[Amount(₹)]],Transactions_Clean[[#This Row],[Amount(₹)]]/8)</f>
        <v>-1532</v>
      </c>
    </row>
    <row r="2171" spans="1:12">
      <c r="A2171" t="s">
        <v>3426</v>
      </c>
      <c r="B2171" t="s">
        <v>60</v>
      </c>
      <c r="C2171" t="s">
        <v>61</v>
      </c>
      <c r="D2171">
        <v>-36464</v>
      </c>
      <c r="E2171" t="s">
        <v>62</v>
      </c>
      <c r="F2171" t="s">
        <v>24</v>
      </c>
      <c r="G2171" t="s">
        <v>63</v>
      </c>
      <c r="H2171" t="s">
        <v>26</v>
      </c>
      <c r="I2171" t="s">
        <v>40</v>
      </c>
      <c r="J2171" s="11">
        <v>45161</v>
      </c>
      <c r="K2171" t="str">
        <f>TEXT(Transactions_Clean[[#This Row],[Date]],"MMM-YYYY")</f>
        <v>Aug-2023</v>
      </c>
      <c r="L2171">
        <f>IF(Transactions_Clean[[#This Row],[Category]]="Revenue",Transactions_Clean[[#This Row],[Amount(₹)]],Transactions_Clean[[#This Row],[Amount(₹)]]/8)</f>
        <v>-4558</v>
      </c>
    </row>
    <row r="2172" spans="1:12">
      <c r="A2172" t="s">
        <v>3427</v>
      </c>
      <c r="B2172" t="s">
        <v>177</v>
      </c>
      <c r="C2172" t="s">
        <v>78</v>
      </c>
      <c r="D2172">
        <v>-86207</v>
      </c>
      <c r="E2172" t="s">
        <v>23</v>
      </c>
      <c r="F2172" t="s">
        <v>24</v>
      </c>
      <c r="G2172" t="s">
        <v>79</v>
      </c>
      <c r="H2172" t="s">
        <v>45</v>
      </c>
      <c r="I2172" t="s">
        <v>40</v>
      </c>
      <c r="J2172" s="11">
        <v>45533</v>
      </c>
      <c r="K2172" t="str">
        <f>TEXT(Transactions_Clean[[#This Row],[Date]],"MMM-YYYY")</f>
        <v>Aug-2024</v>
      </c>
      <c r="L2172">
        <f>IF(Transactions_Clean[[#This Row],[Category]]="Revenue",Transactions_Clean[[#This Row],[Amount(₹)]],Transactions_Clean[[#This Row],[Amount(₹)]]/8)</f>
        <v>-10775.875</v>
      </c>
    </row>
    <row r="2173" spans="1:12">
      <c r="A2173" t="s">
        <v>3428</v>
      </c>
      <c r="B2173" t="s">
        <v>305</v>
      </c>
      <c r="C2173" t="s">
        <v>38</v>
      </c>
      <c r="D2173">
        <v>-32645</v>
      </c>
      <c r="E2173" t="s">
        <v>23</v>
      </c>
      <c r="F2173" t="s">
        <v>32</v>
      </c>
      <c r="G2173" t="s">
        <v>33</v>
      </c>
      <c r="H2173" t="s">
        <v>26</v>
      </c>
      <c r="I2173" t="s">
        <v>40</v>
      </c>
      <c r="J2173" s="11">
        <v>45116</v>
      </c>
      <c r="K2173" t="str">
        <f>TEXT(Transactions_Clean[[#This Row],[Date]],"MMM-YYYY")</f>
        <v>Jul-2023</v>
      </c>
      <c r="L2173">
        <f>IF(Transactions_Clean[[#This Row],[Category]]="Revenue",Transactions_Clean[[#This Row],[Amount(₹)]],Transactions_Clean[[#This Row],[Amount(₹)]]/8)</f>
        <v>-4080.625</v>
      </c>
    </row>
    <row r="2174" spans="1:12">
      <c r="A2174" t="s">
        <v>3429</v>
      </c>
      <c r="B2174" t="s">
        <v>4766</v>
      </c>
      <c r="C2174" t="s">
        <v>73</v>
      </c>
      <c r="D2174">
        <v>-82061</v>
      </c>
      <c r="E2174" t="s">
        <v>74</v>
      </c>
      <c r="F2174" t="s">
        <v>24</v>
      </c>
      <c r="G2174" t="s">
        <v>25</v>
      </c>
      <c r="H2174" t="s">
        <v>39</v>
      </c>
      <c r="I2174" t="s">
        <v>48</v>
      </c>
      <c r="J2174" s="11">
        <v>45944</v>
      </c>
      <c r="K2174" t="str">
        <f>TEXT(Transactions_Clean[[#This Row],[Date]],"MMM-YYYY")</f>
        <v>Oct-2025</v>
      </c>
      <c r="L2174">
        <f>IF(Transactions_Clean[[#This Row],[Category]]="Revenue",Transactions_Clean[[#This Row],[Amount(₹)]],Transactions_Clean[[#This Row],[Amount(₹)]]/8)</f>
        <v>-10257.625</v>
      </c>
    </row>
    <row r="2175" spans="1:12">
      <c r="A2175" t="s">
        <v>3431</v>
      </c>
      <c r="B2175" t="s">
        <v>60</v>
      </c>
      <c r="C2175" t="s">
        <v>61</v>
      </c>
      <c r="D2175">
        <v>-13250</v>
      </c>
      <c r="E2175" t="s">
        <v>62</v>
      </c>
      <c r="F2175" t="s">
        <v>24</v>
      </c>
      <c r="G2175" t="s">
        <v>63</v>
      </c>
      <c r="H2175" t="s">
        <v>26</v>
      </c>
      <c r="I2175" t="s">
        <v>48</v>
      </c>
      <c r="J2175" s="11">
        <v>45270</v>
      </c>
      <c r="K2175" t="str">
        <f>TEXT(Transactions_Clean[[#This Row],[Date]],"MMM-YYYY")</f>
        <v>Dec-2023</v>
      </c>
      <c r="L2175">
        <f>IF(Transactions_Clean[[#This Row],[Category]]="Revenue",Transactions_Clean[[#This Row],[Amount(₹)]],Transactions_Clean[[#This Row],[Amount(₹)]]/8)</f>
        <v>-1656.25</v>
      </c>
    </row>
    <row r="2176" spans="1:12">
      <c r="A2176" t="s">
        <v>3432</v>
      </c>
      <c r="B2176" t="s">
        <v>215</v>
      </c>
      <c r="C2176" t="s">
        <v>61</v>
      </c>
      <c r="D2176">
        <v>-61984</v>
      </c>
      <c r="E2176" t="s">
        <v>62</v>
      </c>
      <c r="F2176" t="s">
        <v>32</v>
      </c>
      <c r="G2176" t="s">
        <v>63</v>
      </c>
      <c r="H2176" t="s">
        <v>45</v>
      </c>
      <c r="I2176" t="s">
        <v>48</v>
      </c>
      <c r="J2176" s="11">
        <v>45583</v>
      </c>
      <c r="K2176" t="str">
        <f>TEXT(Transactions_Clean[[#This Row],[Date]],"MMM-YYYY")</f>
        <v>Oct-2024</v>
      </c>
      <c r="L2176">
        <f>IF(Transactions_Clean[[#This Row],[Category]]="Revenue",Transactions_Clean[[#This Row],[Amount(₹)]],Transactions_Clean[[#This Row],[Amount(₹)]]/8)</f>
        <v>-7748</v>
      </c>
    </row>
    <row r="2177" spans="1:12">
      <c r="A2177" t="s">
        <v>3433</v>
      </c>
      <c r="B2177" t="s">
        <v>935</v>
      </c>
      <c r="C2177" t="s">
        <v>22</v>
      </c>
      <c r="D2177">
        <v>-122285</v>
      </c>
      <c r="E2177" t="s">
        <v>23</v>
      </c>
      <c r="F2177" t="s">
        <v>32</v>
      </c>
      <c r="G2177" t="s">
        <v>25</v>
      </c>
      <c r="H2177" t="s">
        <v>45</v>
      </c>
      <c r="I2177" t="s">
        <v>40</v>
      </c>
      <c r="J2177" s="11">
        <v>45551</v>
      </c>
      <c r="K2177" t="str">
        <f>TEXT(Transactions_Clean[[#This Row],[Date]],"MMM-YYYY")</f>
        <v>Sep-2024</v>
      </c>
      <c r="L2177">
        <f>IF(Transactions_Clean[[#This Row],[Category]]="Revenue",Transactions_Clean[[#This Row],[Amount(₹)]],Transactions_Clean[[#This Row],[Amount(₹)]]/8)</f>
        <v>-15285.625</v>
      </c>
    </row>
    <row r="2178" spans="1:12">
      <c r="A2178" t="s">
        <v>3434</v>
      </c>
      <c r="B2178" t="s">
        <v>66</v>
      </c>
      <c r="C2178" t="s">
        <v>61</v>
      </c>
      <c r="D2178">
        <v>-26935</v>
      </c>
      <c r="E2178" t="s">
        <v>62</v>
      </c>
      <c r="F2178" t="s">
        <v>32</v>
      </c>
      <c r="G2178" t="s">
        <v>63</v>
      </c>
      <c r="H2178" t="s">
        <v>26</v>
      </c>
      <c r="I2178" t="s">
        <v>34</v>
      </c>
      <c r="J2178" s="11">
        <v>45041</v>
      </c>
      <c r="K2178" t="str">
        <f>TEXT(Transactions_Clean[[#This Row],[Date]],"MMM-YYYY")</f>
        <v>Apr-2023</v>
      </c>
      <c r="L2178">
        <f>IF(Transactions_Clean[[#This Row],[Category]]="Revenue",Transactions_Clean[[#This Row],[Amount(₹)]],Transactions_Clean[[#This Row],[Amount(₹)]]/8)</f>
        <v>-3366.875</v>
      </c>
    </row>
    <row r="2179" spans="1:12">
      <c r="A2179" t="s">
        <v>3436</v>
      </c>
      <c r="B2179" t="s">
        <v>4756</v>
      </c>
      <c r="C2179" t="s">
        <v>73</v>
      </c>
      <c r="D2179">
        <v>-51186</v>
      </c>
      <c r="E2179" t="s">
        <v>74</v>
      </c>
      <c r="F2179" t="s">
        <v>24</v>
      </c>
      <c r="G2179" t="s">
        <v>25</v>
      </c>
      <c r="H2179" t="s">
        <v>39</v>
      </c>
      <c r="I2179" t="s">
        <v>27</v>
      </c>
      <c r="J2179" s="11">
        <v>46103</v>
      </c>
      <c r="K2179" t="str">
        <f>TEXT(Transactions_Clean[[#This Row],[Date]],"MMM-YYYY")</f>
        <v>Mar-2026</v>
      </c>
      <c r="L2179">
        <f>IF(Transactions_Clean[[#This Row],[Category]]="Revenue",Transactions_Clean[[#This Row],[Amount(₹)]],Transactions_Clean[[#This Row],[Amount(₹)]]/8)</f>
        <v>-6398.25</v>
      </c>
    </row>
    <row r="2180" spans="1:12">
      <c r="A2180" t="s">
        <v>3437</v>
      </c>
      <c r="B2180" t="s">
        <v>100</v>
      </c>
      <c r="C2180" t="s">
        <v>31</v>
      </c>
      <c r="D2180">
        <v>-33094</v>
      </c>
      <c r="E2180" t="s">
        <v>23</v>
      </c>
      <c r="F2180" t="s">
        <v>24</v>
      </c>
      <c r="G2180" t="s">
        <v>33</v>
      </c>
      <c r="H2180" t="s">
        <v>45</v>
      </c>
      <c r="I2180" t="s">
        <v>48</v>
      </c>
      <c r="J2180" s="11">
        <v>45624</v>
      </c>
      <c r="K2180" t="str">
        <f>TEXT(Transactions_Clean[[#This Row],[Date]],"MMM-YYYY")</f>
        <v>Nov-2024</v>
      </c>
      <c r="L2180">
        <f>IF(Transactions_Clean[[#This Row],[Category]]="Revenue",Transactions_Clean[[#This Row],[Amount(₹)]],Transactions_Clean[[#This Row],[Amount(₹)]]/8)</f>
        <v>-4136.75</v>
      </c>
    </row>
    <row r="2181" spans="1:12">
      <c r="A2181" t="s">
        <v>3438</v>
      </c>
      <c r="B2181" t="s">
        <v>4766</v>
      </c>
      <c r="C2181" t="s">
        <v>73</v>
      </c>
      <c r="D2181">
        <v>-25973</v>
      </c>
      <c r="E2181" t="s">
        <v>74</v>
      </c>
      <c r="F2181" t="s">
        <v>32</v>
      </c>
      <c r="G2181" t="s">
        <v>25</v>
      </c>
      <c r="H2181" t="s">
        <v>26</v>
      </c>
      <c r="I2181" t="s">
        <v>40</v>
      </c>
      <c r="J2181" s="11">
        <v>45151</v>
      </c>
      <c r="K2181" t="str">
        <f>TEXT(Transactions_Clean[[#This Row],[Date]],"MMM-YYYY")</f>
        <v>Aug-2023</v>
      </c>
      <c r="L2181">
        <f>IF(Transactions_Clean[[#This Row],[Category]]="Revenue",Transactions_Clean[[#This Row],[Amount(₹)]],Transactions_Clean[[#This Row],[Amount(₹)]]/8)</f>
        <v>-3246.625</v>
      </c>
    </row>
    <row r="2182" spans="1:12">
      <c r="A2182" t="s">
        <v>3439</v>
      </c>
      <c r="B2182" t="s">
        <v>161</v>
      </c>
      <c r="C2182" t="s">
        <v>22</v>
      </c>
      <c r="D2182">
        <v>-96010</v>
      </c>
      <c r="E2182" t="s">
        <v>23</v>
      </c>
      <c r="F2182" t="s">
        <v>24</v>
      </c>
      <c r="G2182" t="s">
        <v>25</v>
      </c>
      <c r="H2182" t="s">
        <v>39</v>
      </c>
      <c r="I2182" t="s">
        <v>34</v>
      </c>
      <c r="J2182" s="11">
        <v>45783</v>
      </c>
      <c r="K2182" t="str">
        <f>TEXT(Transactions_Clean[[#This Row],[Date]],"MMM-YYYY")</f>
        <v>May-2025</v>
      </c>
      <c r="L2182">
        <f>IF(Transactions_Clean[[#This Row],[Category]]="Revenue",Transactions_Clean[[#This Row],[Amount(₹)]],Transactions_Clean[[#This Row],[Amount(₹)]]/8)</f>
        <v>-12001.25</v>
      </c>
    </row>
    <row r="2183" spans="1:12">
      <c r="A2183" t="s">
        <v>3440</v>
      </c>
      <c r="B2183" t="s">
        <v>66</v>
      </c>
      <c r="C2183" t="s">
        <v>61</v>
      </c>
      <c r="D2183">
        <v>-29501</v>
      </c>
      <c r="E2183" t="s">
        <v>62</v>
      </c>
      <c r="F2183" t="s">
        <v>32</v>
      </c>
      <c r="G2183" t="s">
        <v>63</v>
      </c>
      <c r="H2183" t="s">
        <v>39</v>
      </c>
      <c r="I2183" t="s">
        <v>40</v>
      </c>
      <c r="J2183" s="11">
        <v>45923</v>
      </c>
      <c r="K2183" t="str">
        <f>TEXT(Transactions_Clean[[#This Row],[Date]],"MMM-YYYY")</f>
        <v>Sep-2025</v>
      </c>
      <c r="L2183">
        <f>IF(Transactions_Clean[[#This Row],[Category]]="Revenue",Transactions_Clean[[#This Row],[Amount(₹)]],Transactions_Clean[[#This Row],[Amount(₹)]]/8)</f>
        <v>-3687.625</v>
      </c>
    </row>
    <row r="2184" spans="1:12">
      <c r="A2184" t="s">
        <v>3441</v>
      </c>
      <c r="B2184" t="s">
        <v>215</v>
      </c>
      <c r="C2184" t="s">
        <v>61</v>
      </c>
      <c r="D2184">
        <v>-28327</v>
      </c>
      <c r="E2184" t="s">
        <v>62</v>
      </c>
      <c r="F2184" t="s">
        <v>32</v>
      </c>
      <c r="G2184" t="s">
        <v>63</v>
      </c>
      <c r="H2184" t="s">
        <v>45</v>
      </c>
      <c r="I2184" t="s">
        <v>34</v>
      </c>
      <c r="J2184" s="11">
        <v>45418</v>
      </c>
      <c r="K2184" t="str">
        <f>TEXT(Transactions_Clean[[#This Row],[Date]],"MMM-YYYY")</f>
        <v>May-2024</v>
      </c>
      <c r="L2184">
        <f>IF(Transactions_Clean[[#This Row],[Category]]="Revenue",Transactions_Clean[[#This Row],[Amount(₹)]],Transactions_Clean[[#This Row],[Amount(₹)]]/8)</f>
        <v>-3540.875</v>
      </c>
    </row>
    <row r="2185" spans="1:12">
      <c r="A2185" t="s">
        <v>3442</v>
      </c>
      <c r="B2185" t="s">
        <v>4766</v>
      </c>
      <c r="C2185" t="s">
        <v>73</v>
      </c>
      <c r="D2185">
        <v>-42486</v>
      </c>
      <c r="E2185" t="s">
        <v>74</v>
      </c>
      <c r="F2185" t="s">
        <v>24</v>
      </c>
      <c r="G2185" t="s">
        <v>25</v>
      </c>
      <c r="H2185" t="s">
        <v>45</v>
      </c>
      <c r="I2185" t="s">
        <v>27</v>
      </c>
      <c r="J2185" s="11">
        <v>45672</v>
      </c>
      <c r="K2185" t="str">
        <f>TEXT(Transactions_Clean[[#This Row],[Date]],"MMM-YYYY")</f>
        <v>Jan-2025</v>
      </c>
      <c r="L2185">
        <f>IF(Transactions_Clean[[#This Row],[Category]]="Revenue",Transactions_Clean[[#This Row],[Amount(₹)]],Transactions_Clean[[#This Row],[Amount(₹)]]/8)</f>
        <v>-5310.75</v>
      </c>
    </row>
    <row r="2186" spans="1:12">
      <c r="A2186" t="s">
        <v>3443</v>
      </c>
      <c r="B2186" t="s">
        <v>66</v>
      </c>
      <c r="C2186" t="s">
        <v>61</v>
      </c>
      <c r="D2186">
        <v>-36175</v>
      </c>
      <c r="E2186" t="s">
        <v>62</v>
      </c>
      <c r="F2186" t="s">
        <v>32</v>
      </c>
      <c r="G2186" t="s">
        <v>63</v>
      </c>
      <c r="H2186" t="s">
        <v>39</v>
      </c>
      <c r="I2186" t="s">
        <v>48</v>
      </c>
      <c r="J2186" s="11">
        <v>45980</v>
      </c>
      <c r="K2186" t="str">
        <f>TEXT(Transactions_Clean[[#This Row],[Date]],"MMM-YYYY")</f>
        <v>Nov-2025</v>
      </c>
      <c r="L2186">
        <f>IF(Transactions_Clean[[#This Row],[Category]]="Revenue",Transactions_Clean[[#This Row],[Amount(₹)]],Transactions_Clean[[#This Row],[Amount(₹)]]/8)</f>
        <v>-4521.875</v>
      </c>
    </row>
    <row r="2187" spans="1:12">
      <c r="A2187" t="s">
        <v>3444</v>
      </c>
      <c r="B2187" t="s">
        <v>4749</v>
      </c>
      <c r="C2187" t="s">
        <v>44</v>
      </c>
      <c r="D2187">
        <v>-112047</v>
      </c>
      <c r="E2187" t="s">
        <v>23</v>
      </c>
      <c r="F2187" t="s">
        <v>32</v>
      </c>
      <c r="G2187" t="s">
        <v>33</v>
      </c>
      <c r="H2187" t="s">
        <v>45</v>
      </c>
      <c r="I2187" t="s">
        <v>48</v>
      </c>
      <c r="J2187" s="11">
        <v>45646</v>
      </c>
      <c r="K2187" t="str">
        <f>TEXT(Transactions_Clean[[#This Row],[Date]],"MMM-YYYY")</f>
        <v>Dec-2024</v>
      </c>
      <c r="L2187">
        <f>IF(Transactions_Clean[[#This Row],[Category]]="Revenue",Transactions_Clean[[#This Row],[Amount(₹)]],Transactions_Clean[[#This Row],[Amount(₹)]]/8)</f>
        <v>-14005.875</v>
      </c>
    </row>
    <row r="2188" spans="1:12">
      <c r="A2188" t="s">
        <v>3445</v>
      </c>
      <c r="B2188" t="s">
        <v>4757</v>
      </c>
      <c r="C2188" t="s">
        <v>73</v>
      </c>
      <c r="D2188">
        <v>-78855</v>
      </c>
      <c r="E2188" t="s">
        <v>74</v>
      </c>
      <c r="F2188" t="s">
        <v>32</v>
      </c>
      <c r="G2188" t="s">
        <v>25</v>
      </c>
      <c r="H2188" t="s">
        <v>26</v>
      </c>
      <c r="I2188" t="s">
        <v>48</v>
      </c>
      <c r="J2188" s="11">
        <v>45260</v>
      </c>
      <c r="K2188" t="str">
        <f>TEXT(Transactions_Clean[[#This Row],[Date]],"MMM-YYYY")</f>
        <v>Nov-2023</v>
      </c>
      <c r="L2188">
        <f>IF(Transactions_Clean[[#This Row],[Category]]="Revenue",Transactions_Clean[[#This Row],[Amount(₹)]],Transactions_Clean[[#This Row],[Amount(₹)]]/8)</f>
        <v>-9856.875</v>
      </c>
    </row>
    <row r="2189" spans="1:12">
      <c r="A2189" t="s">
        <v>3446</v>
      </c>
      <c r="B2189" t="s">
        <v>169</v>
      </c>
      <c r="C2189" t="s">
        <v>73</v>
      </c>
      <c r="D2189">
        <v>-60649</v>
      </c>
      <c r="E2189" t="s">
        <v>74</v>
      </c>
      <c r="F2189" t="s">
        <v>32</v>
      </c>
      <c r="G2189" t="s">
        <v>25</v>
      </c>
      <c r="H2189" t="s">
        <v>45</v>
      </c>
      <c r="I2189" t="s">
        <v>34</v>
      </c>
      <c r="J2189" s="11">
        <v>45386</v>
      </c>
      <c r="K2189" t="str">
        <f>TEXT(Transactions_Clean[[#This Row],[Date]],"MMM-YYYY")</f>
        <v>Apr-2024</v>
      </c>
      <c r="L2189">
        <f>IF(Transactions_Clean[[#This Row],[Category]]="Revenue",Transactions_Clean[[#This Row],[Amount(₹)]],Transactions_Clean[[#This Row],[Amount(₹)]]/8)</f>
        <v>-7581.125</v>
      </c>
    </row>
    <row r="2190" spans="1:12">
      <c r="A2190" t="s">
        <v>3447</v>
      </c>
      <c r="B2190" t="s">
        <v>100</v>
      </c>
      <c r="C2190" t="s">
        <v>31</v>
      </c>
      <c r="D2190">
        <v>-8058</v>
      </c>
      <c r="E2190" t="s">
        <v>23</v>
      </c>
      <c r="F2190" t="s">
        <v>24</v>
      </c>
      <c r="G2190" t="s">
        <v>33</v>
      </c>
      <c r="H2190" t="s">
        <v>45</v>
      </c>
      <c r="I2190" t="s">
        <v>40</v>
      </c>
      <c r="J2190" s="11">
        <v>45524</v>
      </c>
      <c r="K2190" t="str">
        <f>TEXT(Transactions_Clean[[#This Row],[Date]],"MMM-YYYY")</f>
        <v>Aug-2024</v>
      </c>
      <c r="L2190">
        <f>IF(Transactions_Clean[[#This Row],[Category]]="Revenue",Transactions_Clean[[#This Row],[Amount(₹)]],Transactions_Clean[[#This Row],[Amount(₹)]]/8)</f>
        <v>-1007.25</v>
      </c>
    </row>
    <row r="2191" spans="1:12">
      <c r="A2191" t="s">
        <v>3448</v>
      </c>
      <c r="B2191" t="s">
        <v>215</v>
      </c>
      <c r="C2191" t="s">
        <v>61</v>
      </c>
      <c r="D2191">
        <v>-32787</v>
      </c>
      <c r="E2191" t="s">
        <v>62</v>
      </c>
      <c r="F2191" t="s">
        <v>24</v>
      </c>
      <c r="G2191" t="s">
        <v>63</v>
      </c>
      <c r="H2191" t="s">
        <v>45</v>
      </c>
      <c r="I2191" t="s">
        <v>40</v>
      </c>
      <c r="J2191" s="11">
        <v>45529</v>
      </c>
      <c r="K2191" t="str">
        <f>TEXT(Transactions_Clean[[#This Row],[Date]],"MMM-YYYY")</f>
        <v>Aug-2024</v>
      </c>
      <c r="L2191">
        <f>IF(Transactions_Clean[[#This Row],[Category]]="Revenue",Transactions_Clean[[#This Row],[Amount(₹)]],Transactions_Clean[[#This Row],[Amount(₹)]]/8)</f>
        <v>-4098.375</v>
      </c>
    </row>
    <row r="2192" spans="1:12">
      <c r="A2192" t="s">
        <v>3449</v>
      </c>
      <c r="B2192" t="s">
        <v>116</v>
      </c>
      <c r="C2192" t="s">
        <v>73</v>
      </c>
      <c r="D2192">
        <v>-44208</v>
      </c>
      <c r="E2192" t="s">
        <v>74</v>
      </c>
      <c r="F2192" t="s">
        <v>32</v>
      </c>
      <c r="G2192" t="s">
        <v>25</v>
      </c>
      <c r="H2192" t="s">
        <v>26</v>
      </c>
      <c r="I2192" t="s">
        <v>34</v>
      </c>
      <c r="J2192" s="11">
        <v>45071</v>
      </c>
      <c r="K2192" t="str">
        <f>TEXT(Transactions_Clean[[#This Row],[Date]],"MMM-YYYY")</f>
        <v>May-2023</v>
      </c>
      <c r="L2192">
        <f>IF(Transactions_Clean[[#This Row],[Category]]="Revenue",Transactions_Clean[[#This Row],[Amount(₹)]],Transactions_Clean[[#This Row],[Amount(₹)]]/8)</f>
        <v>-5526</v>
      </c>
    </row>
    <row r="2193" spans="1:12">
      <c r="A2193" t="s">
        <v>3450</v>
      </c>
      <c r="B2193" t="s">
        <v>935</v>
      </c>
      <c r="C2193" t="s">
        <v>22</v>
      </c>
      <c r="D2193">
        <v>-104837</v>
      </c>
      <c r="E2193" t="s">
        <v>23</v>
      </c>
      <c r="F2193" t="s">
        <v>32</v>
      </c>
      <c r="G2193" t="s">
        <v>25</v>
      </c>
      <c r="H2193" t="s">
        <v>45</v>
      </c>
      <c r="I2193" t="s">
        <v>48</v>
      </c>
      <c r="J2193" s="11">
        <v>45624</v>
      </c>
      <c r="K2193" t="str">
        <f>TEXT(Transactions_Clean[[#This Row],[Date]],"MMM-YYYY")</f>
        <v>Nov-2024</v>
      </c>
      <c r="L2193">
        <f>IF(Transactions_Clean[[#This Row],[Category]]="Revenue",Transactions_Clean[[#This Row],[Amount(₹)]],Transactions_Clean[[#This Row],[Amount(₹)]]/8)</f>
        <v>-13104.625</v>
      </c>
    </row>
    <row r="2194" spans="1:12">
      <c r="A2194" t="s">
        <v>3451</v>
      </c>
      <c r="B2194" t="s">
        <v>212</v>
      </c>
      <c r="C2194" t="s">
        <v>73</v>
      </c>
      <c r="D2194">
        <v>-68776</v>
      </c>
      <c r="E2194" t="s">
        <v>74</v>
      </c>
      <c r="F2194" t="s">
        <v>32</v>
      </c>
      <c r="G2194" t="s">
        <v>25</v>
      </c>
      <c r="H2194" t="s">
        <v>26</v>
      </c>
      <c r="I2194" t="s">
        <v>48</v>
      </c>
      <c r="J2194" s="11">
        <v>45253</v>
      </c>
      <c r="K2194" t="str">
        <f>TEXT(Transactions_Clean[[#This Row],[Date]],"MMM-YYYY")</f>
        <v>Nov-2023</v>
      </c>
      <c r="L2194">
        <f>IF(Transactions_Clean[[#This Row],[Category]]="Revenue",Transactions_Clean[[#This Row],[Amount(₹)]],Transactions_Clean[[#This Row],[Amount(₹)]]/8)</f>
        <v>-8597</v>
      </c>
    </row>
    <row r="2195" spans="1:12">
      <c r="A2195" t="s">
        <v>3452</v>
      </c>
      <c r="B2195" t="s">
        <v>4751</v>
      </c>
      <c r="C2195" t="s">
        <v>38</v>
      </c>
      <c r="D2195">
        <v>-54194</v>
      </c>
      <c r="E2195" t="s">
        <v>23</v>
      </c>
      <c r="F2195" t="s">
        <v>24</v>
      </c>
      <c r="G2195" t="s">
        <v>33</v>
      </c>
      <c r="H2195" t="s">
        <v>26</v>
      </c>
      <c r="I2195" t="s">
        <v>27</v>
      </c>
      <c r="J2195" s="11">
        <v>45294</v>
      </c>
      <c r="K2195" t="str">
        <f>TEXT(Transactions_Clean[[#This Row],[Date]],"MMM-YYYY")</f>
        <v>Jan-2024</v>
      </c>
      <c r="L2195">
        <f>IF(Transactions_Clean[[#This Row],[Category]]="Revenue",Transactions_Clean[[#This Row],[Amount(₹)]],Transactions_Clean[[#This Row],[Amount(₹)]]/8)</f>
        <v>-6774.25</v>
      </c>
    </row>
    <row r="2196" spans="1:12">
      <c r="A2196" t="s">
        <v>3453</v>
      </c>
      <c r="B2196" t="s">
        <v>37</v>
      </c>
      <c r="C2196" t="s">
        <v>38</v>
      </c>
      <c r="D2196">
        <v>-49376</v>
      </c>
      <c r="E2196" t="s">
        <v>23</v>
      </c>
      <c r="F2196" t="s">
        <v>32</v>
      </c>
      <c r="G2196" t="s">
        <v>33</v>
      </c>
      <c r="H2196" t="s">
        <v>26</v>
      </c>
      <c r="I2196" t="s">
        <v>27</v>
      </c>
      <c r="J2196" s="11">
        <v>45333</v>
      </c>
      <c r="K2196" t="str">
        <f>TEXT(Transactions_Clean[[#This Row],[Date]],"MMM-YYYY")</f>
        <v>Feb-2024</v>
      </c>
      <c r="L2196">
        <f>IF(Transactions_Clean[[#This Row],[Category]]="Revenue",Transactions_Clean[[#This Row],[Amount(₹)]],Transactions_Clean[[#This Row],[Amount(₹)]]/8)</f>
        <v>-6172</v>
      </c>
    </row>
    <row r="2197" spans="1:12">
      <c r="A2197" t="s">
        <v>3455</v>
      </c>
      <c r="B2197" t="s">
        <v>4771</v>
      </c>
      <c r="C2197" t="s">
        <v>440</v>
      </c>
      <c r="D2197">
        <v>-116532</v>
      </c>
      <c r="E2197" t="s">
        <v>23</v>
      </c>
      <c r="F2197" t="s">
        <v>24</v>
      </c>
      <c r="G2197" t="s">
        <v>33</v>
      </c>
      <c r="H2197" t="s">
        <v>39</v>
      </c>
      <c r="I2197" t="s">
        <v>27</v>
      </c>
      <c r="J2197" s="11">
        <v>46079</v>
      </c>
      <c r="K2197" t="str">
        <f>TEXT(Transactions_Clean[[#This Row],[Date]],"MMM-YYYY")</f>
        <v>Feb-2026</v>
      </c>
      <c r="L2197">
        <f>IF(Transactions_Clean[[#This Row],[Category]]="Revenue",Transactions_Clean[[#This Row],[Amount(₹)]],Transactions_Clean[[#This Row],[Amount(₹)]]/8)</f>
        <v>-14566.5</v>
      </c>
    </row>
    <row r="2198" spans="1:12">
      <c r="A2198" t="s">
        <v>3457</v>
      </c>
      <c r="B2198" t="s">
        <v>66</v>
      </c>
      <c r="C2198" t="s">
        <v>61</v>
      </c>
      <c r="D2198">
        <v>-33253</v>
      </c>
      <c r="E2198" t="s">
        <v>62</v>
      </c>
      <c r="F2198" t="s">
        <v>24</v>
      </c>
      <c r="G2198" t="s">
        <v>63</v>
      </c>
      <c r="H2198" t="s">
        <v>39</v>
      </c>
      <c r="I2198" t="s">
        <v>40</v>
      </c>
      <c r="J2198" s="11">
        <v>45898</v>
      </c>
      <c r="K2198" t="str">
        <f>TEXT(Transactions_Clean[[#This Row],[Date]],"MMM-YYYY")</f>
        <v>Aug-2025</v>
      </c>
      <c r="L2198">
        <f>IF(Transactions_Clean[[#This Row],[Category]]="Revenue",Transactions_Clean[[#This Row],[Amount(₹)]],Transactions_Clean[[#This Row],[Amount(₹)]]/8)</f>
        <v>-4156.625</v>
      </c>
    </row>
    <row r="2199" spans="1:12">
      <c r="A2199" t="s">
        <v>3458</v>
      </c>
      <c r="B2199" t="s">
        <v>255</v>
      </c>
      <c r="C2199" t="s">
        <v>22</v>
      </c>
      <c r="D2199">
        <v>-203911</v>
      </c>
      <c r="E2199" t="s">
        <v>23</v>
      </c>
      <c r="F2199" t="s">
        <v>32</v>
      </c>
      <c r="G2199" t="s">
        <v>25</v>
      </c>
      <c r="H2199" t="s">
        <v>45</v>
      </c>
      <c r="I2199" t="s">
        <v>34</v>
      </c>
      <c r="J2199" s="11">
        <v>45394</v>
      </c>
      <c r="K2199" t="str">
        <f>TEXT(Transactions_Clean[[#This Row],[Date]],"MMM-YYYY")</f>
        <v>Apr-2024</v>
      </c>
      <c r="L2199">
        <f>IF(Transactions_Clean[[#This Row],[Category]]="Revenue",Transactions_Clean[[#This Row],[Amount(₹)]],Transactions_Clean[[#This Row],[Amount(₹)]]/8)</f>
        <v>-25488.875</v>
      </c>
    </row>
    <row r="2200" spans="1:12">
      <c r="A2200" t="s">
        <v>3459</v>
      </c>
      <c r="B2200" t="s">
        <v>215</v>
      </c>
      <c r="C2200" t="s">
        <v>61</v>
      </c>
      <c r="D2200">
        <v>-61815</v>
      </c>
      <c r="E2200" t="s">
        <v>62</v>
      </c>
      <c r="F2200" t="s">
        <v>32</v>
      </c>
      <c r="G2200" t="s">
        <v>63</v>
      </c>
      <c r="H2200" t="s">
        <v>45</v>
      </c>
      <c r="I2200" t="s">
        <v>27</v>
      </c>
      <c r="J2200" s="11">
        <v>45742</v>
      </c>
      <c r="K2200" t="str">
        <f>TEXT(Transactions_Clean[[#This Row],[Date]],"MMM-YYYY")</f>
        <v>Mar-2025</v>
      </c>
      <c r="L2200">
        <f>IF(Transactions_Clean[[#This Row],[Category]]="Revenue",Transactions_Clean[[#This Row],[Amount(₹)]],Transactions_Clean[[#This Row],[Amount(₹)]]/8)</f>
        <v>-7726.875</v>
      </c>
    </row>
    <row r="2201" spans="1:12">
      <c r="A2201" t="s">
        <v>3461</v>
      </c>
      <c r="B2201" t="s">
        <v>37</v>
      </c>
      <c r="C2201" t="s">
        <v>38</v>
      </c>
      <c r="D2201">
        <v>-17924</v>
      </c>
      <c r="E2201" t="s">
        <v>23</v>
      </c>
      <c r="F2201" t="s">
        <v>32</v>
      </c>
      <c r="G2201" t="s">
        <v>33</v>
      </c>
      <c r="H2201" t="s">
        <v>45</v>
      </c>
      <c r="I2201" t="s">
        <v>40</v>
      </c>
      <c r="J2201" s="11">
        <v>45551</v>
      </c>
      <c r="K2201" t="str">
        <f>TEXT(Transactions_Clean[[#This Row],[Date]],"MMM-YYYY")</f>
        <v>Sep-2024</v>
      </c>
      <c r="L2201">
        <f>IF(Transactions_Clean[[#This Row],[Category]]="Revenue",Transactions_Clean[[#This Row],[Amount(₹)]],Transactions_Clean[[#This Row],[Amount(₹)]]/8)</f>
        <v>-2240.5</v>
      </c>
    </row>
    <row r="2202" spans="1:12">
      <c r="A2202" t="s">
        <v>3462</v>
      </c>
      <c r="B2202" t="s">
        <v>161</v>
      </c>
      <c r="C2202" t="s">
        <v>22</v>
      </c>
      <c r="D2202">
        <v>-62020</v>
      </c>
      <c r="E2202" t="s">
        <v>23</v>
      </c>
      <c r="F2202" t="s">
        <v>24</v>
      </c>
      <c r="G2202" t="s">
        <v>25</v>
      </c>
      <c r="H2202" t="s">
        <v>45</v>
      </c>
      <c r="I2202" t="s">
        <v>27</v>
      </c>
      <c r="J2202" s="11">
        <v>45724</v>
      </c>
      <c r="K2202" t="str">
        <f>TEXT(Transactions_Clean[[#This Row],[Date]],"MMM-YYYY")</f>
        <v>Mar-2025</v>
      </c>
      <c r="L2202">
        <f>IF(Transactions_Clean[[#This Row],[Category]]="Revenue",Transactions_Clean[[#This Row],[Amount(₹)]],Transactions_Clean[[#This Row],[Amount(₹)]]/8)</f>
        <v>-7752.5</v>
      </c>
    </row>
    <row r="2203" spans="1:12">
      <c r="A2203" t="s">
        <v>3463</v>
      </c>
      <c r="B2203" t="s">
        <v>161</v>
      </c>
      <c r="C2203" t="s">
        <v>22</v>
      </c>
      <c r="D2203">
        <v>-70771</v>
      </c>
      <c r="E2203" t="s">
        <v>23</v>
      </c>
      <c r="F2203" t="s">
        <v>24</v>
      </c>
      <c r="G2203" t="s">
        <v>25</v>
      </c>
      <c r="H2203" t="s">
        <v>39</v>
      </c>
      <c r="I2203" t="s">
        <v>48</v>
      </c>
      <c r="J2203" s="11">
        <v>45943</v>
      </c>
      <c r="K2203" t="str">
        <f>TEXT(Transactions_Clean[[#This Row],[Date]],"MMM-YYYY")</f>
        <v>Oct-2025</v>
      </c>
      <c r="L2203">
        <f>IF(Transactions_Clean[[#This Row],[Category]]="Revenue",Transactions_Clean[[#This Row],[Amount(₹)]],Transactions_Clean[[#This Row],[Amount(₹)]]/8)</f>
        <v>-8846.375</v>
      </c>
    </row>
    <row r="2204" spans="1:12">
      <c r="A2204" t="s">
        <v>3464</v>
      </c>
      <c r="B2204" t="s">
        <v>180</v>
      </c>
      <c r="C2204" t="s">
        <v>44</v>
      </c>
      <c r="D2204">
        <v>-147785</v>
      </c>
      <c r="E2204" t="s">
        <v>23</v>
      </c>
      <c r="F2204" t="s">
        <v>24</v>
      </c>
      <c r="G2204" t="s">
        <v>33</v>
      </c>
      <c r="H2204" t="s">
        <v>39</v>
      </c>
      <c r="I2204" t="s">
        <v>48</v>
      </c>
      <c r="J2204" s="11">
        <v>45956</v>
      </c>
      <c r="K2204" t="str">
        <f>TEXT(Transactions_Clean[[#This Row],[Date]],"MMM-YYYY")</f>
        <v>Oct-2025</v>
      </c>
      <c r="L2204">
        <f>IF(Transactions_Clean[[#This Row],[Category]]="Revenue",Transactions_Clean[[#This Row],[Amount(₹)]],Transactions_Clean[[#This Row],[Amount(₹)]]/8)</f>
        <v>-18473.125</v>
      </c>
    </row>
    <row r="2205" spans="1:12">
      <c r="A2205" t="s">
        <v>3465</v>
      </c>
      <c r="B2205" t="s">
        <v>106</v>
      </c>
      <c r="C2205" t="s">
        <v>4750</v>
      </c>
      <c r="D2205">
        <v>-8322</v>
      </c>
      <c r="E2205" t="s">
        <v>23</v>
      </c>
      <c r="F2205" t="s">
        <v>24</v>
      </c>
      <c r="G2205" t="s">
        <v>33</v>
      </c>
      <c r="H2205" t="s">
        <v>39</v>
      </c>
      <c r="I2205" t="s">
        <v>27</v>
      </c>
      <c r="J2205" s="11">
        <v>46030</v>
      </c>
      <c r="K2205" t="str">
        <f>TEXT(Transactions_Clean[[#This Row],[Date]],"MMM-YYYY")</f>
        <v>Jan-2026</v>
      </c>
      <c r="L2205">
        <f>IF(Transactions_Clean[[#This Row],[Category]]="Revenue",Transactions_Clean[[#This Row],[Amount(₹)]],Transactions_Clean[[#This Row],[Amount(₹)]]/8)</f>
        <v>-1040.25</v>
      </c>
    </row>
    <row r="2206" spans="1:12">
      <c r="A2206" t="s">
        <v>3466</v>
      </c>
      <c r="B2206" t="s">
        <v>4757</v>
      </c>
      <c r="C2206" t="s">
        <v>73</v>
      </c>
      <c r="D2206">
        <v>-67083</v>
      </c>
      <c r="E2206" t="s">
        <v>74</v>
      </c>
      <c r="F2206" t="s">
        <v>32</v>
      </c>
      <c r="G2206" t="s">
        <v>25</v>
      </c>
      <c r="H2206" t="s">
        <v>45</v>
      </c>
      <c r="I2206" t="s">
        <v>27</v>
      </c>
      <c r="J2206" s="11">
        <v>45713</v>
      </c>
      <c r="K2206" t="str">
        <f>TEXT(Transactions_Clean[[#This Row],[Date]],"MMM-YYYY")</f>
        <v>Feb-2025</v>
      </c>
      <c r="L2206">
        <f>IF(Transactions_Clean[[#This Row],[Category]]="Revenue",Transactions_Clean[[#This Row],[Amount(₹)]],Transactions_Clean[[#This Row],[Amount(₹)]]/8)</f>
        <v>-8385.375</v>
      </c>
    </row>
    <row r="2207" spans="1:12">
      <c r="A2207" t="s">
        <v>3467</v>
      </c>
      <c r="B2207" t="s">
        <v>180</v>
      </c>
      <c r="C2207" t="s">
        <v>44</v>
      </c>
      <c r="D2207">
        <v>-82749</v>
      </c>
      <c r="E2207" t="s">
        <v>23</v>
      </c>
      <c r="F2207" t="s">
        <v>24</v>
      </c>
      <c r="G2207" t="s">
        <v>33</v>
      </c>
      <c r="H2207" t="s">
        <v>39</v>
      </c>
      <c r="I2207" t="s">
        <v>34</v>
      </c>
      <c r="J2207" s="11">
        <v>45830</v>
      </c>
      <c r="K2207" t="str">
        <f>TEXT(Transactions_Clean[[#This Row],[Date]],"MMM-YYYY")</f>
        <v>Jun-2025</v>
      </c>
      <c r="L2207">
        <f>IF(Transactions_Clean[[#This Row],[Category]]="Revenue",Transactions_Clean[[#This Row],[Amount(₹)]],Transactions_Clean[[#This Row],[Amount(₹)]]/8)</f>
        <v>-10343.625</v>
      </c>
    </row>
    <row r="2208" spans="1:12">
      <c r="A2208" t="s">
        <v>3468</v>
      </c>
      <c r="B2208" t="s">
        <v>37</v>
      </c>
      <c r="C2208" t="s">
        <v>38</v>
      </c>
      <c r="D2208">
        <v>-50086</v>
      </c>
      <c r="E2208" t="s">
        <v>23</v>
      </c>
      <c r="F2208" t="s">
        <v>32</v>
      </c>
      <c r="G2208" t="s">
        <v>33</v>
      </c>
      <c r="H2208" t="s">
        <v>39</v>
      </c>
      <c r="I2208" t="s">
        <v>48</v>
      </c>
      <c r="J2208" s="11">
        <v>45951</v>
      </c>
      <c r="K2208" t="str">
        <f>TEXT(Transactions_Clean[[#This Row],[Date]],"MMM-YYYY")</f>
        <v>Oct-2025</v>
      </c>
      <c r="L2208">
        <f>IF(Transactions_Clean[[#This Row],[Category]]="Revenue",Transactions_Clean[[#This Row],[Amount(₹)]],Transactions_Clean[[#This Row],[Amount(₹)]]/8)</f>
        <v>-6260.75</v>
      </c>
    </row>
    <row r="2209" spans="1:12">
      <c r="A2209" t="s">
        <v>3469</v>
      </c>
      <c r="B2209" t="s">
        <v>215</v>
      </c>
      <c r="C2209" t="s">
        <v>61</v>
      </c>
      <c r="D2209">
        <v>-32569</v>
      </c>
      <c r="E2209" t="s">
        <v>62</v>
      </c>
      <c r="F2209" t="s">
        <v>32</v>
      </c>
      <c r="G2209" t="s">
        <v>63</v>
      </c>
      <c r="H2209" t="s">
        <v>26</v>
      </c>
      <c r="I2209" t="s">
        <v>48</v>
      </c>
      <c r="J2209" s="11">
        <v>45242</v>
      </c>
      <c r="K2209" t="str">
        <f>TEXT(Transactions_Clean[[#This Row],[Date]],"MMM-YYYY")</f>
        <v>Nov-2023</v>
      </c>
      <c r="L2209">
        <f>IF(Transactions_Clean[[#This Row],[Category]]="Revenue",Transactions_Clean[[#This Row],[Amount(₹)]],Transactions_Clean[[#This Row],[Amount(₹)]]/8)</f>
        <v>-4071.125</v>
      </c>
    </row>
    <row r="2210" spans="1:12">
      <c r="A2210" t="s">
        <v>3470</v>
      </c>
      <c r="B2210" t="s">
        <v>4765</v>
      </c>
      <c r="C2210" t="s">
        <v>73</v>
      </c>
      <c r="D2210">
        <v>-37762</v>
      </c>
      <c r="E2210" t="s">
        <v>74</v>
      </c>
      <c r="F2210" t="s">
        <v>32</v>
      </c>
      <c r="G2210" t="s">
        <v>25</v>
      </c>
      <c r="H2210" t="s">
        <v>45</v>
      </c>
      <c r="I2210" t="s">
        <v>27</v>
      </c>
      <c r="J2210" s="11">
        <v>45745</v>
      </c>
      <c r="K2210" t="str">
        <f>TEXT(Transactions_Clean[[#This Row],[Date]],"MMM-YYYY")</f>
        <v>Mar-2025</v>
      </c>
      <c r="L2210">
        <f>IF(Transactions_Clean[[#This Row],[Category]]="Revenue",Transactions_Clean[[#This Row],[Amount(₹)]],Transactions_Clean[[#This Row],[Amount(₹)]]/8)</f>
        <v>-4720.25</v>
      </c>
    </row>
    <row r="2211" spans="1:12">
      <c r="A2211" t="s">
        <v>3471</v>
      </c>
      <c r="B2211" t="s">
        <v>215</v>
      </c>
      <c r="C2211" t="s">
        <v>61</v>
      </c>
      <c r="D2211">
        <v>-40086</v>
      </c>
      <c r="E2211" t="s">
        <v>62</v>
      </c>
      <c r="F2211" t="s">
        <v>24</v>
      </c>
      <c r="G2211" t="s">
        <v>63</v>
      </c>
      <c r="H2211" t="s">
        <v>39</v>
      </c>
      <c r="I2211" t="s">
        <v>27</v>
      </c>
      <c r="J2211" s="11">
        <v>46107</v>
      </c>
      <c r="K2211" t="str">
        <f>TEXT(Transactions_Clean[[#This Row],[Date]],"MMM-YYYY")</f>
        <v>Mar-2026</v>
      </c>
      <c r="L2211">
        <f>IF(Transactions_Clean[[#This Row],[Category]]="Revenue",Transactions_Clean[[#This Row],[Amount(₹)]],Transactions_Clean[[#This Row],[Amount(₹)]]/8)</f>
        <v>-5010.75</v>
      </c>
    </row>
    <row r="2212" spans="1:12">
      <c r="A2212" t="s">
        <v>3472</v>
      </c>
      <c r="B2212" t="s">
        <v>66</v>
      </c>
      <c r="C2212" t="s">
        <v>61</v>
      </c>
      <c r="D2212">
        <v>-34629</v>
      </c>
      <c r="E2212" t="s">
        <v>62</v>
      </c>
      <c r="F2212" t="s">
        <v>24</v>
      </c>
      <c r="G2212" t="s">
        <v>63</v>
      </c>
      <c r="H2212" t="s">
        <v>45</v>
      </c>
      <c r="I2212" t="s">
        <v>48</v>
      </c>
      <c r="J2212" s="11">
        <v>45599</v>
      </c>
      <c r="K2212" t="str">
        <f>TEXT(Transactions_Clean[[#This Row],[Date]],"MMM-YYYY")</f>
        <v>Nov-2024</v>
      </c>
      <c r="L2212">
        <f>IF(Transactions_Clean[[#This Row],[Category]]="Revenue",Transactions_Clean[[#This Row],[Amount(₹)]],Transactions_Clean[[#This Row],[Amount(₹)]]/8)</f>
        <v>-4328.625</v>
      </c>
    </row>
    <row r="2213" spans="1:12">
      <c r="A2213" t="s">
        <v>3473</v>
      </c>
      <c r="B2213" t="s">
        <v>4762</v>
      </c>
      <c r="C2213" t="s">
        <v>157</v>
      </c>
      <c r="D2213">
        <v>617557</v>
      </c>
      <c r="E2213" t="s">
        <v>62</v>
      </c>
      <c r="F2213" t="s">
        <v>32</v>
      </c>
      <c r="G2213" t="s">
        <v>25</v>
      </c>
      <c r="H2213" t="s">
        <v>45</v>
      </c>
      <c r="I2213" t="s">
        <v>27</v>
      </c>
      <c r="J2213" s="11">
        <v>45723</v>
      </c>
      <c r="K2213" t="str">
        <f>TEXT(Transactions_Clean[[#This Row],[Date]],"MMM-YYYY")</f>
        <v>Mar-2025</v>
      </c>
      <c r="L2213">
        <f>IF(Transactions_Clean[[#This Row],[Category]]="Revenue",Transactions_Clean[[#This Row],[Amount(₹)]],Transactions_Clean[[#This Row],[Amount(₹)]]/8)</f>
        <v>617557</v>
      </c>
    </row>
    <row r="2214" spans="1:12">
      <c r="A2214" t="s">
        <v>3474</v>
      </c>
      <c r="B2214" t="s">
        <v>4754</v>
      </c>
      <c r="C2214" t="s">
        <v>78</v>
      </c>
      <c r="D2214">
        <v>-59987</v>
      </c>
      <c r="E2214" t="s">
        <v>23</v>
      </c>
      <c r="F2214" t="s">
        <v>24</v>
      </c>
      <c r="G2214" t="s">
        <v>79</v>
      </c>
      <c r="H2214" t="s">
        <v>45</v>
      </c>
      <c r="I2214" t="s">
        <v>34</v>
      </c>
      <c r="J2214" s="11">
        <v>45425</v>
      </c>
      <c r="K2214" t="str">
        <f>TEXT(Transactions_Clean[[#This Row],[Date]],"MMM-YYYY")</f>
        <v>May-2024</v>
      </c>
      <c r="L2214">
        <f>IF(Transactions_Clean[[#This Row],[Category]]="Revenue",Transactions_Clean[[#This Row],[Amount(₹)]],Transactions_Clean[[#This Row],[Amount(₹)]]/8)</f>
        <v>-7498.375</v>
      </c>
    </row>
    <row r="2215" spans="1:12">
      <c r="A2215" t="s">
        <v>3476</v>
      </c>
      <c r="B2215" t="s">
        <v>4795</v>
      </c>
      <c r="C2215" t="s">
        <v>136</v>
      </c>
      <c r="D2215">
        <v>-10373737</v>
      </c>
      <c r="E2215" t="s">
        <v>62</v>
      </c>
      <c r="F2215" t="s">
        <v>32</v>
      </c>
      <c r="G2215" t="s">
        <v>63</v>
      </c>
      <c r="H2215" t="s">
        <v>26</v>
      </c>
      <c r="I2215" t="s">
        <v>40</v>
      </c>
      <c r="J2215" s="11">
        <v>45197</v>
      </c>
      <c r="K2215" t="str">
        <f>TEXT(Transactions_Clean[[#This Row],[Date]],"MMM-YYYY")</f>
        <v>Sep-2023</v>
      </c>
      <c r="L2215">
        <f>IF(Transactions_Clean[[#This Row],[Category]]="Revenue",Transactions_Clean[[#This Row],[Amount(₹)]],Transactions_Clean[[#This Row],[Amount(₹)]]/8)</f>
        <v>-1296717.125</v>
      </c>
    </row>
    <row r="2216" spans="1:12">
      <c r="A2216" t="s">
        <v>3478</v>
      </c>
      <c r="B2216" t="s">
        <v>4760</v>
      </c>
      <c r="C2216" t="s">
        <v>73</v>
      </c>
      <c r="D2216">
        <v>-82620</v>
      </c>
      <c r="E2216" t="s">
        <v>74</v>
      </c>
      <c r="F2216" t="s">
        <v>24</v>
      </c>
      <c r="G2216" t="s">
        <v>25</v>
      </c>
      <c r="H2216" t="s">
        <v>39</v>
      </c>
      <c r="I2216" t="s">
        <v>48</v>
      </c>
      <c r="J2216" s="11">
        <v>45953</v>
      </c>
      <c r="K2216" t="str">
        <f>TEXT(Transactions_Clean[[#This Row],[Date]],"MMM-YYYY")</f>
        <v>Oct-2025</v>
      </c>
      <c r="L2216">
        <f>IF(Transactions_Clean[[#This Row],[Category]]="Revenue",Transactions_Clean[[#This Row],[Amount(₹)]],Transactions_Clean[[#This Row],[Amount(₹)]]/8)</f>
        <v>-10327.5</v>
      </c>
    </row>
    <row r="2217" spans="1:12">
      <c r="A2217" t="s">
        <v>3479</v>
      </c>
      <c r="B2217" t="s">
        <v>255</v>
      </c>
      <c r="C2217" t="s">
        <v>22</v>
      </c>
      <c r="D2217">
        <v>-35178</v>
      </c>
      <c r="E2217" t="s">
        <v>23</v>
      </c>
      <c r="F2217" t="s">
        <v>24</v>
      </c>
      <c r="G2217" t="s">
        <v>25</v>
      </c>
      <c r="H2217" t="s">
        <v>39</v>
      </c>
      <c r="I2217" t="s">
        <v>34</v>
      </c>
      <c r="J2217" s="11">
        <v>45782</v>
      </c>
      <c r="K2217" t="str">
        <f>TEXT(Transactions_Clean[[#This Row],[Date]],"MMM-YYYY")</f>
        <v>May-2025</v>
      </c>
      <c r="L2217">
        <f>IF(Transactions_Clean[[#This Row],[Category]]="Revenue",Transactions_Clean[[#This Row],[Amount(₹)]],Transactions_Clean[[#This Row],[Amount(₹)]]/8)</f>
        <v>-4397.25</v>
      </c>
    </row>
    <row r="2218" spans="1:12">
      <c r="A2218" t="s">
        <v>3481</v>
      </c>
      <c r="B2218" t="s">
        <v>616</v>
      </c>
      <c r="C2218" t="s">
        <v>22</v>
      </c>
      <c r="D2218">
        <v>-48222</v>
      </c>
      <c r="E2218" t="s">
        <v>23</v>
      </c>
      <c r="F2218" t="s">
        <v>24</v>
      </c>
      <c r="G2218" t="s">
        <v>25</v>
      </c>
      <c r="H2218" t="s">
        <v>39</v>
      </c>
      <c r="I2218" t="s">
        <v>48</v>
      </c>
      <c r="J2218" s="11">
        <v>45950</v>
      </c>
      <c r="K2218" t="str">
        <f>TEXT(Transactions_Clean[[#This Row],[Date]],"MMM-YYYY")</f>
        <v>Oct-2025</v>
      </c>
      <c r="L2218">
        <f>IF(Transactions_Clean[[#This Row],[Category]]="Revenue",Transactions_Clean[[#This Row],[Amount(₹)]],Transactions_Clean[[#This Row],[Amount(₹)]]/8)</f>
        <v>-6027.75</v>
      </c>
    </row>
    <row r="2219" spans="1:12">
      <c r="A2219" t="s">
        <v>3482</v>
      </c>
      <c r="B2219" t="s">
        <v>60</v>
      </c>
      <c r="C2219" t="s">
        <v>61</v>
      </c>
      <c r="D2219">
        <v>-57221</v>
      </c>
      <c r="E2219" t="s">
        <v>62</v>
      </c>
      <c r="F2219" t="s">
        <v>32</v>
      </c>
      <c r="G2219" t="s">
        <v>63</v>
      </c>
      <c r="H2219" t="s">
        <v>39</v>
      </c>
      <c r="I2219" t="s">
        <v>40</v>
      </c>
      <c r="J2219" s="11">
        <v>45929</v>
      </c>
      <c r="K2219" t="str">
        <f>TEXT(Transactions_Clean[[#This Row],[Date]],"MMM-YYYY")</f>
        <v>Sep-2025</v>
      </c>
      <c r="L2219">
        <f>IF(Transactions_Clean[[#This Row],[Category]]="Revenue",Transactions_Clean[[#This Row],[Amount(₹)]],Transactions_Clean[[#This Row],[Amount(₹)]]/8)</f>
        <v>-7152.625</v>
      </c>
    </row>
    <row r="2220" spans="1:12">
      <c r="A2220" t="s">
        <v>3483</v>
      </c>
      <c r="B2220" t="s">
        <v>51</v>
      </c>
      <c r="C2220" t="s">
        <v>31</v>
      </c>
      <c r="D2220">
        <v>-19730</v>
      </c>
      <c r="E2220" t="s">
        <v>23</v>
      </c>
      <c r="F2220" t="s">
        <v>32</v>
      </c>
      <c r="G2220" t="s">
        <v>33</v>
      </c>
      <c r="H2220" t="s">
        <v>45</v>
      </c>
      <c r="I2220" t="s">
        <v>27</v>
      </c>
      <c r="J2220" s="11">
        <v>45733</v>
      </c>
      <c r="K2220" t="str">
        <f>TEXT(Transactions_Clean[[#This Row],[Date]],"MMM-YYYY")</f>
        <v>Mar-2025</v>
      </c>
      <c r="L2220">
        <f>IF(Transactions_Clean[[#This Row],[Category]]="Revenue",Transactions_Clean[[#This Row],[Amount(₹)]],Transactions_Clean[[#This Row],[Amount(₹)]]/8)</f>
        <v>-2466.25</v>
      </c>
    </row>
    <row r="2221" spans="1:12">
      <c r="A2221" t="s">
        <v>3484</v>
      </c>
      <c r="B2221" t="s">
        <v>290</v>
      </c>
      <c r="C2221" t="s">
        <v>440</v>
      </c>
      <c r="D2221">
        <v>-116408</v>
      </c>
      <c r="E2221" t="s">
        <v>23</v>
      </c>
      <c r="F2221" t="s">
        <v>24</v>
      </c>
      <c r="G2221" t="s">
        <v>33</v>
      </c>
      <c r="H2221" t="s">
        <v>39</v>
      </c>
      <c r="I2221" t="s">
        <v>48</v>
      </c>
      <c r="J2221" s="11">
        <v>45819</v>
      </c>
      <c r="K2221" t="str">
        <f>TEXT(Transactions_Clean[[#This Row],[Date]],"MMM-YYYY")</f>
        <v>Jun-2025</v>
      </c>
      <c r="L2221">
        <f>IF(Transactions_Clean[[#This Row],[Category]]="Revenue",Transactions_Clean[[#This Row],[Amount(₹)]],Transactions_Clean[[#This Row],[Amount(₹)]]/8)</f>
        <v>-14551</v>
      </c>
    </row>
    <row r="2222" spans="1:12">
      <c r="A2222" t="s">
        <v>3486</v>
      </c>
      <c r="B2222" t="s">
        <v>4796</v>
      </c>
      <c r="C2222" t="s">
        <v>136</v>
      </c>
      <c r="D2222">
        <v>-10334865</v>
      </c>
      <c r="E2222" t="s">
        <v>62</v>
      </c>
      <c r="F2222" t="s">
        <v>32</v>
      </c>
      <c r="G2222" t="s">
        <v>63</v>
      </c>
      <c r="H2222" t="s">
        <v>45</v>
      </c>
      <c r="I2222" t="s">
        <v>27</v>
      </c>
      <c r="J2222" s="11">
        <v>45685</v>
      </c>
      <c r="K2222" t="str">
        <f>TEXT(Transactions_Clean[[#This Row],[Date]],"MMM-YYYY")</f>
        <v>Jan-2025</v>
      </c>
      <c r="L2222">
        <f>IF(Transactions_Clean[[#This Row],[Category]]="Revenue",Transactions_Clean[[#This Row],[Amount(₹)]],Transactions_Clean[[#This Row],[Amount(₹)]]/8)</f>
        <v>-1291858.125</v>
      </c>
    </row>
    <row r="2223" spans="1:12">
      <c r="A2223" t="s">
        <v>3488</v>
      </c>
      <c r="B2223" t="s">
        <v>283</v>
      </c>
      <c r="C2223" t="s">
        <v>44</v>
      </c>
      <c r="D2223">
        <v>-94200</v>
      </c>
      <c r="E2223" t="s">
        <v>23</v>
      </c>
      <c r="F2223" t="s">
        <v>32</v>
      </c>
      <c r="G2223" t="s">
        <v>33</v>
      </c>
      <c r="H2223" t="s">
        <v>45</v>
      </c>
      <c r="I2223" t="s">
        <v>48</v>
      </c>
      <c r="J2223" s="11">
        <v>45641</v>
      </c>
      <c r="K2223" t="str">
        <f>TEXT(Transactions_Clean[[#This Row],[Date]],"MMM-YYYY")</f>
        <v>Dec-2024</v>
      </c>
      <c r="L2223">
        <f>IF(Transactions_Clean[[#This Row],[Category]]="Revenue",Transactions_Clean[[#This Row],[Amount(₹)]],Transactions_Clean[[#This Row],[Amount(₹)]]/8)</f>
        <v>-11775</v>
      </c>
    </row>
    <row r="2224" spans="1:12">
      <c r="A2224" t="s">
        <v>3489</v>
      </c>
      <c r="B2224" t="s">
        <v>4758</v>
      </c>
      <c r="C2224" t="s">
        <v>78</v>
      </c>
      <c r="D2224">
        <v>-89852</v>
      </c>
      <c r="E2224" t="s">
        <v>23</v>
      </c>
      <c r="F2224" t="s">
        <v>32</v>
      </c>
      <c r="G2224" t="s">
        <v>79</v>
      </c>
      <c r="H2224" t="s">
        <v>39</v>
      </c>
      <c r="I2224" t="s">
        <v>27</v>
      </c>
      <c r="J2224" s="11">
        <v>46072</v>
      </c>
      <c r="K2224" t="str">
        <f>TEXT(Transactions_Clean[[#This Row],[Date]],"MMM-YYYY")</f>
        <v>Feb-2026</v>
      </c>
      <c r="L2224">
        <f>IF(Transactions_Clean[[#This Row],[Category]]="Revenue",Transactions_Clean[[#This Row],[Amount(₹)]],Transactions_Clean[[#This Row],[Amount(₹)]]/8)</f>
        <v>-11231.5</v>
      </c>
    </row>
    <row r="2225" spans="1:12">
      <c r="A2225" t="s">
        <v>3490</v>
      </c>
      <c r="B2225" t="s">
        <v>4749</v>
      </c>
      <c r="C2225" t="s">
        <v>44</v>
      </c>
      <c r="D2225">
        <v>-97840</v>
      </c>
      <c r="E2225" t="s">
        <v>23</v>
      </c>
      <c r="F2225" t="s">
        <v>32</v>
      </c>
      <c r="G2225" t="s">
        <v>33</v>
      </c>
      <c r="H2225" t="s">
        <v>39</v>
      </c>
      <c r="I2225" t="s">
        <v>27</v>
      </c>
      <c r="J2225" s="11">
        <v>46038</v>
      </c>
      <c r="K2225" t="str">
        <f>TEXT(Transactions_Clean[[#This Row],[Date]],"MMM-YYYY")</f>
        <v>Jan-2026</v>
      </c>
      <c r="L2225">
        <f>IF(Transactions_Clean[[#This Row],[Category]]="Revenue",Transactions_Clean[[#This Row],[Amount(₹)]],Transactions_Clean[[#This Row],[Amount(₹)]]/8)</f>
        <v>-12230</v>
      </c>
    </row>
    <row r="2226" spans="1:12">
      <c r="A2226" t="s">
        <v>3491</v>
      </c>
      <c r="B2226" t="s">
        <v>215</v>
      </c>
      <c r="C2226" t="s">
        <v>61</v>
      </c>
      <c r="D2226">
        <v>-46426</v>
      </c>
      <c r="E2226" t="s">
        <v>62</v>
      </c>
      <c r="F2226" t="s">
        <v>32</v>
      </c>
      <c r="G2226" t="s">
        <v>63</v>
      </c>
      <c r="H2226" t="s">
        <v>26</v>
      </c>
      <c r="I2226" t="s">
        <v>27</v>
      </c>
      <c r="J2226" s="11">
        <v>45333</v>
      </c>
      <c r="K2226" t="str">
        <f>TEXT(Transactions_Clean[[#This Row],[Date]],"MMM-YYYY")</f>
        <v>Feb-2024</v>
      </c>
      <c r="L2226">
        <f>IF(Transactions_Clean[[#This Row],[Category]]="Revenue",Transactions_Clean[[#This Row],[Amount(₹)]],Transactions_Clean[[#This Row],[Amount(₹)]]/8)</f>
        <v>-5803.25</v>
      </c>
    </row>
    <row r="2227" spans="1:12">
      <c r="A2227" t="s">
        <v>3492</v>
      </c>
      <c r="B2227" t="s">
        <v>37</v>
      </c>
      <c r="C2227" t="s">
        <v>38</v>
      </c>
      <c r="D2227">
        <v>-35262</v>
      </c>
      <c r="E2227" t="s">
        <v>23</v>
      </c>
      <c r="F2227" t="s">
        <v>24</v>
      </c>
      <c r="G2227" t="s">
        <v>33</v>
      </c>
      <c r="H2227" t="s">
        <v>26</v>
      </c>
      <c r="I2227" t="s">
        <v>34</v>
      </c>
      <c r="J2227" s="11">
        <v>45070</v>
      </c>
      <c r="K2227" t="str">
        <f>TEXT(Transactions_Clean[[#This Row],[Date]],"MMM-YYYY")</f>
        <v>May-2023</v>
      </c>
      <c r="L2227">
        <f>IF(Transactions_Clean[[#This Row],[Category]]="Revenue",Transactions_Clean[[#This Row],[Amount(₹)]],Transactions_Clean[[#This Row],[Amount(₹)]]/8)</f>
        <v>-4407.75</v>
      </c>
    </row>
    <row r="2228" spans="1:12">
      <c r="A2228" t="s">
        <v>3493</v>
      </c>
      <c r="B2228" t="s">
        <v>4751</v>
      </c>
      <c r="C2228" t="s">
        <v>38</v>
      </c>
      <c r="D2228">
        <v>-31962</v>
      </c>
      <c r="E2228" t="s">
        <v>23</v>
      </c>
      <c r="F2228" t="s">
        <v>24</v>
      </c>
      <c r="G2228" t="s">
        <v>33</v>
      </c>
      <c r="H2228" t="s">
        <v>26</v>
      </c>
      <c r="I2228" t="s">
        <v>48</v>
      </c>
      <c r="J2228" s="11">
        <v>45219</v>
      </c>
      <c r="K2228" t="str">
        <f>TEXT(Transactions_Clean[[#This Row],[Date]],"MMM-YYYY")</f>
        <v>Oct-2023</v>
      </c>
      <c r="L2228">
        <f>IF(Transactions_Clean[[#This Row],[Category]]="Revenue",Transactions_Clean[[#This Row],[Amount(₹)]],Transactions_Clean[[#This Row],[Amount(₹)]]/8)</f>
        <v>-3995.25</v>
      </c>
    </row>
    <row r="2229" spans="1:12">
      <c r="A2229" t="s">
        <v>3494</v>
      </c>
      <c r="B2229" t="s">
        <v>4759</v>
      </c>
      <c r="C2229" t="s">
        <v>31</v>
      </c>
      <c r="D2229">
        <v>-14727</v>
      </c>
      <c r="E2229" t="s">
        <v>23</v>
      </c>
      <c r="F2229" t="s">
        <v>32</v>
      </c>
      <c r="G2229" t="s">
        <v>33</v>
      </c>
      <c r="H2229" t="s">
        <v>45</v>
      </c>
      <c r="I2229" t="s">
        <v>34</v>
      </c>
      <c r="J2229" s="11">
        <v>45431</v>
      </c>
      <c r="K2229" t="str">
        <f>TEXT(Transactions_Clean[[#This Row],[Date]],"MMM-YYYY")</f>
        <v>May-2024</v>
      </c>
      <c r="L2229">
        <f>IF(Transactions_Clean[[#This Row],[Category]]="Revenue",Transactions_Clean[[#This Row],[Amount(₹)]],Transactions_Clean[[#This Row],[Amount(₹)]]/8)</f>
        <v>-1840.875</v>
      </c>
    </row>
    <row r="2230" spans="1:12">
      <c r="A2230" t="s">
        <v>3495</v>
      </c>
      <c r="B2230" t="s">
        <v>4771</v>
      </c>
      <c r="C2230" t="s">
        <v>4750</v>
      </c>
      <c r="D2230">
        <v>-159176</v>
      </c>
      <c r="E2230" t="s">
        <v>23</v>
      </c>
      <c r="F2230" t="s">
        <v>32</v>
      </c>
      <c r="G2230" t="s">
        <v>33</v>
      </c>
      <c r="H2230" t="s">
        <v>26</v>
      </c>
      <c r="I2230" t="s">
        <v>48</v>
      </c>
      <c r="J2230" s="11">
        <v>45267</v>
      </c>
      <c r="K2230" t="str">
        <f>TEXT(Transactions_Clean[[#This Row],[Date]],"MMM-YYYY")</f>
        <v>Dec-2023</v>
      </c>
      <c r="L2230">
        <f>IF(Transactions_Clean[[#This Row],[Category]]="Revenue",Transactions_Clean[[#This Row],[Amount(₹)]],Transactions_Clean[[#This Row],[Amount(₹)]]/8)</f>
        <v>-19897</v>
      </c>
    </row>
    <row r="2231" spans="1:12">
      <c r="A2231" t="s">
        <v>3496</v>
      </c>
      <c r="B2231" t="s">
        <v>106</v>
      </c>
      <c r="C2231" t="s">
        <v>31</v>
      </c>
      <c r="D2231">
        <v>-16458</v>
      </c>
      <c r="E2231" t="s">
        <v>23</v>
      </c>
      <c r="F2231" t="s">
        <v>24</v>
      </c>
      <c r="G2231" t="s">
        <v>33</v>
      </c>
      <c r="H2231" t="s">
        <v>39</v>
      </c>
      <c r="I2231" t="s">
        <v>40</v>
      </c>
      <c r="J2231" s="11">
        <v>45929</v>
      </c>
      <c r="K2231" t="str">
        <f>TEXT(Transactions_Clean[[#This Row],[Date]],"MMM-YYYY")</f>
        <v>Sep-2025</v>
      </c>
      <c r="L2231">
        <f>IF(Transactions_Clean[[#This Row],[Category]]="Revenue",Transactions_Clean[[#This Row],[Amount(₹)]],Transactions_Clean[[#This Row],[Amount(₹)]]/8)</f>
        <v>-2057.25</v>
      </c>
    </row>
    <row r="2232" spans="1:12">
      <c r="A2232" t="s">
        <v>3498</v>
      </c>
      <c r="B2232" t="s">
        <v>305</v>
      </c>
      <c r="C2232" t="s">
        <v>38</v>
      </c>
      <c r="D2232">
        <v>-36827</v>
      </c>
      <c r="E2232" t="s">
        <v>23</v>
      </c>
      <c r="F2232" t="s">
        <v>32</v>
      </c>
      <c r="G2232" t="s">
        <v>33</v>
      </c>
      <c r="H2232" t="s">
        <v>26</v>
      </c>
      <c r="I2232" t="s">
        <v>34</v>
      </c>
      <c r="J2232" s="11">
        <v>45019</v>
      </c>
      <c r="K2232" t="str">
        <f>TEXT(Transactions_Clean[[#This Row],[Date]],"MMM-YYYY")</f>
        <v>Apr-2023</v>
      </c>
      <c r="L2232">
        <f>IF(Transactions_Clean[[#This Row],[Category]]="Revenue",Transactions_Clean[[#This Row],[Amount(₹)]],Transactions_Clean[[#This Row],[Amount(₹)]]/8)</f>
        <v>-4603.375</v>
      </c>
    </row>
    <row r="2233" spans="1:12">
      <c r="A2233" t="s">
        <v>3499</v>
      </c>
      <c r="B2233" t="s">
        <v>4757</v>
      </c>
      <c r="C2233" t="s">
        <v>73</v>
      </c>
      <c r="D2233">
        <v>-75792</v>
      </c>
      <c r="E2233" t="s">
        <v>74</v>
      </c>
      <c r="F2233" t="s">
        <v>32</v>
      </c>
      <c r="G2233" t="s">
        <v>25</v>
      </c>
      <c r="H2233" t="s">
        <v>45</v>
      </c>
      <c r="I2233" t="s">
        <v>34</v>
      </c>
      <c r="J2233" s="11">
        <v>45393</v>
      </c>
      <c r="K2233" t="str">
        <f>TEXT(Transactions_Clean[[#This Row],[Date]],"MMM-YYYY")</f>
        <v>Apr-2024</v>
      </c>
      <c r="L2233">
        <f>IF(Transactions_Clean[[#This Row],[Category]]="Revenue",Transactions_Clean[[#This Row],[Amount(₹)]],Transactions_Clean[[#This Row],[Amount(₹)]]/8)</f>
        <v>-9474</v>
      </c>
    </row>
    <row r="2234" spans="1:12">
      <c r="A2234" t="s">
        <v>3500</v>
      </c>
      <c r="B2234" t="s">
        <v>161</v>
      </c>
      <c r="C2234" t="s">
        <v>22</v>
      </c>
      <c r="D2234">
        <v>-53376</v>
      </c>
      <c r="E2234" t="s">
        <v>23</v>
      </c>
      <c r="F2234" t="s">
        <v>24</v>
      </c>
      <c r="G2234" t="s">
        <v>25</v>
      </c>
      <c r="H2234" t="s">
        <v>45</v>
      </c>
      <c r="I2234" t="s">
        <v>27</v>
      </c>
      <c r="J2234" s="11">
        <v>45722</v>
      </c>
      <c r="K2234" t="str">
        <f>TEXT(Transactions_Clean[[#This Row],[Date]],"MMM-YYYY")</f>
        <v>Mar-2025</v>
      </c>
      <c r="L2234">
        <f>IF(Transactions_Clean[[#This Row],[Category]]="Revenue",Transactions_Clean[[#This Row],[Amount(₹)]],Transactions_Clean[[#This Row],[Amount(₹)]]/8)</f>
        <v>-6672</v>
      </c>
    </row>
    <row r="2235" spans="1:12">
      <c r="A2235" t="s">
        <v>3502</v>
      </c>
      <c r="B2235" t="s">
        <v>51</v>
      </c>
      <c r="C2235" t="s">
        <v>31</v>
      </c>
      <c r="D2235">
        <v>-22484</v>
      </c>
      <c r="E2235" t="s">
        <v>23</v>
      </c>
      <c r="F2235" t="s">
        <v>32</v>
      </c>
      <c r="G2235" t="s">
        <v>33</v>
      </c>
      <c r="H2235" t="s">
        <v>45</v>
      </c>
      <c r="I2235" t="s">
        <v>34</v>
      </c>
      <c r="J2235" s="11">
        <v>45444</v>
      </c>
      <c r="K2235" t="str">
        <f>TEXT(Transactions_Clean[[#This Row],[Date]],"MMM-YYYY")</f>
        <v>Jun-2024</v>
      </c>
      <c r="L2235">
        <f>IF(Transactions_Clean[[#This Row],[Category]]="Revenue",Transactions_Clean[[#This Row],[Amount(₹)]],Transactions_Clean[[#This Row],[Amount(₹)]]/8)</f>
        <v>-2810.5</v>
      </c>
    </row>
    <row r="2236" spans="1:12">
      <c r="A2236" t="s">
        <v>3503</v>
      </c>
      <c r="B2236" t="s">
        <v>616</v>
      </c>
      <c r="C2236" t="s">
        <v>22</v>
      </c>
      <c r="D2236">
        <v>-180676</v>
      </c>
      <c r="E2236" t="s">
        <v>23</v>
      </c>
      <c r="F2236" t="s">
        <v>24</v>
      </c>
      <c r="G2236" t="s">
        <v>25</v>
      </c>
      <c r="H2236" t="s">
        <v>26</v>
      </c>
      <c r="I2236" t="s">
        <v>48</v>
      </c>
      <c r="J2236" s="11">
        <v>45227</v>
      </c>
      <c r="K2236" t="str">
        <f>TEXT(Transactions_Clean[[#This Row],[Date]],"MMM-YYYY")</f>
        <v>Oct-2023</v>
      </c>
      <c r="L2236">
        <f>IF(Transactions_Clean[[#This Row],[Category]]="Revenue",Transactions_Clean[[#This Row],[Amount(₹)]],Transactions_Clean[[#This Row],[Amount(₹)]]/8)</f>
        <v>-22584.5</v>
      </c>
    </row>
    <row r="2237" spans="1:12">
      <c r="A2237" t="s">
        <v>3504</v>
      </c>
      <c r="B2237" t="s">
        <v>37</v>
      </c>
      <c r="C2237" t="s">
        <v>38</v>
      </c>
      <c r="D2237">
        <v>-23409</v>
      </c>
      <c r="E2237" t="s">
        <v>23</v>
      </c>
      <c r="F2237" t="s">
        <v>32</v>
      </c>
      <c r="G2237" t="s">
        <v>33</v>
      </c>
      <c r="H2237" t="s">
        <v>45</v>
      </c>
      <c r="I2237" t="s">
        <v>27</v>
      </c>
      <c r="J2237" s="11">
        <v>45742</v>
      </c>
      <c r="K2237" t="str">
        <f>TEXT(Transactions_Clean[[#This Row],[Date]],"MMM-YYYY")</f>
        <v>Mar-2025</v>
      </c>
      <c r="L2237">
        <f>IF(Transactions_Clean[[#This Row],[Category]]="Revenue",Transactions_Clean[[#This Row],[Amount(₹)]],Transactions_Clean[[#This Row],[Amount(₹)]]/8)</f>
        <v>-2926.125</v>
      </c>
    </row>
    <row r="2238" spans="1:12">
      <c r="A2238" t="s">
        <v>3505</v>
      </c>
      <c r="B2238" t="s">
        <v>687</v>
      </c>
      <c r="C2238" t="s">
        <v>4750</v>
      </c>
      <c r="D2238">
        <v>-173039</v>
      </c>
      <c r="E2238" t="s">
        <v>23</v>
      </c>
      <c r="F2238" t="s">
        <v>24</v>
      </c>
      <c r="G2238" t="s">
        <v>33</v>
      </c>
      <c r="H2238" t="s">
        <v>39</v>
      </c>
      <c r="I2238" t="s">
        <v>27</v>
      </c>
      <c r="J2238" s="11">
        <v>46092</v>
      </c>
      <c r="K2238" t="str">
        <f>TEXT(Transactions_Clean[[#This Row],[Date]],"MMM-YYYY")</f>
        <v>Mar-2026</v>
      </c>
      <c r="L2238">
        <f>IF(Transactions_Clean[[#This Row],[Category]]="Revenue",Transactions_Clean[[#This Row],[Amount(₹)]],Transactions_Clean[[#This Row],[Amount(₹)]]/8)</f>
        <v>-21629.875</v>
      </c>
    </row>
    <row r="2239" spans="1:12">
      <c r="A2239" t="s">
        <v>3507</v>
      </c>
      <c r="B2239" t="s">
        <v>4759</v>
      </c>
      <c r="C2239" t="s">
        <v>31</v>
      </c>
      <c r="D2239">
        <v>-16088</v>
      </c>
      <c r="E2239" t="s">
        <v>23</v>
      </c>
      <c r="F2239" t="s">
        <v>32</v>
      </c>
      <c r="G2239" t="s">
        <v>33</v>
      </c>
      <c r="H2239" t="s">
        <v>26</v>
      </c>
      <c r="I2239" t="s">
        <v>40</v>
      </c>
      <c r="J2239" s="11">
        <v>45084</v>
      </c>
      <c r="K2239" t="str">
        <f>TEXT(Transactions_Clean[[#This Row],[Date]],"MMM-YYYY")</f>
        <v>Jun-2023</v>
      </c>
      <c r="L2239">
        <f>IF(Transactions_Clean[[#This Row],[Category]]="Revenue",Transactions_Clean[[#This Row],[Amount(₹)]],Transactions_Clean[[#This Row],[Amount(₹)]]/8)</f>
        <v>-2011</v>
      </c>
    </row>
    <row r="2240" spans="1:12">
      <c r="A2240" t="s">
        <v>3509</v>
      </c>
      <c r="B2240" t="s">
        <v>4758</v>
      </c>
      <c r="C2240" t="s">
        <v>78</v>
      </c>
      <c r="D2240">
        <v>-60178</v>
      </c>
      <c r="E2240" t="s">
        <v>23</v>
      </c>
      <c r="F2240" t="s">
        <v>24</v>
      </c>
      <c r="G2240" t="s">
        <v>79</v>
      </c>
      <c r="H2240" t="s">
        <v>39</v>
      </c>
      <c r="I2240" t="s">
        <v>34</v>
      </c>
      <c r="J2240" s="11">
        <v>45808</v>
      </c>
      <c r="K2240" t="str">
        <f>TEXT(Transactions_Clean[[#This Row],[Date]],"MMM-YYYY")</f>
        <v>May-2025</v>
      </c>
      <c r="L2240">
        <f>IF(Transactions_Clean[[#This Row],[Category]]="Revenue",Transactions_Clean[[#This Row],[Amount(₹)]],Transactions_Clean[[#This Row],[Amount(₹)]]/8)</f>
        <v>-7522.25</v>
      </c>
    </row>
    <row r="2241" spans="1:12">
      <c r="A2241" t="s">
        <v>3510</v>
      </c>
      <c r="B2241" t="s">
        <v>4762</v>
      </c>
      <c r="C2241" t="s">
        <v>157</v>
      </c>
      <c r="D2241">
        <v>544391</v>
      </c>
      <c r="E2241" t="s">
        <v>62</v>
      </c>
      <c r="F2241" t="s">
        <v>32</v>
      </c>
      <c r="G2241" t="s">
        <v>25</v>
      </c>
      <c r="H2241" t="s">
        <v>26</v>
      </c>
      <c r="I2241" t="s">
        <v>34</v>
      </c>
      <c r="J2241" s="11">
        <v>45094</v>
      </c>
      <c r="K2241" t="str">
        <f>TEXT(Transactions_Clean[[#This Row],[Date]],"MMM-YYYY")</f>
        <v>Jun-2023</v>
      </c>
      <c r="L2241">
        <f>IF(Transactions_Clean[[#This Row],[Category]]="Revenue",Transactions_Clean[[#This Row],[Amount(₹)]],Transactions_Clean[[#This Row],[Amount(₹)]]/8)</f>
        <v>544391</v>
      </c>
    </row>
    <row r="2242" spans="1:12">
      <c r="A2242" t="s">
        <v>3511</v>
      </c>
      <c r="B2242" t="s">
        <v>4774</v>
      </c>
      <c r="C2242" t="s">
        <v>440</v>
      </c>
      <c r="D2242">
        <v>-136394</v>
      </c>
      <c r="E2242" t="s">
        <v>23</v>
      </c>
      <c r="F2242" t="s">
        <v>32</v>
      </c>
      <c r="G2242" t="s">
        <v>33</v>
      </c>
      <c r="H2242" t="s">
        <v>26</v>
      </c>
      <c r="I2242" t="s">
        <v>48</v>
      </c>
      <c r="J2242" s="11">
        <v>45200</v>
      </c>
      <c r="K2242" t="str">
        <f>TEXT(Transactions_Clean[[#This Row],[Date]],"MMM-YYYY")</f>
        <v>Oct-2023</v>
      </c>
      <c r="L2242">
        <f>IF(Transactions_Clean[[#This Row],[Category]]="Revenue",Transactions_Clean[[#This Row],[Amount(₹)]],Transactions_Clean[[#This Row],[Amount(₹)]]/8)</f>
        <v>-17049.25</v>
      </c>
    </row>
    <row r="2243" spans="1:12">
      <c r="A2243" t="s">
        <v>3512</v>
      </c>
      <c r="B2243" t="s">
        <v>66</v>
      </c>
      <c r="C2243" t="s">
        <v>61</v>
      </c>
      <c r="D2243">
        <v>-23629</v>
      </c>
      <c r="E2243" t="s">
        <v>62</v>
      </c>
      <c r="F2243" t="s">
        <v>32</v>
      </c>
      <c r="G2243" t="s">
        <v>63</v>
      </c>
      <c r="H2243" t="s">
        <v>39</v>
      </c>
      <c r="I2243" t="s">
        <v>34</v>
      </c>
      <c r="J2243" s="11">
        <v>45795</v>
      </c>
      <c r="K2243" t="str">
        <f>TEXT(Transactions_Clean[[#This Row],[Date]],"MMM-YYYY")</f>
        <v>May-2025</v>
      </c>
      <c r="L2243">
        <f>IF(Transactions_Clean[[#This Row],[Category]]="Revenue",Transactions_Clean[[#This Row],[Amount(₹)]],Transactions_Clean[[#This Row],[Amount(₹)]]/8)</f>
        <v>-2953.625</v>
      </c>
    </row>
    <row r="2244" spans="1:12">
      <c r="A2244" t="s">
        <v>3513</v>
      </c>
      <c r="B2244" t="s">
        <v>215</v>
      </c>
      <c r="C2244" t="s">
        <v>61</v>
      </c>
      <c r="D2244">
        <v>-14894</v>
      </c>
      <c r="E2244" t="s">
        <v>62</v>
      </c>
      <c r="F2244" t="s">
        <v>24</v>
      </c>
      <c r="G2244" t="s">
        <v>63</v>
      </c>
      <c r="H2244" t="s">
        <v>26</v>
      </c>
      <c r="I2244" t="s">
        <v>27</v>
      </c>
      <c r="J2244" s="11">
        <v>45356</v>
      </c>
      <c r="K2244" t="str">
        <f>TEXT(Transactions_Clean[[#This Row],[Date]],"MMM-YYYY")</f>
        <v>Mar-2024</v>
      </c>
      <c r="L2244">
        <f>IF(Transactions_Clean[[#This Row],[Category]]="Revenue",Transactions_Clean[[#This Row],[Amount(₹)]],Transactions_Clean[[#This Row],[Amount(₹)]]/8)</f>
        <v>-1861.75</v>
      </c>
    </row>
    <row r="2245" spans="1:12">
      <c r="A2245" t="s">
        <v>3514</v>
      </c>
      <c r="B2245" t="s">
        <v>4766</v>
      </c>
      <c r="C2245" t="s">
        <v>73</v>
      </c>
      <c r="D2245">
        <v>-59435</v>
      </c>
      <c r="E2245" t="s">
        <v>74</v>
      </c>
      <c r="F2245" t="s">
        <v>24</v>
      </c>
      <c r="G2245" t="s">
        <v>25</v>
      </c>
      <c r="H2245" t="s">
        <v>26</v>
      </c>
      <c r="I2245" t="s">
        <v>48</v>
      </c>
      <c r="J2245" s="11">
        <v>45233</v>
      </c>
      <c r="K2245" t="str">
        <f>TEXT(Transactions_Clean[[#This Row],[Date]],"MMM-YYYY")</f>
        <v>Nov-2023</v>
      </c>
      <c r="L2245">
        <f>IF(Transactions_Clean[[#This Row],[Category]]="Revenue",Transactions_Clean[[#This Row],[Amount(₹)]],Transactions_Clean[[#This Row],[Amount(₹)]]/8)</f>
        <v>-7429.375</v>
      </c>
    </row>
    <row r="2246" spans="1:12">
      <c r="A2246" t="s">
        <v>3515</v>
      </c>
      <c r="B2246" t="s">
        <v>4797</v>
      </c>
      <c r="C2246" t="s">
        <v>136</v>
      </c>
      <c r="D2246">
        <v>-10313912</v>
      </c>
      <c r="E2246" t="s">
        <v>62</v>
      </c>
      <c r="F2246" t="s">
        <v>32</v>
      </c>
      <c r="G2246" t="s">
        <v>63</v>
      </c>
      <c r="H2246" t="s">
        <v>26</v>
      </c>
      <c r="I2246" t="s">
        <v>34</v>
      </c>
      <c r="J2246" s="11">
        <v>45044</v>
      </c>
      <c r="K2246" t="str">
        <f>TEXT(Transactions_Clean[[#This Row],[Date]],"MMM-YYYY")</f>
        <v>Apr-2023</v>
      </c>
      <c r="L2246">
        <f>IF(Transactions_Clean[[#This Row],[Category]]="Revenue",Transactions_Clean[[#This Row],[Amount(₹)]],Transactions_Clean[[#This Row],[Amount(₹)]]/8)</f>
        <v>-1289239</v>
      </c>
    </row>
    <row r="2247" spans="1:12">
      <c r="A2247" t="s">
        <v>3518</v>
      </c>
      <c r="B2247" t="s">
        <v>4766</v>
      </c>
      <c r="C2247" t="s">
        <v>73</v>
      </c>
      <c r="D2247">
        <v>-55731</v>
      </c>
      <c r="E2247" t="s">
        <v>74</v>
      </c>
      <c r="F2247" t="s">
        <v>32</v>
      </c>
      <c r="G2247" t="s">
        <v>25</v>
      </c>
      <c r="H2247" t="s">
        <v>45</v>
      </c>
      <c r="I2247" t="s">
        <v>48</v>
      </c>
      <c r="J2247" s="11">
        <v>45620</v>
      </c>
      <c r="K2247" t="str">
        <f>TEXT(Transactions_Clean[[#This Row],[Date]],"MMM-YYYY")</f>
        <v>Nov-2024</v>
      </c>
      <c r="L2247">
        <f>IF(Transactions_Clean[[#This Row],[Category]]="Revenue",Transactions_Clean[[#This Row],[Amount(₹)]],Transactions_Clean[[#This Row],[Amount(₹)]]/8)</f>
        <v>-6966.375</v>
      </c>
    </row>
    <row r="2248" spans="1:12">
      <c r="A2248" t="s">
        <v>3519</v>
      </c>
      <c r="B2248" t="s">
        <v>935</v>
      </c>
      <c r="C2248" t="s">
        <v>22</v>
      </c>
      <c r="D2248">
        <v>-161291</v>
      </c>
      <c r="E2248" t="s">
        <v>23</v>
      </c>
      <c r="F2248" t="s">
        <v>32</v>
      </c>
      <c r="G2248" t="s">
        <v>25</v>
      </c>
      <c r="H2248" t="s">
        <v>26</v>
      </c>
      <c r="I2248" t="s">
        <v>48</v>
      </c>
      <c r="J2248" s="11">
        <v>45223</v>
      </c>
      <c r="K2248" t="str">
        <f>TEXT(Transactions_Clean[[#This Row],[Date]],"MMM-YYYY")</f>
        <v>Oct-2023</v>
      </c>
      <c r="L2248">
        <f>IF(Transactions_Clean[[#This Row],[Category]]="Revenue",Transactions_Clean[[#This Row],[Amount(₹)]],Transactions_Clean[[#This Row],[Amount(₹)]]/8)</f>
        <v>-20161.375</v>
      </c>
    </row>
    <row r="2249" spans="1:12">
      <c r="A2249" t="s">
        <v>3520</v>
      </c>
      <c r="B2249" t="s">
        <v>4774</v>
      </c>
      <c r="C2249" t="s">
        <v>440</v>
      </c>
      <c r="D2249">
        <v>-144117</v>
      </c>
      <c r="E2249" t="s">
        <v>23</v>
      </c>
      <c r="F2249" t="s">
        <v>32</v>
      </c>
      <c r="G2249" t="s">
        <v>33</v>
      </c>
      <c r="H2249" t="s">
        <v>26</v>
      </c>
      <c r="I2249" t="s">
        <v>34</v>
      </c>
      <c r="J2249" s="11">
        <v>45021</v>
      </c>
      <c r="K2249" t="str">
        <f>TEXT(Transactions_Clean[[#This Row],[Date]],"MMM-YYYY")</f>
        <v>Apr-2023</v>
      </c>
      <c r="L2249">
        <f>IF(Transactions_Clean[[#This Row],[Category]]="Revenue",Transactions_Clean[[#This Row],[Amount(₹)]],Transactions_Clean[[#This Row],[Amount(₹)]]/8)</f>
        <v>-18014.625</v>
      </c>
    </row>
    <row r="2250" spans="1:12">
      <c r="A2250" t="s">
        <v>3521</v>
      </c>
      <c r="B2250" t="s">
        <v>177</v>
      </c>
      <c r="C2250" t="s">
        <v>4750</v>
      </c>
      <c r="D2250">
        <v>-32956</v>
      </c>
      <c r="E2250" t="s">
        <v>23</v>
      </c>
      <c r="F2250" t="s">
        <v>32</v>
      </c>
      <c r="G2250" t="s">
        <v>79</v>
      </c>
      <c r="H2250" t="s">
        <v>39</v>
      </c>
      <c r="I2250" t="s">
        <v>34</v>
      </c>
      <c r="J2250" s="11">
        <v>45755</v>
      </c>
      <c r="K2250" t="str">
        <f>TEXT(Transactions_Clean[[#This Row],[Date]],"MMM-YYYY")</f>
        <v>Apr-2025</v>
      </c>
      <c r="L2250">
        <f>IF(Transactions_Clean[[#This Row],[Category]]="Revenue",Transactions_Clean[[#This Row],[Amount(₹)]],Transactions_Clean[[#This Row],[Amount(₹)]]/8)</f>
        <v>-4119.5</v>
      </c>
    </row>
    <row r="2251" spans="1:12">
      <c r="A2251" t="s">
        <v>3522</v>
      </c>
      <c r="B2251" t="s">
        <v>66</v>
      </c>
      <c r="C2251" t="s">
        <v>61</v>
      </c>
      <c r="D2251">
        <v>-21606</v>
      </c>
      <c r="E2251" t="s">
        <v>62</v>
      </c>
      <c r="F2251" t="s">
        <v>24</v>
      </c>
      <c r="G2251" t="s">
        <v>63</v>
      </c>
      <c r="H2251" t="s">
        <v>45</v>
      </c>
      <c r="I2251" t="s">
        <v>40</v>
      </c>
      <c r="J2251" s="11">
        <v>45484</v>
      </c>
      <c r="K2251" t="str">
        <f>TEXT(Transactions_Clean[[#This Row],[Date]],"MMM-YYYY")</f>
        <v>Jul-2024</v>
      </c>
      <c r="L2251">
        <f>IF(Transactions_Clean[[#This Row],[Category]]="Revenue",Transactions_Clean[[#This Row],[Amount(₹)]],Transactions_Clean[[#This Row],[Amount(₹)]]/8)</f>
        <v>-2700.75</v>
      </c>
    </row>
    <row r="2252" spans="1:12">
      <c r="A2252" t="s">
        <v>3523</v>
      </c>
      <c r="B2252" t="s">
        <v>4753</v>
      </c>
      <c r="C2252" t="s">
        <v>38</v>
      </c>
      <c r="D2252">
        <v>-38630</v>
      </c>
      <c r="E2252" t="s">
        <v>23</v>
      </c>
      <c r="F2252" t="s">
        <v>24</v>
      </c>
      <c r="G2252" t="s">
        <v>33</v>
      </c>
      <c r="H2252" t="s">
        <v>26</v>
      </c>
      <c r="I2252" t="s">
        <v>34</v>
      </c>
      <c r="J2252" s="11">
        <v>45046</v>
      </c>
      <c r="K2252" t="str">
        <f>TEXT(Transactions_Clean[[#This Row],[Date]],"MMM-YYYY")</f>
        <v>Apr-2023</v>
      </c>
      <c r="L2252">
        <f>IF(Transactions_Clean[[#This Row],[Category]]="Revenue",Transactions_Clean[[#This Row],[Amount(₹)]],Transactions_Clean[[#This Row],[Amount(₹)]]/8)</f>
        <v>-4828.75</v>
      </c>
    </row>
    <row r="2253" spans="1:12">
      <c r="A2253" t="s">
        <v>3525</v>
      </c>
      <c r="B2253" t="s">
        <v>215</v>
      </c>
      <c r="C2253" t="s">
        <v>61</v>
      </c>
      <c r="D2253">
        <v>-30541</v>
      </c>
      <c r="E2253" t="s">
        <v>62</v>
      </c>
      <c r="F2253" t="s">
        <v>24</v>
      </c>
      <c r="G2253" t="s">
        <v>63</v>
      </c>
      <c r="H2253" t="s">
        <v>26</v>
      </c>
      <c r="I2253" t="s">
        <v>27</v>
      </c>
      <c r="J2253" s="11">
        <v>45380</v>
      </c>
      <c r="K2253" t="str">
        <f>TEXT(Transactions_Clean[[#This Row],[Date]],"MMM-YYYY")</f>
        <v>Mar-2024</v>
      </c>
      <c r="L2253">
        <f>IF(Transactions_Clean[[#This Row],[Category]]="Revenue",Transactions_Clean[[#This Row],[Amount(₹)]],Transactions_Clean[[#This Row],[Amount(₹)]]/8)</f>
        <v>-3817.625</v>
      </c>
    </row>
    <row r="2254" spans="1:12">
      <c r="A2254" t="s">
        <v>3526</v>
      </c>
      <c r="B2254" t="s">
        <v>51</v>
      </c>
      <c r="C2254" t="s">
        <v>31</v>
      </c>
      <c r="D2254">
        <v>-27142</v>
      </c>
      <c r="E2254" t="s">
        <v>23</v>
      </c>
      <c r="F2254" t="s">
        <v>24</v>
      </c>
      <c r="G2254" t="s">
        <v>33</v>
      </c>
      <c r="H2254" t="s">
        <v>26</v>
      </c>
      <c r="I2254" t="s">
        <v>27</v>
      </c>
      <c r="J2254" s="11">
        <v>45301</v>
      </c>
      <c r="K2254" t="str">
        <f>TEXT(Transactions_Clean[[#This Row],[Date]],"MMM-YYYY")</f>
        <v>Jan-2024</v>
      </c>
      <c r="L2254">
        <f>IF(Transactions_Clean[[#This Row],[Category]]="Revenue",Transactions_Clean[[#This Row],[Amount(₹)]],Transactions_Clean[[#This Row],[Amount(₹)]]/8)</f>
        <v>-3392.75</v>
      </c>
    </row>
    <row r="2255" spans="1:12">
      <c r="A2255" t="s">
        <v>3527</v>
      </c>
      <c r="B2255" t="s">
        <v>345</v>
      </c>
      <c r="C2255" t="s">
        <v>22</v>
      </c>
      <c r="D2255">
        <v>-55182</v>
      </c>
      <c r="E2255" t="s">
        <v>23</v>
      </c>
      <c r="F2255" t="s">
        <v>32</v>
      </c>
      <c r="G2255" t="s">
        <v>25</v>
      </c>
      <c r="H2255" t="s">
        <v>45</v>
      </c>
      <c r="I2255" t="s">
        <v>27</v>
      </c>
      <c r="J2255" s="11">
        <v>45697</v>
      </c>
      <c r="K2255" t="str">
        <f>TEXT(Transactions_Clean[[#This Row],[Date]],"MMM-YYYY")</f>
        <v>Feb-2025</v>
      </c>
      <c r="L2255">
        <f>IF(Transactions_Clean[[#This Row],[Category]]="Revenue",Transactions_Clean[[#This Row],[Amount(₹)]],Transactions_Clean[[#This Row],[Amount(₹)]]/8)</f>
        <v>-6897.75</v>
      </c>
    </row>
    <row r="2256" spans="1:12">
      <c r="A2256" t="s">
        <v>3528</v>
      </c>
      <c r="B2256" t="s">
        <v>4757</v>
      </c>
      <c r="C2256" t="s">
        <v>73</v>
      </c>
      <c r="D2256">
        <v>-30089</v>
      </c>
      <c r="E2256" t="s">
        <v>74</v>
      </c>
      <c r="F2256" t="s">
        <v>24</v>
      </c>
      <c r="G2256" t="s">
        <v>25</v>
      </c>
      <c r="H2256" t="s">
        <v>45</v>
      </c>
      <c r="I2256" t="s">
        <v>34</v>
      </c>
      <c r="J2256" s="11">
        <v>45465</v>
      </c>
      <c r="K2256" t="str">
        <f>TEXT(Transactions_Clean[[#This Row],[Date]],"MMM-YYYY")</f>
        <v>Jun-2024</v>
      </c>
      <c r="L2256">
        <f>IF(Transactions_Clean[[#This Row],[Category]]="Revenue",Transactions_Clean[[#This Row],[Amount(₹)]],Transactions_Clean[[#This Row],[Amount(₹)]]/8)</f>
        <v>-3761.125</v>
      </c>
    </row>
    <row r="2257" spans="1:12">
      <c r="A2257" t="s">
        <v>3529</v>
      </c>
      <c r="B2257" t="s">
        <v>283</v>
      </c>
      <c r="C2257" t="s">
        <v>44</v>
      </c>
      <c r="D2257">
        <v>-111768</v>
      </c>
      <c r="E2257" t="s">
        <v>23</v>
      </c>
      <c r="F2257" t="s">
        <v>24</v>
      </c>
      <c r="G2257" t="s">
        <v>33</v>
      </c>
      <c r="H2257" t="s">
        <v>39</v>
      </c>
      <c r="I2257" t="s">
        <v>40</v>
      </c>
      <c r="J2257" s="11">
        <v>45859</v>
      </c>
      <c r="K2257" t="str">
        <f>TEXT(Transactions_Clean[[#This Row],[Date]],"MMM-YYYY")</f>
        <v>Jul-2025</v>
      </c>
      <c r="L2257">
        <f>IF(Transactions_Clean[[#This Row],[Category]]="Revenue",Transactions_Clean[[#This Row],[Amount(₹)]],Transactions_Clean[[#This Row],[Amount(₹)]]/8)</f>
        <v>-13971</v>
      </c>
    </row>
    <row r="2258" spans="1:12">
      <c r="A2258" t="s">
        <v>3530</v>
      </c>
      <c r="B2258" t="s">
        <v>4753</v>
      </c>
      <c r="C2258" t="s">
        <v>38</v>
      </c>
      <c r="D2258">
        <v>-47254</v>
      </c>
      <c r="E2258" t="s">
        <v>23</v>
      </c>
      <c r="F2258" t="s">
        <v>32</v>
      </c>
      <c r="G2258" t="s">
        <v>33</v>
      </c>
      <c r="H2258" t="s">
        <v>45</v>
      </c>
      <c r="I2258" t="s">
        <v>27</v>
      </c>
      <c r="J2258" s="11">
        <v>45705</v>
      </c>
      <c r="K2258" t="str">
        <f>TEXT(Transactions_Clean[[#This Row],[Date]],"MMM-YYYY")</f>
        <v>Feb-2025</v>
      </c>
      <c r="L2258">
        <f>IF(Transactions_Clean[[#This Row],[Category]]="Revenue",Transactions_Clean[[#This Row],[Amount(₹)]],Transactions_Clean[[#This Row],[Amount(₹)]]/8)</f>
        <v>-5906.75</v>
      </c>
    </row>
    <row r="2259" spans="1:12">
      <c r="A2259" t="s">
        <v>3531</v>
      </c>
      <c r="B2259" t="s">
        <v>72</v>
      </c>
      <c r="C2259" t="s">
        <v>73</v>
      </c>
      <c r="D2259">
        <v>-34976</v>
      </c>
      <c r="E2259" t="s">
        <v>74</v>
      </c>
      <c r="F2259" t="s">
        <v>32</v>
      </c>
      <c r="G2259" t="s">
        <v>25</v>
      </c>
      <c r="H2259" t="s">
        <v>45</v>
      </c>
      <c r="I2259" t="s">
        <v>34</v>
      </c>
      <c r="J2259" s="11">
        <v>45430</v>
      </c>
      <c r="K2259" t="str">
        <f>TEXT(Transactions_Clean[[#This Row],[Date]],"MMM-YYYY")</f>
        <v>May-2024</v>
      </c>
      <c r="L2259">
        <f>IF(Transactions_Clean[[#This Row],[Category]]="Revenue",Transactions_Clean[[#This Row],[Amount(₹)]],Transactions_Clean[[#This Row],[Amount(₹)]]/8)</f>
        <v>-4372</v>
      </c>
    </row>
    <row r="2260" spans="1:12">
      <c r="A2260" t="s">
        <v>3532</v>
      </c>
      <c r="B2260" t="s">
        <v>4798</v>
      </c>
      <c r="C2260" t="s">
        <v>136</v>
      </c>
      <c r="D2260">
        <v>-10364967</v>
      </c>
      <c r="E2260" t="s">
        <v>62</v>
      </c>
      <c r="F2260" t="s">
        <v>32</v>
      </c>
      <c r="G2260" t="s">
        <v>63</v>
      </c>
      <c r="H2260" t="s">
        <v>45</v>
      </c>
      <c r="I2260" t="s">
        <v>27</v>
      </c>
      <c r="J2260" s="11">
        <v>45716</v>
      </c>
      <c r="K2260" t="str">
        <f>TEXT(Transactions_Clean[[#This Row],[Date]],"MMM-YYYY")</f>
        <v>Feb-2025</v>
      </c>
      <c r="L2260">
        <f>IF(Transactions_Clean[[#This Row],[Category]]="Revenue",Transactions_Clean[[#This Row],[Amount(₹)]],Transactions_Clean[[#This Row],[Amount(₹)]]/8)</f>
        <v>-1295620.875</v>
      </c>
    </row>
    <row r="2261" spans="1:12">
      <c r="A2261" t="s">
        <v>3535</v>
      </c>
      <c r="B2261" t="s">
        <v>30</v>
      </c>
      <c r="C2261" t="s">
        <v>31</v>
      </c>
      <c r="D2261">
        <v>-18778</v>
      </c>
      <c r="E2261" t="s">
        <v>23</v>
      </c>
      <c r="F2261" t="s">
        <v>32</v>
      </c>
      <c r="G2261" t="s">
        <v>33</v>
      </c>
      <c r="H2261" t="s">
        <v>45</v>
      </c>
      <c r="I2261" t="s">
        <v>40</v>
      </c>
      <c r="J2261" s="11">
        <v>45511</v>
      </c>
      <c r="K2261" t="str">
        <f>TEXT(Transactions_Clean[[#This Row],[Date]],"MMM-YYYY")</f>
        <v>Aug-2024</v>
      </c>
      <c r="L2261">
        <f>IF(Transactions_Clean[[#This Row],[Category]]="Revenue",Transactions_Clean[[#This Row],[Amount(₹)]],Transactions_Clean[[#This Row],[Amount(₹)]]/8)</f>
        <v>-2347.25</v>
      </c>
    </row>
    <row r="2262" spans="1:12">
      <c r="A2262" t="s">
        <v>3536</v>
      </c>
      <c r="B2262" t="s">
        <v>30</v>
      </c>
      <c r="C2262" t="s">
        <v>31</v>
      </c>
      <c r="D2262">
        <v>-15837</v>
      </c>
      <c r="E2262" t="s">
        <v>23</v>
      </c>
      <c r="F2262" t="s">
        <v>32</v>
      </c>
      <c r="G2262" t="s">
        <v>33</v>
      </c>
      <c r="H2262" t="s">
        <v>45</v>
      </c>
      <c r="I2262" t="s">
        <v>40</v>
      </c>
      <c r="J2262" s="11">
        <v>45476</v>
      </c>
      <c r="K2262" t="str">
        <f>TEXT(Transactions_Clean[[#This Row],[Date]],"MMM-YYYY")</f>
        <v>Jul-2024</v>
      </c>
      <c r="L2262">
        <f>IF(Transactions_Clean[[#This Row],[Category]]="Revenue",Transactions_Clean[[#This Row],[Amount(₹)]],Transactions_Clean[[#This Row],[Amount(₹)]]/8)</f>
        <v>-1979.625</v>
      </c>
    </row>
    <row r="2263" spans="1:12">
      <c r="A2263" t="s">
        <v>3537</v>
      </c>
      <c r="B2263" t="s">
        <v>66</v>
      </c>
      <c r="C2263" t="s">
        <v>61</v>
      </c>
      <c r="D2263">
        <v>-17037</v>
      </c>
      <c r="E2263" t="s">
        <v>62</v>
      </c>
      <c r="F2263" t="s">
        <v>24</v>
      </c>
      <c r="G2263" t="s">
        <v>63</v>
      </c>
      <c r="H2263" t="s">
        <v>26</v>
      </c>
      <c r="I2263" t="s">
        <v>27</v>
      </c>
      <c r="J2263" s="11">
        <v>45319</v>
      </c>
      <c r="K2263" t="str">
        <f>TEXT(Transactions_Clean[[#This Row],[Date]],"MMM-YYYY")</f>
        <v>Jan-2024</v>
      </c>
      <c r="L2263">
        <f>IF(Transactions_Clean[[#This Row],[Category]]="Revenue",Transactions_Clean[[#This Row],[Amount(₹)]],Transactions_Clean[[#This Row],[Amount(₹)]]/8)</f>
        <v>-2129.625</v>
      </c>
    </row>
    <row r="2264" spans="1:12">
      <c r="A2264" t="s">
        <v>3538</v>
      </c>
      <c r="B2264" t="s">
        <v>4754</v>
      </c>
      <c r="C2264" t="s">
        <v>78</v>
      </c>
      <c r="D2264">
        <v>-97969</v>
      </c>
      <c r="E2264" t="s">
        <v>23</v>
      </c>
      <c r="F2264" t="s">
        <v>32</v>
      </c>
      <c r="G2264" t="s">
        <v>79</v>
      </c>
      <c r="H2264" t="s">
        <v>45</v>
      </c>
      <c r="I2264" t="s">
        <v>48</v>
      </c>
      <c r="J2264" s="11">
        <v>45363</v>
      </c>
      <c r="K2264" t="str">
        <f>TEXT(Transactions_Clean[[#This Row],[Date]],"MMM-YYYY")</f>
        <v>Mar-2024</v>
      </c>
      <c r="L2264">
        <f>IF(Transactions_Clean[[#This Row],[Category]]="Revenue",Transactions_Clean[[#This Row],[Amount(₹)]],Transactions_Clean[[#This Row],[Amount(₹)]]/8)</f>
        <v>-12246.125</v>
      </c>
    </row>
    <row r="2265" spans="1:12">
      <c r="A2265" t="s">
        <v>3540</v>
      </c>
      <c r="B2265" t="s">
        <v>4759</v>
      </c>
      <c r="C2265" t="s">
        <v>31</v>
      </c>
      <c r="D2265">
        <v>-40763</v>
      </c>
      <c r="E2265" t="s">
        <v>23</v>
      </c>
      <c r="F2265" t="s">
        <v>32</v>
      </c>
      <c r="G2265" t="s">
        <v>33</v>
      </c>
      <c r="H2265" t="s">
        <v>26</v>
      </c>
      <c r="I2265" t="s">
        <v>34</v>
      </c>
      <c r="J2265" s="11">
        <v>45071</v>
      </c>
      <c r="K2265" t="str">
        <f>TEXT(Transactions_Clean[[#This Row],[Date]],"MMM-YYYY")</f>
        <v>May-2023</v>
      </c>
      <c r="L2265">
        <f>IF(Transactions_Clean[[#This Row],[Category]]="Revenue",Transactions_Clean[[#This Row],[Amount(₹)]],Transactions_Clean[[#This Row],[Amount(₹)]]/8)</f>
        <v>-5095.375</v>
      </c>
    </row>
    <row r="2266" spans="1:12">
      <c r="A2266" t="s">
        <v>3541</v>
      </c>
      <c r="B2266" t="s">
        <v>202</v>
      </c>
      <c r="C2266" t="s">
        <v>22</v>
      </c>
      <c r="D2266">
        <v>-84838</v>
      </c>
      <c r="E2266" t="s">
        <v>23</v>
      </c>
      <c r="F2266" t="s">
        <v>24</v>
      </c>
      <c r="G2266" t="s">
        <v>25</v>
      </c>
      <c r="H2266" t="s">
        <v>45</v>
      </c>
      <c r="I2266" t="s">
        <v>34</v>
      </c>
      <c r="J2266" s="11">
        <v>45541</v>
      </c>
      <c r="K2266" t="str">
        <f>TEXT(Transactions_Clean[[#This Row],[Date]],"MMM-YYYY")</f>
        <v>Sep-2024</v>
      </c>
      <c r="L2266">
        <f>IF(Transactions_Clean[[#This Row],[Category]]="Revenue",Transactions_Clean[[#This Row],[Amount(₹)]],Transactions_Clean[[#This Row],[Amount(₹)]]/8)</f>
        <v>-10604.75</v>
      </c>
    </row>
    <row r="2267" spans="1:12">
      <c r="A2267" t="s">
        <v>3543</v>
      </c>
      <c r="B2267" t="s">
        <v>4757</v>
      </c>
      <c r="C2267" t="s">
        <v>73</v>
      </c>
      <c r="D2267">
        <v>-10021</v>
      </c>
      <c r="E2267" t="s">
        <v>74</v>
      </c>
      <c r="F2267" t="s">
        <v>32</v>
      </c>
      <c r="G2267" t="s">
        <v>25</v>
      </c>
      <c r="H2267" t="s">
        <v>39</v>
      </c>
      <c r="I2267" t="s">
        <v>40</v>
      </c>
      <c r="J2267" s="11">
        <v>45886</v>
      </c>
      <c r="K2267" t="str">
        <f>TEXT(Transactions_Clean[[#This Row],[Date]],"MMM-YYYY")</f>
        <v>Aug-2025</v>
      </c>
      <c r="L2267">
        <f>IF(Transactions_Clean[[#This Row],[Category]]="Revenue",Transactions_Clean[[#This Row],[Amount(₹)]],Transactions_Clean[[#This Row],[Amount(₹)]]/8)</f>
        <v>-1252.625</v>
      </c>
    </row>
    <row r="2268" spans="1:12">
      <c r="A2268" t="s">
        <v>3544</v>
      </c>
      <c r="B2268" t="s">
        <v>283</v>
      </c>
      <c r="C2268" t="s">
        <v>44</v>
      </c>
      <c r="D2268">
        <v>-63336</v>
      </c>
      <c r="E2268" t="s">
        <v>23</v>
      </c>
      <c r="F2268" t="s">
        <v>24</v>
      </c>
      <c r="G2268" t="s">
        <v>33</v>
      </c>
      <c r="H2268" t="s">
        <v>26</v>
      </c>
      <c r="I2268" t="s">
        <v>34</v>
      </c>
      <c r="J2268" s="11">
        <v>45029</v>
      </c>
      <c r="K2268" t="str">
        <f>TEXT(Transactions_Clean[[#This Row],[Date]],"MMM-YYYY")</f>
        <v>Apr-2023</v>
      </c>
      <c r="L2268">
        <f>IF(Transactions_Clean[[#This Row],[Category]]="Revenue",Transactions_Clean[[#This Row],[Amount(₹)]],Transactions_Clean[[#This Row],[Amount(₹)]]/8)</f>
        <v>-7917</v>
      </c>
    </row>
    <row r="2269" spans="1:12">
      <c r="A2269" t="s">
        <v>3545</v>
      </c>
      <c r="B2269" t="s">
        <v>180</v>
      </c>
      <c r="C2269" t="s">
        <v>44</v>
      </c>
      <c r="D2269">
        <v>-93622</v>
      </c>
      <c r="E2269" t="s">
        <v>23</v>
      </c>
      <c r="F2269" t="s">
        <v>32</v>
      </c>
      <c r="G2269" t="s">
        <v>33</v>
      </c>
      <c r="H2269" t="s">
        <v>45</v>
      </c>
      <c r="I2269" t="s">
        <v>27</v>
      </c>
      <c r="J2269" s="11">
        <v>45744</v>
      </c>
      <c r="K2269" t="str">
        <f>TEXT(Transactions_Clean[[#This Row],[Date]],"MMM-YYYY")</f>
        <v>Mar-2025</v>
      </c>
      <c r="L2269">
        <f>IF(Transactions_Clean[[#This Row],[Category]]="Revenue",Transactions_Clean[[#This Row],[Amount(₹)]],Transactions_Clean[[#This Row],[Amount(₹)]]/8)</f>
        <v>-11702.75</v>
      </c>
    </row>
    <row r="2270" spans="1:12">
      <c r="A2270" t="s">
        <v>3546</v>
      </c>
      <c r="B2270" t="s">
        <v>106</v>
      </c>
      <c r="C2270" t="s">
        <v>31</v>
      </c>
      <c r="D2270">
        <v>-43770</v>
      </c>
      <c r="E2270" t="s">
        <v>23</v>
      </c>
      <c r="F2270" t="s">
        <v>32</v>
      </c>
      <c r="G2270" t="s">
        <v>33</v>
      </c>
      <c r="H2270" t="s">
        <v>26</v>
      </c>
      <c r="I2270" t="s">
        <v>27</v>
      </c>
      <c r="J2270" s="11">
        <v>45362</v>
      </c>
      <c r="K2270" t="str">
        <f>TEXT(Transactions_Clean[[#This Row],[Date]],"MMM-YYYY")</f>
        <v>Mar-2024</v>
      </c>
      <c r="L2270">
        <f>IF(Transactions_Clean[[#This Row],[Category]]="Revenue",Transactions_Clean[[#This Row],[Amount(₹)]],Transactions_Clean[[#This Row],[Amount(₹)]]/8)</f>
        <v>-5471.25</v>
      </c>
    </row>
    <row r="2271" spans="1:12">
      <c r="A2271" t="s">
        <v>3548</v>
      </c>
      <c r="B2271" t="s">
        <v>4765</v>
      </c>
      <c r="C2271" t="s">
        <v>73</v>
      </c>
      <c r="D2271">
        <v>-17749</v>
      </c>
      <c r="E2271" t="s">
        <v>74</v>
      </c>
      <c r="F2271" t="s">
        <v>32</v>
      </c>
      <c r="G2271" t="s">
        <v>25</v>
      </c>
      <c r="H2271" t="s">
        <v>39</v>
      </c>
      <c r="I2271" t="s">
        <v>48</v>
      </c>
      <c r="J2271" s="11">
        <v>45968</v>
      </c>
      <c r="K2271" t="str">
        <f>TEXT(Transactions_Clean[[#This Row],[Date]],"MMM-YYYY")</f>
        <v>Nov-2025</v>
      </c>
      <c r="L2271">
        <f>IF(Transactions_Clean[[#This Row],[Category]]="Revenue",Transactions_Clean[[#This Row],[Amount(₹)]],Transactions_Clean[[#This Row],[Amount(₹)]]/8)</f>
        <v>-2218.625</v>
      </c>
    </row>
    <row r="2272" spans="1:12">
      <c r="A2272" t="s">
        <v>3550</v>
      </c>
      <c r="B2272" t="s">
        <v>255</v>
      </c>
      <c r="C2272" t="s">
        <v>22</v>
      </c>
      <c r="D2272">
        <v>-187642</v>
      </c>
      <c r="E2272" t="s">
        <v>23</v>
      </c>
      <c r="F2272" t="s">
        <v>32</v>
      </c>
      <c r="G2272" t="s">
        <v>25</v>
      </c>
      <c r="H2272" t="s">
        <v>45</v>
      </c>
      <c r="I2272" t="s">
        <v>40</v>
      </c>
      <c r="J2272" s="11">
        <v>45528</v>
      </c>
      <c r="K2272" t="str">
        <f>TEXT(Transactions_Clean[[#This Row],[Date]],"MMM-YYYY")</f>
        <v>Aug-2024</v>
      </c>
      <c r="L2272">
        <f>IF(Transactions_Clean[[#This Row],[Category]]="Revenue",Transactions_Clean[[#This Row],[Amount(₹)]],Transactions_Clean[[#This Row],[Amount(₹)]]/8)</f>
        <v>-23455.25</v>
      </c>
    </row>
    <row r="2273" spans="1:12">
      <c r="A2273" t="s">
        <v>3551</v>
      </c>
      <c r="B2273" t="s">
        <v>4765</v>
      </c>
      <c r="C2273" t="s">
        <v>4750</v>
      </c>
      <c r="D2273">
        <v>-73234</v>
      </c>
      <c r="E2273" t="s">
        <v>74</v>
      </c>
      <c r="F2273" t="s">
        <v>32</v>
      </c>
      <c r="G2273" t="s">
        <v>25</v>
      </c>
      <c r="H2273" t="s">
        <v>26</v>
      </c>
      <c r="I2273" t="s">
        <v>27</v>
      </c>
      <c r="J2273" s="11">
        <v>45296</v>
      </c>
      <c r="K2273" t="str">
        <f>TEXT(Transactions_Clean[[#This Row],[Date]],"MMM-YYYY")</f>
        <v>Jan-2024</v>
      </c>
      <c r="L2273">
        <f>IF(Transactions_Clean[[#This Row],[Category]]="Revenue",Transactions_Clean[[#This Row],[Amount(₹)]],Transactions_Clean[[#This Row],[Amount(₹)]]/8)</f>
        <v>-9154.25</v>
      </c>
    </row>
    <row r="2274" spans="1:12">
      <c r="A2274" t="s">
        <v>3553</v>
      </c>
      <c r="B2274" t="s">
        <v>30</v>
      </c>
      <c r="C2274" t="s">
        <v>31</v>
      </c>
      <c r="D2274">
        <v>-15784</v>
      </c>
      <c r="E2274" t="s">
        <v>23</v>
      </c>
      <c r="F2274" t="s">
        <v>24</v>
      </c>
      <c r="G2274" t="s">
        <v>33</v>
      </c>
      <c r="H2274" t="s">
        <v>26</v>
      </c>
      <c r="I2274" t="s">
        <v>40</v>
      </c>
      <c r="J2274" s="11">
        <v>45139</v>
      </c>
      <c r="K2274" t="str">
        <f>TEXT(Transactions_Clean[[#This Row],[Date]],"MMM-YYYY")</f>
        <v>Aug-2023</v>
      </c>
      <c r="L2274">
        <f>IF(Transactions_Clean[[#This Row],[Category]]="Revenue",Transactions_Clean[[#This Row],[Amount(₹)]],Transactions_Clean[[#This Row],[Amount(₹)]]/8)</f>
        <v>-1973</v>
      </c>
    </row>
    <row r="2275" spans="1:12">
      <c r="A2275" t="s">
        <v>3554</v>
      </c>
      <c r="B2275" t="s">
        <v>51</v>
      </c>
      <c r="C2275" t="s">
        <v>31</v>
      </c>
      <c r="D2275">
        <v>-24652</v>
      </c>
      <c r="E2275" t="s">
        <v>23</v>
      </c>
      <c r="F2275" t="s">
        <v>32</v>
      </c>
      <c r="G2275" t="s">
        <v>33</v>
      </c>
      <c r="H2275" t="s">
        <v>39</v>
      </c>
      <c r="I2275" t="s">
        <v>40</v>
      </c>
      <c r="J2275" s="11">
        <v>45896</v>
      </c>
      <c r="K2275" t="str">
        <f>TEXT(Transactions_Clean[[#This Row],[Date]],"MMM-YYYY")</f>
        <v>Aug-2025</v>
      </c>
      <c r="L2275">
        <f>IF(Transactions_Clean[[#This Row],[Category]]="Revenue",Transactions_Clean[[#This Row],[Amount(₹)]],Transactions_Clean[[#This Row],[Amount(₹)]]/8)</f>
        <v>-3081.5</v>
      </c>
    </row>
    <row r="2276" spans="1:12">
      <c r="A2276" t="s">
        <v>3555</v>
      </c>
      <c r="B2276" t="s">
        <v>4762</v>
      </c>
      <c r="C2276" t="s">
        <v>157</v>
      </c>
      <c r="D2276">
        <v>655312</v>
      </c>
      <c r="E2276" t="s">
        <v>62</v>
      </c>
      <c r="F2276" t="s">
        <v>32</v>
      </c>
      <c r="G2276" t="s">
        <v>25</v>
      </c>
      <c r="H2276" t="s">
        <v>39</v>
      </c>
      <c r="I2276" t="s">
        <v>34</v>
      </c>
      <c r="J2276" s="11">
        <v>45780</v>
      </c>
      <c r="K2276" t="str">
        <f>TEXT(Transactions_Clean[[#This Row],[Date]],"MMM-YYYY")</f>
        <v>May-2025</v>
      </c>
      <c r="L2276">
        <f>IF(Transactions_Clean[[#This Row],[Category]]="Revenue",Transactions_Clean[[#This Row],[Amount(₹)]],Transactions_Clean[[#This Row],[Amount(₹)]]/8)</f>
        <v>655312</v>
      </c>
    </row>
    <row r="2277" spans="1:12">
      <c r="A2277" t="s">
        <v>3556</v>
      </c>
      <c r="B2277" t="s">
        <v>4751</v>
      </c>
      <c r="C2277" t="s">
        <v>38</v>
      </c>
      <c r="D2277">
        <v>-43633</v>
      </c>
      <c r="E2277" t="s">
        <v>23</v>
      </c>
      <c r="F2277" t="s">
        <v>32</v>
      </c>
      <c r="G2277" t="s">
        <v>33</v>
      </c>
      <c r="H2277" t="s">
        <v>26</v>
      </c>
      <c r="I2277" t="s">
        <v>48</v>
      </c>
      <c r="J2277" s="11">
        <v>45213</v>
      </c>
      <c r="K2277" t="str">
        <f>TEXT(Transactions_Clean[[#This Row],[Date]],"MMM-YYYY")</f>
        <v>Oct-2023</v>
      </c>
      <c r="L2277">
        <f>IF(Transactions_Clean[[#This Row],[Category]]="Revenue",Transactions_Clean[[#This Row],[Amount(₹)]],Transactions_Clean[[#This Row],[Amount(₹)]]/8)</f>
        <v>-5454.125</v>
      </c>
    </row>
    <row r="2278" spans="1:12">
      <c r="A2278" t="s">
        <v>3558</v>
      </c>
      <c r="B2278" t="s">
        <v>215</v>
      </c>
      <c r="C2278" t="s">
        <v>61</v>
      </c>
      <c r="D2278">
        <v>-58616</v>
      </c>
      <c r="E2278" t="s">
        <v>62</v>
      </c>
      <c r="F2278" t="s">
        <v>32</v>
      </c>
      <c r="G2278" t="s">
        <v>63</v>
      </c>
      <c r="H2278" t="s">
        <v>45</v>
      </c>
      <c r="I2278" t="s">
        <v>40</v>
      </c>
      <c r="J2278" s="11">
        <v>45499</v>
      </c>
      <c r="K2278" t="str">
        <f>TEXT(Transactions_Clean[[#This Row],[Date]],"MMM-YYYY")</f>
        <v>Jul-2024</v>
      </c>
      <c r="L2278">
        <f>IF(Transactions_Clean[[#This Row],[Category]]="Revenue",Transactions_Clean[[#This Row],[Amount(₹)]],Transactions_Clean[[#This Row],[Amount(₹)]]/8)</f>
        <v>-7327</v>
      </c>
    </row>
    <row r="2279" spans="1:12">
      <c r="A2279" t="s">
        <v>3560</v>
      </c>
      <c r="B2279" t="s">
        <v>215</v>
      </c>
      <c r="C2279" t="s">
        <v>61</v>
      </c>
      <c r="D2279">
        <v>-53519</v>
      </c>
      <c r="E2279" t="s">
        <v>62</v>
      </c>
      <c r="F2279" t="s">
        <v>32</v>
      </c>
      <c r="G2279" t="s">
        <v>63</v>
      </c>
      <c r="H2279" t="s">
        <v>45</v>
      </c>
      <c r="I2279" t="s">
        <v>34</v>
      </c>
      <c r="J2279" s="11">
        <v>45390</v>
      </c>
      <c r="K2279" t="str">
        <f>TEXT(Transactions_Clean[[#This Row],[Date]],"MMM-YYYY")</f>
        <v>Apr-2024</v>
      </c>
      <c r="L2279">
        <f>IF(Transactions_Clean[[#This Row],[Category]]="Revenue",Transactions_Clean[[#This Row],[Amount(₹)]],Transactions_Clean[[#This Row],[Amount(₹)]]/8)</f>
        <v>-6689.875</v>
      </c>
    </row>
    <row r="2280" spans="1:12">
      <c r="A2280" t="s">
        <v>3561</v>
      </c>
      <c r="B2280" t="s">
        <v>4768</v>
      </c>
      <c r="C2280" t="s">
        <v>157</v>
      </c>
      <c r="D2280">
        <v>562643</v>
      </c>
      <c r="E2280" t="s">
        <v>62</v>
      </c>
      <c r="F2280" t="s">
        <v>32</v>
      </c>
      <c r="G2280" t="s">
        <v>25</v>
      </c>
      <c r="H2280" t="s">
        <v>26</v>
      </c>
      <c r="I2280" t="s">
        <v>48</v>
      </c>
      <c r="J2280" s="11">
        <v>45210</v>
      </c>
      <c r="K2280" t="str">
        <f>TEXT(Transactions_Clean[[#This Row],[Date]],"MMM-YYYY")</f>
        <v>Oct-2023</v>
      </c>
      <c r="L2280">
        <f>IF(Transactions_Clean[[#This Row],[Category]]="Revenue",Transactions_Clean[[#This Row],[Amount(₹)]],Transactions_Clean[[#This Row],[Amount(₹)]]/8)</f>
        <v>562643</v>
      </c>
    </row>
    <row r="2281" spans="1:12">
      <c r="A2281" t="s">
        <v>3562</v>
      </c>
      <c r="B2281" t="s">
        <v>37</v>
      </c>
      <c r="C2281" t="s">
        <v>38</v>
      </c>
      <c r="D2281">
        <v>-51633</v>
      </c>
      <c r="E2281" t="s">
        <v>23</v>
      </c>
      <c r="F2281" t="s">
        <v>24</v>
      </c>
      <c r="G2281" t="s">
        <v>33</v>
      </c>
      <c r="H2281" t="s">
        <v>45</v>
      </c>
      <c r="I2281" t="s">
        <v>27</v>
      </c>
      <c r="J2281" s="11">
        <v>45659</v>
      </c>
      <c r="K2281" t="str">
        <f>TEXT(Transactions_Clean[[#This Row],[Date]],"MMM-YYYY")</f>
        <v>Jan-2025</v>
      </c>
      <c r="L2281">
        <f>IF(Transactions_Clean[[#This Row],[Category]]="Revenue",Transactions_Clean[[#This Row],[Amount(₹)]],Transactions_Clean[[#This Row],[Amount(₹)]]/8)</f>
        <v>-6454.125</v>
      </c>
    </row>
    <row r="2282" spans="1:12">
      <c r="A2282" t="s">
        <v>3563</v>
      </c>
      <c r="B2282" t="s">
        <v>4758</v>
      </c>
      <c r="C2282" t="s">
        <v>78</v>
      </c>
      <c r="D2282">
        <v>-112552</v>
      </c>
      <c r="E2282" t="s">
        <v>23</v>
      </c>
      <c r="F2282" t="s">
        <v>32</v>
      </c>
      <c r="G2282" t="s">
        <v>79</v>
      </c>
      <c r="H2282" t="s">
        <v>45</v>
      </c>
      <c r="I2282" t="s">
        <v>27</v>
      </c>
      <c r="J2282" s="11">
        <v>45679</v>
      </c>
      <c r="K2282" t="str">
        <f>TEXT(Transactions_Clean[[#This Row],[Date]],"MMM-YYYY")</f>
        <v>Jan-2025</v>
      </c>
      <c r="L2282">
        <f>IF(Transactions_Clean[[#This Row],[Category]]="Revenue",Transactions_Clean[[#This Row],[Amount(₹)]],Transactions_Clean[[#This Row],[Amount(₹)]]/8)</f>
        <v>-14069</v>
      </c>
    </row>
    <row r="2283" spans="1:12">
      <c r="A2283" t="s">
        <v>3565</v>
      </c>
      <c r="B2283" t="s">
        <v>161</v>
      </c>
      <c r="C2283" t="s">
        <v>22</v>
      </c>
      <c r="D2283">
        <v>-50774</v>
      </c>
      <c r="E2283" t="s">
        <v>23</v>
      </c>
      <c r="F2283" t="s">
        <v>24</v>
      </c>
      <c r="G2283" t="s">
        <v>25</v>
      </c>
      <c r="H2283" t="s">
        <v>45</v>
      </c>
      <c r="I2283" t="s">
        <v>27</v>
      </c>
      <c r="J2283" s="11">
        <v>45684</v>
      </c>
      <c r="K2283" t="str">
        <f>TEXT(Transactions_Clean[[#This Row],[Date]],"MMM-YYYY")</f>
        <v>Jan-2025</v>
      </c>
      <c r="L2283">
        <f>IF(Transactions_Clean[[#This Row],[Category]]="Revenue",Transactions_Clean[[#This Row],[Amount(₹)]],Transactions_Clean[[#This Row],[Amount(₹)]]/8)</f>
        <v>-6346.75</v>
      </c>
    </row>
    <row r="2284" spans="1:12">
      <c r="A2284" t="s">
        <v>3567</v>
      </c>
      <c r="B2284" t="s">
        <v>100</v>
      </c>
      <c r="C2284" t="s">
        <v>31</v>
      </c>
      <c r="D2284">
        <v>-13049</v>
      </c>
      <c r="E2284" t="s">
        <v>23</v>
      </c>
      <c r="F2284" t="s">
        <v>24</v>
      </c>
      <c r="G2284" t="s">
        <v>33</v>
      </c>
      <c r="H2284" t="s">
        <v>26</v>
      </c>
      <c r="I2284" t="s">
        <v>34</v>
      </c>
      <c r="J2284" s="11">
        <v>45094</v>
      </c>
      <c r="K2284" t="str">
        <f>TEXT(Transactions_Clean[[#This Row],[Date]],"MMM-YYYY")</f>
        <v>Jun-2023</v>
      </c>
      <c r="L2284">
        <f>IF(Transactions_Clean[[#This Row],[Category]]="Revenue",Transactions_Clean[[#This Row],[Amount(₹)]],Transactions_Clean[[#This Row],[Amount(₹)]]/8)</f>
        <v>-1631.125</v>
      </c>
    </row>
    <row r="2285" spans="1:12">
      <c r="A2285" t="s">
        <v>3568</v>
      </c>
      <c r="B2285" t="s">
        <v>212</v>
      </c>
      <c r="C2285" t="s">
        <v>73</v>
      </c>
      <c r="D2285">
        <v>-73377</v>
      </c>
      <c r="E2285" t="s">
        <v>74</v>
      </c>
      <c r="F2285" t="s">
        <v>32</v>
      </c>
      <c r="G2285" t="s">
        <v>25</v>
      </c>
      <c r="H2285" t="s">
        <v>45</v>
      </c>
      <c r="I2285" t="s">
        <v>48</v>
      </c>
      <c r="J2285" s="11">
        <v>45611</v>
      </c>
      <c r="K2285" t="str">
        <f>TEXT(Transactions_Clean[[#This Row],[Date]],"MMM-YYYY")</f>
        <v>Nov-2024</v>
      </c>
      <c r="L2285">
        <f>IF(Transactions_Clean[[#This Row],[Category]]="Revenue",Transactions_Clean[[#This Row],[Amount(₹)]],Transactions_Clean[[#This Row],[Amount(₹)]]/8)</f>
        <v>-9172.125</v>
      </c>
    </row>
    <row r="2286" spans="1:12">
      <c r="A2286" t="s">
        <v>3569</v>
      </c>
      <c r="B2286" t="s">
        <v>66</v>
      </c>
      <c r="C2286" t="s">
        <v>61</v>
      </c>
      <c r="D2286">
        <v>-59364</v>
      </c>
      <c r="E2286" t="s">
        <v>62</v>
      </c>
      <c r="F2286" t="s">
        <v>24</v>
      </c>
      <c r="G2286" t="s">
        <v>63</v>
      </c>
      <c r="H2286" t="s">
        <v>39</v>
      </c>
      <c r="I2286" t="s">
        <v>48</v>
      </c>
      <c r="J2286" s="11">
        <v>45941</v>
      </c>
      <c r="K2286" t="str">
        <f>TEXT(Transactions_Clean[[#This Row],[Date]],"MMM-YYYY")</f>
        <v>Oct-2025</v>
      </c>
      <c r="L2286">
        <f>IF(Transactions_Clean[[#This Row],[Category]]="Revenue",Transactions_Clean[[#This Row],[Amount(₹)]],Transactions_Clean[[#This Row],[Amount(₹)]]/8)</f>
        <v>-7420.5</v>
      </c>
    </row>
    <row r="2287" spans="1:12">
      <c r="A2287" t="s">
        <v>3570</v>
      </c>
      <c r="B2287" t="s">
        <v>106</v>
      </c>
      <c r="C2287" t="s">
        <v>31</v>
      </c>
      <c r="D2287">
        <v>-7002</v>
      </c>
      <c r="E2287" t="s">
        <v>23</v>
      </c>
      <c r="F2287" t="s">
        <v>32</v>
      </c>
      <c r="G2287" t="s">
        <v>33</v>
      </c>
      <c r="H2287" t="s">
        <v>26</v>
      </c>
      <c r="I2287" t="s">
        <v>27</v>
      </c>
      <c r="J2287" s="11">
        <v>45382</v>
      </c>
      <c r="K2287" t="str">
        <f>TEXT(Transactions_Clean[[#This Row],[Date]],"MMM-YYYY")</f>
        <v>Mar-2024</v>
      </c>
      <c r="L2287">
        <f>IF(Transactions_Clean[[#This Row],[Category]]="Revenue",Transactions_Clean[[#This Row],[Amount(₹)]],Transactions_Clean[[#This Row],[Amount(₹)]]/8)</f>
        <v>-875.25</v>
      </c>
    </row>
    <row r="2288" spans="1:12">
      <c r="A2288" t="s">
        <v>3571</v>
      </c>
      <c r="B2288" t="s">
        <v>215</v>
      </c>
      <c r="C2288" t="s">
        <v>61</v>
      </c>
      <c r="D2288">
        <v>-56959</v>
      </c>
      <c r="E2288" t="s">
        <v>62</v>
      </c>
      <c r="F2288" t="s">
        <v>32</v>
      </c>
      <c r="G2288" t="s">
        <v>63</v>
      </c>
      <c r="H2288" t="s">
        <v>39</v>
      </c>
      <c r="I2288" t="s">
        <v>40</v>
      </c>
      <c r="J2288" s="11">
        <v>45919</v>
      </c>
      <c r="K2288" t="str">
        <f>TEXT(Transactions_Clean[[#This Row],[Date]],"MMM-YYYY")</f>
        <v>Sep-2025</v>
      </c>
      <c r="L2288">
        <f>IF(Transactions_Clean[[#This Row],[Category]]="Revenue",Transactions_Clean[[#This Row],[Amount(₹)]],Transactions_Clean[[#This Row],[Amount(₹)]]/8)</f>
        <v>-7119.875</v>
      </c>
    </row>
    <row r="2289" spans="1:12">
      <c r="A2289" t="s">
        <v>3573</v>
      </c>
      <c r="B2289" t="s">
        <v>60</v>
      </c>
      <c r="C2289" t="s">
        <v>61</v>
      </c>
      <c r="D2289">
        <v>-48067</v>
      </c>
      <c r="E2289" t="s">
        <v>62</v>
      </c>
      <c r="F2289" t="s">
        <v>24</v>
      </c>
      <c r="G2289" t="s">
        <v>63</v>
      </c>
      <c r="H2289" t="s">
        <v>26</v>
      </c>
      <c r="I2289" t="s">
        <v>40</v>
      </c>
      <c r="J2289" s="11">
        <v>45137</v>
      </c>
      <c r="K2289" t="str">
        <f>TEXT(Transactions_Clean[[#This Row],[Date]],"MMM-YYYY")</f>
        <v>Jul-2023</v>
      </c>
      <c r="L2289">
        <f>IF(Transactions_Clean[[#This Row],[Category]]="Revenue",Transactions_Clean[[#This Row],[Amount(₹)]],Transactions_Clean[[#This Row],[Amount(₹)]]/8)</f>
        <v>-6008.375</v>
      </c>
    </row>
    <row r="2290" spans="1:12">
      <c r="A2290" t="s">
        <v>3574</v>
      </c>
      <c r="B2290" t="s">
        <v>345</v>
      </c>
      <c r="C2290" t="s">
        <v>22</v>
      </c>
      <c r="D2290">
        <v>-49907</v>
      </c>
      <c r="E2290" t="s">
        <v>23</v>
      </c>
      <c r="F2290" t="s">
        <v>32</v>
      </c>
      <c r="G2290" t="s">
        <v>25</v>
      </c>
      <c r="H2290" t="s">
        <v>45</v>
      </c>
      <c r="I2290" t="s">
        <v>34</v>
      </c>
      <c r="J2290" s="11">
        <v>45404</v>
      </c>
      <c r="K2290" t="str">
        <f>TEXT(Transactions_Clean[[#This Row],[Date]],"MMM-YYYY")</f>
        <v>Apr-2024</v>
      </c>
      <c r="L2290">
        <f>IF(Transactions_Clean[[#This Row],[Category]]="Revenue",Transactions_Clean[[#This Row],[Amount(₹)]],Transactions_Clean[[#This Row],[Amount(₹)]]/8)</f>
        <v>-6238.375</v>
      </c>
    </row>
    <row r="2291" spans="1:12">
      <c r="A2291" t="s">
        <v>3576</v>
      </c>
      <c r="B2291" t="s">
        <v>4768</v>
      </c>
      <c r="C2291" t="s">
        <v>157</v>
      </c>
      <c r="D2291">
        <v>735483</v>
      </c>
      <c r="E2291" t="s">
        <v>62</v>
      </c>
      <c r="F2291" t="s">
        <v>32</v>
      </c>
      <c r="G2291" t="s">
        <v>25</v>
      </c>
      <c r="H2291" t="s">
        <v>39</v>
      </c>
      <c r="I2291" t="s">
        <v>48</v>
      </c>
      <c r="J2291" s="11">
        <v>45990</v>
      </c>
      <c r="K2291" t="str">
        <f>TEXT(Transactions_Clean[[#This Row],[Date]],"MMM-YYYY")</f>
        <v>Nov-2025</v>
      </c>
      <c r="L2291">
        <f>IF(Transactions_Clean[[#This Row],[Category]]="Revenue",Transactions_Clean[[#This Row],[Amount(₹)]],Transactions_Clean[[#This Row],[Amount(₹)]]/8)</f>
        <v>735483</v>
      </c>
    </row>
    <row r="2292" spans="1:12">
      <c r="A2292" t="s">
        <v>3577</v>
      </c>
      <c r="B2292" t="s">
        <v>51</v>
      </c>
      <c r="C2292" t="s">
        <v>31</v>
      </c>
      <c r="D2292">
        <v>-11662</v>
      </c>
      <c r="E2292" t="s">
        <v>23</v>
      </c>
      <c r="F2292" t="s">
        <v>24</v>
      </c>
      <c r="G2292" t="s">
        <v>33</v>
      </c>
      <c r="H2292" t="s">
        <v>26</v>
      </c>
      <c r="I2292" t="s">
        <v>27</v>
      </c>
      <c r="J2292" s="11">
        <v>45293</v>
      </c>
      <c r="K2292" t="str">
        <f>TEXT(Transactions_Clean[[#This Row],[Date]],"MMM-YYYY")</f>
        <v>Jan-2024</v>
      </c>
      <c r="L2292">
        <f>IF(Transactions_Clean[[#This Row],[Category]]="Revenue",Transactions_Clean[[#This Row],[Amount(₹)]],Transactions_Clean[[#This Row],[Amount(₹)]]/8)</f>
        <v>-1457.75</v>
      </c>
    </row>
    <row r="2293" spans="1:12">
      <c r="A2293" t="s">
        <v>3578</v>
      </c>
      <c r="B2293" t="s">
        <v>215</v>
      </c>
      <c r="C2293" t="s">
        <v>61</v>
      </c>
      <c r="D2293">
        <v>-50621</v>
      </c>
      <c r="E2293" t="s">
        <v>62</v>
      </c>
      <c r="F2293" t="s">
        <v>24</v>
      </c>
      <c r="G2293" t="s">
        <v>63</v>
      </c>
      <c r="H2293" t="s">
        <v>39</v>
      </c>
      <c r="I2293" t="s">
        <v>34</v>
      </c>
      <c r="J2293" s="11">
        <v>45768</v>
      </c>
      <c r="K2293" t="str">
        <f>TEXT(Transactions_Clean[[#This Row],[Date]],"MMM-YYYY")</f>
        <v>Apr-2025</v>
      </c>
      <c r="L2293">
        <f>IF(Transactions_Clean[[#This Row],[Category]]="Revenue",Transactions_Clean[[#This Row],[Amount(₹)]],Transactions_Clean[[#This Row],[Amount(₹)]]/8)</f>
        <v>-6327.625</v>
      </c>
    </row>
    <row r="2294" spans="1:12">
      <c r="A2294" t="s">
        <v>3579</v>
      </c>
      <c r="B2294" t="s">
        <v>4760</v>
      </c>
      <c r="C2294" t="s">
        <v>73</v>
      </c>
      <c r="D2294">
        <v>-41853</v>
      </c>
      <c r="E2294" t="s">
        <v>74</v>
      </c>
      <c r="F2294" t="s">
        <v>32</v>
      </c>
      <c r="G2294" t="s">
        <v>25</v>
      </c>
      <c r="H2294" t="s">
        <v>39</v>
      </c>
      <c r="I2294" t="s">
        <v>34</v>
      </c>
      <c r="J2294" s="11">
        <v>45774</v>
      </c>
      <c r="K2294" t="str">
        <f>TEXT(Transactions_Clean[[#This Row],[Date]],"MMM-YYYY")</f>
        <v>Apr-2025</v>
      </c>
      <c r="L2294">
        <f>IF(Transactions_Clean[[#This Row],[Category]]="Revenue",Transactions_Clean[[#This Row],[Amount(₹)]],Transactions_Clean[[#This Row],[Amount(₹)]]/8)</f>
        <v>-5231.625</v>
      </c>
    </row>
    <row r="2295" spans="1:12">
      <c r="A2295" t="s">
        <v>3580</v>
      </c>
      <c r="B2295" t="s">
        <v>4759</v>
      </c>
      <c r="C2295" t="s">
        <v>31</v>
      </c>
      <c r="D2295">
        <v>-27173</v>
      </c>
      <c r="E2295" t="s">
        <v>23</v>
      </c>
      <c r="F2295" t="s">
        <v>32</v>
      </c>
      <c r="G2295" t="s">
        <v>33</v>
      </c>
      <c r="H2295" t="s">
        <v>26</v>
      </c>
      <c r="I2295" t="s">
        <v>34</v>
      </c>
      <c r="J2295" s="11">
        <v>45074</v>
      </c>
      <c r="K2295" t="str">
        <f>TEXT(Transactions_Clean[[#This Row],[Date]],"MMM-YYYY")</f>
        <v>May-2023</v>
      </c>
      <c r="L2295">
        <f>IF(Transactions_Clean[[#This Row],[Category]]="Revenue",Transactions_Clean[[#This Row],[Amount(₹)]],Transactions_Clean[[#This Row],[Amount(₹)]]/8)</f>
        <v>-3396.625</v>
      </c>
    </row>
    <row r="2296" spans="1:12">
      <c r="A2296" t="s">
        <v>3581</v>
      </c>
      <c r="B2296" t="s">
        <v>4759</v>
      </c>
      <c r="C2296" t="s">
        <v>31</v>
      </c>
      <c r="D2296">
        <v>-5357</v>
      </c>
      <c r="E2296" t="s">
        <v>23</v>
      </c>
      <c r="F2296" t="s">
        <v>32</v>
      </c>
      <c r="G2296" t="s">
        <v>33</v>
      </c>
      <c r="H2296" t="s">
        <v>45</v>
      </c>
      <c r="I2296" t="s">
        <v>34</v>
      </c>
      <c r="J2296" s="11">
        <v>45447</v>
      </c>
      <c r="K2296" t="str">
        <f>TEXT(Transactions_Clean[[#This Row],[Date]],"MMM-YYYY")</f>
        <v>Jun-2024</v>
      </c>
      <c r="L2296">
        <f>IF(Transactions_Clean[[#This Row],[Category]]="Revenue",Transactions_Clean[[#This Row],[Amount(₹)]],Transactions_Clean[[#This Row],[Amount(₹)]]/8)</f>
        <v>-669.625</v>
      </c>
    </row>
    <row r="2297" spans="1:12">
      <c r="A2297" t="s">
        <v>3582</v>
      </c>
      <c r="B2297" t="s">
        <v>215</v>
      </c>
      <c r="C2297" t="s">
        <v>4750</v>
      </c>
      <c r="D2297">
        <v>-33503</v>
      </c>
      <c r="E2297" t="s">
        <v>62</v>
      </c>
      <c r="F2297" t="s">
        <v>24</v>
      </c>
      <c r="G2297" t="s">
        <v>63</v>
      </c>
      <c r="H2297" t="s">
        <v>26</v>
      </c>
      <c r="I2297" t="s">
        <v>34</v>
      </c>
      <c r="J2297" s="11">
        <v>45081</v>
      </c>
      <c r="K2297" t="str">
        <f>TEXT(Transactions_Clean[[#This Row],[Date]],"MMM-YYYY")</f>
        <v>Jun-2023</v>
      </c>
      <c r="L2297">
        <f>IF(Transactions_Clean[[#This Row],[Category]]="Revenue",Transactions_Clean[[#This Row],[Amount(₹)]],Transactions_Clean[[#This Row],[Amount(₹)]]/8)</f>
        <v>-4187.875</v>
      </c>
    </row>
    <row r="2298" spans="1:12">
      <c r="A2298" t="s">
        <v>3583</v>
      </c>
      <c r="B2298" t="s">
        <v>177</v>
      </c>
      <c r="C2298" t="s">
        <v>78</v>
      </c>
      <c r="D2298">
        <v>-20328</v>
      </c>
      <c r="E2298" t="s">
        <v>23</v>
      </c>
      <c r="F2298" t="s">
        <v>32</v>
      </c>
      <c r="G2298" t="s">
        <v>79</v>
      </c>
      <c r="H2298" t="s">
        <v>26</v>
      </c>
      <c r="I2298" t="s">
        <v>48</v>
      </c>
      <c r="J2298" s="11">
        <v>45254</v>
      </c>
      <c r="K2298" t="str">
        <f>TEXT(Transactions_Clean[[#This Row],[Date]],"MMM-YYYY")</f>
        <v>Nov-2023</v>
      </c>
      <c r="L2298">
        <f>IF(Transactions_Clean[[#This Row],[Category]]="Revenue",Transactions_Clean[[#This Row],[Amount(₹)]],Transactions_Clean[[#This Row],[Amount(₹)]]/8)</f>
        <v>-2541</v>
      </c>
    </row>
    <row r="2299" spans="1:12">
      <c r="A2299" t="s">
        <v>3584</v>
      </c>
      <c r="B2299" t="s">
        <v>177</v>
      </c>
      <c r="C2299" t="s">
        <v>78</v>
      </c>
      <c r="D2299">
        <v>-99015</v>
      </c>
      <c r="E2299" t="s">
        <v>23</v>
      </c>
      <c r="F2299" t="s">
        <v>24</v>
      </c>
      <c r="G2299" t="s">
        <v>79</v>
      </c>
      <c r="H2299" t="s">
        <v>26</v>
      </c>
      <c r="I2299" t="s">
        <v>34</v>
      </c>
      <c r="J2299" s="11">
        <v>45083</v>
      </c>
      <c r="K2299" t="str">
        <f>TEXT(Transactions_Clean[[#This Row],[Date]],"MMM-YYYY")</f>
        <v>Jun-2023</v>
      </c>
      <c r="L2299">
        <f>IF(Transactions_Clean[[#This Row],[Category]]="Revenue",Transactions_Clean[[#This Row],[Amount(₹)]],Transactions_Clean[[#This Row],[Amount(₹)]]/8)</f>
        <v>-12376.875</v>
      </c>
    </row>
    <row r="2300" spans="1:12">
      <c r="A2300" t="s">
        <v>3585</v>
      </c>
      <c r="B2300" t="s">
        <v>72</v>
      </c>
      <c r="C2300" t="s">
        <v>73</v>
      </c>
      <c r="D2300">
        <v>-93865</v>
      </c>
      <c r="E2300" t="s">
        <v>74</v>
      </c>
      <c r="F2300" t="s">
        <v>32</v>
      </c>
      <c r="G2300" t="s">
        <v>25</v>
      </c>
      <c r="H2300" t="s">
        <v>45</v>
      </c>
      <c r="I2300" t="s">
        <v>48</v>
      </c>
      <c r="J2300" s="11">
        <v>45585</v>
      </c>
      <c r="K2300" t="str">
        <f>TEXT(Transactions_Clean[[#This Row],[Date]],"MMM-YYYY")</f>
        <v>Oct-2024</v>
      </c>
      <c r="L2300">
        <f>IF(Transactions_Clean[[#This Row],[Category]]="Revenue",Transactions_Clean[[#This Row],[Amount(₹)]],Transactions_Clean[[#This Row],[Amount(₹)]]/8)</f>
        <v>-11733.125</v>
      </c>
    </row>
    <row r="2301" spans="1:12">
      <c r="A2301" t="s">
        <v>3586</v>
      </c>
      <c r="B2301" t="s">
        <v>616</v>
      </c>
      <c r="C2301" t="s">
        <v>22</v>
      </c>
      <c r="D2301">
        <v>-117479</v>
      </c>
      <c r="E2301" t="s">
        <v>23</v>
      </c>
      <c r="F2301" t="s">
        <v>24</v>
      </c>
      <c r="G2301" t="s">
        <v>25</v>
      </c>
      <c r="H2301" t="s">
        <v>39</v>
      </c>
      <c r="I2301" t="s">
        <v>40</v>
      </c>
      <c r="J2301" s="11">
        <v>45911</v>
      </c>
      <c r="K2301" t="str">
        <f>TEXT(Transactions_Clean[[#This Row],[Date]],"MMM-YYYY")</f>
        <v>Sep-2025</v>
      </c>
      <c r="L2301">
        <f>IF(Transactions_Clean[[#This Row],[Category]]="Revenue",Transactions_Clean[[#This Row],[Amount(₹)]],Transactions_Clean[[#This Row],[Amount(₹)]]/8)</f>
        <v>-14684.875</v>
      </c>
    </row>
    <row r="2302" spans="1:12">
      <c r="A2302" t="s">
        <v>3588</v>
      </c>
      <c r="B2302" t="s">
        <v>72</v>
      </c>
      <c r="C2302" t="s">
        <v>4750</v>
      </c>
      <c r="D2302">
        <v>-93037</v>
      </c>
      <c r="E2302" t="s">
        <v>74</v>
      </c>
      <c r="F2302" t="s">
        <v>24</v>
      </c>
      <c r="G2302" t="s">
        <v>25</v>
      </c>
      <c r="H2302" t="s">
        <v>26</v>
      </c>
      <c r="I2302" t="s">
        <v>27</v>
      </c>
      <c r="J2302" s="11">
        <v>45296</v>
      </c>
      <c r="K2302" t="str">
        <f>TEXT(Transactions_Clean[[#This Row],[Date]],"MMM-YYYY")</f>
        <v>Jan-2024</v>
      </c>
      <c r="L2302">
        <f>IF(Transactions_Clean[[#This Row],[Category]]="Revenue",Transactions_Clean[[#This Row],[Amount(₹)]],Transactions_Clean[[#This Row],[Amount(₹)]]/8)</f>
        <v>-11629.625</v>
      </c>
    </row>
    <row r="2303" spans="1:12">
      <c r="A2303" t="s">
        <v>3589</v>
      </c>
      <c r="B2303" t="s">
        <v>4755</v>
      </c>
      <c r="C2303" t="s">
        <v>78</v>
      </c>
      <c r="D2303">
        <v>-87500</v>
      </c>
      <c r="E2303" t="s">
        <v>23</v>
      </c>
      <c r="F2303" t="s">
        <v>32</v>
      </c>
      <c r="G2303" t="s">
        <v>79</v>
      </c>
      <c r="H2303" t="s">
        <v>39</v>
      </c>
      <c r="I2303" t="s">
        <v>34</v>
      </c>
      <c r="J2303" s="11">
        <v>45826</v>
      </c>
      <c r="K2303" t="str">
        <f>TEXT(Transactions_Clean[[#This Row],[Date]],"MMM-YYYY")</f>
        <v>Jun-2025</v>
      </c>
      <c r="L2303">
        <f>IF(Transactions_Clean[[#This Row],[Category]]="Revenue",Transactions_Clean[[#This Row],[Amount(₹)]],Transactions_Clean[[#This Row],[Amount(₹)]]/8)</f>
        <v>-10937.5</v>
      </c>
    </row>
    <row r="2304" spans="1:12">
      <c r="A2304" t="s">
        <v>3590</v>
      </c>
      <c r="B2304" t="s">
        <v>129</v>
      </c>
      <c r="C2304" t="s">
        <v>38</v>
      </c>
      <c r="D2304">
        <v>-32344</v>
      </c>
      <c r="E2304" t="s">
        <v>23</v>
      </c>
      <c r="F2304" t="s">
        <v>32</v>
      </c>
      <c r="G2304" t="s">
        <v>33</v>
      </c>
      <c r="H2304" t="s">
        <v>26</v>
      </c>
      <c r="I2304" t="s">
        <v>27</v>
      </c>
      <c r="J2304" s="11">
        <v>45361</v>
      </c>
      <c r="K2304" t="str">
        <f>TEXT(Transactions_Clean[[#This Row],[Date]],"MMM-YYYY")</f>
        <v>Mar-2024</v>
      </c>
      <c r="L2304">
        <f>IF(Transactions_Clean[[#This Row],[Category]]="Revenue",Transactions_Clean[[#This Row],[Amount(₹)]],Transactions_Clean[[#This Row],[Amount(₹)]]/8)</f>
        <v>-4043</v>
      </c>
    </row>
    <row r="2305" spans="1:12">
      <c r="A2305" t="s">
        <v>3591</v>
      </c>
      <c r="B2305" t="s">
        <v>66</v>
      </c>
      <c r="C2305" t="s">
        <v>61</v>
      </c>
      <c r="D2305">
        <v>-58115</v>
      </c>
      <c r="E2305" t="s">
        <v>62</v>
      </c>
      <c r="F2305" t="s">
        <v>32</v>
      </c>
      <c r="G2305" t="s">
        <v>63</v>
      </c>
      <c r="H2305" t="s">
        <v>26</v>
      </c>
      <c r="I2305" t="s">
        <v>34</v>
      </c>
      <c r="J2305" s="11">
        <v>45085</v>
      </c>
      <c r="K2305" t="str">
        <f>TEXT(Transactions_Clean[[#This Row],[Date]],"MMM-YYYY")</f>
        <v>Jun-2023</v>
      </c>
      <c r="L2305">
        <f>IF(Transactions_Clean[[#This Row],[Category]]="Revenue",Transactions_Clean[[#This Row],[Amount(₹)]],Transactions_Clean[[#This Row],[Amount(₹)]]/8)</f>
        <v>-7264.375</v>
      </c>
    </row>
    <row r="2306" spans="1:12">
      <c r="A2306" t="s">
        <v>3592</v>
      </c>
      <c r="B2306" t="s">
        <v>143</v>
      </c>
      <c r="C2306" t="s">
        <v>78</v>
      </c>
      <c r="D2306">
        <v>-81321</v>
      </c>
      <c r="E2306" t="s">
        <v>23</v>
      </c>
      <c r="F2306" t="s">
        <v>24</v>
      </c>
      <c r="G2306" t="s">
        <v>79</v>
      </c>
      <c r="H2306" t="s">
        <v>26</v>
      </c>
      <c r="I2306" t="s">
        <v>48</v>
      </c>
      <c r="J2306" s="11">
        <v>45261</v>
      </c>
      <c r="K2306" t="str">
        <f>TEXT(Transactions_Clean[[#This Row],[Date]],"MMM-YYYY")</f>
        <v>Dec-2023</v>
      </c>
      <c r="L2306">
        <f>IF(Transactions_Clean[[#This Row],[Category]]="Revenue",Transactions_Clean[[#This Row],[Amount(₹)]],Transactions_Clean[[#This Row],[Amount(₹)]]/8)</f>
        <v>-10165.125</v>
      </c>
    </row>
    <row r="2307" spans="1:12">
      <c r="A2307" t="s">
        <v>3594</v>
      </c>
      <c r="B2307" t="s">
        <v>177</v>
      </c>
      <c r="C2307" t="s">
        <v>78</v>
      </c>
      <c r="D2307">
        <v>-49899</v>
      </c>
      <c r="E2307" t="s">
        <v>23</v>
      </c>
      <c r="F2307" t="s">
        <v>24</v>
      </c>
      <c r="G2307" t="s">
        <v>79</v>
      </c>
      <c r="H2307" t="s">
        <v>39</v>
      </c>
      <c r="I2307" t="s">
        <v>27</v>
      </c>
      <c r="J2307" s="11">
        <v>46100</v>
      </c>
      <c r="K2307" t="str">
        <f>TEXT(Transactions_Clean[[#This Row],[Date]],"MMM-YYYY")</f>
        <v>Mar-2026</v>
      </c>
      <c r="L2307">
        <f>IF(Transactions_Clean[[#This Row],[Category]]="Revenue",Transactions_Clean[[#This Row],[Amount(₹)]],Transactions_Clean[[#This Row],[Amount(₹)]]/8)</f>
        <v>-6237.375</v>
      </c>
    </row>
    <row r="2308" spans="1:12">
      <c r="A2308" t="s">
        <v>3595</v>
      </c>
      <c r="B2308" t="s">
        <v>4760</v>
      </c>
      <c r="C2308" t="s">
        <v>4750</v>
      </c>
      <c r="D2308">
        <v>-23092</v>
      </c>
      <c r="E2308" t="s">
        <v>74</v>
      </c>
      <c r="F2308" t="s">
        <v>24</v>
      </c>
      <c r="G2308" t="s">
        <v>25</v>
      </c>
      <c r="H2308" t="s">
        <v>39</v>
      </c>
      <c r="I2308" t="s">
        <v>48</v>
      </c>
      <c r="J2308" s="11">
        <v>45958</v>
      </c>
      <c r="K2308" t="str">
        <f>TEXT(Transactions_Clean[[#This Row],[Date]],"MMM-YYYY")</f>
        <v>Oct-2025</v>
      </c>
      <c r="L2308">
        <f>IF(Transactions_Clean[[#This Row],[Category]]="Revenue",Transactions_Clean[[#This Row],[Amount(₹)]],Transactions_Clean[[#This Row],[Amount(₹)]]/8)</f>
        <v>-2886.5</v>
      </c>
    </row>
    <row r="2309" spans="1:12">
      <c r="A2309" t="s">
        <v>3596</v>
      </c>
      <c r="B2309" t="s">
        <v>30</v>
      </c>
      <c r="C2309" t="s">
        <v>31</v>
      </c>
      <c r="D2309">
        <v>-18694</v>
      </c>
      <c r="E2309" t="s">
        <v>23</v>
      </c>
      <c r="F2309" t="s">
        <v>32</v>
      </c>
      <c r="G2309" t="s">
        <v>33</v>
      </c>
      <c r="H2309" t="s">
        <v>26</v>
      </c>
      <c r="I2309" t="s">
        <v>34</v>
      </c>
      <c r="J2309" s="11">
        <v>45037</v>
      </c>
      <c r="K2309" t="str">
        <f>TEXT(Transactions_Clean[[#This Row],[Date]],"MMM-YYYY")</f>
        <v>Apr-2023</v>
      </c>
      <c r="L2309">
        <f>IF(Transactions_Clean[[#This Row],[Category]]="Revenue",Transactions_Clean[[#This Row],[Amount(₹)]],Transactions_Clean[[#This Row],[Amount(₹)]]/8)</f>
        <v>-2336.75</v>
      </c>
    </row>
    <row r="2310" spans="1:12">
      <c r="A2310" t="s">
        <v>3598</v>
      </c>
      <c r="B2310" t="s">
        <v>202</v>
      </c>
      <c r="C2310" t="s">
        <v>22</v>
      </c>
      <c r="D2310">
        <v>-177820</v>
      </c>
      <c r="E2310" t="s">
        <v>23</v>
      </c>
      <c r="F2310" t="s">
        <v>24</v>
      </c>
      <c r="G2310" t="s">
        <v>25</v>
      </c>
      <c r="H2310" t="s">
        <v>45</v>
      </c>
      <c r="I2310" t="s">
        <v>48</v>
      </c>
      <c r="J2310" s="11">
        <v>45640</v>
      </c>
      <c r="K2310" t="str">
        <f>TEXT(Transactions_Clean[[#This Row],[Date]],"MMM-YYYY")</f>
        <v>Dec-2024</v>
      </c>
      <c r="L2310">
        <f>IF(Transactions_Clean[[#This Row],[Category]]="Revenue",Transactions_Clean[[#This Row],[Amount(₹)]],Transactions_Clean[[#This Row],[Amount(₹)]]/8)</f>
        <v>-22227.5</v>
      </c>
    </row>
    <row r="2311" spans="1:12">
      <c r="A2311" t="s">
        <v>3599</v>
      </c>
      <c r="B2311" t="s">
        <v>4767</v>
      </c>
      <c r="C2311" t="s">
        <v>157</v>
      </c>
      <c r="D2311">
        <v>733041</v>
      </c>
      <c r="E2311" t="s">
        <v>62</v>
      </c>
      <c r="F2311" t="s">
        <v>32</v>
      </c>
      <c r="G2311" t="s">
        <v>25</v>
      </c>
      <c r="H2311" t="s">
        <v>39</v>
      </c>
      <c r="I2311" t="s">
        <v>27</v>
      </c>
      <c r="J2311" s="11">
        <v>46028</v>
      </c>
      <c r="K2311" t="str">
        <f>TEXT(Transactions_Clean[[#This Row],[Date]],"MMM-YYYY")</f>
        <v>Jan-2026</v>
      </c>
      <c r="L2311">
        <f>IF(Transactions_Clean[[#This Row],[Category]]="Revenue",Transactions_Clean[[#This Row],[Amount(₹)]],Transactions_Clean[[#This Row],[Amount(₹)]]/8)</f>
        <v>733041</v>
      </c>
    </row>
    <row r="2312" spans="1:12">
      <c r="A2312" t="s">
        <v>3600</v>
      </c>
      <c r="B2312" t="s">
        <v>30</v>
      </c>
      <c r="C2312" t="s">
        <v>31</v>
      </c>
      <c r="D2312">
        <v>-43348</v>
      </c>
      <c r="E2312" t="s">
        <v>23</v>
      </c>
      <c r="F2312" t="s">
        <v>24</v>
      </c>
      <c r="G2312" t="s">
        <v>33</v>
      </c>
      <c r="H2312" t="s">
        <v>26</v>
      </c>
      <c r="I2312" t="s">
        <v>34</v>
      </c>
      <c r="J2312" s="11">
        <v>45056</v>
      </c>
      <c r="K2312" t="str">
        <f>TEXT(Transactions_Clean[[#This Row],[Date]],"MMM-YYYY")</f>
        <v>May-2023</v>
      </c>
      <c r="L2312">
        <f>IF(Transactions_Clean[[#This Row],[Category]]="Revenue",Transactions_Clean[[#This Row],[Amount(₹)]],Transactions_Clean[[#This Row],[Amount(₹)]]/8)</f>
        <v>-5418.5</v>
      </c>
    </row>
    <row r="2313" spans="1:12">
      <c r="A2313" t="s">
        <v>3601</v>
      </c>
      <c r="B2313" t="s">
        <v>100</v>
      </c>
      <c r="C2313" t="s">
        <v>31</v>
      </c>
      <c r="D2313">
        <v>-31255</v>
      </c>
      <c r="E2313" t="s">
        <v>23</v>
      </c>
      <c r="F2313" t="s">
        <v>24</v>
      </c>
      <c r="G2313" t="s">
        <v>33</v>
      </c>
      <c r="H2313" t="s">
        <v>45</v>
      </c>
      <c r="I2313" t="s">
        <v>48</v>
      </c>
      <c r="J2313" s="11">
        <v>45653</v>
      </c>
      <c r="K2313" t="str">
        <f>TEXT(Transactions_Clean[[#This Row],[Date]],"MMM-YYYY")</f>
        <v>Dec-2024</v>
      </c>
      <c r="L2313">
        <f>IF(Transactions_Clean[[#This Row],[Category]]="Revenue",Transactions_Clean[[#This Row],[Amount(₹)]],Transactions_Clean[[#This Row],[Amount(₹)]]/8)</f>
        <v>-3906.875</v>
      </c>
    </row>
    <row r="2314" spans="1:12">
      <c r="A2314" t="s">
        <v>3602</v>
      </c>
      <c r="B2314" t="s">
        <v>310</v>
      </c>
      <c r="C2314" t="s">
        <v>22</v>
      </c>
      <c r="D2314">
        <v>-115554</v>
      </c>
      <c r="E2314" t="s">
        <v>23</v>
      </c>
      <c r="F2314" t="s">
        <v>32</v>
      </c>
      <c r="G2314" t="s">
        <v>25</v>
      </c>
      <c r="H2314" t="s">
        <v>45</v>
      </c>
      <c r="I2314" t="s">
        <v>34</v>
      </c>
      <c r="J2314" s="11">
        <v>45462</v>
      </c>
      <c r="K2314" t="str">
        <f>TEXT(Transactions_Clean[[#This Row],[Date]],"MMM-YYYY")</f>
        <v>Jun-2024</v>
      </c>
      <c r="L2314">
        <f>IF(Transactions_Clean[[#This Row],[Category]]="Revenue",Transactions_Clean[[#This Row],[Amount(₹)]],Transactions_Clean[[#This Row],[Amount(₹)]]/8)</f>
        <v>-14444.25</v>
      </c>
    </row>
    <row r="2315" spans="1:12">
      <c r="A2315" t="s">
        <v>3604</v>
      </c>
      <c r="B2315" t="s">
        <v>169</v>
      </c>
      <c r="C2315" t="s">
        <v>73</v>
      </c>
      <c r="D2315">
        <v>-36085</v>
      </c>
      <c r="E2315" t="s">
        <v>74</v>
      </c>
      <c r="F2315" t="s">
        <v>32</v>
      </c>
      <c r="G2315" t="s">
        <v>25</v>
      </c>
      <c r="H2315" t="s">
        <v>26</v>
      </c>
      <c r="I2315" t="s">
        <v>27</v>
      </c>
      <c r="J2315" s="11">
        <v>45339</v>
      </c>
      <c r="K2315" t="str">
        <f>TEXT(Transactions_Clean[[#This Row],[Date]],"MMM-YYYY")</f>
        <v>Feb-2024</v>
      </c>
      <c r="L2315">
        <f>IF(Transactions_Clean[[#This Row],[Category]]="Revenue",Transactions_Clean[[#This Row],[Amount(₹)]],Transactions_Clean[[#This Row],[Amount(₹)]]/8)</f>
        <v>-4510.625</v>
      </c>
    </row>
    <row r="2316" spans="1:12">
      <c r="A2316" t="s">
        <v>3606</v>
      </c>
      <c r="B2316" t="s">
        <v>51</v>
      </c>
      <c r="C2316" t="s">
        <v>31</v>
      </c>
      <c r="D2316">
        <v>-20693</v>
      </c>
      <c r="E2316" t="s">
        <v>23</v>
      </c>
      <c r="F2316" t="s">
        <v>24</v>
      </c>
      <c r="G2316" t="s">
        <v>33</v>
      </c>
      <c r="H2316" t="s">
        <v>45</v>
      </c>
      <c r="I2316" t="s">
        <v>27</v>
      </c>
      <c r="J2316" s="11">
        <v>45708</v>
      </c>
      <c r="K2316" t="str">
        <f>TEXT(Transactions_Clean[[#This Row],[Date]],"MMM-YYYY")</f>
        <v>Feb-2025</v>
      </c>
      <c r="L2316">
        <f>IF(Transactions_Clean[[#This Row],[Category]]="Revenue",Transactions_Clean[[#This Row],[Amount(₹)]],Transactions_Clean[[#This Row],[Amount(₹)]]/8)</f>
        <v>-2586.625</v>
      </c>
    </row>
    <row r="2317" spans="1:12">
      <c r="A2317" t="s">
        <v>3607</v>
      </c>
      <c r="B2317" t="s">
        <v>177</v>
      </c>
      <c r="C2317" t="s">
        <v>78</v>
      </c>
      <c r="D2317">
        <v>-109276</v>
      </c>
      <c r="E2317" t="s">
        <v>23</v>
      </c>
      <c r="F2317" t="s">
        <v>24</v>
      </c>
      <c r="G2317" t="s">
        <v>79</v>
      </c>
      <c r="H2317" t="s">
        <v>26</v>
      </c>
      <c r="I2317" t="s">
        <v>34</v>
      </c>
      <c r="J2317" s="11">
        <v>45045</v>
      </c>
      <c r="K2317" t="str">
        <f>TEXT(Transactions_Clean[[#This Row],[Date]],"MMM-YYYY")</f>
        <v>Apr-2023</v>
      </c>
      <c r="L2317">
        <f>IF(Transactions_Clean[[#This Row],[Category]]="Revenue",Transactions_Clean[[#This Row],[Amount(₹)]],Transactions_Clean[[#This Row],[Amount(₹)]]/8)</f>
        <v>-13659.5</v>
      </c>
    </row>
    <row r="2318" spans="1:12">
      <c r="A2318" t="s">
        <v>3608</v>
      </c>
      <c r="B2318" t="s">
        <v>66</v>
      </c>
      <c r="C2318" t="s">
        <v>61</v>
      </c>
      <c r="D2318">
        <v>-40280</v>
      </c>
      <c r="E2318" t="s">
        <v>62</v>
      </c>
      <c r="F2318" t="s">
        <v>24</v>
      </c>
      <c r="G2318" t="s">
        <v>63</v>
      </c>
      <c r="H2318" t="s">
        <v>45</v>
      </c>
      <c r="I2318" t="s">
        <v>48</v>
      </c>
      <c r="J2318" s="11">
        <v>45610</v>
      </c>
      <c r="K2318" t="str">
        <f>TEXT(Transactions_Clean[[#This Row],[Date]],"MMM-YYYY")</f>
        <v>Nov-2024</v>
      </c>
      <c r="L2318">
        <f>IF(Transactions_Clean[[#This Row],[Category]]="Revenue",Transactions_Clean[[#This Row],[Amount(₹)]],Transactions_Clean[[#This Row],[Amount(₹)]]/8)</f>
        <v>-5035</v>
      </c>
    </row>
    <row r="2319" spans="1:12">
      <c r="A2319" t="s">
        <v>3609</v>
      </c>
      <c r="B2319" t="s">
        <v>4764</v>
      </c>
      <c r="C2319" t="s">
        <v>157</v>
      </c>
      <c r="D2319">
        <v>672810</v>
      </c>
      <c r="E2319" t="s">
        <v>62</v>
      </c>
      <c r="F2319" t="s">
        <v>32</v>
      </c>
      <c r="G2319" t="s">
        <v>25</v>
      </c>
      <c r="H2319" t="s">
        <v>39</v>
      </c>
      <c r="I2319" t="s">
        <v>34</v>
      </c>
      <c r="J2319" s="11">
        <v>45772</v>
      </c>
      <c r="K2319" t="str">
        <f>TEXT(Transactions_Clean[[#This Row],[Date]],"MMM-YYYY")</f>
        <v>Apr-2025</v>
      </c>
      <c r="L2319">
        <f>IF(Transactions_Clean[[#This Row],[Category]]="Revenue",Transactions_Clean[[#This Row],[Amount(₹)]],Transactions_Clean[[#This Row],[Amount(₹)]]/8)</f>
        <v>672810</v>
      </c>
    </row>
    <row r="2320" spans="1:12">
      <c r="A2320" t="s">
        <v>3610</v>
      </c>
      <c r="B2320" t="s">
        <v>87</v>
      </c>
      <c r="C2320" t="s">
        <v>22</v>
      </c>
      <c r="D2320">
        <v>-101280</v>
      </c>
      <c r="E2320" t="s">
        <v>23</v>
      </c>
      <c r="F2320" t="s">
        <v>32</v>
      </c>
      <c r="G2320" t="s">
        <v>25</v>
      </c>
      <c r="H2320" t="s">
        <v>45</v>
      </c>
      <c r="I2320" t="s">
        <v>48</v>
      </c>
      <c r="J2320" s="11">
        <v>45579</v>
      </c>
      <c r="K2320" t="str">
        <f>TEXT(Transactions_Clean[[#This Row],[Date]],"MMM-YYYY")</f>
        <v>Oct-2024</v>
      </c>
      <c r="L2320">
        <f>IF(Transactions_Clean[[#This Row],[Category]]="Revenue",Transactions_Clean[[#This Row],[Amount(₹)]],Transactions_Clean[[#This Row],[Amount(₹)]]/8)</f>
        <v>-12660</v>
      </c>
    </row>
    <row r="2321" spans="1:12">
      <c r="A2321" t="s">
        <v>3612</v>
      </c>
      <c r="B2321" t="s">
        <v>177</v>
      </c>
      <c r="C2321" t="s">
        <v>78</v>
      </c>
      <c r="D2321">
        <v>-15027</v>
      </c>
      <c r="E2321" t="s">
        <v>23</v>
      </c>
      <c r="F2321" t="s">
        <v>24</v>
      </c>
      <c r="G2321" t="s">
        <v>79</v>
      </c>
      <c r="H2321" t="s">
        <v>45</v>
      </c>
      <c r="I2321" t="s">
        <v>27</v>
      </c>
      <c r="J2321" s="11">
        <v>45743</v>
      </c>
      <c r="K2321" t="str">
        <f>TEXT(Transactions_Clean[[#This Row],[Date]],"MMM-YYYY")</f>
        <v>Mar-2025</v>
      </c>
      <c r="L2321">
        <f>IF(Transactions_Clean[[#This Row],[Category]]="Revenue",Transactions_Clean[[#This Row],[Amount(₹)]],Transactions_Clean[[#This Row],[Amount(₹)]]/8)</f>
        <v>-1878.375</v>
      </c>
    </row>
    <row r="2322" spans="1:12">
      <c r="A2322" t="s">
        <v>3613</v>
      </c>
      <c r="B2322" t="s">
        <v>4773</v>
      </c>
      <c r="C2322" t="s">
        <v>157</v>
      </c>
      <c r="D2322">
        <v>558898</v>
      </c>
      <c r="E2322" t="s">
        <v>62</v>
      </c>
      <c r="F2322" t="s">
        <v>32</v>
      </c>
      <c r="G2322" t="s">
        <v>25</v>
      </c>
      <c r="H2322" t="s">
        <v>26</v>
      </c>
      <c r="I2322" t="s">
        <v>27</v>
      </c>
      <c r="J2322" s="11">
        <v>45294</v>
      </c>
      <c r="K2322" t="str">
        <f>TEXT(Transactions_Clean[[#This Row],[Date]],"MMM-YYYY")</f>
        <v>Jan-2024</v>
      </c>
      <c r="L2322">
        <f>IF(Transactions_Clean[[#This Row],[Category]]="Revenue",Transactions_Clean[[#This Row],[Amount(₹)]],Transactions_Clean[[#This Row],[Amount(₹)]]/8)</f>
        <v>558898</v>
      </c>
    </row>
    <row r="2323" spans="1:12">
      <c r="A2323" t="s">
        <v>3614</v>
      </c>
      <c r="B2323" t="s">
        <v>30</v>
      </c>
      <c r="C2323" t="s">
        <v>31</v>
      </c>
      <c r="D2323">
        <v>-36912</v>
      </c>
      <c r="E2323" t="s">
        <v>23</v>
      </c>
      <c r="F2323" t="s">
        <v>24</v>
      </c>
      <c r="G2323" t="s">
        <v>33</v>
      </c>
      <c r="H2323" t="s">
        <v>39</v>
      </c>
      <c r="I2323" t="s">
        <v>48</v>
      </c>
      <c r="J2323" s="11">
        <v>45957</v>
      </c>
      <c r="K2323" t="str">
        <f>TEXT(Transactions_Clean[[#This Row],[Date]],"MMM-YYYY")</f>
        <v>Oct-2025</v>
      </c>
      <c r="L2323">
        <f>IF(Transactions_Clean[[#This Row],[Category]]="Revenue",Transactions_Clean[[#This Row],[Amount(₹)]],Transactions_Clean[[#This Row],[Amount(₹)]]/8)</f>
        <v>-4614</v>
      </c>
    </row>
    <row r="2324" spans="1:12">
      <c r="A2324" t="s">
        <v>3615</v>
      </c>
      <c r="B2324" t="s">
        <v>4755</v>
      </c>
      <c r="C2324" t="s">
        <v>78</v>
      </c>
      <c r="D2324">
        <v>-25364</v>
      </c>
      <c r="E2324" t="s">
        <v>23</v>
      </c>
      <c r="F2324" t="s">
        <v>24</v>
      </c>
      <c r="G2324" t="s">
        <v>79</v>
      </c>
      <c r="H2324" t="s">
        <v>39</v>
      </c>
      <c r="I2324" t="s">
        <v>40</v>
      </c>
      <c r="J2324" s="11">
        <v>45906</v>
      </c>
      <c r="K2324" t="str">
        <f>TEXT(Transactions_Clean[[#This Row],[Date]],"MMM-YYYY")</f>
        <v>Sep-2025</v>
      </c>
      <c r="L2324">
        <f>IF(Transactions_Clean[[#This Row],[Category]]="Revenue",Transactions_Clean[[#This Row],[Amount(₹)]],Transactions_Clean[[#This Row],[Amount(₹)]]/8)</f>
        <v>-3170.5</v>
      </c>
    </row>
    <row r="2325" spans="1:12">
      <c r="A2325" t="s">
        <v>3616</v>
      </c>
      <c r="B2325" t="s">
        <v>66</v>
      </c>
      <c r="C2325" t="s">
        <v>61</v>
      </c>
      <c r="D2325">
        <v>-42674</v>
      </c>
      <c r="E2325" t="s">
        <v>62</v>
      </c>
      <c r="F2325" t="s">
        <v>32</v>
      </c>
      <c r="G2325" t="s">
        <v>63</v>
      </c>
      <c r="H2325" t="s">
        <v>26</v>
      </c>
      <c r="I2325" t="s">
        <v>34</v>
      </c>
      <c r="J2325" s="11">
        <v>45033</v>
      </c>
      <c r="K2325" t="str">
        <f>TEXT(Transactions_Clean[[#This Row],[Date]],"MMM-YYYY")</f>
        <v>Apr-2023</v>
      </c>
      <c r="L2325">
        <f>IF(Transactions_Clean[[#This Row],[Category]]="Revenue",Transactions_Clean[[#This Row],[Amount(₹)]],Transactions_Clean[[#This Row],[Amount(₹)]]/8)</f>
        <v>-5334.25</v>
      </c>
    </row>
    <row r="2326" spans="1:12">
      <c r="A2326" t="s">
        <v>3617</v>
      </c>
      <c r="B2326" t="s">
        <v>4763</v>
      </c>
      <c r="C2326" t="s">
        <v>22</v>
      </c>
      <c r="D2326">
        <v>-68371</v>
      </c>
      <c r="E2326" t="s">
        <v>23</v>
      </c>
      <c r="F2326" t="s">
        <v>32</v>
      </c>
      <c r="G2326" t="s">
        <v>25</v>
      </c>
      <c r="H2326" t="s">
        <v>45</v>
      </c>
      <c r="I2326" t="s">
        <v>34</v>
      </c>
      <c r="J2326" s="11">
        <v>45434</v>
      </c>
      <c r="K2326" t="str">
        <f>TEXT(Transactions_Clean[[#This Row],[Date]],"MMM-YYYY")</f>
        <v>May-2024</v>
      </c>
      <c r="L2326">
        <f>IF(Transactions_Clean[[#This Row],[Category]]="Revenue",Transactions_Clean[[#This Row],[Amount(₹)]],Transactions_Clean[[#This Row],[Amount(₹)]]/8)</f>
        <v>-8546.375</v>
      </c>
    </row>
    <row r="2327" spans="1:12">
      <c r="A2327" t="s">
        <v>3618</v>
      </c>
      <c r="B2327" t="s">
        <v>66</v>
      </c>
      <c r="C2327" t="s">
        <v>61</v>
      </c>
      <c r="D2327">
        <v>-64848</v>
      </c>
      <c r="E2327" t="s">
        <v>62</v>
      </c>
      <c r="F2327" t="s">
        <v>32</v>
      </c>
      <c r="G2327" t="s">
        <v>63</v>
      </c>
      <c r="H2327" t="s">
        <v>45</v>
      </c>
      <c r="I2327" t="s">
        <v>27</v>
      </c>
      <c r="J2327" s="11">
        <v>45660</v>
      </c>
      <c r="K2327" t="str">
        <f>TEXT(Transactions_Clean[[#This Row],[Date]],"MMM-YYYY")</f>
        <v>Jan-2025</v>
      </c>
      <c r="L2327">
        <f>IF(Transactions_Clean[[#This Row],[Category]]="Revenue",Transactions_Clean[[#This Row],[Amount(₹)]],Transactions_Clean[[#This Row],[Amount(₹)]]/8)</f>
        <v>-8106</v>
      </c>
    </row>
    <row r="2328" spans="1:12">
      <c r="A2328" t="s">
        <v>3620</v>
      </c>
      <c r="B2328" t="s">
        <v>30</v>
      </c>
      <c r="C2328" t="s">
        <v>31</v>
      </c>
      <c r="D2328">
        <v>-20097</v>
      </c>
      <c r="E2328" t="s">
        <v>23</v>
      </c>
      <c r="F2328" t="s">
        <v>24</v>
      </c>
      <c r="G2328" t="s">
        <v>33</v>
      </c>
      <c r="H2328" t="s">
        <v>45</v>
      </c>
      <c r="I2328" t="s">
        <v>27</v>
      </c>
      <c r="J2328" s="11">
        <v>45701</v>
      </c>
      <c r="K2328" t="str">
        <f>TEXT(Transactions_Clean[[#This Row],[Date]],"MMM-YYYY")</f>
        <v>Feb-2025</v>
      </c>
      <c r="L2328">
        <f>IF(Transactions_Clean[[#This Row],[Category]]="Revenue",Transactions_Clean[[#This Row],[Amount(₹)]],Transactions_Clean[[#This Row],[Amount(₹)]]/8)</f>
        <v>-2512.125</v>
      </c>
    </row>
    <row r="2329" spans="1:12">
      <c r="A2329" t="s">
        <v>3621</v>
      </c>
      <c r="B2329" t="s">
        <v>60</v>
      </c>
      <c r="C2329" t="s">
        <v>61</v>
      </c>
      <c r="D2329">
        <v>-52349</v>
      </c>
      <c r="E2329" t="s">
        <v>62</v>
      </c>
      <c r="F2329" t="s">
        <v>32</v>
      </c>
      <c r="G2329" t="s">
        <v>63</v>
      </c>
      <c r="H2329" t="s">
        <v>26</v>
      </c>
      <c r="I2329" t="s">
        <v>40</v>
      </c>
      <c r="J2329" s="11">
        <v>45131</v>
      </c>
      <c r="K2329" t="str">
        <f>TEXT(Transactions_Clean[[#This Row],[Date]],"MMM-YYYY")</f>
        <v>Jul-2023</v>
      </c>
      <c r="L2329">
        <f>IF(Transactions_Clean[[#This Row],[Category]]="Revenue",Transactions_Clean[[#This Row],[Amount(₹)]],Transactions_Clean[[#This Row],[Amount(₹)]]/8)</f>
        <v>-6543.625</v>
      </c>
    </row>
    <row r="2330" spans="1:12">
      <c r="A2330" t="s">
        <v>3622</v>
      </c>
      <c r="B2330" t="s">
        <v>72</v>
      </c>
      <c r="C2330" t="s">
        <v>73</v>
      </c>
      <c r="D2330">
        <v>-28488</v>
      </c>
      <c r="E2330" t="s">
        <v>74</v>
      </c>
      <c r="F2330" t="s">
        <v>32</v>
      </c>
      <c r="G2330" t="s">
        <v>25</v>
      </c>
      <c r="H2330" t="s">
        <v>26</v>
      </c>
      <c r="I2330" t="s">
        <v>27</v>
      </c>
      <c r="J2330" s="11">
        <v>45371</v>
      </c>
      <c r="K2330" t="str">
        <f>TEXT(Transactions_Clean[[#This Row],[Date]],"MMM-YYYY")</f>
        <v>Mar-2024</v>
      </c>
      <c r="L2330">
        <f>IF(Transactions_Clean[[#This Row],[Category]]="Revenue",Transactions_Clean[[#This Row],[Amount(₹)]],Transactions_Clean[[#This Row],[Amount(₹)]]/8)</f>
        <v>-3561</v>
      </c>
    </row>
    <row r="2331" spans="1:12">
      <c r="A2331" t="s">
        <v>3623</v>
      </c>
      <c r="B2331" t="s">
        <v>4766</v>
      </c>
      <c r="C2331" t="s">
        <v>73</v>
      </c>
      <c r="D2331">
        <v>-87355</v>
      </c>
      <c r="E2331" t="s">
        <v>74</v>
      </c>
      <c r="F2331" t="s">
        <v>32</v>
      </c>
      <c r="G2331" t="s">
        <v>25</v>
      </c>
      <c r="H2331" t="s">
        <v>45</v>
      </c>
      <c r="I2331" t="s">
        <v>34</v>
      </c>
      <c r="J2331" s="11">
        <v>45427</v>
      </c>
      <c r="K2331" t="str">
        <f>TEXT(Transactions_Clean[[#This Row],[Date]],"MMM-YYYY")</f>
        <v>May-2024</v>
      </c>
      <c r="L2331">
        <f>IF(Transactions_Clean[[#This Row],[Category]]="Revenue",Transactions_Clean[[#This Row],[Amount(₹)]],Transactions_Clean[[#This Row],[Amount(₹)]]/8)</f>
        <v>-10919.375</v>
      </c>
    </row>
    <row r="2332" spans="1:12">
      <c r="A2332" t="s">
        <v>3625</v>
      </c>
      <c r="B2332" t="s">
        <v>4766</v>
      </c>
      <c r="C2332" t="s">
        <v>73</v>
      </c>
      <c r="D2332">
        <v>-52739</v>
      </c>
      <c r="E2332" t="s">
        <v>74</v>
      </c>
      <c r="F2332" t="s">
        <v>24</v>
      </c>
      <c r="G2332" t="s">
        <v>25</v>
      </c>
      <c r="H2332" t="s">
        <v>26</v>
      </c>
      <c r="I2332" t="s">
        <v>27</v>
      </c>
      <c r="J2332" s="11">
        <v>45382</v>
      </c>
      <c r="K2332" t="str">
        <f>TEXT(Transactions_Clean[[#This Row],[Date]],"MMM-YYYY")</f>
        <v>Mar-2024</v>
      </c>
      <c r="L2332">
        <f>IF(Transactions_Clean[[#This Row],[Category]]="Revenue",Transactions_Clean[[#This Row],[Amount(₹)]],Transactions_Clean[[#This Row],[Amount(₹)]]/8)</f>
        <v>-6592.375</v>
      </c>
    </row>
    <row r="2333" spans="1:12">
      <c r="A2333" t="s">
        <v>3626</v>
      </c>
      <c r="B2333" t="s">
        <v>66</v>
      </c>
      <c r="C2333" t="s">
        <v>61</v>
      </c>
      <c r="D2333">
        <v>-30938</v>
      </c>
      <c r="E2333" t="s">
        <v>62</v>
      </c>
      <c r="F2333" t="s">
        <v>32</v>
      </c>
      <c r="G2333" t="s">
        <v>63</v>
      </c>
      <c r="H2333" t="s">
        <v>39</v>
      </c>
      <c r="I2333" t="s">
        <v>40</v>
      </c>
      <c r="J2333" s="11">
        <v>45910</v>
      </c>
      <c r="K2333" t="str">
        <f>TEXT(Transactions_Clean[[#This Row],[Date]],"MMM-YYYY")</f>
        <v>Sep-2025</v>
      </c>
      <c r="L2333">
        <f>IF(Transactions_Clean[[#This Row],[Category]]="Revenue",Transactions_Clean[[#This Row],[Amount(₹)]],Transactions_Clean[[#This Row],[Amount(₹)]]/8)</f>
        <v>-3867.25</v>
      </c>
    </row>
    <row r="2334" spans="1:12">
      <c r="A2334" t="s">
        <v>3627</v>
      </c>
      <c r="B2334" t="s">
        <v>4751</v>
      </c>
      <c r="C2334" t="s">
        <v>38</v>
      </c>
      <c r="D2334">
        <v>-44540</v>
      </c>
      <c r="E2334" t="s">
        <v>23</v>
      </c>
      <c r="F2334" t="s">
        <v>24</v>
      </c>
      <c r="G2334" t="s">
        <v>33</v>
      </c>
      <c r="H2334" t="s">
        <v>26</v>
      </c>
      <c r="I2334" t="s">
        <v>48</v>
      </c>
      <c r="J2334" s="11">
        <v>45215</v>
      </c>
      <c r="K2334" t="str">
        <f>TEXT(Transactions_Clean[[#This Row],[Date]],"MMM-YYYY")</f>
        <v>Oct-2023</v>
      </c>
      <c r="L2334">
        <f>IF(Transactions_Clean[[#This Row],[Category]]="Revenue",Transactions_Clean[[#This Row],[Amount(₹)]],Transactions_Clean[[#This Row],[Amount(₹)]]/8)</f>
        <v>-5567.5</v>
      </c>
    </row>
    <row r="2335" spans="1:12">
      <c r="A2335" t="s">
        <v>3629</v>
      </c>
      <c r="B2335" t="s">
        <v>4758</v>
      </c>
      <c r="C2335" t="s">
        <v>78</v>
      </c>
      <c r="D2335">
        <v>-35658</v>
      </c>
      <c r="E2335" t="s">
        <v>23</v>
      </c>
      <c r="F2335" t="s">
        <v>24</v>
      </c>
      <c r="G2335" t="s">
        <v>79</v>
      </c>
      <c r="H2335" t="s">
        <v>26</v>
      </c>
      <c r="I2335" t="s">
        <v>40</v>
      </c>
      <c r="J2335" s="11">
        <v>45164</v>
      </c>
      <c r="K2335" t="str">
        <f>TEXT(Transactions_Clean[[#This Row],[Date]],"MMM-YYYY")</f>
        <v>Aug-2023</v>
      </c>
      <c r="L2335">
        <f>IF(Transactions_Clean[[#This Row],[Category]]="Revenue",Transactions_Clean[[#This Row],[Amount(₹)]],Transactions_Clean[[#This Row],[Amount(₹)]]/8)</f>
        <v>-4457.25</v>
      </c>
    </row>
    <row r="2336" spans="1:12">
      <c r="A2336" t="s">
        <v>3631</v>
      </c>
      <c r="B2336" t="s">
        <v>4770</v>
      </c>
      <c r="C2336" t="s">
        <v>440</v>
      </c>
      <c r="D2336">
        <v>-98410</v>
      </c>
      <c r="E2336" t="s">
        <v>23</v>
      </c>
      <c r="F2336" t="s">
        <v>32</v>
      </c>
      <c r="G2336" t="s">
        <v>33</v>
      </c>
      <c r="H2336" t="s">
        <v>45</v>
      </c>
      <c r="I2336" t="s">
        <v>34</v>
      </c>
      <c r="J2336" s="11">
        <v>45465</v>
      </c>
      <c r="K2336" t="str">
        <f>TEXT(Transactions_Clean[[#This Row],[Date]],"MMM-YYYY")</f>
        <v>Jun-2024</v>
      </c>
      <c r="L2336">
        <f>IF(Transactions_Clean[[#This Row],[Category]]="Revenue",Transactions_Clean[[#This Row],[Amount(₹)]],Transactions_Clean[[#This Row],[Amount(₹)]]/8)</f>
        <v>-12301.25</v>
      </c>
    </row>
    <row r="2337" spans="1:12">
      <c r="A2337" t="s">
        <v>3632</v>
      </c>
      <c r="B2337" t="s">
        <v>255</v>
      </c>
      <c r="C2337" t="s">
        <v>22</v>
      </c>
      <c r="D2337">
        <v>-129677</v>
      </c>
      <c r="E2337" t="s">
        <v>23</v>
      </c>
      <c r="F2337" t="s">
        <v>32</v>
      </c>
      <c r="G2337" t="s">
        <v>25</v>
      </c>
      <c r="H2337" t="s">
        <v>26</v>
      </c>
      <c r="I2337" t="s">
        <v>27</v>
      </c>
      <c r="J2337" s="11">
        <v>45354</v>
      </c>
      <c r="K2337" t="str">
        <f>TEXT(Transactions_Clean[[#This Row],[Date]],"MMM-YYYY")</f>
        <v>Mar-2024</v>
      </c>
      <c r="L2337">
        <f>IF(Transactions_Clean[[#This Row],[Category]]="Revenue",Transactions_Clean[[#This Row],[Amount(₹)]],Transactions_Clean[[#This Row],[Amount(₹)]]/8)</f>
        <v>-16209.625</v>
      </c>
    </row>
    <row r="2338" spans="1:12">
      <c r="A2338" t="s">
        <v>3633</v>
      </c>
      <c r="B2338" t="s">
        <v>4759</v>
      </c>
      <c r="C2338" t="s">
        <v>31</v>
      </c>
      <c r="D2338">
        <v>-5657</v>
      </c>
      <c r="E2338" t="s">
        <v>23</v>
      </c>
      <c r="F2338" t="s">
        <v>24</v>
      </c>
      <c r="G2338" t="s">
        <v>33</v>
      </c>
      <c r="H2338" t="s">
        <v>45</v>
      </c>
      <c r="I2338" t="s">
        <v>40</v>
      </c>
      <c r="J2338" s="11">
        <v>45497</v>
      </c>
      <c r="K2338" t="str">
        <f>TEXT(Transactions_Clean[[#This Row],[Date]],"MMM-YYYY")</f>
        <v>Jul-2024</v>
      </c>
      <c r="L2338">
        <f>IF(Transactions_Clean[[#This Row],[Category]]="Revenue",Transactions_Clean[[#This Row],[Amount(₹)]],Transactions_Clean[[#This Row],[Amount(₹)]]/8)</f>
        <v>-707.125</v>
      </c>
    </row>
    <row r="2339" spans="1:12">
      <c r="A2339" t="s">
        <v>3634</v>
      </c>
      <c r="B2339" t="s">
        <v>283</v>
      </c>
      <c r="C2339" t="s">
        <v>44</v>
      </c>
      <c r="D2339">
        <v>-138684</v>
      </c>
      <c r="E2339" t="s">
        <v>23</v>
      </c>
      <c r="F2339" t="s">
        <v>32</v>
      </c>
      <c r="G2339" t="s">
        <v>33</v>
      </c>
      <c r="H2339" t="s">
        <v>39</v>
      </c>
      <c r="I2339" t="s">
        <v>27</v>
      </c>
      <c r="J2339" s="11">
        <v>46068</v>
      </c>
      <c r="K2339" t="str">
        <f>TEXT(Transactions_Clean[[#This Row],[Date]],"MMM-YYYY")</f>
        <v>Feb-2026</v>
      </c>
      <c r="L2339">
        <f>IF(Transactions_Clean[[#This Row],[Category]]="Revenue",Transactions_Clean[[#This Row],[Amount(₹)]],Transactions_Clean[[#This Row],[Amount(₹)]]/8)</f>
        <v>-17335.5</v>
      </c>
    </row>
    <row r="2340" spans="1:12">
      <c r="A2340" t="s">
        <v>3635</v>
      </c>
      <c r="B2340" t="s">
        <v>687</v>
      </c>
      <c r="C2340" t="s">
        <v>44</v>
      </c>
      <c r="D2340">
        <v>-62423</v>
      </c>
      <c r="E2340" t="s">
        <v>23</v>
      </c>
      <c r="F2340" t="s">
        <v>24</v>
      </c>
      <c r="G2340" t="s">
        <v>33</v>
      </c>
      <c r="H2340" t="s">
        <v>45</v>
      </c>
      <c r="I2340" t="s">
        <v>48</v>
      </c>
      <c r="J2340" s="11">
        <v>45586</v>
      </c>
      <c r="K2340" t="str">
        <f>TEXT(Transactions_Clean[[#This Row],[Date]],"MMM-YYYY")</f>
        <v>Oct-2024</v>
      </c>
      <c r="L2340">
        <f>IF(Transactions_Clean[[#This Row],[Category]]="Revenue",Transactions_Clean[[#This Row],[Amount(₹)]],Transactions_Clean[[#This Row],[Amount(₹)]]/8)</f>
        <v>-7802.875</v>
      </c>
    </row>
    <row r="2341" spans="1:12">
      <c r="A2341" t="s">
        <v>3636</v>
      </c>
      <c r="B2341" t="s">
        <v>180</v>
      </c>
      <c r="C2341" t="s">
        <v>44</v>
      </c>
      <c r="D2341">
        <v>-83195</v>
      </c>
      <c r="E2341" t="s">
        <v>23</v>
      </c>
      <c r="F2341" t="s">
        <v>32</v>
      </c>
      <c r="G2341" t="s">
        <v>33</v>
      </c>
      <c r="H2341" t="s">
        <v>39</v>
      </c>
      <c r="I2341" t="s">
        <v>27</v>
      </c>
      <c r="J2341" s="11">
        <v>46102</v>
      </c>
      <c r="K2341" t="str">
        <f>TEXT(Transactions_Clean[[#This Row],[Date]],"MMM-YYYY")</f>
        <v>Mar-2026</v>
      </c>
      <c r="L2341">
        <f>IF(Transactions_Clean[[#This Row],[Category]]="Revenue",Transactions_Clean[[#This Row],[Amount(₹)]],Transactions_Clean[[#This Row],[Amount(₹)]]/8)</f>
        <v>-10399.375</v>
      </c>
    </row>
    <row r="2342" spans="1:12">
      <c r="A2342" t="s">
        <v>3637</v>
      </c>
      <c r="B2342" t="s">
        <v>290</v>
      </c>
      <c r="C2342" t="s">
        <v>440</v>
      </c>
      <c r="D2342">
        <v>-125533</v>
      </c>
      <c r="E2342" t="s">
        <v>23</v>
      </c>
      <c r="F2342" t="s">
        <v>32</v>
      </c>
      <c r="G2342" t="s">
        <v>33</v>
      </c>
      <c r="H2342" t="s">
        <v>39</v>
      </c>
      <c r="I2342" t="s">
        <v>27</v>
      </c>
      <c r="J2342" s="11">
        <v>46105</v>
      </c>
      <c r="K2342" t="str">
        <f>TEXT(Transactions_Clean[[#This Row],[Date]],"MMM-YYYY")</f>
        <v>Mar-2026</v>
      </c>
      <c r="L2342">
        <f>IF(Transactions_Clean[[#This Row],[Category]]="Revenue",Transactions_Clean[[#This Row],[Amount(₹)]],Transactions_Clean[[#This Row],[Amount(₹)]]/8)</f>
        <v>-15691.625</v>
      </c>
    </row>
    <row r="2343" spans="1:12">
      <c r="A2343" t="s">
        <v>3638</v>
      </c>
      <c r="B2343" t="s">
        <v>30</v>
      </c>
      <c r="C2343" t="s">
        <v>31</v>
      </c>
      <c r="D2343">
        <v>-11021</v>
      </c>
      <c r="E2343" t="s">
        <v>23</v>
      </c>
      <c r="F2343" t="s">
        <v>32</v>
      </c>
      <c r="G2343" t="s">
        <v>33</v>
      </c>
      <c r="H2343" t="s">
        <v>39</v>
      </c>
      <c r="I2343" t="s">
        <v>40</v>
      </c>
      <c r="J2343" s="11">
        <v>45871</v>
      </c>
      <c r="K2343" t="str">
        <f>TEXT(Transactions_Clean[[#This Row],[Date]],"MMM-YYYY")</f>
        <v>Aug-2025</v>
      </c>
      <c r="L2343">
        <f>IF(Transactions_Clean[[#This Row],[Category]]="Revenue",Transactions_Clean[[#This Row],[Amount(₹)]],Transactions_Clean[[#This Row],[Amount(₹)]]/8)</f>
        <v>-1377.625</v>
      </c>
    </row>
    <row r="2344" spans="1:12">
      <c r="A2344" t="s">
        <v>3639</v>
      </c>
      <c r="B2344" t="s">
        <v>4773</v>
      </c>
      <c r="C2344" t="s">
        <v>157</v>
      </c>
      <c r="D2344">
        <v>588051</v>
      </c>
      <c r="E2344" t="s">
        <v>62</v>
      </c>
      <c r="F2344" t="s">
        <v>32</v>
      </c>
      <c r="G2344" t="s">
        <v>25</v>
      </c>
      <c r="H2344" t="s">
        <v>45</v>
      </c>
      <c r="I2344" t="s">
        <v>34</v>
      </c>
      <c r="J2344" s="11">
        <v>45478</v>
      </c>
      <c r="K2344" t="str">
        <f>TEXT(Transactions_Clean[[#This Row],[Date]],"MMM-YYYY")</f>
        <v>Jul-2024</v>
      </c>
      <c r="L2344">
        <f>IF(Transactions_Clean[[#This Row],[Category]]="Revenue",Transactions_Clean[[#This Row],[Amount(₹)]],Transactions_Clean[[#This Row],[Amount(₹)]]/8)</f>
        <v>588051</v>
      </c>
    </row>
    <row r="2345" spans="1:12">
      <c r="A2345" t="s">
        <v>3641</v>
      </c>
      <c r="B2345" t="s">
        <v>4759</v>
      </c>
      <c r="C2345" t="s">
        <v>31</v>
      </c>
      <c r="D2345">
        <v>-26659</v>
      </c>
      <c r="E2345" t="s">
        <v>23</v>
      </c>
      <c r="F2345" t="s">
        <v>32</v>
      </c>
      <c r="G2345" t="s">
        <v>33</v>
      </c>
      <c r="H2345" t="s">
        <v>26</v>
      </c>
      <c r="I2345" t="s">
        <v>40</v>
      </c>
      <c r="J2345" s="11">
        <v>45191</v>
      </c>
      <c r="K2345" t="str">
        <f>TEXT(Transactions_Clean[[#This Row],[Date]],"MMM-YYYY")</f>
        <v>Sep-2023</v>
      </c>
      <c r="L2345">
        <f>IF(Transactions_Clean[[#This Row],[Category]]="Revenue",Transactions_Clean[[#This Row],[Amount(₹)]],Transactions_Clean[[#This Row],[Amount(₹)]]/8)</f>
        <v>-3332.375</v>
      </c>
    </row>
    <row r="2346" spans="1:12">
      <c r="A2346" t="s">
        <v>3642</v>
      </c>
      <c r="B2346" t="s">
        <v>174</v>
      </c>
      <c r="C2346" t="s">
        <v>22</v>
      </c>
      <c r="D2346">
        <v>-74893</v>
      </c>
      <c r="E2346" t="s">
        <v>23</v>
      </c>
      <c r="F2346" t="s">
        <v>24</v>
      </c>
      <c r="G2346" t="s">
        <v>25</v>
      </c>
      <c r="H2346" t="s">
        <v>39</v>
      </c>
      <c r="I2346" t="s">
        <v>48</v>
      </c>
      <c r="J2346" s="11">
        <v>46014</v>
      </c>
      <c r="K2346" t="str">
        <f>TEXT(Transactions_Clean[[#This Row],[Date]],"MMM-YYYY")</f>
        <v>Dec-2025</v>
      </c>
      <c r="L2346">
        <f>IF(Transactions_Clean[[#This Row],[Category]]="Revenue",Transactions_Clean[[#This Row],[Amount(₹)]],Transactions_Clean[[#This Row],[Amount(₹)]]/8)</f>
        <v>-9361.625</v>
      </c>
    </row>
    <row r="2347" spans="1:12">
      <c r="A2347" t="s">
        <v>3643</v>
      </c>
      <c r="B2347" t="s">
        <v>4752</v>
      </c>
      <c r="C2347" t="s">
        <v>44</v>
      </c>
      <c r="D2347">
        <v>-61268</v>
      </c>
      <c r="E2347" t="s">
        <v>23</v>
      </c>
      <c r="F2347" t="s">
        <v>32</v>
      </c>
      <c r="G2347" t="s">
        <v>33</v>
      </c>
      <c r="H2347" t="s">
        <v>45</v>
      </c>
      <c r="I2347" t="s">
        <v>48</v>
      </c>
      <c r="J2347" s="11">
        <v>45571</v>
      </c>
      <c r="K2347" t="str">
        <f>TEXT(Transactions_Clean[[#This Row],[Date]],"MMM-YYYY")</f>
        <v>Oct-2024</v>
      </c>
      <c r="L2347">
        <f>IF(Transactions_Clean[[#This Row],[Category]]="Revenue",Transactions_Clean[[#This Row],[Amount(₹)]],Transactions_Clean[[#This Row],[Amount(₹)]]/8)</f>
        <v>-7658.5</v>
      </c>
    </row>
    <row r="2348" spans="1:12">
      <c r="A2348" t="s">
        <v>3644</v>
      </c>
      <c r="B2348" t="s">
        <v>169</v>
      </c>
      <c r="C2348" t="s">
        <v>73</v>
      </c>
      <c r="D2348">
        <v>-25813</v>
      </c>
      <c r="E2348" t="s">
        <v>74</v>
      </c>
      <c r="F2348" t="s">
        <v>24</v>
      </c>
      <c r="G2348" t="s">
        <v>25</v>
      </c>
      <c r="H2348" t="s">
        <v>45</v>
      </c>
      <c r="I2348" t="s">
        <v>27</v>
      </c>
      <c r="J2348" s="11">
        <v>45717</v>
      </c>
      <c r="K2348" t="str">
        <f>TEXT(Transactions_Clean[[#This Row],[Date]],"MMM-YYYY")</f>
        <v>Mar-2025</v>
      </c>
      <c r="L2348">
        <f>IF(Transactions_Clean[[#This Row],[Category]]="Revenue",Transactions_Clean[[#This Row],[Amount(₹)]],Transactions_Clean[[#This Row],[Amount(₹)]]/8)</f>
        <v>-3226.625</v>
      </c>
    </row>
    <row r="2349" spans="1:12">
      <c r="A2349" t="s">
        <v>3646</v>
      </c>
      <c r="B2349" t="s">
        <v>66</v>
      </c>
      <c r="C2349" t="s">
        <v>61</v>
      </c>
      <c r="D2349">
        <v>-64002</v>
      </c>
      <c r="E2349" t="s">
        <v>62</v>
      </c>
      <c r="F2349" t="s">
        <v>32</v>
      </c>
      <c r="G2349" t="s">
        <v>63</v>
      </c>
      <c r="H2349" t="s">
        <v>45</v>
      </c>
      <c r="I2349" t="s">
        <v>40</v>
      </c>
      <c r="J2349" s="11">
        <v>45494</v>
      </c>
      <c r="K2349" t="str">
        <f>TEXT(Transactions_Clean[[#This Row],[Date]],"MMM-YYYY")</f>
        <v>Jul-2024</v>
      </c>
      <c r="L2349">
        <f>IF(Transactions_Clean[[#This Row],[Category]]="Revenue",Transactions_Clean[[#This Row],[Amount(₹)]],Transactions_Clean[[#This Row],[Amount(₹)]]/8)</f>
        <v>-8000.25</v>
      </c>
    </row>
    <row r="2350" spans="1:12">
      <c r="A2350" t="s">
        <v>3647</v>
      </c>
      <c r="B2350" t="s">
        <v>4768</v>
      </c>
      <c r="C2350" t="s">
        <v>157</v>
      </c>
      <c r="D2350">
        <v>664464</v>
      </c>
      <c r="E2350" t="s">
        <v>62</v>
      </c>
      <c r="F2350" t="s">
        <v>32</v>
      </c>
      <c r="G2350" t="s">
        <v>25</v>
      </c>
      <c r="H2350" t="s">
        <v>45</v>
      </c>
      <c r="I2350" t="s">
        <v>48</v>
      </c>
      <c r="J2350" s="11">
        <v>45642</v>
      </c>
      <c r="K2350" t="str">
        <f>TEXT(Transactions_Clean[[#This Row],[Date]],"MMM-YYYY")</f>
        <v>Dec-2024</v>
      </c>
      <c r="L2350">
        <f>IF(Transactions_Clean[[#This Row],[Category]]="Revenue",Transactions_Clean[[#This Row],[Amount(₹)]],Transactions_Clean[[#This Row],[Amount(₹)]]/8)</f>
        <v>664464</v>
      </c>
    </row>
    <row r="2351" spans="1:12">
      <c r="A2351" t="s">
        <v>3648</v>
      </c>
      <c r="B2351" t="s">
        <v>4756</v>
      </c>
      <c r="C2351" t="s">
        <v>73</v>
      </c>
      <c r="D2351">
        <v>-43338</v>
      </c>
      <c r="E2351" t="s">
        <v>74</v>
      </c>
      <c r="F2351" t="s">
        <v>24</v>
      </c>
      <c r="G2351" t="s">
        <v>25</v>
      </c>
      <c r="H2351" t="s">
        <v>45</v>
      </c>
      <c r="I2351" t="s">
        <v>27</v>
      </c>
      <c r="J2351" s="11">
        <v>45718</v>
      </c>
      <c r="K2351" t="str">
        <f>TEXT(Transactions_Clean[[#This Row],[Date]],"MMM-YYYY")</f>
        <v>Mar-2025</v>
      </c>
      <c r="L2351">
        <f>IF(Transactions_Clean[[#This Row],[Category]]="Revenue",Transactions_Clean[[#This Row],[Amount(₹)]],Transactions_Clean[[#This Row],[Amount(₹)]]/8)</f>
        <v>-5417.25</v>
      </c>
    </row>
    <row r="2352" spans="1:12">
      <c r="A2352" t="s">
        <v>3649</v>
      </c>
      <c r="B2352" t="s">
        <v>310</v>
      </c>
      <c r="C2352" t="s">
        <v>22</v>
      </c>
      <c r="D2352">
        <v>-210784</v>
      </c>
      <c r="E2352" t="s">
        <v>23</v>
      </c>
      <c r="F2352" t="s">
        <v>24</v>
      </c>
      <c r="G2352" t="s">
        <v>25</v>
      </c>
      <c r="H2352" t="s">
        <v>45</v>
      </c>
      <c r="I2352" t="s">
        <v>40</v>
      </c>
      <c r="J2352" s="11">
        <v>45560</v>
      </c>
      <c r="K2352" t="str">
        <f>TEXT(Transactions_Clean[[#This Row],[Date]],"MMM-YYYY")</f>
        <v>Sep-2024</v>
      </c>
      <c r="L2352">
        <f>IF(Transactions_Clean[[#This Row],[Category]]="Revenue",Transactions_Clean[[#This Row],[Amount(₹)]],Transactions_Clean[[#This Row],[Amount(₹)]]/8)</f>
        <v>-26348</v>
      </c>
    </row>
    <row r="2353" spans="1:12">
      <c r="A2353" t="s">
        <v>3650</v>
      </c>
      <c r="B2353" t="s">
        <v>4766</v>
      </c>
      <c r="C2353" t="s">
        <v>73</v>
      </c>
      <c r="D2353">
        <v>-61564</v>
      </c>
      <c r="E2353" t="s">
        <v>74</v>
      </c>
      <c r="F2353" t="s">
        <v>32</v>
      </c>
      <c r="G2353" t="s">
        <v>25</v>
      </c>
      <c r="H2353" t="s">
        <v>39</v>
      </c>
      <c r="I2353" t="s">
        <v>40</v>
      </c>
      <c r="J2353" s="11">
        <v>45897</v>
      </c>
      <c r="K2353" t="str">
        <f>TEXT(Transactions_Clean[[#This Row],[Date]],"MMM-YYYY")</f>
        <v>Aug-2025</v>
      </c>
      <c r="L2353">
        <f>IF(Transactions_Clean[[#This Row],[Category]]="Revenue",Transactions_Clean[[#This Row],[Amount(₹)]],Transactions_Clean[[#This Row],[Amount(₹)]]/8)</f>
        <v>-7695.5</v>
      </c>
    </row>
    <row r="2354" spans="1:12">
      <c r="A2354" t="s">
        <v>3652</v>
      </c>
      <c r="B2354" t="s">
        <v>106</v>
      </c>
      <c r="C2354" t="s">
        <v>31</v>
      </c>
      <c r="D2354">
        <v>-26938</v>
      </c>
      <c r="E2354" t="s">
        <v>23</v>
      </c>
      <c r="F2354" t="s">
        <v>24</v>
      </c>
      <c r="G2354" t="s">
        <v>33</v>
      </c>
      <c r="H2354" t="s">
        <v>39</v>
      </c>
      <c r="I2354" t="s">
        <v>40</v>
      </c>
      <c r="J2354" s="11">
        <v>45697</v>
      </c>
      <c r="K2354" t="str">
        <f>TEXT(Transactions_Clean[[#This Row],[Date]],"MMM-YYYY")</f>
        <v>Feb-2025</v>
      </c>
      <c r="L2354">
        <f>IF(Transactions_Clean[[#This Row],[Category]]="Revenue",Transactions_Clean[[#This Row],[Amount(₹)]],Transactions_Clean[[#This Row],[Amount(₹)]]/8)</f>
        <v>-3367.25</v>
      </c>
    </row>
    <row r="2355" spans="1:12">
      <c r="A2355" t="s">
        <v>3654</v>
      </c>
      <c r="B2355" t="s">
        <v>255</v>
      </c>
      <c r="C2355" t="s">
        <v>22</v>
      </c>
      <c r="D2355">
        <v>-96235</v>
      </c>
      <c r="E2355" t="s">
        <v>23</v>
      </c>
      <c r="F2355" t="s">
        <v>32</v>
      </c>
      <c r="G2355" t="s">
        <v>25</v>
      </c>
      <c r="H2355" t="s">
        <v>26</v>
      </c>
      <c r="I2355" t="s">
        <v>34</v>
      </c>
      <c r="J2355" s="11">
        <v>45043</v>
      </c>
      <c r="K2355" t="str">
        <f>TEXT(Transactions_Clean[[#This Row],[Date]],"MMM-YYYY")</f>
        <v>Apr-2023</v>
      </c>
      <c r="L2355">
        <f>IF(Transactions_Clean[[#This Row],[Category]]="Revenue",Transactions_Clean[[#This Row],[Amount(₹)]],Transactions_Clean[[#This Row],[Amount(₹)]]/8)</f>
        <v>-12029.375</v>
      </c>
    </row>
    <row r="2356" spans="1:12">
      <c r="A2356" t="s">
        <v>3655</v>
      </c>
      <c r="B2356" t="s">
        <v>60</v>
      </c>
      <c r="C2356" t="s">
        <v>61</v>
      </c>
      <c r="D2356">
        <v>-37906</v>
      </c>
      <c r="E2356" t="s">
        <v>62</v>
      </c>
      <c r="F2356" t="s">
        <v>24</v>
      </c>
      <c r="G2356" t="s">
        <v>63</v>
      </c>
      <c r="H2356" t="s">
        <v>45</v>
      </c>
      <c r="I2356" t="s">
        <v>34</v>
      </c>
      <c r="J2356" s="11">
        <v>45405</v>
      </c>
      <c r="K2356" t="str">
        <f>TEXT(Transactions_Clean[[#This Row],[Date]],"MMM-YYYY")</f>
        <v>Apr-2024</v>
      </c>
      <c r="L2356">
        <f>IF(Transactions_Clean[[#This Row],[Category]]="Revenue",Transactions_Clean[[#This Row],[Amount(₹)]],Transactions_Clean[[#This Row],[Amount(₹)]]/8)</f>
        <v>-4738.25</v>
      </c>
    </row>
    <row r="2357" spans="1:12">
      <c r="A2357" t="s">
        <v>3656</v>
      </c>
      <c r="B2357" t="s">
        <v>4748</v>
      </c>
      <c r="C2357" t="s">
        <v>22</v>
      </c>
      <c r="D2357">
        <v>-203881</v>
      </c>
      <c r="E2357" t="s">
        <v>23</v>
      </c>
      <c r="F2357" t="s">
        <v>24</v>
      </c>
      <c r="G2357" t="s">
        <v>25</v>
      </c>
      <c r="H2357" t="s">
        <v>45</v>
      </c>
      <c r="I2357" t="s">
        <v>48</v>
      </c>
      <c r="J2357" s="11">
        <v>45612</v>
      </c>
      <c r="K2357" t="str">
        <f>TEXT(Transactions_Clean[[#This Row],[Date]],"MMM-YYYY")</f>
        <v>Nov-2024</v>
      </c>
      <c r="L2357">
        <f>IF(Transactions_Clean[[#This Row],[Category]]="Revenue",Transactions_Clean[[#This Row],[Amount(₹)]],Transactions_Clean[[#This Row],[Amount(₹)]]/8)</f>
        <v>-25485.125</v>
      </c>
    </row>
    <row r="2358" spans="1:12">
      <c r="A2358" t="s">
        <v>3657</v>
      </c>
      <c r="B2358" t="s">
        <v>87</v>
      </c>
      <c r="C2358" t="s">
        <v>22</v>
      </c>
      <c r="D2358">
        <v>-57135</v>
      </c>
      <c r="E2358" t="s">
        <v>23</v>
      </c>
      <c r="F2358" t="s">
        <v>32</v>
      </c>
      <c r="G2358" t="s">
        <v>25</v>
      </c>
      <c r="H2358" t="s">
        <v>39</v>
      </c>
      <c r="I2358" t="s">
        <v>27</v>
      </c>
      <c r="J2358" s="11">
        <v>46053</v>
      </c>
      <c r="K2358" t="str">
        <f>TEXT(Transactions_Clean[[#This Row],[Date]],"MMM-YYYY")</f>
        <v>Jan-2026</v>
      </c>
      <c r="L2358">
        <f>IF(Transactions_Clean[[#This Row],[Category]]="Revenue",Transactions_Clean[[#This Row],[Amount(₹)]],Transactions_Clean[[#This Row],[Amount(₹)]]/8)</f>
        <v>-7141.875</v>
      </c>
    </row>
    <row r="2359" spans="1:12">
      <c r="A2359" t="s">
        <v>3658</v>
      </c>
      <c r="B2359" t="s">
        <v>4763</v>
      </c>
      <c r="C2359" t="s">
        <v>22</v>
      </c>
      <c r="D2359">
        <v>-192462</v>
      </c>
      <c r="E2359" t="s">
        <v>23</v>
      </c>
      <c r="F2359" t="s">
        <v>24</v>
      </c>
      <c r="G2359" t="s">
        <v>25</v>
      </c>
      <c r="H2359" t="s">
        <v>26</v>
      </c>
      <c r="I2359" t="s">
        <v>27</v>
      </c>
      <c r="J2359" s="11">
        <v>45355</v>
      </c>
      <c r="K2359" t="str">
        <f>TEXT(Transactions_Clean[[#This Row],[Date]],"MMM-YYYY")</f>
        <v>Mar-2024</v>
      </c>
      <c r="L2359">
        <f>IF(Transactions_Clean[[#This Row],[Category]]="Revenue",Transactions_Clean[[#This Row],[Amount(₹)]],Transactions_Clean[[#This Row],[Amount(₹)]]/8)</f>
        <v>-24057.75</v>
      </c>
    </row>
    <row r="2360" spans="1:12">
      <c r="A2360" t="s">
        <v>3659</v>
      </c>
      <c r="B2360" t="s">
        <v>4758</v>
      </c>
      <c r="C2360" t="s">
        <v>4750</v>
      </c>
      <c r="D2360">
        <v>-27616</v>
      </c>
      <c r="E2360" t="s">
        <v>23</v>
      </c>
      <c r="F2360" t="s">
        <v>32</v>
      </c>
      <c r="G2360" t="s">
        <v>79</v>
      </c>
      <c r="H2360" t="s">
        <v>26</v>
      </c>
      <c r="I2360" t="s">
        <v>48</v>
      </c>
      <c r="J2360" s="11">
        <v>45247</v>
      </c>
      <c r="K2360" t="str">
        <f>TEXT(Transactions_Clean[[#This Row],[Date]],"MMM-YYYY")</f>
        <v>Nov-2023</v>
      </c>
      <c r="L2360">
        <f>IF(Transactions_Clean[[#This Row],[Category]]="Revenue",Transactions_Clean[[#This Row],[Amount(₹)]],Transactions_Clean[[#This Row],[Amount(₹)]]/8)</f>
        <v>-3452</v>
      </c>
    </row>
    <row r="2361" spans="1:12">
      <c r="A2361" t="s">
        <v>3661</v>
      </c>
      <c r="B2361" t="s">
        <v>72</v>
      </c>
      <c r="C2361" t="s">
        <v>73</v>
      </c>
      <c r="D2361">
        <v>-75862</v>
      </c>
      <c r="E2361" t="s">
        <v>74</v>
      </c>
      <c r="F2361" t="s">
        <v>32</v>
      </c>
      <c r="G2361" t="s">
        <v>25</v>
      </c>
      <c r="H2361" t="s">
        <v>26</v>
      </c>
      <c r="I2361" t="s">
        <v>40</v>
      </c>
      <c r="J2361" s="11">
        <v>45158</v>
      </c>
      <c r="K2361" t="str">
        <f>TEXT(Transactions_Clean[[#This Row],[Date]],"MMM-YYYY")</f>
        <v>Aug-2023</v>
      </c>
      <c r="L2361">
        <f>IF(Transactions_Clean[[#This Row],[Category]]="Revenue",Transactions_Clean[[#This Row],[Amount(₹)]],Transactions_Clean[[#This Row],[Amount(₹)]]/8)</f>
        <v>-9482.75</v>
      </c>
    </row>
    <row r="2362" spans="1:12">
      <c r="A2362" t="s">
        <v>3662</v>
      </c>
      <c r="B2362" t="s">
        <v>37</v>
      </c>
      <c r="C2362" t="s">
        <v>38</v>
      </c>
      <c r="D2362">
        <v>-23136</v>
      </c>
      <c r="E2362" t="s">
        <v>23</v>
      </c>
      <c r="F2362" t="s">
        <v>24</v>
      </c>
      <c r="G2362" t="s">
        <v>33</v>
      </c>
      <c r="H2362" t="s">
        <v>45</v>
      </c>
      <c r="I2362" t="s">
        <v>40</v>
      </c>
      <c r="J2362" s="11">
        <v>45477</v>
      </c>
      <c r="K2362" t="str">
        <f>TEXT(Transactions_Clean[[#This Row],[Date]],"MMM-YYYY")</f>
        <v>Jul-2024</v>
      </c>
      <c r="L2362">
        <f>IF(Transactions_Clean[[#This Row],[Category]]="Revenue",Transactions_Clean[[#This Row],[Amount(₹)]],Transactions_Clean[[#This Row],[Amount(₹)]]/8)</f>
        <v>-2892</v>
      </c>
    </row>
    <row r="2363" spans="1:12">
      <c r="A2363" t="s">
        <v>3663</v>
      </c>
      <c r="B2363" t="s">
        <v>215</v>
      </c>
      <c r="C2363" t="s">
        <v>61</v>
      </c>
      <c r="D2363">
        <v>-17318</v>
      </c>
      <c r="E2363" t="s">
        <v>62</v>
      </c>
      <c r="F2363" t="s">
        <v>32</v>
      </c>
      <c r="G2363" t="s">
        <v>63</v>
      </c>
      <c r="H2363" t="s">
        <v>45</v>
      </c>
      <c r="I2363" t="s">
        <v>27</v>
      </c>
      <c r="J2363" s="11">
        <v>45702</v>
      </c>
      <c r="K2363" t="str">
        <f>TEXT(Transactions_Clean[[#This Row],[Date]],"MMM-YYYY")</f>
        <v>Feb-2025</v>
      </c>
      <c r="L2363">
        <f>IF(Transactions_Clean[[#This Row],[Category]]="Revenue",Transactions_Clean[[#This Row],[Amount(₹)]],Transactions_Clean[[#This Row],[Amount(₹)]]/8)</f>
        <v>-2164.75</v>
      </c>
    </row>
    <row r="2364" spans="1:12">
      <c r="A2364" t="s">
        <v>3664</v>
      </c>
      <c r="B2364" t="s">
        <v>60</v>
      </c>
      <c r="C2364" t="s">
        <v>61</v>
      </c>
      <c r="D2364">
        <v>-42498</v>
      </c>
      <c r="E2364" t="s">
        <v>62</v>
      </c>
      <c r="F2364" t="s">
        <v>24</v>
      </c>
      <c r="G2364" t="s">
        <v>63</v>
      </c>
      <c r="H2364" t="s">
        <v>45</v>
      </c>
      <c r="I2364" t="s">
        <v>40</v>
      </c>
      <c r="J2364" s="11">
        <v>45523</v>
      </c>
      <c r="K2364" t="str">
        <f>TEXT(Transactions_Clean[[#This Row],[Date]],"MMM-YYYY")</f>
        <v>Aug-2024</v>
      </c>
      <c r="L2364">
        <f>IF(Transactions_Clean[[#This Row],[Category]]="Revenue",Transactions_Clean[[#This Row],[Amount(₹)]],Transactions_Clean[[#This Row],[Amount(₹)]]/8)</f>
        <v>-5312.25</v>
      </c>
    </row>
    <row r="2365" spans="1:12">
      <c r="A2365" t="s">
        <v>3665</v>
      </c>
      <c r="B2365" t="s">
        <v>4755</v>
      </c>
      <c r="C2365" t="s">
        <v>78</v>
      </c>
      <c r="D2365">
        <v>-91588</v>
      </c>
      <c r="E2365" t="s">
        <v>23</v>
      </c>
      <c r="F2365" t="s">
        <v>32</v>
      </c>
      <c r="G2365" t="s">
        <v>79</v>
      </c>
      <c r="H2365" t="s">
        <v>45</v>
      </c>
      <c r="I2365" t="s">
        <v>34</v>
      </c>
      <c r="J2365" s="11">
        <v>45456</v>
      </c>
      <c r="K2365" t="str">
        <f>TEXT(Transactions_Clean[[#This Row],[Date]],"MMM-YYYY")</f>
        <v>Jun-2024</v>
      </c>
      <c r="L2365">
        <f>IF(Transactions_Clean[[#This Row],[Category]]="Revenue",Transactions_Clean[[#This Row],[Amount(₹)]],Transactions_Clean[[#This Row],[Amount(₹)]]/8)</f>
        <v>-11448.5</v>
      </c>
    </row>
    <row r="2366" spans="1:12">
      <c r="A2366" t="s">
        <v>3666</v>
      </c>
      <c r="B2366" t="s">
        <v>60</v>
      </c>
      <c r="C2366" t="s">
        <v>61</v>
      </c>
      <c r="D2366">
        <v>-57275</v>
      </c>
      <c r="E2366" t="s">
        <v>62</v>
      </c>
      <c r="F2366" t="s">
        <v>32</v>
      </c>
      <c r="G2366" t="s">
        <v>63</v>
      </c>
      <c r="H2366" t="s">
        <v>39</v>
      </c>
      <c r="I2366" t="s">
        <v>48</v>
      </c>
      <c r="J2366" s="11">
        <v>45935</v>
      </c>
      <c r="K2366" t="str">
        <f>TEXT(Transactions_Clean[[#This Row],[Date]],"MMM-YYYY")</f>
        <v>Oct-2025</v>
      </c>
      <c r="L2366">
        <f>IF(Transactions_Clean[[#This Row],[Category]]="Revenue",Transactions_Clean[[#This Row],[Amount(₹)]],Transactions_Clean[[#This Row],[Amount(₹)]]/8)</f>
        <v>-7159.375</v>
      </c>
    </row>
    <row r="2367" spans="1:12">
      <c r="A2367" t="s">
        <v>3667</v>
      </c>
      <c r="B2367" t="s">
        <v>100</v>
      </c>
      <c r="C2367" t="s">
        <v>31</v>
      </c>
      <c r="D2367">
        <v>-40848</v>
      </c>
      <c r="E2367" t="s">
        <v>23</v>
      </c>
      <c r="F2367" t="s">
        <v>24</v>
      </c>
      <c r="G2367" t="s">
        <v>33</v>
      </c>
      <c r="H2367" t="s">
        <v>45</v>
      </c>
      <c r="I2367" t="s">
        <v>40</v>
      </c>
      <c r="J2367" s="11">
        <v>45560</v>
      </c>
      <c r="K2367" t="str">
        <f>TEXT(Transactions_Clean[[#This Row],[Date]],"MMM-YYYY")</f>
        <v>Sep-2024</v>
      </c>
      <c r="L2367">
        <f>IF(Transactions_Clean[[#This Row],[Category]]="Revenue",Transactions_Clean[[#This Row],[Amount(₹)]],Transactions_Clean[[#This Row],[Amount(₹)]]/8)</f>
        <v>-5106</v>
      </c>
    </row>
    <row r="2368" spans="1:12">
      <c r="A2368" t="s">
        <v>3668</v>
      </c>
      <c r="B2368" t="s">
        <v>51</v>
      </c>
      <c r="C2368" t="s">
        <v>31</v>
      </c>
      <c r="D2368">
        <v>-41249</v>
      </c>
      <c r="E2368" t="s">
        <v>23</v>
      </c>
      <c r="F2368" t="s">
        <v>32</v>
      </c>
      <c r="G2368" t="s">
        <v>33</v>
      </c>
      <c r="H2368" t="s">
        <v>39</v>
      </c>
      <c r="I2368" t="s">
        <v>27</v>
      </c>
      <c r="J2368" s="11">
        <v>46112</v>
      </c>
      <c r="K2368" t="str">
        <f>TEXT(Transactions_Clean[[#This Row],[Date]],"MMM-YYYY")</f>
        <v>Mar-2026</v>
      </c>
      <c r="L2368">
        <f>IF(Transactions_Clean[[#This Row],[Category]]="Revenue",Transactions_Clean[[#This Row],[Amount(₹)]],Transactions_Clean[[#This Row],[Amount(₹)]]/8)</f>
        <v>-5156.125</v>
      </c>
    </row>
    <row r="2369" spans="1:12">
      <c r="A2369" t="s">
        <v>3669</v>
      </c>
      <c r="B2369" t="s">
        <v>4757</v>
      </c>
      <c r="C2369" t="s">
        <v>73</v>
      </c>
      <c r="D2369">
        <v>-64687</v>
      </c>
      <c r="E2369" t="s">
        <v>74</v>
      </c>
      <c r="F2369" t="s">
        <v>32</v>
      </c>
      <c r="G2369" t="s">
        <v>25</v>
      </c>
      <c r="H2369" t="s">
        <v>45</v>
      </c>
      <c r="I2369" t="s">
        <v>27</v>
      </c>
      <c r="J2369" s="11">
        <v>45715</v>
      </c>
      <c r="K2369" t="str">
        <f>TEXT(Transactions_Clean[[#This Row],[Date]],"MMM-YYYY")</f>
        <v>Feb-2025</v>
      </c>
      <c r="L2369">
        <f>IF(Transactions_Clean[[#This Row],[Category]]="Revenue",Transactions_Clean[[#This Row],[Amount(₹)]],Transactions_Clean[[#This Row],[Amount(₹)]]/8)</f>
        <v>-8085.875</v>
      </c>
    </row>
    <row r="2370" spans="1:12">
      <c r="A2370" t="s">
        <v>3670</v>
      </c>
      <c r="B2370" t="s">
        <v>305</v>
      </c>
      <c r="C2370" t="s">
        <v>38</v>
      </c>
      <c r="D2370">
        <v>-13455</v>
      </c>
      <c r="E2370" t="s">
        <v>23</v>
      </c>
      <c r="F2370" t="s">
        <v>24</v>
      </c>
      <c r="G2370" t="s">
        <v>33</v>
      </c>
      <c r="H2370" t="s">
        <v>45</v>
      </c>
      <c r="I2370" t="s">
        <v>34</v>
      </c>
      <c r="J2370" s="11">
        <v>45466</v>
      </c>
      <c r="K2370" t="str">
        <f>TEXT(Transactions_Clean[[#This Row],[Date]],"MMM-YYYY")</f>
        <v>Jun-2024</v>
      </c>
      <c r="L2370">
        <f>IF(Transactions_Clean[[#This Row],[Category]]="Revenue",Transactions_Clean[[#This Row],[Amount(₹)]],Transactions_Clean[[#This Row],[Amount(₹)]]/8)</f>
        <v>-1681.875</v>
      </c>
    </row>
    <row r="2371" spans="1:12">
      <c r="A2371" t="s">
        <v>3671</v>
      </c>
      <c r="B2371" t="s">
        <v>143</v>
      </c>
      <c r="C2371" t="s">
        <v>78</v>
      </c>
      <c r="D2371">
        <v>-56665</v>
      </c>
      <c r="E2371" t="s">
        <v>23</v>
      </c>
      <c r="F2371" t="s">
        <v>24</v>
      </c>
      <c r="G2371" t="s">
        <v>79</v>
      </c>
      <c r="H2371" t="s">
        <v>39</v>
      </c>
      <c r="I2371" t="s">
        <v>40</v>
      </c>
      <c r="J2371" s="11">
        <v>45859</v>
      </c>
      <c r="K2371" t="str">
        <f>TEXT(Transactions_Clean[[#This Row],[Date]],"MMM-YYYY")</f>
        <v>Jul-2025</v>
      </c>
      <c r="L2371">
        <f>IF(Transactions_Clean[[#This Row],[Category]]="Revenue",Transactions_Clean[[#This Row],[Amount(₹)]],Transactions_Clean[[#This Row],[Amount(₹)]]/8)</f>
        <v>-7083.125</v>
      </c>
    </row>
    <row r="2372" spans="1:12">
      <c r="A2372" t="s">
        <v>3672</v>
      </c>
      <c r="B2372" t="s">
        <v>616</v>
      </c>
      <c r="C2372" t="s">
        <v>22</v>
      </c>
      <c r="D2372">
        <v>-104553</v>
      </c>
      <c r="E2372" t="s">
        <v>23</v>
      </c>
      <c r="F2372" t="s">
        <v>24</v>
      </c>
      <c r="G2372" t="s">
        <v>25</v>
      </c>
      <c r="H2372" t="s">
        <v>45</v>
      </c>
      <c r="I2372" t="s">
        <v>48</v>
      </c>
      <c r="J2372" s="11">
        <v>45595</v>
      </c>
      <c r="K2372" t="str">
        <f>TEXT(Transactions_Clean[[#This Row],[Date]],"MMM-YYYY")</f>
        <v>Oct-2024</v>
      </c>
      <c r="L2372">
        <f>IF(Transactions_Clean[[#This Row],[Category]]="Revenue",Transactions_Clean[[#This Row],[Amount(₹)]],Transactions_Clean[[#This Row],[Amount(₹)]]/8)</f>
        <v>-13069.125</v>
      </c>
    </row>
    <row r="2373" spans="1:12">
      <c r="A2373" t="s">
        <v>3673</v>
      </c>
      <c r="B2373" t="s">
        <v>4754</v>
      </c>
      <c r="C2373" t="s">
        <v>78</v>
      </c>
      <c r="D2373">
        <v>-83835</v>
      </c>
      <c r="E2373" t="s">
        <v>23</v>
      </c>
      <c r="F2373" t="s">
        <v>24</v>
      </c>
      <c r="G2373" t="s">
        <v>79</v>
      </c>
      <c r="H2373" t="s">
        <v>45</v>
      </c>
      <c r="I2373" t="s">
        <v>27</v>
      </c>
      <c r="J2373" s="11">
        <v>45711</v>
      </c>
      <c r="K2373" t="str">
        <f>TEXT(Transactions_Clean[[#This Row],[Date]],"MMM-YYYY")</f>
        <v>Feb-2025</v>
      </c>
      <c r="L2373">
        <f>IF(Transactions_Clean[[#This Row],[Category]]="Revenue",Transactions_Clean[[#This Row],[Amount(₹)]],Transactions_Clean[[#This Row],[Amount(₹)]]/8)</f>
        <v>-10479.375</v>
      </c>
    </row>
    <row r="2374" spans="1:12">
      <c r="A2374" t="s">
        <v>3675</v>
      </c>
      <c r="B2374" t="s">
        <v>215</v>
      </c>
      <c r="C2374" t="s">
        <v>61</v>
      </c>
      <c r="D2374">
        <v>-39657</v>
      </c>
      <c r="E2374" t="s">
        <v>62</v>
      </c>
      <c r="F2374" t="s">
        <v>32</v>
      </c>
      <c r="G2374" t="s">
        <v>63</v>
      </c>
      <c r="H2374" t="s">
        <v>45</v>
      </c>
      <c r="I2374" t="s">
        <v>48</v>
      </c>
      <c r="J2374" s="11">
        <v>45638</v>
      </c>
      <c r="K2374" t="str">
        <f>TEXT(Transactions_Clean[[#This Row],[Date]],"MMM-YYYY")</f>
        <v>Dec-2024</v>
      </c>
      <c r="L2374">
        <f>IF(Transactions_Clean[[#This Row],[Category]]="Revenue",Transactions_Clean[[#This Row],[Amount(₹)]],Transactions_Clean[[#This Row],[Amount(₹)]]/8)</f>
        <v>-4957.125</v>
      </c>
    </row>
    <row r="2375" spans="1:12">
      <c r="A2375" t="s">
        <v>3676</v>
      </c>
      <c r="B2375" t="s">
        <v>174</v>
      </c>
      <c r="C2375" t="s">
        <v>22</v>
      </c>
      <c r="D2375">
        <v>-104339</v>
      </c>
      <c r="E2375" t="s">
        <v>23</v>
      </c>
      <c r="F2375" t="s">
        <v>24</v>
      </c>
      <c r="G2375" t="s">
        <v>25</v>
      </c>
      <c r="H2375" t="s">
        <v>45</v>
      </c>
      <c r="I2375" t="s">
        <v>34</v>
      </c>
      <c r="J2375" s="11">
        <v>45464</v>
      </c>
      <c r="K2375" t="str">
        <f>TEXT(Transactions_Clean[[#This Row],[Date]],"MMM-YYYY")</f>
        <v>Jun-2024</v>
      </c>
      <c r="L2375">
        <f>IF(Transactions_Clean[[#This Row],[Category]]="Revenue",Transactions_Clean[[#This Row],[Amount(₹)]],Transactions_Clean[[#This Row],[Amount(₹)]]/8)</f>
        <v>-13042.375</v>
      </c>
    </row>
    <row r="2376" spans="1:12">
      <c r="A2376" t="s">
        <v>3677</v>
      </c>
      <c r="B2376" t="s">
        <v>4768</v>
      </c>
      <c r="C2376" t="s">
        <v>157</v>
      </c>
      <c r="D2376">
        <v>613489</v>
      </c>
      <c r="E2376" t="s">
        <v>62</v>
      </c>
      <c r="F2376" t="s">
        <v>32</v>
      </c>
      <c r="G2376" t="s">
        <v>25</v>
      </c>
      <c r="H2376" t="s">
        <v>45</v>
      </c>
      <c r="I2376" t="s">
        <v>40</v>
      </c>
      <c r="J2376" s="11">
        <v>45535</v>
      </c>
      <c r="K2376" t="str">
        <f>TEXT(Transactions_Clean[[#This Row],[Date]],"MMM-YYYY")</f>
        <v>Aug-2024</v>
      </c>
      <c r="L2376">
        <f>IF(Transactions_Clean[[#This Row],[Category]]="Revenue",Transactions_Clean[[#This Row],[Amount(₹)]],Transactions_Clean[[#This Row],[Amount(₹)]]/8)</f>
        <v>613489</v>
      </c>
    </row>
    <row r="2377" spans="1:12">
      <c r="A2377" t="s">
        <v>3678</v>
      </c>
      <c r="B2377" t="s">
        <v>4766</v>
      </c>
      <c r="C2377" t="s">
        <v>73</v>
      </c>
      <c r="D2377">
        <v>-35926</v>
      </c>
      <c r="E2377" t="s">
        <v>74</v>
      </c>
      <c r="F2377" t="s">
        <v>32</v>
      </c>
      <c r="G2377" t="s">
        <v>25</v>
      </c>
      <c r="H2377" t="s">
        <v>45</v>
      </c>
      <c r="I2377" t="s">
        <v>34</v>
      </c>
      <c r="J2377" s="11">
        <v>45444</v>
      </c>
      <c r="K2377" t="str">
        <f>TEXT(Transactions_Clean[[#This Row],[Date]],"MMM-YYYY")</f>
        <v>Jun-2024</v>
      </c>
      <c r="L2377">
        <f>IF(Transactions_Clean[[#This Row],[Category]]="Revenue",Transactions_Clean[[#This Row],[Amount(₹)]],Transactions_Clean[[#This Row],[Amount(₹)]]/8)</f>
        <v>-4490.75</v>
      </c>
    </row>
    <row r="2378" spans="1:12">
      <c r="A2378" t="s">
        <v>3679</v>
      </c>
      <c r="B2378" t="s">
        <v>143</v>
      </c>
      <c r="C2378" t="s">
        <v>78</v>
      </c>
      <c r="D2378">
        <v>-38529</v>
      </c>
      <c r="E2378" t="s">
        <v>23</v>
      </c>
      <c r="F2378" t="s">
        <v>24</v>
      </c>
      <c r="G2378" t="s">
        <v>79</v>
      </c>
      <c r="H2378" t="s">
        <v>45</v>
      </c>
      <c r="I2378" t="s">
        <v>48</v>
      </c>
      <c r="J2378" s="11">
        <v>45571</v>
      </c>
      <c r="K2378" t="str">
        <f>TEXT(Transactions_Clean[[#This Row],[Date]],"MMM-YYYY")</f>
        <v>Oct-2024</v>
      </c>
      <c r="L2378">
        <f>IF(Transactions_Clean[[#This Row],[Category]]="Revenue",Transactions_Clean[[#This Row],[Amount(₹)]],Transactions_Clean[[#This Row],[Amount(₹)]]/8)</f>
        <v>-4816.125</v>
      </c>
    </row>
    <row r="2379" spans="1:12">
      <c r="A2379" t="s">
        <v>3680</v>
      </c>
      <c r="B2379" t="s">
        <v>116</v>
      </c>
      <c r="C2379" t="s">
        <v>73</v>
      </c>
      <c r="D2379">
        <v>-77534</v>
      </c>
      <c r="E2379" t="s">
        <v>74</v>
      </c>
      <c r="F2379" t="s">
        <v>32</v>
      </c>
      <c r="G2379" t="s">
        <v>25</v>
      </c>
      <c r="H2379" t="s">
        <v>26</v>
      </c>
      <c r="I2379" t="s">
        <v>40</v>
      </c>
      <c r="J2379" s="11">
        <v>45157</v>
      </c>
      <c r="K2379" t="str">
        <f>TEXT(Transactions_Clean[[#This Row],[Date]],"MMM-YYYY")</f>
        <v>Aug-2023</v>
      </c>
      <c r="L2379">
        <f>IF(Transactions_Clean[[#This Row],[Category]]="Revenue",Transactions_Clean[[#This Row],[Amount(₹)]],Transactions_Clean[[#This Row],[Amount(₹)]]/8)</f>
        <v>-9691.75</v>
      </c>
    </row>
    <row r="2380" spans="1:12">
      <c r="A2380" t="s">
        <v>3681</v>
      </c>
      <c r="B2380" t="s">
        <v>202</v>
      </c>
      <c r="C2380" t="s">
        <v>22</v>
      </c>
      <c r="D2380">
        <v>-80391</v>
      </c>
      <c r="E2380" t="s">
        <v>23</v>
      </c>
      <c r="F2380" t="s">
        <v>24</v>
      </c>
      <c r="G2380" t="s">
        <v>25</v>
      </c>
      <c r="H2380" t="s">
        <v>26</v>
      </c>
      <c r="I2380" t="s">
        <v>34</v>
      </c>
      <c r="J2380" s="11">
        <v>45025</v>
      </c>
      <c r="K2380" t="str">
        <f>TEXT(Transactions_Clean[[#This Row],[Date]],"MMM-YYYY")</f>
        <v>Apr-2023</v>
      </c>
      <c r="L2380">
        <f>IF(Transactions_Clean[[#This Row],[Category]]="Revenue",Transactions_Clean[[#This Row],[Amount(₹)]],Transactions_Clean[[#This Row],[Amount(₹)]]/8)</f>
        <v>-10048.875</v>
      </c>
    </row>
    <row r="2381" spans="1:12">
      <c r="A2381" t="s">
        <v>3682</v>
      </c>
      <c r="B2381" t="s">
        <v>106</v>
      </c>
      <c r="C2381" t="s">
        <v>31</v>
      </c>
      <c r="D2381">
        <v>-38282</v>
      </c>
      <c r="E2381" t="s">
        <v>23</v>
      </c>
      <c r="F2381" t="s">
        <v>32</v>
      </c>
      <c r="G2381" t="s">
        <v>33</v>
      </c>
      <c r="H2381" t="s">
        <v>26</v>
      </c>
      <c r="I2381" t="s">
        <v>40</v>
      </c>
      <c r="J2381" s="11">
        <v>45192</v>
      </c>
      <c r="K2381" t="str">
        <f>TEXT(Transactions_Clean[[#This Row],[Date]],"MMM-YYYY")</f>
        <v>Sep-2023</v>
      </c>
      <c r="L2381">
        <f>IF(Transactions_Clean[[#This Row],[Category]]="Revenue",Transactions_Clean[[#This Row],[Amount(₹)]],Transactions_Clean[[#This Row],[Amount(₹)]]/8)</f>
        <v>-4785.25</v>
      </c>
    </row>
    <row r="2382" spans="1:12">
      <c r="A2382" t="s">
        <v>3683</v>
      </c>
      <c r="B2382" t="s">
        <v>4751</v>
      </c>
      <c r="C2382" t="s">
        <v>38</v>
      </c>
      <c r="D2382">
        <v>-40644</v>
      </c>
      <c r="E2382" t="s">
        <v>23</v>
      </c>
      <c r="F2382" t="s">
        <v>24</v>
      </c>
      <c r="G2382" t="s">
        <v>33</v>
      </c>
      <c r="H2382" t="s">
        <v>39</v>
      </c>
      <c r="I2382" t="s">
        <v>34</v>
      </c>
      <c r="J2382" s="11">
        <v>45828</v>
      </c>
      <c r="K2382" t="str">
        <f>TEXT(Transactions_Clean[[#This Row],[Date]],"MMM-YYYY")</f>
        <v>Jun-2025</v>
      </c>
      <c r="L2382">
        <f>IF(Transactions_Clean[[#This Row],[Category]]="Revenue",Transactions_Clean[[#This Row],[Amount(₹)]],Transactions_Clean[[#This Row],[Amount(₹)]]/8)</f>
        <v>-5080.5</v>
      </c>
    </row>
    <row r="2383" spans="1:12">
      <c r="A2383" t="s">
        <v>3684</v>
      </c>
      <c r="B2383" t="s">
        <v>4748</v>
      </c>
      <c r="C2383" t="s">
        <v>22</v>
      </c>
      <c r="D2383">
        <v>-202878</v>
      </c>
      <c r="E2383" t="s">
        <v>23</v>
      </c>
      <c r="F2383" t="s">
        <v>24</v>
      </c>
      <c r="G2383" t="s">
        <v>25</v>
      </c>
      <c r="H2383" t="s">
        <v>45</v>
      </c>
      <c r="I2383" t="s">
        <v>40</v>
      </c>
      <c r="J2383" s="11">
        <v>45559</v>
      </c>
      <c r="K2383" t="str">
        <f>TEXT(Transactions_Clean[[#This Row],[Date]],"MMM-YYYY")</f>
        <v>Sep-2024</v>
      </c>
      <c r="L2383">
        <f>IF(Transactions_Clean[[#This Row],[Category]]="Revenue",Transactions_Clean[[#This Row],[Amount(₹)]],Transactions_Clean[[#This Row],[Amount(₹)]]/8)</f>
        <v>-25359.75</v>
      </c>
    </row>
    <row r="2384" spans="1:12">
      <c r="A2384" t="s">
        <v>3685</v>
      </c>
      <c r="B2384" t="s">
        <v>143</v>
      </c>
      <c r="C2384" t="s">
        <v>78</v>
      </c>
      <c r="D2384">
        <v>-39345</v>
      </c>
      <c r="E2384" t="s">
        <v>23</v>
      </c>
      <c r="F2384" t="s">
        <v>32</v>
      </c>
      <c r="G2384" t="s">
        <v>79</v>
      </c>
      <c r="H2384" t="s">
        <v>26</v>
      </c>
      <c r="I2384" t="s">
        <v>40</v>
      </c>
      <c r="J2384" s="11">
        <v>45129</v>
      </c>
      <c r="K2384" t="str">
        <f>TEXT(Transactions_Clean[[#This Row],[Date]],"MMM-YYYY")</f>
        <v>Jul-2023</v>
      </c>
      <c r="L2384">
        <f>IF(Transactions_Clean[[#This Row],[Category]]="Revenue",Transactions_Clean[[#This Row],[Amount(₹)]],Transactions_Clean[[#This Row],[Amount(₹)]]/8)</f>
        <v>-4918.125</v>
      </c>
    </row>
    <row r="2385" spans="1:12">
      <c r="A2385" t="s">
        <v>3686</v>
      </c>
      <c r="B2385" t="s">
        <v>143</v>
      </c>
      <c r="C2385" t="s">
        <v>78</v>
      </c>
      <c r="D2385">
        <v>-107566</v>
      </c>
      <c r="E2385" t="s">
        <v>23</v>
      </c>
      <c r="F2385" t="s">
        <v>32</v>
      </c>
      <c r="G2385" t="s">
        <v>79</v>
      </c>
      <c r="H2385" t="s">
        <v>45</v>
      </c>
      <c r="I2385" t="s">
        <v>48</v>
      </c>
      <c r="J2385" s="11">
        <v>45573</v>
      </c>
      <c r="K2385" t="str">
        <f>TEXT(Transactions_Clean[[#This Row],[Date]],"MMM-YYYY")</f>
        <v>Oct-2024</v>
      </c>
      <c r="L2385">
        <f>IF(Transactions_Clean[[#This Row],[Category]]="Revenue",Transactions_Clean[[#This Row],[Amount(₹)]],Transactions_Clean[[#This Row],[Amount(₹)]]/8)</f>
        <v>-13445.75</v>
      </c>
    </row>
    <row r="2386" spans="1:12">
      <c r="A2386" t="s">
        <v>3687</v>
      </c>
      <c r="B2386" t="s">
        <v>116</v>
      </c>
      <c r="C2386" t="s">
        <v>73</v>
      </c>
      <c r="D2386">
        <v>-64850</v>
      </c>
      <c r="E2386" t="s">
        <v>74</v>
      </c>
      <c r="F2386" t="s">
        <v>32</v>
      </c>
      <c r="G2386" t="s">
        <v>25</v>
      </c>
      <c r="H2386" t="s">
        <v>39</v>
      </c>
      <c r="I2386" t="s">
        <v>40</v>
      </c>
      <c r="J2386" s="11">
        <v>45904</v>
      </c>
      <c r="K2386" t="str">
        <f>TEXT(Transactions_Clean[[#This Row],[Date]],"MMM-YYYY")</f>
        <v>Sep-2025</v>
      </c>
      <c r="L2386">
        <f>IF(Transactions_Clean[[#This Row],[Category]]="Revenue",Transactions_Clean[[#This Row],[Amount(₹)]],Transactions_Clean[[#This Row],[Amount(₹)]]/8)</f>
        <v>-8106.25</v>
      </c>
    </row>
    <row r="2387" spans="1:12">
      <c r="A2387" t="s">
        <v>3688</v>
      </c>
      <c r="B2387" t="s">
        <v>4759</v>
      </c>
      <c r="C2387" t="s">
        <v>31</v>
      </c>
      <c r="D2387">
        <v>-30977</v>
      </c>
      <c r="E2387" t="s">
        <v>23</v>
      </c>
      <c r="F2387" t="s">
        <v>32</v>
      </c>
      <c r="G2387" t="s">
        <v>33</v>
      </c>
      <c r="H2387" t="s">
        <v>39</v>
      </c>
      <c r="I2387" t="s">
        <v>34</v>
      </c>
      <c r="J2387" s="11">
        <v>45799</v>
      </c>
      <c r="K2387" t="str">
        <f>TEXT(Transactions_Clean[[#This Row],[Date]],"MMM-YYYY")</f>
        <v>May-2025</v>
      </c>
      <c r="L2387">
        <f>IF(Transactions_Clean[[#This Row],[Category]]="Revenue",Transactions_Clean[[#This Row],[Amount(₹)]],Transactions_Clean[[#This Row],[Amount(₹)]]/8)</f>
        <v>-3872.125</v>
      </c>
    </row>
    <row r="2388" spans="1:12">
      <c r="A2388" t="s">
        <v>3690</v>
      </c>
      <c r="B2388" t="s">
        <v>4754</v>
      </c>
      <c r="C2388" t="s">
        <v>78</v>
      </c>
      <c r="D2388">
        <v>-109223</v>
      </c>
      <c r="E2388" t="s">
        <v>23</v>
      </c>
      <c r="F2388" t="s">
        <v>24</v>
      </c>
      <c r="G2388" t="s">
        <v>79</v>
      </c>
      <c r="H2388" t="s">
        <v>26</v>
      </c>
      <c r="I2388" t="s">
        <v>34</v>
      </c>
      <c r="J2388" s="11">
        <v>45093</v>
      </c>
      <c r="K2388" t="str">
        <f>TEXT(Transactions_Clean[[#This Row],[Date]],"MMM-YYYY")</f>
        <v>Jun-2023</v>
      </c>
      <c r="L2388">
        <f>IF(Transactions_Clean[[#This Row],[Category]]="Revenue",Transactions_Clean[[#This Row],[Amount(₹)]],Transactions_Clean[[#This Row],[Amount(₹)]]/8)</f>
        <v>-13652.875</v>
      </c>
    </row>
    <row r="2389" spans="1:12">
      <c r="A2389" t="s">
        <v>3692</v>
      </c>
      <c r="B2389" t="s">
        <v>169</v>
      </c>
      <c r="C2389" t="s">
        <v>73</v>
      </c>
      <c r="D2389">
        <v>-8692</v>
      </c>
      <c r="E2389" t="s">
        <v>74</v>
      </c>
      <c r="F2389" t="s">
        <v>32</v>
      </c>
      <c r="G2389" t="s">
        <v>25</v>
      </c>
      <c r="H2389" t="s">
        <v>39</v>
      </c>
      <c r="I2389" t="s">
        <v>34</v>
      </c>
      <c r="J2389" s="11">
        <v>45769</v>
      </c>
      <c r="K2389" t="str">
        <f>TEXT(Transactions_Clean[[#This Row],[Date]],"MMM-YYYY")</f>
        <v>Apr-2025</v>
      </c>
      <c r="L2389">
        <f>IF(Transactions_Clean[[#This Row],[Category]]="Revenue",Transactions_Clean[[#This Row],[Amount(₹)]],Transactions_Clean[[#This Row],[Amount(₹)]]/8)</f>
        <v>-1086.5</v>
      </c>
    </row>
    <row r="2390" spans="1:12">
      <c r="A2390" t="s">
        <v>3694</v>
      </c>
      <c r="B2390" t="s">
        <v>100</v>
      </c>
      <c r="C2390" t="s">
        <v>31</v>
      </c>
      <c r="D2390">
        <v>-42789</v>
      </c>
      <c r="E2390" t="s">
        <v>23</v>
      </c>
      <c r="F2390" t="s">
        <v>32</v>
      </c>
      <c r="G2390" t="s">
        <v>33</v>
      </c>
      <c r="H2390" t="s">
        <v>39</v>
      </c>
      <c r="I2390" t="s">
        <v>27</v>
      </c>
      <c r="J2390" s="11">
        <v>46236</v>
      </c>
      <c r="K2390" t="str">
        <f>TEXT(Transactions_Clean[[#This Row],[Date]],"MMM-YYYY")</f>
        <v>Aug-2026</v>
      </c>
      <c r="L2390">
        <f>IF(Transactions_Clean[[#This Row],[Category]]="Revenue",Transactions_Clean[[#This Row],[Amount(₹)]],Transactions_Clean[[#This Row],[Amount(₹)]]/8)</f>
        <v>-5348.625</v>
      </c>
    </row>
    <row r="2391" spans="1:12">
      <c r="A2391" t="s">
        <v>3696</v>
      </c>
      <c r="B2391" t="s">
        <v>106</v>
      </c>
      <c r="C2391" t="s">
        <v>31</v>
      </c>
      <c r="D2391">
        <v>-20188</v>
      </c>
      <c r="E2391" t="s">
        <v>23</v>
      </c>
      <c r="F2391" t="s">
        <v>32</v>
      </c>
      <c r="G2391" t="s">
        <v>33</v>
      </c>
      <c r="H2391" t="s">
        <v>39</v>
      </c>
      <c r="I2391" t="s">
        <v>27</v>
      </c>
      <c r="J2391" s="11">
        <v>46085</v>
      </c>
      <c r="K2391" t="str">
        <f>TEXT(Transactions_Clean[[#This Row],[Date]],"MMM-YYYY")</f>
        <v>Mar-2026</v>
      </c>
      <c r="L2391">
        <f>IF(Transactions_Clean[[#This Row],[Category]]="Revenue",Transactions_Clean[[#This Row],[Amount(₹)]],Transactions_Clean[[#This Row],[Amount(₹)]]/8)</f>
        <v>-2523.5</v>
      </c>
    </row>
    <row r="2392" spans="1:12">
      <c r="A2392" t="s">
        <v>3697</v>
      </c>
      <c r="B2392" t="s">
        <v>4757</v>
      </c>
      <c r="C2392" t="s">
        <v>73</v>
      </c>
      <c r="D2392">
        <v>-27516</v>
      </c>
      <c r="E2392" t="s">
        <v>74</v>
      </c>
      <c r="F2392" t="s">
        <v>24</v>
      </c>
      <c r="G2392" t="s">
        <v>25</v>
      </c>
      <c r="H2392" t="s">
        <v>39</v>
      </c>
      <c r="I2392" t="s">
        <v>27</v>
      </c>
      <c r="J2392" s="11">
        <v>46031</v>
      </c>
      <c r="K2392" t="str">
        <f>TEXT(Transactions_Clean[[#This Row],[Date]],"MMM-YYYY")</f>
        <v>Jan-2026</v>
      </c>
      <c r="L2392">
        <f>IF(Transactions_Clean[[#This Row],[Category]]="Revenue",Transactions_Clean[[#This Row],[Amount(₹)]],Transactions_Clean[[#This Row],[Amount(₹)]]/8)</f>
        <v>-3439.5</v>
      </c>
    </row>
    <row r="2393" spans="1:12">
      <c r="A2393" t="s">
        <v>3698</v>
      </c>
      <c r="B2393" t="s">
        <v>4767</v>
      </c>
      <c r="C2393" t="s">
        <v>157</v>
      </c>
      <c r="D2393">
        <v>559436</v>
      </c>
      <c r="E2393" t="s">
        <v>62</v>
      </c>
      <c r="F2393" t="s">
        <v>32</v>
      </c>
      <c r="G2393" t="s">
        <v>25</v>
      </c>
      <c r="H2393" t="s">
        <v>26</v>
      </c>
      <c r="I2393" t="s">
        <v>27</v>
      </c>
      <c r="J2393" s="11">
        <v>45315</v>
      </c>
      <c r="K2393" t="str">
        <f>TEXT(Transactions_Clean[[#This Row],[Date]],"MMM-YYYY")</f>
        <v>Jan-2024</v>
      </c>
      <c r="L2393">
        <f>IF(Transactions_Clean[[#This Row],[Category]]="Revenue",Transactions_Clean[[#This Row],[Amount(₹)]],Transactions_Clean[[#This Row],[Amount(₹)]]/8)</f>
        <v>559436</v>
      </c>
    </row>
    <row r="2394" spans="1:12">
      <c r="A2394" t="s">
        <v>3699</v>
      </c>
      <c r="B2394" t="s">
        <v>4759</v>
      </c>
      <c r="C2394" t="s">
        <v>31</v>
      </c>
      <c r="D2394">
        <v>-25411</v>
      </c>
      <c r="E2394" t="s">
        <v>23</v>
      </c>
      <c r="F2394" t="s">
        <v>24</v>
      </c>
      <c r="G2394" t="s">
        <v>33</v>
      </c>
      <c r="H2394" t="s">
        <v>39</v>
      </c>
      <c r="I2394" t="s">
        <v>48</v>
      </c>
      <c r="J2394" s="11">
        <v>45988</v>
      </c>
      <c r="K2394" t="str">
        <f>TEXT(Transactions_Clean[[#This Row],[Date]],"MMM-YYYY")</f>
        <v>Nov-2025</v>
      </c>
      <c r="L2394">
        <f>IF(Transactions_Clean[[#This Row],[Category]]="Revenue",Transactions_Clean[[#This Row],[Amount(₹)]],Transactions_Clean[[#This Row],[Amount(₹)]]/8)</f>
        <v>-3176.375</v>
      </c>
    </row>
    <row r="2395" spans="1:12">
      <c r="A2395" t="s">
        <v>3701</v>
      </c>
      <c r="B2395" t="s">
        <v>4760</v>
      </c>
      <c r="C2395" t="s">
        <v>73</v>
      </c>
      <c r="D2395">
        <v>-78899</v>
      </c>
      <c r="E2395" t="s">
        <v>74</v>
      </c>
      <c r="F2395" t="s">
        <v>32</v>
      </c>
      <c r="G2395" t="s">
        <v>25</v>
      </c>
      <c r="H2395" t="s">
        <v>39</v>
      </c>
      <c r="I2395" t="s">
        <v>27</v>
      </c>
      <c r="J2395" s="11">
        <v>46081</v>
      </c>
      <c r="K2395" t="str">
        <f>TEXT(Transactions_Clean[[#This Row],[Date]],"MMM-YYYY")</f>
        <v>Feb-2026</v>
      </c>
      <c r="L2395">
        <f>IF(Transactions_Clean[[#This Row],[Category]]="Revenue",Transactions_Clean[[#This Row],[Amount(₹)]],Transactions_Clean[[#This Row],[Amount(₹)]]/8)</f>
        <v>-9862.375</v>
      </c>
    </row>
    <row r="2396" spans="1:12">
      <c r="A2396" t="s">
        <v>3702</v>
      </c>
      <c r="B2396" t="s">
        <v>66</v>
      </c>
      <c r="C2396" t="s">
        <v>61</v>
      </c>
      <c r="D2396">
        <v>-58456</v>
      </c>
      <c r="E2396" t="s">
        <v>62</v>
      </c>
      <c r="F2396" t="s">
        <v>24</v>
      </c>
      <c r="G2396" t="s">
        <v>63</v>
      </c>
      <c r="H2396" t="s">
        <v>39</v>
      </c>
      <c r="I2396" t="s">
        <v>48</v>
      </c>
      <c r="J2396" s="11">
        <v>46002</v>
      </c>
      <c r="K2396" t="str">
        <f>TEXT(Transactions_Clean[[#This Row],[Date]],"MMM-YYYY")</f>
        <v>Dec-2025</v>
      </c>
      <c r="L2396">
        <f>IF(Transactions_Clean[[#This Row],[Category]]="Revenue",Transactions_Clean[[#This Row],[Amount(₹)]],Transactions_Clean[[#This Row],[Amount(₹)]]/8)</f>
        <v>-7307</v>
      </c>
    </row>
    <row r="2397" spans="1:12">
      <c r="A2397" t="s">
        <v>3703</v>
      </c>
      <c r="B2397" t="s">
        <v>4754</v>
      </c>
      <c r="C2397" t="s">
        <v>78</v>
      </c>
      <c r="D2397">
        <v>-93804</v>
      </c>
      <c r="E2397" t="s">
        <v>23</v>
      </c>
      <c r="F2397" t="s">
        <v>24</v>
      </c>
      <c r="G2397" t="s">
        <v>79</v>
      </c>
      <c r="H2397" t="s">
        <v>26</v>
      </c>
      <c r="I2397" t="s">
        <v>27</v>
      </c>
      <c r="J2397" s="11">
        <v>45330</v>
      </c>
      <c r="K2397" t="str">
        <f>TEXT(Transactions_Clean[[#This Row],[Date]],"MMM-YYYY")</f>
        <v>Feb-2024</v>
      </c>
      <c r="L2397">
        <f>IF(Transactions_Clean[[#This Row],[Category]]="Revenue",Transactions_Clean[[#This Row],[Amount(₹)]],Transactions_Clean[[#This Row],[Amount(₹)]]/8)</f>
        <v>-11725.5</v>
      </c>
    </row>
    <row r="2398" spans="1:12">
      <c r="A2398" t="s">
        <v>3704</v>
      </c>
      <c r="B2398" t="s">
        <v>143</v>
      </c>
      <c r="C2398" t="s">
        <v>78</v>
      </c>
      <c r="D2398">
        <v>-23281</v>
      </c>
      <c r="E2398" t="s">
        <v>23</v>
      </c>
      <c r="F2398" t="s">
        <v>32</v>
      </c>
      <c r="G2398" t="s">
        <v>79</v>
      </c>
      <c r="H2398" t="s">
        <v>39</v>
      </c>
      <c r="I2398" t="s">
        <v>40</v>
      </c>
      <c r="J2398" s="11">
        <v>45854</v>
      </c>
      <c r="K2398" t="str">
        <f>TEXT(Transactions_Clean[[#This Row],[Date]],"MMM-YYYY")</f>
        <v>Jul-2025</v>
      </c>
      <c r="L2398">
        <f>IF(Transactions_Clean[[#This Row],[Category]]="Revenue",Transactions_Clean[[#This Row],[Amount(₹)]],Transactions_Clean[[#This Row],[Amount(₹)]]/8)</f>
        <v>-2910.125</v>
      </c>
    </row>
    <row r="2399" spans="1:12">
      <c r="A2399" t="s">
        <v>3705</v>
      </c>
      <c r="B2399" t="s">
        <v>180</v>
      </c>
      <c r="C2399" t="s">
        <v>44</v>
      </c>
      <c r="D2399">
        <v>-113471</v>
      </c>
      <c r="E2399" t="s">
        <v>23</v>
      </c>
      <c r="F2399" t="s">
        <v>24</v>
      </c>
      <c r="G2399" t="s">
        <v>33</v>
      </c>
      <c r="H2399" t="s">
        <v>26</v>
      </c>
      <c r="I2399" t="s">
        <v>48</v>
      </c>
      <c r="J2399" s="11">
        <v>45279</v>
      </c>
      <c r="K2399" t="str">
        <f>TEXT(Transactions_Clean[[#This Row],[Date]],"MMM-YYYY")</f>
        <v>Dec-2023</v>
      </c>
      <c r="L2399">
        <f>IF(Transactions_Clean[[#This Row],[Category]]="Revenue",Transactions_Clean[[#This Row],[Amount(₹)]],Transactions_Clean[[#This Row],[Amount(₹)]]/8)</f>
        <v>-14183.875</v>
      </c>
    </row>
    <row r="2400" spans="1:12">
      <c r="A2400" t="s">
        <v>3707</v>
      </c>
      <c r="B2400" t="s">
        <v>72</v>
      </c>
      <c r="C2400" t="s">
        <v>73</v>
      </c>
      <c r="D2400">
        <v>-25284</v>
      </c>
      <c r="E2400" t="s">
        <v>74</v>
      </c>
      <c r="F2400" t="s">
        <v>24</v>
      </c>
      <c r="G2400" t="s">
        <v>25</v>
      </c>
      <c r="H2400" t="s">
        <v>45</v>
      </c>
      <c r="I2400" t="s">
        <v>40</v>
      </c>
      <c r="J2400" s="11">
        <v>45565</v>
      </c>
      <c r="K2400" t="str">
        <f>TEXT(Transactions_Clean[[#This Row],[Date]],"MMM-YYYY")</f>
        <v>Sep-2024</v>
      </c>
      <c r="L2400">
        <f>IF(Transactions_Clean[[#This Row],[Category]]="Revenue",Transactions_Clean[[#This Row],[Amount(₹)]],Transactions_Clean[[#This Row],[Amount(₹)]]/8)</f>
        <v>-3160.5</v>
      </c>
    </row>
    <row r="2401" spans="1:12">
      <c r="A2401" t="s">
        <v>3708</v>
      </c>
      <c r="B2401" t="s">
        <v>169</v>
      </c>
      <c r="C2401" t="s">
        <v>73</v>
      </c>
      <c r="D2401">
        <v>-82630</v>
      </c>
      <c r="E2401" t="s">
        <v>74</v>
      </c>
      <c r="F2401" t="s">
        <v>24</v>
      </c>
      <c r="G2401" t="s">
        <v>25</v>
      </c>
      <c r="H2401" t="s">
        <v>39</v>
      </c>
      <c r="I2401" t="s">
        <v>48</v>
      </c>
      <c r="J2401" s="11">
        <v>45960</v>
      </c>
      <c r="K2401" t="str">
        <f>TEXT(Transactions_Clean[[#This Row],[Date]],"MMM-YYYY")</f>
        <v>Oct-2025</v>
      </c>
      <c r="L2401">
        <f>IF(Transactions_Clean[[#This Row],[Category]]="Revenue",Transactions_Clean[[#This Row],[Amount(₹)]],Transactions_Clean[[#This Row],[Amount(₹)]]/8)</f>
        <v>-10328.75</v>
      </c>
    </row>
    <row r="2402" spans="1:12">
      <c r="A2402" t="s">
        <v>3709</v>
      </c>
      <c r="B2402" t="s">
        <v>51</v>
      </c>
      <c r="C2402" t="s">
        <v>31</v>
      </c>
      <c r="D2402">
        <v>-5625</v>
      </c>
      <c r="E2402" t="s">
        <v>23</v>
      </c>
      <c r="F2402" t="s">
        <v>32</v>
      </c>
      <c r="G2402" t="s">
        <v>33</v>
      </c>
      <c r="H2402" t="s">
        <v>26</v>
      </c>
      <c r="I2402" t="s">
        <v>27</v>
      </c>
      <c r="J2402" s="11">
        <v>45370</v>
      </c>
      <c r="K2402" t="str">
        <f>TEXT(Transactions_Clean[[#This Row],[Date]],"MMM-YYYY")</f>
        <v>Mar-2024</v>
      </c>
      <c r="L2402">
        <f>IF(Transactions_Clean[[#This Row],[Category]]="Revenue",Transactions_Clean[[#This Row],[Amount(₹)]],Transactions_Clean[[#This Row],[Amount(₹)]]/8)</f>
        <v>-703.125</v>
      </c>
    </row>
    <row r="2403" spans="1:12">
      <c r="A2403" t="s">
        <v>3710</v>
      </c>
      <c r="B2403" t="s">
        <v>4762</v>
      </c>
      <c r="C2403" t="s">
        <v>157</v>
      </c>
      <c r="D2403">
        <v>734588</v>
      </c>
      <c r="E2403" t="s">
        <v>62</v>
      </c>
      <c r="F2403" t="s">
        <v>32</v>
      </c>
      <c r="G2403" t="s">
        <v>25</v>
      </c>
      <c r="H2403" t="s">
        <v>39</v>
      </c>
      <c r="I2403" t="s">
        <v>27</v>
      </c>
      <c r="J2403" s="11">
        <v>46036</v>
      </c>
      <c r="K2403" t="str">
        <f>TEXT(Transactions_Clean[[#This Row],[Date]],"MMM-YYYY")</f>
        <v>Jan-2026</v>
      </c>
      <c r="L2403">
        <f>IF(Transactions_Clean[[#This Row],[Category]]="Revenue",Transactions_Clean[[#This Row],[Amount(₹)]],Transactions_Clean[[#This Row],[Amount(₹)]]/8)</f>
        <v>734588</v>
      </c>
    </row>
    <row r="2404" spans="1:12">
      <c r="A2404" t="s">
        <v>3711</v>
      </c>
      <c r="B2404" t="s">
        <v>66</v>
      </c>
      <c r="C2404" t="s">
        <v>61</v>
      </c>
      <c r="D2404">
        <v>-52992</v>
      </c>
      <c r="E2404" t="s">
        <v>62</v>
      </c>
      <c r="F2404" t="s">
        <v>24</v>
      </c>
      <c r="G2404" t="s">
        <v>63</v>
      </c>
      <c r="H2404" t="s">
        <v>45</v>
      </c>
      <c r="I2404" t="s">
        <v>48</v>
      </c>
      <c r="J2404" s="11">
        <v>45612</v>
      </c>
      <c r="K2404" t="str">
        <f>TEXT(Transactions_Clean[[#This Row],[Date]],"MMM-YYYY")</f>
        <v>Nov-2024</v>
      </c>
      <c r="L2404">
        <f>IF(Transactions_Clean[[#This Row],[Category]]="Revenue",Transactions_Clean[[#This Row],[Amount(₹)]],Transactions_Clean[[#This Row],[Amount(₹)]]/8)</f>
        <v>-6624</v>
      </c>
    </row>
    <row r="2405" spans="1:12">
      <c r="A2405" t="s">
        <v>3713</v>
      </c>
      <c r="B2405" t="s">
        <v>66</v>
      </c>
      <c r="C2405" t="s">
        <v>61</v>
      </c>
      <c r="D2405">
        <v>-35170</v>
      </c>
      <c r="E2405" t="s">
        <v>62</v>
      </c>
      <c r="F2405" t="s">
        <v>32</v>
      </c>
      <c r="G2405" t="s">
        <v>63</v>
      </c>
      <c r="H2405" t="s">
        <v>45</v>
      </c>
      <c r="I2405" t="s">
        <v>27</v>
      </c>
      <c r="J2405" s="11">
        <v>45743</v>
      </c>
      <c r="K2405" t="str">
        <f>TEXT(Transactions_Clean[[#This Row],[Date]],"MMM-YYYY")</f>
        <v>Mar-2025</v>
      </c>
      <c r="L2405">
        <f>IF(Transactions_Clean[[#This Row],[Category]]="Revenue",Transactions_Clean[[#This Row],[Amount(₹)]],Transactions_Clean[[#This Row],[Amount(₹)]]/8)</f>
        <v>-4396.25</v>
      </c>
    </row>
    <row r="2406" spans="1:12">
      <c r="A2406" t="s">
        <v>3714</v>
      </c>
      <c r="B2406" t="s">
        <v>4760</v>
      </c>
      <c r="C2406" t="s">
        <v>73</v>
      </c>
      <c r="D2406">
        <v>-50583</v>
      </c>
      <c r="E2406" t="s">
        <v>74</v>
      </c>
      <c r="F2406" t="s">
        <v>24</v>
      </c>
      <c r="G2406" t="s">
        <v>25</v>
      </c>
      <c r="H2406" t="s">
        <v>45</v>
      </c>
      <c r="I2406" t="s">
        <v>34</v>
      </c>
      <c r="J2406" s="11">
        <v>45468</v>
      </c>
      <c r="K2406" t="str">
        <f>TEXT(Transactions_Clean[[#This Row],[Date]],"MMM-YYYY")</f>
        <v>Jun-2024</v>
      </c>
      <c r="L2406">
        <f>IF(Transactions_Clean[[#This Row],[Category]]="Revenue",Transactions_Clean[[#This Row],[Amount(₹)]],Transactions_Clean[[#This Row],[Amount(₹)]]/8)</f>
        <v>-6322.875</v>
      </c>
    </row>
    <row r="2407" spans="1:12">
      <c r="A2407" t="s">
        <v>3715</v>
      </c>
      <c r="B2407" t="s">
        <v>66</v>
      </c>
      <c r="C2407" t="s">
        <v>61</v>
      </c>
      <c r="D2407">
        <v>-41736</v>
      </c>
      <c r="E2407" t="s">
        <v>62</v>
      </c>
      <c r="F2407" t="s">
        <v>24</v>
      </c>
      <c r="G2407" t="s">
        <v>63</v>
      </c>
      <c r="H2407" t="s">
        <v>26</v>
      </c>
      <c r="I2407" t="s">
        <v>34</v>
      </c>
      <c r="J2407" s="11">
        <v>45055</v>
      </c>
      <c r="K2407" t="str">
        <f>TEXT(Transactions_Clean[[#This Row],[Date]],"MMM-YYYY")</f>
        <v>May-2023</v>
      </c>
      <c r="L2407">
        <f>IF(Transactions_Clean[[#This Row],[Category]]="Revenue",Transactions_Clean[[#This Row],[Amount(₹)]],Transactions_Clean[[#This Row],[Amount(₹)]]/8)</f>
        <v>-5217</v>
      </c>
    </row>
    <row r="2408" spans="1:12">
      <c r="A2408" t="s">
        <v>3717</v>
      </c>
      <c r="B2408" t="s">
        <v>4771</v>
      </c>
      <c r="C2408" t="s">
        <v>440</v>
      </c>
      <c r="D2408">
        <v>-102730</v>
      </c>
      <c r="E2408" t="s">
        <v>23</v>
      </c>
      <c r="F2408" t="s">
        <v>24</v>
      </c>
      <c r="G2408" t="s">
        <v>33</v>
      </c>
      <c r="H2408" t="s">
        <v>45</v>
      </c>
      <c r="I2408" t="s">
        <v>40</v>
      </c>
      <c r="J2408" s="11">
        <v>45538</v>
      </c>
      <c r="K2408" t="str">
        <f>TEXT(Transactions_Clean[[#This Row],[Date]],"MMM-YYYY")</f>
        <v>Sep-2024</v>
      </c>
      <c r="L2408">
        <f>IF(Transactions_Clean[[#This Row],[Category]]="Revenue",Transactions_Clean[[#This Row],[Amount(₹)]],Transactions_Clean[[#This Row],[Amount(₹)]]/8)</f>
        <v>-12841.25</v>
      </c>
    </row>
    <row r="2409" spans="1:12">
      <c r="A2409" t="s">
        <v>3718</v>
      </c>
      <c r="B2409" t="s">
        <v>4764</v>
      </c>
      <c r="C2409" t="s">
        <v>157</v>
      </c>
      <c r="D2409">
        <v>571939</v>
      </c>
      <c r="E2409" t="s">
        <v>62</v>
      </c>
      <c r="F2409" t="s">
        <v>32</v>
      </c>
      <c r="G2409" t="s">
        <v>25</v>
      </c>
      <c r="H2409" t="s">
        <v>45</v>
      </c>
      <c r="I2409" t="s">
        <v>34</v>
      </c>
      <c r="J2409" s="11">
        <v>45388</v>
      </c>
      <c r="K2409" t="str">
        <f>TEXT(Transactions_Clean[[#This Row],[Date]],"MMM-YYYY")</f>
        <v>Apr-2024</v>
      </c>
      <c r="L2409">
        <f>IF(Transactions_Clean[[#This Row],[Category]]="Revenue",Transactions_Clean[[#This Row],[Amount(₹)]],Transactions_Clean[[#This Row],[Amount(₹)]]/8)</f>
        <v>571939</v>
      </c>
    </row>
    <row r="2410" spans="1:12">
      <c r="A2410" t="s">
        <v>3720</v>
      </c>
      <c r="B2410" t="s">
        <v>60</v>
      </c>
      <c r="C2410" t="s">
        <v>61</v>
      </c>
      <c r="D2410">
        <v>-27390</v>
      </c>
      <c r="E2410" t="s">
        <v>62</v>
      </c>
      <c r="F2410" t="s">
        <v>32</v>
      </c>
      <c r="G2410" t="s">
        <v>63</v>
      </c>
      <c r="H2410" t="s">
        <v>39</v>
      </c>
      <c r="I2410" t="s">
        <v>34</v>
      </c>
      <c r="J2410" s="11">
        <v>45777</v>
      </c>
      <c r="K2410" t="str">
        <f>TEXT(Transactions_Clean[[#This Row],[Date]],"MMM-YYYY")</f>
        <v>Apr-2025</v>
      </c>
      <c r="L2410">
        <f>IF(Transactions_Clean[[#This Row],[Category]]="Revenue",Transactions_Clean[[#This Row],[Amount(₹)]],Transactions_Clean[[#This Row],[Amount(₹)]]/8)</f>
        <v>-3423.75</v>
      </c>
    </row>
    <row r="2411" spans="1:12">
      <c r="A2411" t="s">
        <v>3721</v>
      </c>
      <c r="B2411" t="s">
        <v>4759</v>
      </c>
      <c r="C2411" t="s">
        <v>31</v>
      </c>
      <c r="D2411">
        <v>-4697</v>
      </c>
      <c r="E2411" t="s">
        <v>23</v>
      </c>
      <c r="F2411" t="s">
        <v>32</v>
      </c>
      <c r="G2411" t="s">
        <v>33</v>
      </c>
      <c r="H2411" t="s">
        <v>39</v>
      </c>
      <c r="I2411" t="s">
        <v>34</v>
      </c>
      <c r="J2411" s="11">
        <v>45784</v>
      </c>
      <c r="K2411" t="str">
        <f>TEXT(Transactions_Clean[[#This Row],[Date]],"MMM-YYYY")</f>
        <v>May-2025</v>
      </c>
      <c r="L2411">
        <f>IF(Transactions_Clean[[#This Row],[Category]]="Revenue",Transactions_Clean[[#This Row],[Amount(₹)]],Transactions_Clean[[#This Row],[Amount(₹)]]/8)</f>
        <v>-587.125</v>
      </c>
    </row>
    <row r="2412" spans="1:12">
      <c r="A2412" t="s">
        <v>3722</v>
      </c>
      <c r="B2412" t="s">
        <v>4748</v>
      </c>
      <c r="C2412" t="s">
        <v>22</v>
      </c>
      <c r="D2412">
        <v>-123097</v>
      </c>
      <c r="E2412" t="s">
        <v>23</v>
      </c>
      <c r="F2412" t="s">
        <v>32</v>
      </c>
      <c r="G2412" t="s">
        <v>25</v>
      </c>
      <c r="H2412" t="s">
        <v>39</v>
      </c>
      <c r="I2412" t="s">
        <v>48</v>
      </c>
      <c r="J2412" s="11">
        <v>45940</v>
      </c>
      <c r="K2412" t="str">
        <f>TEXT(Transactions_Clean[[#This Row],[Date]],"MMM-YYYY")</f>
        <v>Oct-2025</v>
      </c>
      <c r="L2412">
        <f>IF(Transactions_Clean[[#This Row],[Category]]="Revenue",Transactions_Clean[[#This Row],[Amount(₹)]],Transactions_Clean[[#This Row],[Amount(₹)]]/8)</f>
        <v>-15387.125</v>
      </c>
    </row>
    <row r="2413" spans="1:12">
      <c r="A2413" t="s">
        <v>3724</v>
      </c>
      <c r="B2413" t="s">
        <v>4749</v>
      </c>
      <c r="C2413" t="s">
        <v>44</v>
      </c>
      <c r="D2413">
        <v>-154778</v>
      </c>
      <c r="E2413" t="s">
        <v>23</v>
      </c>
      <c r="F2413" t="s">
        <v>32</v>
      </c>
      <c r="G2413" t="s">
        <v>33</v>
      </c>
      <c r="H2413" t="s">
        <v>45</v>
      </c>
      <c r="I2413" t="s">
        <v>34</v>
      </c>
      <c r="J2413" s="11">
        <v>45440</v>
      </c>
      <c r="K2413" t="str">
        <f>TEXT(Transactions_Clean[[#This Row],[Date]],"MMM-YYYY")</f>
        <v>May-2024</v>
      </c>
      <c r="L2413">
        <f>IF(Transactions_Clean[[#This Row],[Category]]="Revenue",Transactions_Clean[[#This Row],[Amount(₹)]],Transactions_Clean[[#This Row],[Amount(₹)]]/8)</f>
        <v>-19347.25</v>
      </c>
    </row>
    <row r="2414" spans="1:12">
      <c r="A2414" t="s">
        <v>3725</v>
      </c>
      <c r="B2414" t="s">
        <v>100</v>
      </c>
      <c r="C2414" t="s">
        <v>31</v>
      </c>
      <c r="D2414">
        <v>-21855</v>
      </c>
      <c r="E2414" t="s">
        <v>23</v>
      </c>
      <c r="F2414" t="s">
        <v>32</v>
      </c>
      <c r="G2414" t="s">
        <v>33</v>
      </c>
      <c r="H2414" t="s">
        <v>45</v>
      </c>
      <c r="I2414" t="s">
        <v>40</v>
      </c>
      <c r="J2414" s="11">
        <v>45559</v>
      </c>
      <c r="K2414" t="str">
        <f>TEXT(Transactions_Clean[[#This Row],[Date]],"MMM-YYYY")</f>
        <v>Sep-2024</v>
      </c>
      <c r="L2414">
        <f>IF(Transactions_Clean[[#This Row],[Category]]="Revenue",Transactions_Clean[[#This Row],[Amount(₹)]],Transactions_Clean[[#This Row],[Amount(₹)]]/8)</f>
        <v>-2731.875</v>
      </c>
    </row>
    <row r="2415" spans="1:12">
      <c r="A2415" t="s">
        <v>3726</v>
      </c>
      <c r="B2415" t="s">
        <v>4749</v>
      </c>
      <c r="C2415" t="s">
        <v>44</v>
      </c>
      <c r="D2415">
        <v>-159040</v>
      </c>
      <c r="E2415" t="s">
        <v>23</v>
      </c>
      <c r="F2415" t="s">
        <v>32</v>
      </c>
      <c r="G2415" t="s">
        <v>33</v>
      </c>
      <c r="H2415" t="s">
        <v>45</v>
      </c>
      <c r="I2415" t="s">
        <v>40</v>
      </c>
      <c r="J2415" s="11">
        <v>45534</v>
      </c>
      <c r="K2415" t="str">
        <f>TEXT(Transactions_Clean[[#This Row],[Date]],"MMM-YYYY")</f>
        <v>Aug-2024</v>
      </c>
      <c r="L2415">
        <f>IF(Transactions_Clean[[#This Row],[Category]]="Revenue",Transactions_Clean[[#This Row],[Amount(₹)]],Transactions_Clean[[#This Row],[Amount(₹)]]/8)</f>
        <v>-19880</v>
      </c>
    </row>
    <row r="2416" spans="1:12">
      <c r="A2416" t="s">
        <v>3727</v>
      </c>
      <c r="B2416" t="s">
        <v>87</v>
      </c>
      <c r="C2416" t="s">
        <v>22</v>
      </c>
      <c r="D2416">
        <v>-84485</v>
      </c>
      <c r="E2416" t="s">
        <v>23</v>
      </c>
      <c r="F2416" t="s">
        <v>24</v>
      </c>
      <c r="G2416" t="s">
        <v>25</v>
      </c>
      <c r="H2416" t="s">
        <v>39</v>
      </c>
      <c r="I2416" t="s">
        <v>48</v>
      </c>
      <c r="J2416" s="11">
        <v>45936</v>
      </c>
      <c r="K2416" t="str">
        <f>TEXT(Transactions_Clean[[#This Row],[Date]],"MMM-YYYY")</f>
        <v>Oct-2025</v>
      </c>
      <c r="L2416">
        <f>IF(Transactions_Clean[[#This Row],[Category]]="Revenue",Transactions_Clean[[#This Row],[Amount(₹)]],Transactions_Clean[[#This Row],[Amount(₹)]]/8)</f>
        <v>-10560.625</v>
      </c>
    </row>
    <row r="2417" spans="1:12">
      <c r="A2417" t="s">
        <v>3728</v>
      </c>
      <c r="B2417" t="s">
        <v>4748</v>
      </c>
      <c r="C2417" t="s">
        <v>22</v>
      </c>
      <c r="D2417">
        <v>-156222</v>
      </c>
      <c r="E2417" t="s">
        <v>23</v>
      </c>
      <c r="F2417" t="s">
        <v>24</v>
      </c>
      <c r="G2417" t="s">
        <v>25</v>
      </c>
      <c r="H2417" t="s">
        <v>26</v>
      </c>
      <c r="I2417" t="s">
        <v>27</v>
      </c>
      <c r="J2417" s="11">
        <v>45372</v>
      </c>
      <c r="K2417" t="str">
        <f>TEXT(Transactions_Clean[[#This Row],[Date]],"MMM-YYYY")</f>
        <v>Mar-2024</v>
      </c>
      <c r="L2417">
        <f>IF(Transactions_Clean[[#This Row],[Category]]="Revenue",Transactions_Clean[[#This Row],[Amount(₹)]],Transactions_Clean[[#This Row],[Amount(₹)]]/8)</f>
        <v>-19527.75</v>
      </c>
    </row>
    <row r="2418" spans="1:12">
      <c r="A2418" t="s">
        <v>3730</v>
      </c>
      <c r="B2418" t="s">
        <v>30</v>
      </c>
      <c r="C2418" t="s">
        <v>4750</v>
      </c>
      <c r="D2418">
        <v>-9851</v>
      </c>
      <c r="E2418" t="s">
        <v>23</v>
      </c>
      <c r="F2418" t="s">
        <v>32</v>
      </c>
      <c r="G2418" t="s">
        <v>33</v>
      </c>
      <c r="H2418" t="s">
        <v>26</v>
      </c>
      <c r="I2418" t="s">
        <v>48</v>
      </c>
      <c r="J2418" s="11">
        <v>45279</v>
      </c>
      <c r="K2418" t="str">
        <f>TEXT(Transactions_Clean[[#This Row],[Date]],"MMM-YYYY")</f>
        <v>Dec-2023</v>
      </c>
      <c r="L2418">
        <f>IF(Transactions_Clean[[#This Row],[Category]]="Revenue",Transactions_Clean[[#This Row],[Amount(₹)]],Transactions_Clean[[#This Row],[Amount(₹)]]/8)</f>
        <v>-1231.375</v>
      </c>
    </row>
    <row r="2419" spans="1:12">
      <c r="A2419" t="s">
        <v>3731</v>
      </c>
      <c r="B2419" t="s">
        <v>4749</v>
      </c>
      <c r="C2419" t="s">
        <v>44</v>
      </c>
      <c r="D2419">
        <v>-63280</v>
      </c>
      <c r="E2419" t="s">
        <v>23</v>
      </c>
      <c r="F2419" t="s">
        <v>24</v>
      </c>
      <c r="G2419" t="s">
        <v>33</v>
      </c>
      <c r="H2419" t="s">
        <v>39</v>
      </c>
      <c r="I2419" t="s">
        <v>48</v>
      </c>
      <c r="J2419" s="11">
        <v>46009</v>
      </c>
      <c r="K2419" t="str">
        <f>TEXT(Transactions_Clean[[#This Row],[Date]],"MMM-YYYY")</f>
        <v>Dec-2025</v>
      </c>
      <c r="L2419">
        <f>IF(Transactions_Clean[[#This Row],[Category]]="Revenue",Transactions_Clean[[#This Row],[Amount(₹)]],Transactions_Clean[[#This Row],[Amount(₹)]]/8)</f>
        <v>-7910</v>
      </c>
    </row>
    <row r="2420" spans="1:12">
      <c r="A2420" t="s">
        <v>3732</v>
      </c>
      <c r="B2420" t="s">
        <v>4758</v>
      </c>
      <c r="C2420" t="s">
        <v>78</v>
      </c>
      <c r="D2420">
        <v>-36787</v>
      </c>
      <c r="E2420" t="s">
        <v>23</v>
      </c>
      <c r="F2420" t="s">
        <v>24</v>
      </c>
      <c r="G2420" t="s">
        <v>79</v>
      </c>
      <c r="H2420" t="s">
        <v>39</v>
      </c>
      <c r="I2420" t="s">
        <v>48</v>
      </c>
      <c r="J2420" s="11">
        <v>45984</v>
      </c>
      <c r="K2420" t="str">
        <f>TEXT(Transactions_Clean[[#This Row],[Date]],"MMM-YYYY")</f>
        <v>Nov-2025</v>
      </c>
      <c r="L2420">
        <f>IF(Transactions_Clean[[#This Row],[Category]]="Revenue",Transactions_Clean[[#This Row],[Amount(₹)]],Transactions_Clean[[#This Row],[Amount(₹)]]/8)</f>
        <v>-4598.375</v>
      </c>
    </row>
    <row r="2421" spans="1:12">
      <c r="A2421" t="s">
        <v>3733</v>
      </c>
      <c r="B2421" t="s">
        <v>212</v>
      </c>
      <c r="C2421" t="s">
        <v>73</v>
      </c>
      <c r="D2421">
        <v>-11129</v>
      </c>
      <c r="E2421" t="s">
        <v>74</v>
      </c>
      <c r="F2421" t="s">
        <v>32</v>
      </c>
      <c r="G2421" t="s">
        <v>25</v>
      </c>
      <c r="H2421" t="s">
        <v>45</v>
      </c>
      <c r="I2421" t="s">
        <v>27</v>
      </c>
      <c r="J2421" s="11">
        <v>45727</v>
      </c>
      <c r="K2421" t="str">
        <f>TEXT(Transactions_Clean[[#This Row],[Date]],"MMM-YYYY")</f>
        <v>Mar-2025</v>
      </c>
      <c r="L2421">
        <f>IF(Transactions_Clean[[#This Row],[Category]]="Revenue",Transactions_Clean[[#This Row],[Amount(₹)]],Transactions_Clean[[#This Row],[Amount(₹)]]/8)</f>
        <v>-1391.125</v>
      </c>
    </row>
    <row r="2422" spans="1:12">
      <c r="A2422" t="s">
        <v>3734</v>
      </c>
      <c r="B2422" t="s">
        <v>116</v>
      </c>
      <c r="C2422" t="s">
        <v>73</v>
      </c>
      <c r="D2422">
        <v>-44234</v>
      </c>
      <c r="E2422" t="s">
        <v>74</v>
      </c>
      <c r="F2422" t="s">
        <v>24</v>
      </c>
      <c r="G2422" t="s">
        <v>25</v>
      </c>
      <c r="H2422" t="s">
        <v>45</v>
      </c>
      <c r="I2422" t="s">
        <v>40</v>
      </c>
      <c r="J2422" s="11">
        <v>45564</v>
      </c>
      <c r="K2422" t="str">
        <f>TEXT(Transactions_Clean[[#This Row],[Date]],"MMM-YYYY")</f>
        <v>Sep-2024</v>
      </c>
      <c r="L2422">
        <f>IF(Transactions_Clean[[#This Row],[Category]]="Revenue",Transactions_Clean[[#This Row],[Amount(₹)]],Transactions_Clean[[#This Row],[Amount(₹)]]/8)</f>
        <v>-5529.25</v>
      </c>
    </row>
    <row r="2423" spans="1:12">
      <c r="A2423" t="s">
        <v>3736</v>
      </c>
      <c r="B2423" t="s">
        <v>4773</v>
      </c>
      <c r="C2423" t="s">
        <v>157</v>
      </c>
      <c r="D2423">
        <v>550856</v>
      </c>
      <c r="E2423" t="s">
        <v>62</v>
      </c>
      <c r="F2423" t="s">
        <v>32</v>
      </c>
      <c r="G2423" t="s">
        <v>25</v>
      </c>
      <c r="H2423" t="s">
        <v>26</v>
      </c>
      <c r="I2423" t="s">
        <v>40</v>
      </c>
      <c r="J2423" s="11">
        <v>45134</v>
      </c>
      <c r="K2423" t="str">
        <f>TEXT(Transactions_Clean[[#This Row],[Date]],"MMM-YYYY")</f>
        <v>Jul-2023</v>
      </c>
      <c r="L2423">
        <f>IF(Transactions_Clean[[#This Row],[Category]]="Revenue",Transactions_Clean[[#This Row],[Amount(₹)]],Transactions_Clean[[#This Row],[Amount(₹)]]/8)</f>
        <v>550856</v>
      </c>
    </row>
    <row r="2424" spans="1:12">
      <c r="A2424" t="s">
        <v>3737</v>
      </c>
      <c r="B2424" t="s">
        <v>106</v>
      </c>
      <c r="C2424" t="s">
        <v>31</v>
      </c>
      <c r="D2424">
        <v>-4723</v>
      </c>
      <c r="E2424" t="s">
        <v>23</v>
      </c>
      <c r="F2424" t="s">
        <v>32</v>
      </c>
      <c r="G2424" t="s">
        <v>33</v>
      </c>
      <c r="H2424" t="s">
        <v>45</v>
      </c>
      <c r="I2424" t="s">
        <v>34</v>
      </c>
      <c r="J2424" s="11">
        <v>45388</v>
      </c>
      <c r="K2424" t="str">
        <f>TEXT(Transactions_Clean[[#This Row],[Date]],"MMM-YYYY")</f>
        <v>Apr-2024</v>
      </c>
      <c r="L2424">
        <f>IF(Transactions_Clean[[#This Row],[Category]]="Revenue",Transactions_Clean[[#This Row],[Amount(₹)]],Transactions_Clean[[#This Row],[Amount(₹)]]/8)</f>
        <v>-590.375</v>
      </c>
    </row>
    <row r="2425" spans="1:12">
      <c r="A2425" t="s">
        <v>3738</v>
      </c>
      <c r="B2425" t="s">
        <v>4749</v>
      </c>
      <c r="C2425" t="s">
        <v>44</v>
      </c>
      <c r="D2425">
        <v>-105169</v>
      </c>
      <c r="E2425" t="s">
        <v>23</v>
      </c>
      <c r="F2425" t="s">
        <v>24</v>
      </c>
      <c r="G2425" t="s">
        <v>33</v>
      </c>
      <c r="H2425" t="s">
        <v>39</v>
      </c>
      <c r="I2425" t="s">
        <v>34</v>
      </c>
      <c r="J2425" s="11">
        <v>45771</v>
      </c>
      <c r="K2425" t="str">
        <f>TEXT(Transactions_Clean[[#This Row],[Date]],"MMM-YYYY")</f>
        <v>Apr-2025</v>
      </c>
      <c r="L2425">
        <f>IF(Transactions_Clean[[#This Row],[Category]]="Revenue",Transactions_Clean[[#This Row],[Amount(₹)]],Transactions_Clean[[#This Row],[Amount(₹)]]/8)</f>
        <v>-13146.125</v>
      </c>
    </row>
    <row r="2426" spans="1:12">
      <c r="A2426" t="s">
        <v>3739</v>
      </c>
      <c r="B2426" t="s">
        <v>224</v>
      </c>
      <c r="C2426" t="s">
        <v>78</v>
      </c>
      <c r="D2426">
        <v>-43879</v>
      </c>
      <c r="E2426" t="s">
        <v>23</v>
      </c>
      <c r="F2426" t="s">
        <v>32</v>
      </c>
      <c r="G2426" t="s">
        <v>79</v>
      </c>
      <c r="H2426" t="s">
        <v>45</v>
      </c>
      <c r="I2426" t="s">
        <v>34</v>
      </c>
      <c r="J2426" s="11">
        <v>45571</v>
      </c>
      <c r="K2426" t="str">
        <f>TEXT(Transactions_Clean[[#This Row],[Date]],"MMM-YYYY")</f>
        <v>Oct-2024</v>
      </c>
      <c r="L2426">
        <f>IF(Transactions_Clean[[#This Row],[Category]]="Revenue",Transactions_Clean[[#This Row],[Amount(₹)]],Transactions_Clean[[#This Row],[Amount(₹)]]/8)</f>
        <v>-5484.875</v>
      </c>
    </row>
    <row r="2427" spans="1:12">
      <c r="A2427" t="s">
        <v>3741</v>
      </c>
      <c r="B2427" t="s">
        <v>687</v>
      </c>
      <c r="C2427" t="s">
        <v>44</v>
      </c>
      <c r="D2427">
        <v>-151376</v>
      </c>
      <c r="E2427" t="s">
        <v>23</v>
      </c>
      <c r="F2427" t="s">
        <v>32</v>
      </c>
      <c r="G2427" t="s">
        <v>33</v>
      </c>
      <c r="H2427" t="s">
        <v>26</v>
      </c>
      <c r="I2427" t="s">
        <v>34</v>
      </c>
      <c r="J2427" s="11">
        <v>45102</v>
      </c>
      <c r="K2427" t="str">
        <f>TEXT(Transactions_Clean[[#This Row],[Date]],"MMM-YYYY")</f>
        <v>Jun-2023</v>
      </c>
      <c r="L2427">
        <f>IF(Transactions_Clean[[#This Row],[Category]]="Revenue",Transactions_Clean[[#This Row],[Amount(₹)]],Transactions_Clean[[#This Row],[Amount(₹)]]/8)</f>
        <v>-18922</v>
      </c>
    </row>
    <row r="2428" spans="1:12">
      <c r="A2428" t="s">
        <v>3742</v>
      </c>
      <c r="B2428" t="s">
        <v>30</v>
      </c>
      <c r="C2428" t="s">
        <v>31</v>
      </c>
      <c r="D2428">
        <v>-8670</v>
      </c>
      <c r="E2428" t="s">
        <v>23</v>
      </c>
      <c r="F2428" t="s">
        <v>24</v>
      </c>
      <c r="G2428" t="s">
        <v>33</v>
      </c>
      <c r="H2428" t="s">
        <v>39</v>
      </c>
      <c r="I2428" t="s">
        <v>27</v>
      </c>
      <c r="J2428" s="11">
        <v>46035</v>
      </c>
      <c r="K2428" t="str">
        <f>TEXT(Transactions_Clean[[#This Row],[Date]],"MMM-YYYY")</f>
        <v>Jan-2026</v>
      </c>
      <c r="L2428">
        <f>IF(Transactions_Clean[[#This Row],[Category]]="Revenue",Transactions_Clean[[#This Row],[Amount(₹)]],Transactions_Clean[[#This Row],[Amount(₹)]]/8)</f>
        <v>-1083.75</v>
      </c>
    </row>
    <row r="2429" spans="1:12">
      <c r="A2429" t="s">
        <v>3743</v>
      </c>
      <c r="B2429" t="s">
        <v>4754</v>
      </c>
      <c r="C2429" t="s">
        <v>78</v>
      </c>
      <c r="D2429">
        <v>-85739</v>
      </c>
      <c r="E2429" t="s">
        <v>23</v>
      </c>
      <c r="F2429" t="s">
        <v>24</v>
      </c>
      <c r="G2429" t="s">
        <v>79</v>
      </c>
      <c r="H2429" t="s">
        <v>39</v>
      </c>
      <c r="I2429" t="s">
        <v>27</v>
      </c>
      <c r="J2429" s="11">
        <v>46079</v>
      </c>
      <c r="K2429" t="str">
        <f>TEXT(Transactions_Clean[[#This Row],[Date]],"MMM-YYYY")</f>
        <v>Feb-2026</v>
      </c>
      <c r="L2429">
        <f>IF(Transactions_Clean[[#This Row],[Category]]="Revenue",Transactions_Clean[[#This Row],[Amount(₹)]],Transactions_Clean[[#This Row],[Amount(₹)]]/8)</f>
        <v>-10717.375</v>
      </c>
    </row>
    <row r="2430" spans="1:12">
      <c r="A2430" t="s">
        <v>3744</v>
      </c>
      <c r="B2430" t="s">
        <v>180</v>
      </c>
      <c r="C2430" t="s">
        <v>44</v>
      </c>
      <c r="D2430">
        <v>-132548</v>
      </c>
      <c r="E2430" t="s">
        <v>23</v>
      </c>
      <c r="F2430" t="s">
        <v>24</v>
      </c>
      <c r="G2430" t="s">
        <v>33</v>
      </c>
      <c r="H2430" t="s">
        <v>45</v>
      </c>
      <c r="I2430" t="s">
        <v>27</v>
      </c>
      <c r="J2430" s="11">
        <v>45744</v>
      </c>
      <c r="K2430" t="str">
        <f>TEXT(Transactions_Clean[[#This Row],[Date]],"MMM-YYYY")</f>
        <v>Mar-2025</v>
      </c>
      <c r="L2430">
        <f>IF(Transactions_Clean[[#This Row],[Category]]="Revenue",Transactions_Clean[[#This Row],[Amount(₹)]],Transactions_Clean[[#This Row],[Amount(₹)]]/8)</f>
        <v>-16568.5</v>
      </c>
    </row>
    <row r="2431" spans="1:12">
      <c r="A2431" t="s">
        <v>3745</v>
      </c>
      <c r="B2431" t="s">
        <v>4774</v>
      </c>
      <c r="C2431" t="s">
        <v>440</v>
      </c>
      <c r="D2431">
        <v>-130155</v>
      </c>
      <c r="E2431" t="s">
        <v>23</v>
      </c>
      <c r="F2431" t="s">
        <v>32</v>
      </c>
      <c r="G2431" t="s">
        <v>33</v>
      </c>
      <c r="H2431" t="s">
        <v>39</v>
      </c>
      <c r="I2431" t="s">
        <v>48</v>
      </c>
      <c r="J2431" s="11">
        <v>45987</v>
      </c>
      <c r="K2431" t="str">
        <f>TEXT(Transactions_Clean[[#This Row],[Date]],"MMM-YYYY")</f>
        <v>Nov-2025</v>
      </c>
      <c r="L2431">
        <f>IF(Transactions_Clean[[#This Row],[Category]]="Revenue",Transactions_Clean[[#This Row],[Amount(₹)]],Transactions_Clean[[#This Row],[Amount(₹)]]/8)</f>
        <v>-16269.375</v>
      </c>
    </row>
    <row r="2432" spans="1:12">
      <c r="A2432" t="s">
        <v>3747</v>
      </c>
      <c r="B2432" t="s">
        <v>215</v>
      </c>
      <c r="C2432" t="s">
        <v>61</v>
      </c>
      <c r="D2432">
        <v>-12930</v>
      </c>
      <c r="E2432" t="s">
        <v>62</v>
      </c>
      <c r="F2432" t="s">
        <v>32</v>
      </c>
      <c r="G2432" t="s">
        <v>63</v>
      </c>
      <c r="H2432" t="s">
        <v>26</v>
      </c>
      <c r="I2432" t="s">
        <v>27</v>
      </c>
      <c r="J2432" s="11">
        <v>45315</v>
      </c>
      <c r="K2432" t="str">
        <f>TEXT(Transactions_Clean[[#This Row],[Date]],"MMM-YYYY")</f>
        <v>Jan-2024</v>
      </c>
      <c r="L2432">
        <f>IF(Transactions_Clean[[#This Row],[Category]]="Revenue",Transactions_Clean[[#This Row],[Amount(₹)]],Transactions_Clean[[#This Row],[Amount(₹)]]/8)</f>
        <v>-1616.25</v>
      </c>
    </row>
    <row r="2433" spans="1:12">
      <c r="A2433" t="s">
        <v>3748</v>
      </c>
      <c r="B2433" t="s">
        <v>37</v>
      </c>
      <c r="C2433" t="s">
        <v>38</v>
      </c>
      <c r="D2433">
        <v>-34426</v>
      </c>
      <c r="E2433" t="s">
        <v>23</v>
      </c>
      <c r="F2433" t="s">
        <v>24</v>
      </c>
      <c r="G2433" t="s">
        <v>33</v>
      </c>
      <c r="H2433" t="s">
        <v>39</v>
      </c>
      <c r="I2433" t="s">
        <v>27</v>
      </c>
      <c r="J2433" s="11">
        <v>46107</v>
      </c>
      <c r="K2433" t="str">
        <f>TEXT(Transactions_Clean[[#This Row],[Date]],"MMM-YYYY")</f>
        <v>Mar-2026</v>
      </c>
      <c r="L2433">
        <f>IF(Transactions_Clean[[#This Row],[Category]]="Revenue",Transactions_Clean[[#This Row],[Amount(₹)]],Transactions_Clean[[#This Row],[Amount(₹)]]/8)</f>
        <v>-4303.25</v>
      </c>
    </row>
    <row r="2434" spans="1:12">
      <c r="A2434" t="s">
        <v>3749</v>
      </c>
      <c r="B2434" t="s">
        <v>4748</v>
      </c>
      <c r="C2434" t="s">
        <v>22</v>
      </c>
      <c r="D2434">
        <v>-168123</v>
      </c>
      <c r="E2434" t="s">
        <v>23</v>
      </c>
      <c r="F2434" t="s">
        <v>32</v>
      </c>
      <c r="G2434" t="s">
        <v>25</v>
      </c>
      <c r="H2434" t="s">
        <v>26</v>
      </c>
      <c r="I2434" t="s">
        <v>48</v>
      </c>
      <c r="J2434" s="11">
        <v>45217</v>
      </c>
      <c r="K2434" t="str">
        <f>TEXT(Transactions_Clean[[#This Row],[Date]],"MMM-YYYY")</f>
        <v>Oct-2023</v>
      </c>
      <c r="L2434">
        <f>IF(Transactions_Clean[[#This Row],[Category]]="Revenue",Transactions_Clean[[#This Row],[Amount(₹)]],Transactions_Clean[[#This Row],[Amount(₹)]]/8)</f>
        <v>-21015.375</v>
      </c>
    </row>
    <row r="2435" spans="1:12">
      <c r="A2435" t="s">
        <v>3751</v>
      </c>
      <c r="B2435" t="s">
        <v>180</v>
      </c>
      <c r="C2435" t="s">
        <v>44</v>
      </c>
      <c r="D2435">
        <v>-99303</v>
      </c>
      <c r="E2435" t="s">
        <v>23</v>
      </c>
      <c r="F2435" t="s">
        <v>24</v>
      </c>
      <c r="G2435" t="s">
        <v>33</v>
      </c>
      <c r="H2435" t="s">
        <v>45</v>
      </c>
      <c r="I2435" t="s">
        <v>27</v>
      </c>
      <c r="J2435" s="11">
        <v>45724</v>
      </c>
      <c r="K2435" t="str">
        <f>TEXT(Transactions_Clean[[#This Row],[Date]],"MMM-YYYY")</f>
        <v>Mar-2025</v>
      </c>
      <c r="L2435">
        <f>IF(Transactions_Clean[[#This Row],[Category]]="Revenue",Transactions_Clean[[#This Row],[Amount(₹)]],Transactions_Clean[[#This Row],[Amount(₹)]]/8)</f>
        <v>-12412.875</v>
      </c>
    </row>
    <row r="2436" spans="1:12">
      <c r="A2436" t="s">
        <v>3752</v>
      </c>
      <c r="B2436" t="s">
        <v>212</v>
      </c>
      <c r="C2436" t="s">
        <v>73</v>
      </c>
      <c r="D2436">
        <v>-78806</v>
      </c>
      <c r="E2436" t="s">
        <v>74</v>
      </c>
      <c r="F2436" t="s">
        <v>32</v>
      </c>
      <c r="G2436" t="s">
        <v>25</v>
      </c>
      <c r="H2436" t="s">
        <v>45</v>
      </c>
      <c r="I2436" t="s">
        <v>27</v>
      </c>
      <c r="J2436" s="11">
        <v>45709</v>
      </c>
      <c r="K2436" t="str">
        <f>TEXT(Transactions_Clean[[#This Row],[Date]],"MMM-YYYY")</f>
        <v>Feb-2025</v>
      </c>
      <c r="L2436">
        <f>IF(Transactions_Clean[[#This Row],[Category]]="Revenue",Transactions_Clean[[#This Row],[Amount(₹)]],Transactions_Clean[[#This Row],[Amount(₹)]]/8)</f>
        <v>-9850.75</v>
      </c>
    </row>
    <row r="2437" spans="1:12">
      <c r="A2437" t="s">
        <v>3753</v>
      </c>
      <c r="B2437" t="s">
        <v>4762</v>
      </c>
      <c r="C2437" t="s">
        <v>157</v>
      </c>
      <c r="D2437">
        <v>628245</v>
      </c>
      <c r="E2437" t="s">
        <v>62</v>
      </c>
      <c r="F2437" t="s">
        <v>32</v>
      </c>
      <c r="G2437" t="s">
        <v>25</v>
      </c>
      <c r="H2437" t="s">
        <v>45</v>
      </c>
      <c r="I2437" t="s">
        <v>27</v>
      </c>
      <c r="J2437" s="11">
        <v>45743</v>
      </c>
      <c r="K2437" t="str">
        <f>TEXT(Transactions_Clean[[#This Row],[Date]],"MMM-YYYY")</f>
        <v>Mar-2025</v>
      </c>
      <c r="L2437">
        <f>IF(Transactions_Clean[[#This Row],[Category]]="Revenue",Transactions_Clean[[#This Row],[Amount(₹)]],Transactions_Clean[[#This Row],[Amount(₹)]]/8)</f>
        <v>628245</v>
      </c>
    </row>
    <row r="2438" spans="1:12">
      <c r="A2438" t="s">
        <v>3754</v>
      </c>
      <c r="B2438" t="s">
        <v>106</v>
      </c>
      <c r="C2438" t="s">
        <v>4750</v>
      </c>
      <c r="D2438">
        <v>-6638</v>
      </c>
      <c r="E2438" t="s">
        <v>23</v>
      </c>
      <c r="F2438" t="s">
        <v>24</v>
      </c>
      <c r="G2438" t="s">
        <v>33</v>
      </c>
      <c r="H2438" t="s">
        <v>26</v>
      </c>
      <c r="I2438" t="s">
        <v>34</v>
      </c>
      <c r="J2438" s="11">
        <v>45079</v>
      </c>
      <c r="K2438" t="str">
        <f>TEXT(Transactions_Clean[[#This Row],[Date]],"MMM-YYYY")</f>
        <v>Jun-2023</v>
      </c>
      <c r="L2438">
        <f>IF(Transactions_Clean[[#This Row],[Category]]="Revenue",Transactions_Clean[[#This Row],[Amount(₹)]],Transactions_Clean[[#This Row],[Amount(₹)]]/8)</f>
        <v>-829.75</v>
      </c>
    </row>
    <row r="2439" spans="1:12">
      <c r="A2439" t="s">
        <v>3755</v>
      </c>
      <c r="B2439" t="s">
        <v>4768</v>
      </c>
      <c r="C2439" t="s">
        <v>157</v>
      </c>
      <c r="D2439">
        <v>646287</v>
      </c>
      <c r="E2439" t="s">
        <v>62</v>
      </c>
      <c r="F2439" t="s">
        <v>32</v>
      </c>
      <c r="G2439" t="s">
        <v>25</v>
      </c>
      <c r="H2439" t="s">
        <v>45</v>
      </c>
      <c r="I2439" t="s">
        <v>27</v>
      </c>
      <c r="J2439" s="11">
        <v>45708</v>
      </c>
      <c r="K2439" t="str">
        <f>TEXT(Transactions_Clean[[#This Row],[Date]],"MMM-YYYY")</f>
        <v>Feb-2025</v>
      </c>
      <c r="L2439">
        <f>IF(Transactions_Clean[[#This Row],[Category]]="Revenue",Transactions_Clean[[#This Row],[Amount(₹)]],Transactions_Clean[[#This Row],[Amount(₹)]]/8)</f>
        <v>646287</v>
      </c>
    </row>
    <row r="2440" spans="1:12">
      <c r="A2440" t="s">
        <v>3756</v>
      </c>
      <c r="B2440" t="s">
        <v>51</v>
      </c>
      <c r="C2440" t="s">
        <v>31</v>
      </c>
      <c r="D2440">
        <v>-10535</v>
      </c>
      <c r="E2440" t="s">
        <v>23</v>
      </c>
      <c r="F2440" t="s">
        <v>24</v>
      </c>
      <c r="G2440" t="s">
        <v>33</v>
      </c>
      <c r="H2440" t="s">
        <v>39</v>
      </c>
      <c r="I2440" t="s">
        <v>48</v>
      </c>
      <c r="J2440" s="11">
        <v>45935</v>
      </c>
      <c r="K2440" t="str">
        <f>TEXT(Transactions_Clean[[#This Row],[Date]],"MMM-YYYY")</f>
        <v>Oct-2025</v>
      </c>
      <c r="L2440">
        <f>IF(Transactions_Clean[[#This Row],[Category]]="Revenue",Transactions_Clean[[#This Row],[Amount(₹)]],Transactions_Clean[[#This Row],[Amount(₹)]]/8)</f>
        <v>-1316.875</v>
      </c>
    </row>
    <row r="2441" spans="1:12">
      <c r="A2441" t="s">
        <v>3757</v>
      </c>
      <c r="B2441" t="s">
        <v>4749</v>
      </c>
      <c r="C2441" t="s">
        <v>44</v>
      </c>
      <c r="D2441">
        <v>-168025</v>
      </c>
      <c r="E2441" t="s">
        <v>23</v>
      </c>
      <c r="F2441" t="s">
        <v>24</v>
      </c>
      <c r="G2441" t="s">
        <v>33</v>
      </c>
      <c r="H2441" t="s">
        <v>45</v>
      </c>
      <c r="I2441" t="s">
        <v>48</v>
      </c>
      <c r="J2441" s="11">
        <v>45649</v>
      </c>
      <c r="K2441" t="str">
        <f>TEXT(Transactions_Clean[[#This Row],[Date]],"MMM-YYYY")</f>
        <v>Dec-2024</v>
      </c>
      <c r="L2441">
        <f>IF(Transactions_Clean[[#This Row],[Category]]="Revenue",Transactions_Clean[[#This Row],[Amount(₹)]],Transactions_Clean[[#This Row],[Amount(₹)]]/8)</f>
        <v>-21003.125</v>
      </c>
    </row>
    <row r="2442" spans="1:12">
      <c r="A2442" t="s">
        <v>3758</v>
      </c>
      <c r="B2442" t="s">
        <v>4759</v>
      </c>
      <c r="C2442" t="s">
        <v>31</v>
      </c>
      <c r="D2442">
        <v>-23360</v>
      </c>
      <c r="E2442" t="s">
        <v>23</v>
      </c>
      <c r="F2442" t="s">
        <v>24</v>
      </c>
      <c r="G2442" t="s">
        <v>33</v>
      </c>
      <c r="H2442" t="s">
        <v>45</v>
      </c>
      <c r="I2442" t="s">
        <v>40</v>
      </c>
      <c r="J2442" s="11">
        <v>45539</v>
      </c>
      <c r="K2442" t="str">
        <f>TEXT(Transactions_Clean[[#This Row],[Date]],"MMM-YYYY")</f>
        <v>Sep-2024</v>
      </c>
      <c r="L2442">
        <f>IF(Transactions_Clean[[#This Row],[Category]]="Revenue",Transactions_Clean[[#This Row],[Amount(₹)]],Transactions_Clean[[#This Row],[Amount(₹)]]/8)</f>
        <v>-2920</v>
      </c>
    </row>
    <row r="2443" spans="1:12">
      <c r="A2443" t="s">
        <v>3760</v>
      </c>
      <c r="B2443" t="s">
        <v>310</v>
      </c>
      <c r="C2443" t="s">
        <v>22</v>
      </c>
      <c r="D2443">
        <v>-140797</v>
      </c>
      <c r="E2443" t="s">
        <v>23</v>
      </c>
      <c r="F2443" t="s">
        <v>24</v>
      </c>
      <c r="G2443" t="s">
        <v>25</v>
      </c>
      <c r="H2443" t="s">
        <v>45</v>
      </c>
      <c r="I2443" t="s">
        <v>40</v>
      </c>
      <c r="J2443" s="11">
        <v>45489</v>
      </c>
      <c r="K2443" t="str">
        <f>TEXT(Transactions_Clean[[#This Row],[Date]],"MMM-YYYY")</f>
        <v>Jul-2024</v>
      </c>
      <c r="L2443">
        <f>IF(Transactions_Clean[[#This Row],[Category]]="Revenue",Transactions_Clean[[#This Row],[Amount(₹)]],Transactions_Clean[[#This Row],[Amount(₹)]]/8)</f>
        <v>-17599.625</v>
      </c>
    </row>
    <row r="2444" spans="1:12">
      <c r="A2444" t="s">
        <v>3762</v>
      </c>
      <c r="B2444" t="s">
        <v>66</v>
      </c>
      <c r="C2444" t="s">
        <v>61</v>
      </c>
      <c r="D2444">
        <v>-34485</v>
      </c>
      <c r="E2444" t="s">
        <v>62</v>
      </c>
      <c r="F2444" t="s">
        <v>24</v>
      </c>
      <c r="G2444" t="s">
        <v>63</v>
      </c>
      <c r="H2444" t="s">
        <v>26</v>
      </c>
      <c r="I2444" t="s">
        <v>48</v>
      </c>
      <c r="J2444" s="11">
        <v>45242</v>
      </c>
      <c r="K2444" t="str">
        <f>TEXT(Transactions_Clean[[#This Row],[Date]],"MMM-YYYY")</f>
        <v>Nov-2023</v>
      </c>
      <c r="L2444">
        <f>IF(Transactions_Clean[[#This Row],[Category]]="Revenue",Transactions_Clean[[#This Row],[Amount(₹)]],Transactions_Clean[[#This Row],[Amount(₹)]]/8)</f>
        <v>-4310.625</v>
      </c>
    </row>
    <row r="2445" spans="1:12">
      <c r="A2445" t="s">
        <v>3763</v>
      </c>
      <c r="B2445" t="s">
        <v>177</v>
      </c>
      <c r="C2445" t="s">
        <v>4750</v>
      </c>
      <c r="D2445">
        <v>-96785</v>
      </c>
      <c r="E2445" t="s">
        <v>23</v>
      </c>
      <c r="F2445" t="s">
        <v>32</v>
      </c>
      <c r="G2445" t="s">
        <v>79</v>
      </c>
      <c r="H2445" t="s">
        <v>26</v>
      </c>
      <c r="I2445" t="s">
        <v>48</v>
      </c>
      <c r="J2445" s="11">
        <v>45253</v>
      </c>
      <c r="K2445" t="str">
        <f>TEXT(Transactions_Clean[[#This Row],[Date]],"MMM-YYYY")</f>
        <v>Nov-2023</v>
      </c>
      <c r="L2445">
        <f>IF(Transactions_Clean[[#This Row],[Category]]="Revenue",Transactions_Clean[[#This Row],[Amount(₹)]],Transactions_Clean[[#This Row],[Amount(₹)]]/8)</f>
        <v>-12098.125</v>
      </c>
    </row>
    <row r="2446" spans="1:12">
      <c r="A2446" t="s">
        <v>3764</v>
      </c>
      <c r="B2446" t="s">
        <v>4760</v>
      </c>
      <c r="C2446" t="s">
        <v>73</v>
      </c>
      <c r="D2446">
        <v>-87410</v>
      </c>
      <c r="E2446" t="s">
        <v>74</v>
      </c>
      <c r="F2446" t="s">
        <v>24</v>
      </c>
      <c r="G2446" t="s">
        <v>25</v>
      </c>
      <c r="H2446" t="s">
        <v>45</v>
      </c>
      <c r="I2446" t="s">
        <v>34</v>
      </c>
      <c r="J2446" s="11">
        <v>45420</v>
      </c>
      <c r="K2446" t="str">
        <f>TEXT(Transactions_Clean[[#This Row],[Date]],"MMM-YYYY")</f>
        <v>May-2024</v>
      </c>
      <c r="L2446">
        <f>IF(Transactions_Clean[[#This Row],[Category]]="Revenue",Transactions_Clean[[#This Row],[Amount(₹)]],Transactions_Clean[[#This Row],[Amount(₹)]]/8)</f>
        <v>-10926.25</v>
      </c>
    </row>
    <row r="2447" spans="1:12">
      <c r="A2447" t="s">
        <v>3766</v>
      </c>
      <c r="B2447" t="s">
        <v>345</v>
      </c>
      <c r="C2447" t="s">
        <v>22</v>
      </c>
      <c r="D2447">
        <v>-134669</v>
      </c>
      <c r="E2447" t="s">
        <v>23</v>
      </c>
      <c r="F2447" t="s">
        <v>32</v>
      </c>
      <c r="G2447" t="s">
        <v>25</v>
      </c>
      <c r="H2447" t="s">
        <v>45</v>
      </c>
      <c r="I2447" t="s">
        <v>27</v>
      </c>
      <c r="J2447" s="11">
        <v>45701</v>
      </c>
      <c r="K2447" t="str">
        <f>TEXT(Transactions_Clean[[#This Row],[Date]],"MMM-YYYY")</f>
        <v>Feb-2025</v>
      </c>
      <c r="L2447">
        <f>IF(Transactions_Clean[[#This Row],[Category]]="Revenue",Transactions_Clean[[#This Row],[Amount(₹)]],Transactions_Clean[[#This Row],[Amount(₹)]]/8)</f>
        <v>-16833.625</v>
      </c>
    </row>
    <row r="2448" spans="1:12">
      <c r="A2448" t="s">
        <v>3767</v>
      </c>
      <c r="B2448" t="s">
        <v>4774</v>
      </c>
      <c r="C2448" t="s">
        <v>440</v>
      </c>
      <c r="D2448">
        <v>-122318</v>
      </c>
      <c r="E2448" t="s">
        <v>23</v>
      </c>
      <c r="F2448" t="s">
        <v>32</v>
      </c>
      <c r="G2448" t="s">
        <v>33</v>
      </c>
      <c r="H2448" t="s">
        <v>45</v>
      </c>
      <c r="I2448" t="s">
        <v>34</v>
      </c>
      <c r="J2448" s="11">
        <v>45433</v>
      </c>
      <c r="K2448" t="str">
        <f>TEXT(Transactions_Clean[[#This Row],[Date]],"MMM-YYYY")</f>
        <v>May-2024</v>
      </c>
      <c r="L2448">
        <f>IF(Transactions_Clean[[#This Row],[Category]]="Revenue",Transactions_Clean[[#This Row],[Amount(₹)]],Transactions_Clean[[#This Row],[Amount(₹)]]/8)</f>
        <v>-15289.75</v>
      </c>
    </row>
    <row r="2449" spans="1:12">
      <c r="A2449" t="s">
        <v>3768</v>
      </c>
      <c r="B2449" t="s">
        <v>106</v>
      </c>
      <c r="C2449" t="s">
        <v>31</v>
      </c>
      <c r="D2449">
        <v>-19679</v>
      </c>
      <c r="E2449" t="s">
        <v>23</v>
      </c>
      <c r="F2449" t="s">
        <v>24</v>
      </c>
      <c r="G2449" t="s">
        <v>33</v>
      </c>
      <c r="H2449" t="s">
        <v>45</v>
      </c>
      <c r="I2449" t="s">
        <v>27</v>
      </c>
      <c r="J2449" s="11">
        <v>45739</v>
      </c>
      <c r="K2449" t="str">
        <f>TEXT(Transactions_Clean[[#This Row],[Date]],"MMM-YYYY")</f>
        <v>Mar-2025</v>
      </c>
      <c r="L2449">
        <f>IF(Transactions_Clean[[#This Row],[Category]]="Revenue",Transactions_Clean[[#This Row],[Amount(₹)]],Transactions_Clean[[#This Row],[Amount(₹)]]/8)</f>
        <v>-2459.875</v>
      </c>
    </row>
    <row r="2450" spans="1:12">
      <c r="A2450" t="s">
        <v>3769</v>
      </c>
      <c r="B2450" t="s">
        <v>4752</v>
      </c>
      <c r="C2450" t="s">
        <v>44</v>
      </c>
      <c r="D2450">
        <v>-37127</v>
      </c>
      <c r="E2450" t="s">
        <v>23</v>
      </c>
      <c r="F2450" t="s">
        <v>24</v>
      </c>
      <c r="G2450" t="s">
        <v>33</v>
      </c>
      <c r="H2450" t="s">
        <v>39</v>
      </c>
      <c r="I2450" t="s">
        <v>34</v>
      </c>
      <c r="J2450" s="11">
        <v>45837</v>
      </c>
      <c r="K2450" t="str">
        <f>TEXT(Transactions_Clean[[#This Row],[Date]],"MMM-YYYY")</f>
        <v>Jun-2025</v>
      </c>
      <c r="L2450">
        <f>IF(Transactions_Clean[[#This Row],[Category]]="Revenue",Transactions_Clean[[#This Row],[Amount(₹)]],Transactions_Clean[[#This Row],[Amount(₹)]]/8)</f>
        <v>-4640.875</v>
      </c>
    </row>
    <row r="2451" spans="1:12">
      <c r="A2451" t="s">
        <v>3770</v>
      </c>
      <c r="B2451" t="s">
        <v>687</v>
      </c>
      <c r="C2451" t="s">
        <v>4750</v>
      </c>
      <c r="D2451">
        <v>-52357</v>
      </c>
      <c r="E2451" t="s">
        <v>23</v>
      </c>
      <c r="F2451" t="s">
        <v>32</v>
      </c>
      <c r="G2451" t="s">
        <v>33</v>
      </c>
      <c r="H2451" t="s">
        <v>26</v>
      </c>
      <c r="I2451" t="s">
        <v>48</v>
      </c>
      <c r="J2451" s="11">
        <v>45265</v>
      </c>
      <c r="K2451" t="str">
        <f>TEXT(Transactions_Clean[[#This Row],[Date]],"MMM-YYYY")</f>
        <v>Dec-2023</v>
      </c>
      <c r="L2451">
        <f>IF(Transactions_Clean[[#This Row],[Category]]="Revenue",Transactions_Clean[[#This Row],[Amount(₹)]],Transactions_Clean[[#This Row],[Amount(₹)]]/8)</f>
        <v>-6544.625</v>
      </c>
    </row>
    <row r="2452" spans="1:12">
      <c r="A2452" t="s">
        <v>3771</v>
      </c>
      <c r="B2452" t="s">
        <v>60</v>
      </c>
      <c r="C2452" t="s">
        <v>4750</v>
      </c>
      <c r="D2452">
        <v>-12129</v>
      </c>
      <c r="E2452" t="s">
        <v>62</v>
      </c>
      <c r="F2452" t="s">
        <v>24</v>
      </c>
      <c r="G2452" t="s">
        <v>63</v>
      </c>
      <c r="H2452" t="s">
        <v>39</v>
      </c>
      <c r="I2452" t="s">
        <v>27</v>
      </c>
      <c r="J2452" s="11">
        <v>46024</v>
      </c>
      <c r="K2452" t="str">
        <f>TEXT(Transactions_Clean[[#This Row],[Date]],"MMM-YYYY")</f>
        <v>Jan-2026</v>
      </c>
      <c r="L2452">
        <f>IF(Transactions_Clean[[#This Row],[Category]]="Revenue",Transactions_Clean[[#This Row],[Amount(₹)]],Transactions_Clean[[#This Row],[Amount(₹)]]/8)</f>
        <v>-1516.125</v>
      </c>
    </row>
    <row r="2453" spans="1:12">
      <c r="A2453" t="s">
        <v>3772</v>
      </c>
      <c r="B2453" t="s">
        <v>345</v>
      </c>
      <c r="C2453" t="s">
        <v>22</v>
      </c>
      <c r="D2453">
        <v>-111089</v>
      </c>
      <c r="E2453" t="s">
        <v>23</v>
      </c>
      <c r="F2453" t="s">
        <v>24</v>
      </c>
      <c r="G2453" t="s">
        <v>25</v>
      </c>
      <c r="H2453" t="s">
        <v>26</v>
      </c>
      <c r="I2453" t="s">
        <v>48</v>
      </c>
      <c r="J2453" s="11">
        <v>45241</v>
      </c>
      <c r="K2453" t="str">
        <f>TEXT(Transactions_Clean[[#This Row],[Date]],"MMM-YYYY")</f>
        <v>Nov-2023</v>
      </c>
      <c r="L2453">
        <f>IF(Transactions_Clean[[#This Row],[Category]]="Revenue",Transactions_Clean[[#This Row],[Amount(₹)]],Transactions_Clean[[#This Row],[Amount(₹)]]/8)</f>
        <v>-13886.125</v>
      </c>
    </row>
    <row r="2454" spans="1:12">
      <c r="A2454" t="s">
        <v>3773</v>
      </c>
      <c r="B2454" t="s">
        <v>180</v>
      </c>
      <c r="C2454" t="s">
        <v>44</v>
      </c>
      <c r="D2454">
        <v>-159197</v>
      </c>
      <c r="E2454" t="s">
        <v>23</v>
      </c>
      <c r="F2454" t="s">
        <v>24</v>
      </c>
      <c r="G2454" t="s">
        <v>33</v>
      </c>
      <c r="H2454" t="s">
        <v>45</v>
      </c>
      <c r="I2454" t="s">
        <v>48</v>
      </c>
      <c r="J2454" s="11">
        <v>45617</v>
      </c>
      <c r="K2454" t="str">
        <f>TEXT(Transactions_Clean[[#This Row],[Date]],"MMM-YYYY")</f>
        <v>Nov-2024</v>
      </c>
      <c r="L2454">
        <f>IF(Transactions_Clean[[#This Row],[Category]]="Revenue",Transactions_Clean[[#This Row],[Amount(₹)]],Transactions_Clean[[#This Row],[Amount(₹)]]/8)</f>
        <v>-19899.625</v>
      </c>
    </row>
    <row r="2455" spans="1:12">
      <c r="A2455" t="s">
        <v>3775</v>
      </c>
      <c r="B2455" t="s">
        <v>66</v>
      </c>
      <c r="C2455" t="s">
        <v>61</v>
      </c>
      <c r="D2455">
        <v>-43508</v>
      </c>
      <c r="E2455" t="s">
        <v>62</v>
      </c>
      <c r="F2455" t="s">
        <v>24</v>
      </c>
      <c r="G2455" t="s">
        <v>63</v>
      </c>
      <c r="H2455" t="s">
        <v>45</v>
      </c>
      <c r="I2455" t="s">
        <v>48</v>
      </c>
      <c r="J2455" s="11">
        <v>45642</v>
      </c>
      <c r="K2455" t="str">
        <f>TEXT(Transactions_Clean[[#This Row],[Date]],"MMM-YYYY")</f>
        <v>Dec-2024</v>
      </c>
      <c r="L2455">
        <f>IF(Transactions_Clean[[#This Row],[Category]]="Revenue",Transactions_Clean[[#This Row],[Amount(₹)]],Transactions_Clean[[#This Row],[Amount(₹)]]/8)</f>
        <v>-5438.5</v>
      </c>
    </row>
    <row r="2456" spans="1:12">
      <c r="A2456" t="s">
        <v>3776</v>
      </c>
      <c r="B2456" t="s">
        <v>60</v>
      </c>
      <c r="C2456" t="s">
        <v>61</v>
      </c>
      <c r="D2456">
        <v>-46695</v>
      </c>
      <c r="E2456" t="s">
        <v>62</v>
      </c>
      <c r="F2456" t="s">
        <v>24</v>
      </c>
      <c r="G2456" t="s">
        <v>63</v>
      </c>
      <c r="H2456" t="s">
        <v>26</v>
      </c>
      <c r="I2456" t="s">
        <v>48</v>
      </c>
      <c r="J2456" s="11">
        <v>45270</v>
      </c>
      <c r="K2456" t="str">
        <f>TEXT(Transactions_Clean[[#This Row],[Date]],"MMM-YYYY")</f>
        <v>Dec-2023</v>
      </c>
      <c r="L2456">
        <f>IF(Transactions_Clean[[#This Row],[Category]]="Revenue",Transactions_Clean[[#This Row],[Amount(₹)]],Transactions_Clean[[#This Row],[Amount(₹)]]/8)</f>
        <v>-5836.875</v>
      </c>
    </row>
    <row r="2457" spans="1:12">
      <c r="A2457" t="s">
        <v>3777</v>
      </c>
      <c r="B2457" t="s">
        <v>202</v>
      </c>
      <c r="C2457" t="s">
        <v>22</v>
      </c>
      <c r="D2457">
        <v>-192088</v>
      </c>
      <c r="E2457" t="s">
        <v>23</v>
      </c>
      <c r="F2457" t="s">
        <v>32</v>
      </c>
      <c r="G2457" t="s">
        <v>25</v>
      </c>
      <c r="H2457" t="s">
        <v>26</v>
      </c>
      <c r="I2457" t="s">
        <v>40</v>
      </c>
      <c r="J2457" s="11">
        <v>45134</v>
      </c>
      <c r="K2457" t="str">
        <f>TEXT(Transactions_Clean[[#This Row],[Date]],"MMM-YYYY")</f>
        <v>Jul-2023</v>
      </c>
      <c r="L2457">
        <f>IF(Transactions_Clean[[#This Row],[Category]]="Revenue",Transactions_Clean[[#This Row],[Amount(₹)]],Transactions_Clean[[#This Row],[Amount(₹)]]/8)</f>
        <v>-24011</v>
      </c>
    </row>
    <row r="2458" spans="1:12">
      <c r="A2458" t="s">
        <v>3778</v>
      </c>
      <c r="B2458" t="s">
        <v>60</v>
      </c>
      <c r="C2458" t="s">
        <v>61</v>
      </c>
      <c r="D2458">
        <v>-54954</v>
      </c>
      <c r="E2458" t="s">
        <v>62</v>
      </c>
      <c r="F2458" t="s">
        <v>24</v>
      </c>
      <c r="G2458" t="s">
        <v>63</v>
      </c>
      <c r="H2458" t="s">
        <v>26</v>
      </c>
      <c r="I2458" t="s">
        <v>34</v>
      </c>
      <c r="J2458" s="11">
        <v>45032</v>
      </c>
      <c r="K2458" t="str">
        <f>TEXT(Transactions_Clean[[#This Row],[Date]],"MMM-YYYY")</f>
        <v>Apr-2023</v>
      </c>
      <c r="L2458">
        <f>IF(Transactions_Clean[[#This Row],[Category]]="Revenue",Transactions_Clean[[#This Row],[Amount(₹)]],Transactions_Clean[[#This Row],[Amount(₹)]]/8)</f>
        <v>-6869.25</v>
      </c>
    </row>
    <row r="2459" spans="1:12">
      <c r="A2459" t="s">
        <v>3779</v>
      </c>
      <c r="B2459" t="s">
        <v>212</v>
      </c>
      <c r="C2459" t="s">
        <v>73</v>
      </c>
      <c r="D2459">
        <v>-85780</v>
      </c>
      <c r="E2459" t="s">
        <v>74</v>
      </c>
      <c r="F2459" t="s">
        <v>24</v>
      </c>
      <c r="G2459" t="s">
        <v>25</v>
      </c>
      <c r="H2459" t="s">
        <v>39</v>
      </c>
      <c r="I2459" t="s">
        <v>48</v>
      </c>
      <c r="J2459" s="11">
        <v>45975</v>
      </c>
      <c r="K2459" t="str">
        <f>TEXT(Transactions_Clean[[#This Row],[Date]],"MMM-YYYY")</f>
        <v>Nov-2025</v>
      </c>
      <c r="L2459">
        <f>IF(Transactions_Clean[[#This Row],[Category]]="Revenue",Transactions_Clean[[#This Row],[Amount(₹)]],Transactions_Clean[[#This Row],[Amount(₹)]]/8)</f>
        <v>-10722.5</v>
      </c>
    </row>
    <row r="2460" spans="1:12">
      <c r="A2460" t="s">
        <v>3780</v>
      </c>
      <c r="B2460" t="s">
        <v>66</v>
      </c>
      <c r="C2460" t="s">
        <v>61</v>
      </c>
      <c r="D2460">
        <v>-55084</v>
      </c>
      <c r="E2460" t="s">
        <v>62</v>
      </c>
      <c r="F2460" t="s">
        <v>32</v>
      </c>
      <c r="G2460" t="s">
        <v>63</v>
      </c>
      <c r="H2460" t="s">
        <v>26</v>
      </c>
      <c r="I2460" t="s">
        <v>27</v>
      </c>
      <c r="J2460" s="11">
        <v>45372</v>
      </c>
      <c r="K2460" t="str">
        <f>TEXT(Transactions_Clean[[#This Row],[Date]],"MMM-YYYY")</f>
        <v>Mar-2024</v>
      </c>
      <c r="L2460">
        <f>IF(Transactions_Clean[[#This Row],[Category]]="Revenue",Transactions_Clean[[#This Row],[Amount(₹)]],Transactions_Clean[[#This Row],[Amount(₹)]]/8)</f>
        <v>-6885.5</v>
      </c>
    </row>
    <row r="2461" spans="1:12">
      <c r="A2461" t="s">
        <v>3782</v>
      </c>
      <c r="B2461" t="s">
        <v>60</v>
      </c>
      <c r="C2461" t="s">
        <v>61</v>
      </c>
      <c r="D2461">
        <v>-12182</v>
      </c>
      <c r="E2461" t="s">
        <v>62</v>
      </c>
      <c r="F2461" t="s">
        <v>32</v>
      </c>
      <c r="G2461" t="s">
        <v>63</v>
      </c>
      <c r="H2461" t="s">
        <v>39</v>
      </c>
      <c r="I2461" t="s">
        <v>40</v>
      </c>
      <c r="J2461" s="11">
        <v>45913</v>
      </c>
      <c r="K2461" t="str">
        <f>TEXT(Transactions_Clean[[#This Row],[Date]],"MMM-YYYY")</f>
        <v>Sep-2025</v>
      </c>
      <c r="L2461">
        <f>IF(Transactions_Clean[[#This Row],[Category]]="Revenue",Transactions_Clean[[#This Row],[Amount(₹)]],Transactions_Clean[[#This Row],[Amount(₹)]]/8)</f>
        <v>-1522.75</v>
      </c>
    </row>
    <row r="2462" spans="1:12">
      <c r="A2462" t="s">
        <v>3783</v>
      </c>
      <c r="B2462" t="s">
        <v>87</v>
      </c>
      <c r="C2462" t="s">
        <v>22</v>
      </c>
      <c r="D2462">
        <v>-56505</v>
      </c>
      <c r="E2462" t="s">
        <v>23</v>
      </c>
      <c r="F2462" t="s">
        <v>32</v>
      </c>
      <c r="G2462" t="s">
        <v>25</v>
      </c>
      <c r="H2462" t="s">
        <v>45</v>
      </c>
      <c r="I2462" t="s">
        <v>40</v>
      </c>
      <c r="J2462" s="11">
        <v>45485</v>
      </c>
      <c r="K2462" t="str">
        <f>TEXT(Transactions_Clean[[#This Row],[Date]],"MMM-YYYY")</f>
        <v>Jul-2024</v>
      </c>
      <c r="L2462">
        <f>IF(Transactions_Clean[[#This Row],[Category]]="Revenue",Transactions_Clean[[#This Row],[Amount(₹)]],Transactions_Clean[[#This Row],[Amount(₹)]]/8)</f>
        <v>-7063.125</v>
      </c>
    </row>
    <row r="2463" spans="1:12">
      <c r="A2463" t="s">
        <v>3784</v>
      </c>
      <c r="B2463" t="s">
        <v>116</v>
      </c>
      <c r="C2463" t="s">
        <v>73</v>
      </c>
      <c r="D2463">
        <v>-86624</v>
      </c>
      <c r="E2463" t="s">
        <v>74</v>
      </c>
      <c r="F2463" t="s">
        <v>32</v>
      </c>
      <c r="G2463" t="s">
        <v>25</v>
      </c>
      <c r="H2463" t="s">
        <v>39</v>
      </c>
      <c r="I2463" t="s">
        <v>34</v>
      </c>
      <c r="J2463" s="11">
        <v>45792</v>
      </c>
      <c r="K2463" t="str">
        <f>TEXT(Transactions_Clean[[#This Row],[Date]],"MMM-YYYY")</f>
        <v>May-2025</v>
      </c>
      <c r="L2463">
        <f>IF(Transactions_Clean[[#This Row],[Category]]="Revenue",Transactions_Clean[[#This Row],[Amount(₹)]],Transactions_Clean[[#This Row],[Amount(₹)]]/8)</f>
        <v>-10828</v>
      </c>
    </row>
    <row r="2464" spans="1:12">
      <c r="A2464" t="s">
        <v>3785</v>
      </c>
      <c r="B2464" t="s">
        <v>4759</v>
      </c>
      <c r="C2464" t="s">
        <v>31</v>
      </c>
      <c r="D2464">
        <v>-33489</v>
      </c>
      <c r="E2464" t="s">
        <v>23</v>
      </c>
      <c r="F2464" t="s">
        <v>32</v>
      </c>
      <c r="G2464" t="s">
        <v>33</v>
      </c>
      <c r="H2464" t="s">
        <v>45</v>
      </c>
      <c r="I2464" t="s">
        <v>34</v>
      </c>
      <c r="J2464" s="11">
        <v>45410</v>
      </c>
      <c r="K2464" t="str">
        <f>TEXT(Transactions_Clean[[#This Row],[Date]],"MMM-YYYY")</f>
        <v>Apr-2024</v>
      </c>
      <c r="L2464">
        <f>IF(Transactions_Clean[[#This Row],[Category]]="Revenue",Transactions_Clean[[#This Row],[Amount(₹)]],Transactions_Clean[[#This Row],[Amount(₹)]]/8)</f>
        <v>-4186.125</v>
      </c>
    </row>
    <row r="2465" spans="1:12">
      <c r="A2465" t="s">
        <v>3786</v>
      </c>
      <c r="B2465" t="s">
        <v>169</v>
      </c>
      <c r="C2465" t="s">
        <v>73</v>
      </c>
      <c r="D2465">
        <v>-85367</v>
      </c>
      <c r="E2465" t="s">
        <v>74</v>
      </c>
      <c r="F2465" t="s">
        <v>32</v>
      </c>
      <c r="G2465" t="s">
        <v>25</v>
      </c>
      <c r="H2465" t="s">
        <v>39</v>
      </c>
      <c r="I2465" t="s">
        <v>48</v>
      </c>
      <c r="J2465" s="11">
        <v>45941</v>
      </c>
      <c r="K2465" t="str">
        <f>TEXT(Transactions_Clean[[#This Row],[Date]],"MMM-YYYY")</f>
        <v>Oct-2025</v>
      </c>
      <c r="L2465">
        <f>IF(Transactions_Clean[[#This Row],[Category]]="Revenue",Transactions_Clean[[#This Row],[Amount(₹)]],Transactions_Clean[[#This Row],[Amount(₹)]]/8)</f>
        <v>-10670.875</v>
      </c>
    </row>
    <row r="2466" spans="1:12">
      <c r="A2466" t="s">
        <v>3787</v>
      </c>
      <c r="B2466" t="s">
        <v>4753</v>
      </c>
      <c r="C2466" t="s">
        <v>38</v>
      </c>
      <c r="D2466">
        <v>-53677</v>
      </c>
      <c r="E2466" t="s">
        <v>23</v>
      </c>
      <c r="F2466" t="s">
        <v>32</v>
      </c>
      <c r="G2466" t="s">
        <v>33</v>
      </c>
      <c r="H2466" t="s">
        <v>39</v>
      </c>
      <c r="I2466" t="s">
        <v>40</v>
      </c>
      <c r="J2466" s="11">
        <v>45868</v>
      </c>
      <c r="K2466" t="str">
        <f>TEXT(Transactions_Clean[[#This Row],[Date]],"MMM-YYYY")</f>
        <v>Jul-2025</v>
      </c>
      <c r="L2466">
        <f>IF(Transactions_Clean[[#This Row],[Category]]="Revenue",Transactions_Clean[[#This Row],[Amount(₹)]],Transactions_Clean[[#This Row],[Amount(₹)]]/8)</f>
        <v>-6709.625</v>
      </c>
    </row>
    <row r="2467" spans="1:12">
      <c r="A2467" t="s">
        <v>3788</v>
      </c>
      <c r="B2467" t="s">
        <v>4748</v>
      </c>
      <c r="C2467" t="s">
        <v>22</v>
      </c>
      <c r="D2467">
        <v>-26319</v>
      </c>
      <c r="E2467" t="s">
        <v>23</v>
      </c>
      <c r="F2467" t="s">
        <v>24</v>
      </c>
      <c r="G2467" t="s">
        <v>25</v>
      </c>
      <c r="H2467" t="s">
        <v>26</v>
      </c>
      <c r="I2467" t="s">
        <v>40</v>
      </c>
      <c r="J2467" s="11">
        <v>45117</v>
      </c>
      <c r="K2467" t="str">
        <f>TEXT(Transactions_Clean[[#This Row],[Date]],"MMM-YYYY")</f>
        <v>Jul-2023</v>
      </c>
      <c r="L2467">
        <f>IF(Transactions_Clean[[#This Row],[Category]]="Revenue",Transactions_Clean[[#This Row],[Amount(₹)]],Transactions_Clean[[#This Row],[Amount(₹)]]/8)</f>
        <v>-3289.875</v>
      </c>
    </row>
    <row r="2468" spans="1:12">
      <c r="A2468" t="s">
        <v>3789</v>
      </c>
      <c r="B2468" t="s">
        <v>4762</v>
      </c>
      <c r="C2468" t="s">
        <v>157</v>
      </c>
      <c r="D2468">
        <v>676198</v>
      </c>
      <c r="E2468" t="s">
        <v>62</v>
      </c>
      <c r="F2468" t="s">
        <v>32</v>
      </c>
      <c r="G2468" t="s">
        <v>25</v>
      </c>
      <c r="H2468" t="s">
        <v>39</v>
      </c>
      <c r="I2468" t="s">
        <v>34</v>
      </c>
      <c r="J2468" s="11">
        <v>45767</v>
      </c>
      <c r="K2468" t="str">
        <f>TEXT(Transactions_Clean[[#This Row],[Date]],"MMM-YYYY")</f>
        <v>Apr-2025</v>
      </c>
      <c r="L2468">
        <f>IF(Transactions_Clean[[#This Row],[Category]]="Revenue",Transactions_Clean[[#This Row],[Amount(₹)]],Transactions_Clean[[#This Row],[Amount(₹)]]/8)</f>
        <v>676198</v>
      </c>
    </row>
    <row r="2469" spans="1:12">
      <c r="A2469" t="s">
        <v>3790</v>
      </c>
      <c r="B2469" t="s">
        <v>4756</v>
      </c>
      <c r="C2469" t="s">
        <v>73</v>
      </c>
      <c r="D2469">
        <v>-50516</v>
      </c>
      <c r="E2469" t="s">
        <v>74</v>
      </c>
      <c r="F2469" t="s">
        <v>24</v>
      </c>
      <c r="G2469" t="s">
        <v>25</v>
      </c>
      <c r="H2469" t="s">
        <v>39</v>
      </c>
      <c r="I2469" t="s">
        <v>34</v>
      </c>
      <c r="J2469" s="11">
        <v>45809</v>
      </c>
      <c r="K2469" t="str">
        <f>TEXT(Transactions_Clean[[#This Row],[Date]],"MMM-YYYY")</f>
        <v>Jun-2025</v>
      </c>
      <c r="L2469">
        <f>IF(Transactions_Clean[[#This Row],[Category]]="Revenue",Transactions_Clean[[#This Row],[Amount(₹)]],Transactions_Clean[[#This Row],[Amount(₹)]]/8)</f>
        <v>-6314.5</v>
      </c>
    </row>
    <row r="2470" spans="1:12">
      <c r="A2470" t="s">
        <v>3791</v>
      </c>
      <c r="B2470" t="s">
        <v>4756</v>
      </c>
      <c r="C2470" t="s">
        <v>73</v>
      </c>
      <c r="D2470">
        <v>-70504</v>
      </c>
      <c r="E2470" t="s">
        <v>74</v>
      </c>
      <c r="F2470" t="s">
        <v>24</v>
      </c>
      <c r="G2470" t="s">
        <v>25</v>
      </c>
      <c r="H2470" t="s">
        <v>39</v>
      </c>
      <c r="I2470" t="s">
        <v>48</v>
      </c>
      <c r="J2470" s="11">
        <v>45972</v>
      </c>
      <c r="K2470" t="str">
        <f>TEXT(Transactions_Clean[[#This Row],[Date]],"MMM-YYYY")</f>
        <v>Nov-2025</v>
      </c>
      <c r="L2470">
        <f>IF(Transactions_Clean[[#This Row],[Category]]="Revenue",Transactions_Clean[[#This Row],[Amount(₹)]],Transactions_Clean[[#This Row],[Amount(₹)]]/8)</f>
        <v>-8813</v>
      </c>
    </row>
    <row r="2471" spans="1:12">
      <c r="A2471" t="s">
        <v>3793</v>
      </c>
      <c r="B2471" t="s">
        <v>345</v>
      </c>
      <c r="C2471" t="s">
        <v>22</v>
      </c>
      <c r="D2471">
        <v>-210083</v>
      </c>
      <c r="E2471" t="s">
        <v>23</v>
      </c>
      <c r="F2471" t="s">
        <v>32</v>
      </c>
      <c r="G2471" t="s">
        <v>25</v>
      </c>
      <c r="H2471" t="s">
        <v>39</v>
      </c>
      <c r="I2471" t="s">
        <v>48</v>
      </c>
      <c r="J2471" s="11">
        <v>45977</v>
      </c>
      <c r="K2471" t="str">
        <f>TEXT(Transactions_Clean[[#This Row],[Date]],"MMM-YYYY")</f>
        <v>Nov-2025</v>
      </c>
      <c r="L2471">
        <f>IF(Transactions_Clean[[#This Row],[Category]]="Revenue",Transactions_Clean[[#This Row],[Amount(₹)]],Transactions_Clean[[#This Row],[Amount(₹)]]/8)</f>
        <v>-26260.375</v>
      </c>
    </row>
    <row r="2472" spans="1:12">
      <c r="A2472" t="s">
        <v>3795</v>
      </c>
      <c r="B2472" t="s">
        <v>4756</v>
      </c>
      <c r="C2472" t="s">
        <v>73</v>
      </c>
      <c r="D2472">
        <v>-45550</v>
      </c>
      <c r="E2472" t="s">
        <v>74</v>
      </c>
      <c r="F2472" t="s">
        <v>32</v>
      </c>
      <c r="G2472" t="s">
        <v>25</v>
      </c>
      <c r="H2472" t="s">
        <v>26</v>
      </c>
      <c r="I2472" t="s">
        <v>40</v>
      </c>
      <c r="J2472" s="11">
        <v>45159</v>
      </c>
      <c r="K2472" t="str">
        <f>TEXT(Transactions_Clean[[#This Row],[Date]],"MMM-YYYY")</f>
        <v>Aug-2023</v>
      </c>
      <c r="L2472">
        <f>IF(Transactions_Clean[[#This Row],[Category]]="Revenue",Transactions_Clean[[#This Row],[Amount(₹)]],Transactions_Clean[[#This Row],[Amount(₹)]]/8)</f>
        <v>-5693.75</v>
      </c>
    </row>
    <row r="2473" spans="1:12">
      <c r="A2473" t="s">
        <v>3797</v>
      </c>
      <c r="B2473" t="s">
        <v>129</v>
      </c>
      <c r="C2473" t="s">
        <v>38</v>
      </c>
      <c r="D2473">
        <v>-32420</v>
      </c>
      <c r="E2473" t="s">
        <v>23</v>
      </c>
      <c r="F2473" t="s">
        <v>24</v>
      </c>
      <c r="G2473" t="s">
        <v>33</v>
      </c>
      <c r="H2473" t="s">
        <v>26</v>
      </c>
      <c r="I2473" t="s">
        <v>40</v>
      </c>
      <c r="J2473" s="11">
        <v>45196</v>
      </c>
      <c r="K2473" t="str">
        <f>TEXT(Transactions_Clean[[#This Row],[Date]],"MMM-YYYY")</f>
        <v>Sep-2023</v>
      </c>
      <c r="L2473">
        <f>IF(Transactions_Clean[[#This Row],[Category]]="Revenue",Transactions_Clean[[#This Row],[Amount(₹)]],Transactions_Clean[[#This Row],[Amount(₹)]]/8)</f>
        <v>-4052.5</v>
      </c>
    </row>
    <row r="2474" spans="1:12">
      <c r="A2474" t="s">
        <v>3798</v>
      </c>
      <c r="B2474" t="s">
        <v>4766</v>
      </c>
      <c r="C2474" t="s">
        <v>73</v>
      </c>
      <c r="D2474">
        <v>-65342</v>
      </c>
      <c r="E2474" t="s">
        <v>74</v>
      </c>
      <c r="F2474" t="s">
        <v>32</v>
      </c>
      <c r="G2474" t="s">
        <v>25</v>
      </c>
      <c r="H2474" t="s">
        <v>26</v>
      </c>
      <c r="I2474" t="s">
        <v>40</v>
      </c>
      <c r="J2474" s="11">
        <v>45162</v>
      </c>
      <c r="K2474" t="str">
        <f>TEXT(Transactions_Clean[[#This Row],[Date]],"MMM-YYYY")</f>
        <v>Aug-2023</v>
      </c>
      <c r="L2474">
        <f>IF(Transactions_Clean[[#This Row],[Category]]="Revenue",Transactions_Clean[[#This Row],[Amount(₹)]],Transactions_Clean[[#This Row],[Amount(₹)]]/8)</f>
        <v>-8167.75</v>
      </c>
    </row>
    <row r="2475" spans="1:12">
      <c r="A2475" t="s">
        <v>3799</v>
      </c>
      <c r="B2475" t="s">
        <v>60</v>
      </c>
      <c r="C2475" t="s">
        <v>61</v>
      </c>
      <c r="D2475">
        <v>-47853</v>
      </c>
      <c r="E2475" t="s">
        <v>62</v>
      </c>
      <c r="F2475" t="s">
        <v>32</v>
      </c>
      <c r="G2475" t="s">
        <v>63</v>
      </c>
      <c r="H2475" t="s">
        <v>45</v>
      </c>
      <c r="I2475" t="s">
        <v>40</v>
      </c>
      <c r="J2475" s="11">
        <v>45562</v>
      </c>
      <c r="K2475" t="str">
        <f>TEXT(Transactions_Clean[[#This Row],[Date]],"MMM-YYYY")</f>
        <v>Sep-2024</v>
      </c>
      <c r="L2475">
        <f>IF(Transactions_Clean[[#This Row],[Category]]="Revenue",Transactions_Clean[[#This Row],[Amount(₹)]],Transactions_Clean[[#This Row],[Amount(₹)]]/8)</f>
        <v>-5981.625</v>
      </c>
    </row>
    <row r="2476" spans="1:12">
      <c r="A2476" t="s">
        <v>3801</v>
      </c>
      <c r="B2476" t="s">
        <v>4757</v>
      </c>
      <c r="C2476" t="s">
        <v>73</v>
      </c>
      <c r="D2476">
        <v>-47688</v>
      </c>
      <c r="E2476" t="s">
        <v>74</v>
      </c>
      <c r="F2476" t="s">
        <v>24</v>
      </c>
      <c r="G2476" t="s">
        <v>25</v>
      </c>
      <c r="H2476" t="s">
        <v>26</v>
      </c>
      <c r="I2476" t="s">
        <v>27</v>
      </c>
      <c r="J2476" s="11">
        <v>45371</v>
      </c>
      <c r="K2476" t="str">
        <f>TEXT(Transactions_Clean[[#This Row],[Date]],"MMM-YYYY")</f>
        <v>Mar-2024</v>
      </c>
      <c r="L2476">
        <f>IF(Transactions_Clean[[#This Row],[Category]]="Revenue",Transactions_Clean[[#This Row],[Amount(₹)]],Transactions_Clean[[#This Row],[Amount(₹)]]/8)</f>
        <v>-5961</v>
      </c>
    </row>
    <row r="2477" spans="1:12">
      <c r="A2477" t="s">
        <v>3802</v>
      </c>
      <c r="B2477" t="s">
        <v>4752</v>
      </c>
      <c r="C2477" t="s">
        <v>44</v>
      </c>
      <c r="D2477">
        <v>-176782</v>
      </c>
      <c r="E2477" t="s">
        <v>23</v>
      </c>
      <c r="F2477" t="s">
        <v>32</v>
      </c>
      <c r="G2477" t="s">
        <v>33</v>
      </c>
      <c r="H2477" t="s">
        <v>39</v>
      </c>
      <c r="I2477" t="s">
        <v>48</v>
      </c>
      <c r="J2477" s="11">
        <v>45979</v>
      </c>
      <c r="K2477" t="str">
        <f>TEXT(Transactions_Clean[[#This Row],[Date]],"MMM-YYYY")</f>
        <v>Nov-2025</v>
      </c>
      <c r="L2477">
        <f>IF(Transactions_Clean[[#This Row],[Category]]="Revenue",Transactions_Clean[[#This Row],[Amount(₹)]],Transactions_Clean[[#This Row],[Amount(₹)]]/8)</f>
        <v>-22097.75</v>
      </c>
    </row>
    <row r="2478" spans="1:12">
      <c r="A2478" t="s">
        <v>3803</v>
      </c>
      <c r="B2478" t="s">
        <v>51</v>
      </c>
      <c r="C2478" t="s">
        <v>31</v>
      </c>
      <c r="D2478">
        <v>-21039</v>
      </c>
      <c r="E2478" t="s">
        <v>23</v>
      </c>
      <c r="F2478" t="s">
        <v>32</v>
      </c>
      <c r="G2478" t="s">
        <v>33</v>
      </c>
      <c r="H2478" t="s">
        <v>26</v>
      </c>
      <c r="I2478" t="s">
        <v>27</v>
      </c>
      <c r="J2478" s="11">
        <v>45299</v>
      </c>
      <c r="K2478" t="str">
        <f>TEXT(Transactions_Clean[[#This Row],[Date]],"MMM-YYYY")</f>
        <v>Jan-2024</v>
      </c>
      <c r="L2478">
        <f>IF(Transactions_Clean[[#This Row],[Category]]="Revenue",Transactions_Clean[[#This Row],[Amount(₹)]],Transactions_Clean[[#This Row],[Amount(₹)]]/8)</f>
        <v>-2629.875</v>
      </c>
    </row>
    <row r="2479" spans="1:12">
      <c r="A2479" t="s">
        <v>3804</v>
      </c>
      <c r="B2479" t="s">
        <v>106</v>
      </c>
      <c r="C2479" t="s">
        <v>31</v>
      </c>
      <c r="D2479">
        <v>-5888</v>
      </c>
      <c r="E2479" t="s">
        <v>23</v>
      </c>
      <c r="F2479" t="s">
        <v>32</v>
      </c>
      <c r="G2479" t="s">
        <v>33</v>
      </c>
      <c r="H2479" t="s">
        <v>26</v>
      </c>
      <c r="I2479" t="s">
        <v>40</v>
      </c>
      <c r="J2479" s="11">
        <v>45197</v>
      </c>
      <c r="K2479" t="str">
        <f>TEXT(Transactions_Clean[[#This Row],[Date]],"MMM-YYYY")</f>
        <v>Sep-2023</v>
      </c>
      <c r="L2479">
        <f>IF(Transactions_Clean[[#This Row],[Category]]="Revenue",Transactions_Clean[[#This Row],[Amount(₹)]],Transactions_Clean[[#This Row],[Amount(₹)]]/8)</f>
        <v>-736</v>
      </c>
    </row>
    <row r="2480" spans="1:12">
      <c r="A2480" t="s">
        <v>3805</v>
      </c>
      <c r="B2480" t="s">
        <v>4754</v>
      </c>
      <c r="C2480" t="s">
        <v>78</v>
      </c>
      <c r="D2480">
        <v>-32536</v>
      </c>
      <c r="E2480" t="s">
        <v>23</v>
      </c>
      <c r="F2480" t="s">
        <v>24</v>
      </c>
      <c r="G2480" t="s">
        <v>79</v>
      </c>
      <c r="H2480" t="s">
        <v>26</v>
      </c>
      <c r="I2480" t="s">
        <v>40</v>
      </c>
      <c r="J2480" s="11">
        <v>45180</v>
      </c>
      <c r="K2480" t="str">
        <f>TEXT(Transactions_Clean[[#This Row],[Date]],"MMM-YYYY")</f>
        <v>Sep-2023</v>
      </c>
      <c r="L2480">
        <f>IF(Transactions_Clean[[#This Row],[Category]]="Revenue",Transactions_Clean[[#This Row],[Amount(₹)]],Transactions_Clean[[#This Row],[Amount(₹)]]/8)</f>
        <v>-4067</v>
      </c>
    </row>
    <row r="2481" spans="1:12">
      <c r="A2481" t="s">
        <v>3806</v>
      </c>
      <c r="B2481" t="s">
        <v>100</v>
      </c>
      <c r="C2481" t="s">
        <v>31</v>
      </c>
      <c r="D2481">
        <v>-25093</v>
      </c>
      <c r="E2481" t="s">
        <v>23</v>
      </c>
      <c r="F2481" t="s">
        <v>32</v>
      </c>
      <c r="G2481" t="s">
        <v>33</v>
      </c>
      <c r="H2481" t="s">
        <v>39</v>
      </c>
      <c r="I2481" t="s">
        <v>27</v>
      </c>
      <c r="J2481" s="11">
        <v>46024</v>
      </c>
      <c r="K2481" t="str">
        <f>TEXT(Transactions_Clean[[#This Row],[Date]],"MMM-YYYY")</f>
        <v>Jan-2026</v>
      </c>
      <c r="L2481">
        <f>IF(Transactions_Clean[[#This Row],[Category]]="Revenue",Transactions_Clean[[#This Row],[Amount(₹)]],Transactions_Clean[[#This Row],[Amount(₹)]]/8)</f>
        <v>-3136.625</v>
      </c>
    </row>
    <row r="2482" spans="1:12">
      <c r="A2482" t="s">
        <v>3807</v>
      </c>
      <c r="B2482" t="s">
        <v>935</v>
      </c>
      <c r="C2482" t="s">
        <v>22</v>
      </c>
      <c r="D2482">
        <v>-72295</v>
      </c>
      <c r="E2482" t="s">
        <v>23</v>
      </c>
      <c r="F2482" t="s">
        <v>24</v>
      </c>
      <c r="G2482" t="s">
        <v>25</v>
      </c>
      <c r="H2482" t="s">
        <v>45</v>
      </c>
      <c r="I2482" t="s">
        <v>34</v>
      </c>
      <c r="J2482" s="11">
        <v>45442</v>
      </c>
      <c r="K2482" t="str">
        <f>TEXT(Transactions_Clean[[#This Row],[Date]],"MMM-YYYY")</f>
        <v>May-2024</v>
      </c>
      <c r="L2482">
        <f>IF(Transactions_Clean[[#This Row],[Category]]="Revenue",Transactions_Clean[[#This Row],[Amount(₹)]],Transactions_Clean[[#This Row],[Amount(₹)]]/8)</f>
        <v>-9036.875</v>
      </c>
    </row>
    <row r="2483" spans="1:12">
      <c r="A2483" t="s">
        <v>3808</v>
      </c>
      <c r="B2483" t="s">
        <v>100</v>
      </c>
      <c r="C2483" t="s">
        <v>31</v>
      </c>
      <c r="D2483">
        <v>-33197</v>
      </c>
      <c r="E2483" t="s">
        <v>23</v>
      </c>
      <c r="F2483" t="s">
        <v>24</v>
      </c>
      <c r="G2483" t="s">
        <v>33</v>
      </c>
      <c r="H2483" t="s">
        <v>39</v>
      </c>
      <c r="I2483" t="s">
        <v>40</v>
      </c>
      <c r="J2483" s="11">
        <v>45896</v>
      </c>
      <c r="K2483" t="str">
        <f>TEXT(Transactions_Clean[[#This Row],[Date]],"MMM-YYYY")</f>
        <v>Aug-2025</v>
      </c>
      <c r="L2483">
        <f>IF(Transactions_Clean[[#This Row],[Category]]="Revenue",Transactions_Clean[[#This Row],[Amount(₹)]],Transactions_Clean[[#This Row],[Amount(₹)]]/8)</f>
        <v>-4149.625</v>
      </c>
    </row>
    <row r="2484" spans="1:12">
      <c r="A2484" t="s">
        <v>3809</v>
      </c>
      <c r="B2484" t="s">
        <v>143</v>
      </c>
      <c r="C2484" t="s">
        <v>78</v>
      </c>
      <c r="D2484">
        <v>-35883</v>
      </c>
      <c r="E2484" t="s">
        <v>23</v>
      </c>
      <c r="F2484" t="s">
        <v>24</v>
      </c>
      <c r="G2484" t="s">
        <v>79</v>
      </c>
      <c r="H2484" t="s">
        <v>45</v>
      </c>
      <c r="I2484" t="s">
        <v>48</v>
      </c>
      <c r="J2484" s="11">
        <v>45577</v>
      </c>
      <c r="K2484" t="str">
        <f>TEXT(Transactions_Clean[[#This Row],[Date]],"MMM-YYYY")</f>
        <v>Oct-2024</v>
      </c>
      <c r="L2484">
        <f>IF(Transactions_Clean[[#This Row],[Category]]="Revenue",Transactions_Clean[[#This Row],[Amount(₹)]],Transactions_Clean[[#This Row],[Amount(₹)]]/8)</f>
        <v>-4485.375</v>
      </c>
    </row>
    <row r="2485" spans="1:12">
      <c r="A2485" t="s">
        <v>3810</v>
      </c>
      <c r="B2485" t="s">
        <v>72</v>
      </c>
      <c r="C2485" t="s">
        <v>73</v>
      </c>
      <c r="D2485">
        <v>-90511</v>
      </c>
      <c r="E2485" t="s">
        <v>74</v>
      </c>
      <c r="F2485" t="s">
        <v>24</v>
      </c>
      <c r="G2485" t="s">
        <v>25</v>
      </c>
      <c r="H2485" t="s">
        <v>26</v>
      </c>
      <c r="I2485" t="s">
        <v>48</v>
      </c>
      <c r="J2485" s="11">
        <v>45224</v>
      </c>
      <c r="K2485" t="str">
        <f>TEXT(Transactions_Clean[[#This Row],[Date]],"MMM-YYYY")</f>
        <v>Oct-2023</v>
      </c>
      <c r="L2485">
        <f>IF(Transactions_Clean[[#This Row],[Category]]="Revenue",Transactions_Clean[[#This Row],[Amount(₹)]],Transactions_Clean[[#This Row],[Amount(₹)]]/8)</f>
        <v>-11313.875</v>
      </c>
    </row>
    <row r="2486" spans="1:12">
      <c r="A2486" t="s">
        <v>3811</v>
      </c>
      <c r="B2486" t="s">
        <v>202</v>
      </c>
      <c r="C2486" t="s">
        <v>22</v>
      </c>
      <c r="D2486">
        <v>-106449</v>
      </c>
      <c r="E2486" t="s">
        <v>23</v>
      </c>
      <c r="F2486" t="s">
        <v>32</v>
      </c>
      <c r="G2486" t="s">
        <v>25</v>
      </c>
      <c r="H2486" t="s">
        <v>26</v>
      </c>
      <c r="I2486" t="s">
        <v>27</v>
      </c>
      <c r="J2486" s="11">
        <v>45313</v>
      </c>
      <c r="K2486" t="str">
        <f>TEXT(Transactions_Clean[[#This Row],[Date]],"MMM-YYYY")</f>
        <v>Jan-2024</v>
      </c>
      <c r="L2486">
        <f>IF(Transactions_Clean[[#This Row],[Category]]="Revenue",Transactions_Clean[[#This Row],[Amount(₹)]],Transactions_Clean[[#This Row],[Amount(₹)]]/8)</f>
        <v>-13306.125</v>
      </c>
    </row>
    <row r="2487" spans="1:12">
      <c r="A2487" t="s">
        <v>3813</v>
      </c>
      <c r="B2487" t="s">
        <v>106</v>
      </c>
      <c r="C2487" t="s">
        <v>4750</v>
      </c>
      <c r="D2487">
        <v>-26822</v>
      </c>
      <c r="E2487" t="s">
        <v>23</v>
      </c>
      <c r="F2487" t="s">
        <v>32</v>
      </c>
      <c r="G2487" t="s">
        <v>33</v>
      </c>
      <c r="H2487" t="s">
        <v>39</v>
      </c>
      <c r="I2487" t="s">
        <v>34</v>
      </c>
      <c r="J2487" s="11">
        <v>45830</v>
      </c>
      <c r="K2487" t="str">
        <f>TEXT(Transactions_Clean[[#This Row],[Date]],"MMM-YYYY")</f>
        <v>Jun-2025</v>
      </c>
      <c r="L2487">
        <f>IF(Transactions_Clean[[#This Row],[Category]]="Revenue",Transactions_Clean[[#This Row],[Amount(₹)]],Transactions_Clean[[#This Row],[Amount(₹)]]/8)</f>
        <v>-3352.75</v>
      </c>
    </row>
    <row r="2488" spans="1:12">
      <c r="A2488" t="s">
        <v>3814</v>
      </c>
      <c r="B2488" t="s">
        <v>4751</v>
      </c>
      <c r="C2488" t="s">
        <v>38</v>
      </c>
      <c r="D2488">
        <v>-15278</v>
      </c>
      <c r="E2488" t="s">
        <v>23</v>
      </c>
      <c r="F2488" t="s">
        <v>32</v>
      </c>
      <c r="G2488" t="s">
        <v>33</v>
      </c>
      <c r="H2488" t="s">
        <v>39</v>
      </c>
      <c r="I2488" t="s">
        <v>27</v>
      </c>
      <c r="J2488" s="11">
        <v>46047</v>
      </c>
      <c r="K2488" t="str">
        <f>TEXT(Transactions_Clean[[#This Row],[Date]],"MMM-YYYY")</f>
        <v>Jan-2026</v>
      </c>
      <c r="L2488">
        <f>IF(Transactions_Clean[[#This Row],[Category]]="Revenue",Transactions_Clean[[#This Row],[Amount(₹)]],Transactions_Clean[[#This Row],[Amount(₹)]]/8)</f>
        <v>-1909.75</v>
      </c>
    </row>
    <row r="2489" spans="1:12">
      <c r="A2489" t="s">
        <v>3815</v>
      </c>
      <c r="B2489" t="s">
        <v>180</v>
      </c>
      <c r="C2489" t="s">
        <v>4750</v>
      </c>
      <c r="D2489">
        <v>-84828</v>
      </c>
      <c r="E2489" t="s">
        <v>23</v>
      </c>
      <c r="F2489" t="s">
        <v>32</v>
      </c>
      <c r="G2489" t="s">
        <v>33</v>
      </c>
      <c r="H2489" t="s">
        <v>26</v>
      </c>
      <c r="I2489" t="s">
        <v>34</v>
      </c>
      <c r="J2489" s="11">
        <v>45025</v>
      </c>
      <c r="K2489" t="str">
        <f>TEXT(Transactions_Clean[[#This Row],[Date]],"MMM-YYYY")</f>
        <v>Apr-2023</v>
      </c>
      <c r="L2489">
        <f>IF(Transactions_Clean[[#This Row],[Category]]="Revenue",Transactions_Clean[[#This Row],[Amount(₹)]],Transactions_Clean[[#This Row],[Amount(₹)]]/8)</f>
        <v>-10603.5</v>
      </c>
    </row>
    <row r="2490" spans="1:12">
      <c r="A2490" t="s">
        <v>3816</v>
      </c>
      <c r="B2490" t="s">
        <v>174</v>
      </c>
      <c r="C2490" t="s">
        <v>22</v>
      </c>
      <c r="D2490">
        <v>-59804</v>
      </c>
      <c r="E2490" t="s">
        <v>23</v>
      </c>
      <c r="F2490" t="s">
        <v>24</v>
      </c>
      <c r="G2490" t="s">
        <v>25</v>
      </c>
      <c r="H2490" t="s">
        <v>39</v>
      </c>
      <c r="I2490" t="s">
        <v>27</v>
      </c>
      <c r="J2490" s="11">
        <v>46042</v>
      </c>
      <c r="K2490" t="str">
        <f>TEXT(Transactions_Clean[[#This Row],[Date]],"MMM-YYYY")</f>
        <v>Jan-2026</v>
      </c>
      <c r="L2490">
        <f>IF(Transactions_Clean[[#This Row],[Category]]="Revenue",Transactions_Clean[[#This Row],[Amount(₹)]],Transactions_Clean[[#This Row],[Amount(₹)]]/8)</f>
        <v>-7475.5</v>
      </c>
    </row>
    <row r="2491" spans="1:12">
      <c r="A2491" t="s">
        <v>3817</v>
      </c>
      <c r="B2491" t="s">
        <v>4751</v>
      </c>
      <c r="C2491" t="s">
        <v>38</v>
      </c>
      <c r="D2491">
        <v>-46034</v>
      </c>
      <c r="E2491" t="s">
        <v>23</v>
      </c>
      <c r="F2491" t="s">
        <v>24</v>
      </c>
      <c r="G2491" t="s">
        <v>33</v>
      </c>
      <c r="H2491" t="s">
        <v>39</v>
      </c>
      <c r="I2491" t="s">
        <v>40</v>
      </c>
      <c r="J2491" s="11">
        <v>45847</v>
      </c>
      <c r="K2491" t="str">
        <f>TEXT(Transactions_Clean[[#This Row],[Date]],"MMM-YYYY")</f>
        <v>Jul-2025</v>
      </c>
      <c r="L2491">
        <f>IF(Transactions_Clean[[#This Row],[Category]]="Revenue",Transactions_Clean[[#This Row],[Amount(₹)]],Transactions_Clean[[#This Row],[Amount(₹)]]/8)</f>
        <v>-5754.25</v>
      </c>
    </row>
    <row r="2492" spans="1:12">
      <c r="A2492" t="s">
        <v>3818</v>
      </c>
      <c r="B2492" t="s">
        <v>290</v>
      </c>
      <c r="C2492" t="s">
        <v>440</v>
      </c>
      <c r="D2492">
        <v>-103921</v>
      </c>
      <c r="E2492" t="s">
        <v>23</v>
      </c>
      <c r="F2492" t="s">
        <v>24</v>
      </c>
      <c r="G2492" t="s">
        <v>33</v>
      </c>
      <c r="H2492" t="s">
        <v>39</v>
      </c>
      <c r="I2492" t="s">
        <v>34</v>
      </c>
      <c r="J2492" s="11">
        <v>45838</v>
      </c>
      <c r="K2492" t="str">
        <f>TEXT(Transactions_Clean[[#This Row],[Date]],"MMM-YYYY")</f>
        <v>Jun-2025</v>
      </c>
      <c r="L2492">
        <f>IF(Transactions_Clean[[#This Row],[Category]]="Revenue",Transactions_Clean[[#This Row],[Amount(₹)]],Transactions_Clean[[#This Row],[Amount(₹)]]/8)</f>
        <v>-12990.125</v>
      </c>
    </row>
    <row r="2493" spans="1:12">
      <c r="A2493" t="s">
        <v>3819</v>
      </c>
      <c r="B2493" t="s">
        <v>4756</v>
      </c>
      <c r="C2493" t="s">
        <v>73</v>
      </c>
      <c r="D2493">
        <v>-28706</v>
      </c>
      <c r="E2493" t="s">
        <v>74</v>
      </c>
      <c r="F2493" t="s">
        <v>24</v>
      </c>
      <c r="G2493" t="s">
        <v>25</v>
      </c>
      <c r="H2493" t="s">
        <v>26</v>
      </c>
      <c r="I2493" t="s">
        <v>34</v>
      </c>
      <c r="J2493" s="11">
        <v>45049</v>
      </c>
      <c r="K2493" t="str">
        <f>TEXT(Transactions_Clean[[#This Row],[Date]],"MMM-YYYY")</f>
        <v>May-2023</v>
      </c>
      <c r="L2493">
        <f>IF(Transactions_Clean[[#This Row],[Category]]="Revenue",Transactions_Clean[[#This Row],[Amount(₹)]],Transactions_Clean[[#This Row],[Amount(₹)]]/8)</f>
        <v>-3588.25</v>
      </c>
    </row>
    <row r="2494" spans="1:12">
      <c r="A2494" t="s">
        <v>3820</v>
      </c>
      <c r="B2494" t="s">
        <v>215</v>
      </c>
      <c r="C2494" t="s">
        <v>61</v>
      </c>
      <c r="D2494">
        <v>-41455</v>
      </c>
      <c r="E2494" t="s">
        <v>62</v>
      </c>
      <c r="F2494" t="s">
        <v>24</v>
      </c>
      <c r="G2494" t="s">
        <v>63</v>
      </c>
      <c r="H2494" t="s">
        <v>45</v>
      </c>
      <c r="I2494" t="s">
        <v>48</v>
      </c>
      <c r="J2494" s="11">
        <v>45602</v>
      </c>
      <c r="K2494" t="str">
        <f>TEXT(Transactions_Clean[[#This Row],[Date]],"MMM-YYYY")</f>
        <v>Nov-2024</v>
      </c>
      <c r="L2494">
        <f>IF(Transactions_Clean[[#This Row],[Category]]="Revenue",Transactions_Clean[[#This Row],[Amount(₹)]],Transactions_Clean[[#This Row],[Amount(₹)]]/8)</f>
        <v>-5181.875</v>
      </c>
    </row>
    <row r="2495" spans="1:12">
      <c r="A2495" t="s">
        <v>3821</v>
      </c>
      <c r="B2495" t="s">
        <v>283</v>
      </c>
      <c r="C2495" t="s">
        <v>44</v>
      </c>
      <c r="D2495">
        <v>-93568</v>
      </c>
      <c r="E2495" t="s">
        <v>23</v>
      </c>
      <c r="F2495" t="s">
        <v>32</v>
      </c>
      <c r="G2495" t="s">
        <v>33</v>
      </c>
      <c r="H2495" t="s">
        <v>45</v>
      </c>
      <c r="I2495" t="s">
        <v>27</v>
      </c>
      <c r="J2495" s="11">
        <v>45699</v>
      </c>
      <c r="K2495" t="str">
        <f>TEXT(Transactions_Clean[[#This Row],[Date]],"MMM-YYYY")</f>
        <v>Feb-2025</v>
      </c>
      <c r="L2495">
        <f>IF(Transactions_Clean[[#This Row],[Category]]="Revenue",Transactions_Clean[[#This Row],[Amount(₹)]],Transactions_Clean[[#This Row],[Amount(₹)]]/8)</f>
        <v>-11696</v>
      </c>
    </row>
    <row r="2496" spans="1:12">
      <c r="A2496" t="s">
        <v>3822</v>
      </c>
      <c r="B2496" t="s">
        <v>106</v>
      </c>
      <c r="C2496" t="s">
        <v>31</v>
      </c>
      <c r="D2496">
        <v>-6091</v>
      </c>
      <c r="E2496" t="s">
        <v>23</v>
      </c>
      <c r="F2496" t="s">
        <v>24</v>
      </c>
      <c r="G2496" t="s">
        <v>33</v>
      </c>
      <c r="H2496" t="s">
        <v>39</v>
      </c>
      <c r="I2496" t="s">
        <v>34</v>
      </c>
      <c r="J2496" s="11">
        <v>45823</v>
      </c>
      <c r="K2496" t="str">
        <f>TEXT(Transactions_Clean[[#This Row],[Date]],"MMM-YYYY")</f>
        <v>Jun-2025</v>
      </c>
      <c r="L2496">
        <f>IF(Transactions_Clean[[#This Row],[Category]]="Revenue",Transactions_Clean[[#This Row],[Amount(₹)]],Transactions_Clean[[#This Row],[Amount(₹)]]/8)</f>
        <v>-761.375</v>
      </c>
    </row>
    <row r="2497" spans="1:12">
      <c r="A2497" t="s">
        <v>3823</v>
      </c>
      <c r="B2497" t="s">
        <v>4749</v>
      </c>
      <c r="C2497" t="s">
        <v>44</v>
      </c>
      <c r="D2497">
        <v>-128294</v>
      </c>
      <c r="E2497" t="s">
        <v>23</v>
      </c>
      <c r="F2497" t="s">
        <v>32</v>
      </c>
      <c r="G2497" t="s">
        <v>33</v>
      </c>
      <c r="H2497" t="s">
        <v>39</v>
      </c>
      <c r="I2497" t="s">
        <v>48</v>
      </c>
      <c r="J2497" s="11">
        <v>45982</v>
      </c>
      <c r="K2497" t="str">
        <f>TEXT(Transactions_Clean[[#This Row],[Date]],"MMM-YYYY")</f>
        <v>Nov-2025</v>
      </c>
      <c r="L2497">
        <f>IF(Transactions_Clean[[#This Row],[Category]]="Revenue",Transactions_Clean[[#This Row],[Amount(₹)]],Transactions_Clean[[#This Row],[Amount(₹)]]/8)</f>
        <v>-16036.75</v>
      </c>
    </row>
    <row r="2498" spans="1:12">
      <c r="A2498" t="s">
        <v>3825</v>
      </c>
      <c r="B2498" t="s">
        <v>4766</v>
      </c>
      <c r="C2498" t="s">
        <v>73</v>
      </c>
      <c r="D2498">
        <v>-26920</v>
      </c>
      <c r="E2498" t="s">
        <v>74</v>
      </c>
      <c r="F2498" t="s">
        <v>32</v>
      </c>
      <c r="G2498" t="s">
        <v>25</v>
      </c>
      <c r="H2498" t="s">
        <v>26</v>
      </c>
      <c r="I2498" t="s">
        <v>40</v>
      </c>
      <c r="J2498" s="11">
        <v>45133</v>
      </c>
      <c r="K2498" t="str">
        <f>TEXT(Transactions_Clean[[#This Row],[Date]],"MMM-YYYY")</f>
        <v>Jul-2023</v>
      </c>
      <c r="L2498">
        <f>IF(Transactions_Clean[[#This Row],[Category]]="Revenue",Transactions_Clean[[#This Row],[Amount(₹)]],Transactions_Clean[[#This Row],[Amount(₹)]]/8)</f>
        <v>-3365</v>
      </c>
    </row>
    <row r="2499" spans="1:12">
      <c r="A2499" t="s">
        <v>3826</v>
      </c>
      <c r="B2499" t="s">
        <v>4759</v>
      </c>
      <c r="C2499" t="s">
        <v>31</v>
      </c>
      <c r="D2499">
        <v>-30877</v>
      </c>
      <c r="E2499" t="s">
        <v>23</v>
      </c>
      <c r="F2499" t="s">
        <v>32</v>
      </c>
      <c r="G2499" t="s">
        <v>33</v>
      </c>
      <c r="H2499" t="s">
        <v>39</v>
      </c>
      <c r="I2499" t="s">
        <v>34</v>
      </c>
      <c r="J2499" s="11">
        <v>45823</v>
      </c>
      <c r="K2499" t="str">
        <f>TEXT(Transactions_Clean[[#This Row],[Date]],"MMM-YYYY")</f>
        <v>Jun-2025</v>
      </c>
      <c r="L2499">
        <f>IF(Transactions_Clean[[#This Row],[Category]]="Revenue",Transactions_Clean[[#This Row],[Amount(₹)]],Transactions_Clean[[#This Row],[Amount(₹)]]/8)</f>
        <v>-3859.625</v>
      </c>
    </row>
    <row r="2500" spans="1:12">
      <c r="A2500" t="s">
        <v>3827</v>
      </c>
      <c r="B2500" t="s">
        <v>87</v>
      </c>
      <c r="C2500" t="s">
        <v>22</v>
      </c>
      <c r="D2500">
        <v>-129965</v>
      </c>
      <c r="E2500" t="s">
        <v>23</v>
      </c>
      <c r="F2500" t="s">
        <v>24</v>
      </c>
      <c r="G2500" t="s">
        <v>25</v>
      </c>
      <c r="H2500" t="s">
        <v>45</v>
      </c>
      <c r="I2500" t="s">
        <v>34</v>
      </c>
      <c r="J2500" s="11">
        <v>45403</v>
      </c>
      <c r="K2500" t="str">
        <f>TEXT(Transactions_Clean[[#This Row],[Date]],"MMM-YYYY")</f>
        <v>Apr-2024</v>
      </c>
      <c r="L2500">
        <f>IF(Transactions_Clean[[#This Row],[Category]]="Revenue",Transactions_Clean[[#This Row],[Amount(₹)]],Transactions_Clean[[#This Row],[Amount(₹)]]/8)</f>
        <v>-16245.625</v>
      </c>
    </row>
    <row r="2501" spans="1:12">
      <c r="A2501" t="s">
        <v>3828</v>
      </c>
      <c r="B2501" t="s">
        <v>72</v>
      </c>
      <c r="C2501" t="s">
        <v>73</v>
      </c>
      <c r="D2501">
        <v>-14432</v>
      </c>
      <c r="E2501" t="s">
        <v>74</v>
      </c>
      <c r="F2501" t="s">
        <v>32</v>
      </c>
      <c r="G2501" t="s">
        <v>25</v>
      </c>
      <c r="H2501" t="s">
        <v>39</v>
      </c>
      <c r="I2501" t="s">
        <v>34</v>
      </c>
      <c r="J2501" s="11">
        <v>45756</v>
      </c>
      <c r="K2501" t="str">
        <f>TEXT(Transactions_Clean[[#This Row],[Date]],"MMM-YYYY")</f>
        <v>Apr-2025</v>
      </c>
      <c r="L2501">
        <f>IF(Transactions_Clean[[#This Row],[Category]]="Revenue",Transactions_Clean[[#This Row],[Amount(₹)]],Transactions_Clean[[#This Row],[Amount(₹)]]/8)</f>
        <v>-1804</v>
      </c>
    </row>
    <row r="2502" spans="1:12">
      <c r="A2502" t="s">
        <v>3829</v>
      </c>
      <c r="B2502" t="s">
        <v>106</v>
      </c>
      <c r="C2502" t="s">
        <v>31</v>
      </c>
      <c r="D2502">
        <v>-43439</v>
      </c>
      <c r="E2502" t="s">
        <v>23</v>
      </c>
      <c r="F2502" t="s">
        <v>24</v>
      </c>
      <c r="G2502" t="s">
        <v>33</v>
      </c>
      <c r="H2502" t="s">
        <v>39</v>
      </c>
      <c r="I2502" t="s">
        <v>34</v>
      </c>
      <c r="J2502" s="11">
        <v>45780</v>
      </c>
      <c r="K2502" t="str">
        <f>TEXT(Transactions_Clean[[#This Row],[Date]],"MMM-YYYY")</f>
        <v>May-2025</v>
      </c>
      <c r="L2502">
        <f>IF(Transactions_Clean[[#This Row],[Category]]="Revenue",Transactions_Clean[[#This Row],[Amount(₹)]],Transactions_Clean[[#This Row],[Amount(₹)]]/8)</f>
        <v>-5429.875</v>
      </c>
    </row>
    <row r="2503" spans="1:12">
      <c r="A2503" t="s">
        <v>3830</v>
      </c>
      <c r="B2503" t="s">
        <v>143</v>
      </c>
      <c r="C2503" t="s">
        <v>78</v>
      </c>
      <c r="D2503">
        <v>-60118</v>
      </c>
      <c r="E2503" t="s">
        <v>23</v>
      </c>
      <c r="F2503" t="s">
        <v>24</v>
      </c>
      <c r="G2503" t="s">
        <v>79</v>
      </c>
      <c r="H2503" t="s">
        <v>45</v>
      </c>
      <c r="I2503" t="s">
        <v>27</v>
      </c>
      <c r="J2503" s="11">
        <v>45686</v>
      </c>
      <c r="K2503" t="str">
        <f>TEXT(Transactions_Clean[[#This Row],[Date]],"MMM-YYYY")</f>
        <v>Jan-2025</v>
      </c>
      <c r="L2503">
        <f>IF(Transactions_Clean[[#This Row],[Category]]="Revenue",Transactions_Clean[[#This Row],[Amount(₹)]],Transactions_Clean[[#This Row],[Amount(₹)]]/8)</f>
        <v>-7514.75</v>
      </c>
    </row>
    <row r="2504" spans="1:12">
      <c r="A2504" t="s">
        <v>3832</v>
      </c>
      <c r="B2504" t="s">
        <v>224</v>
      </c>
      <c r="C2504" t="s">
        <v>78</v>
      </c>
      <c r="D2504">
        <v>-18924</v>
      </c>
      <c r="E2504" t="s">
        <v>23</v>
      </c>
      <c r="F2504" t="s">
        <v>32</v>
      </c>
      <c r="G2504" t="s">
        <v>79</v>
      </c>
      <c r="H2504" t="s">
        <v>39</v>
      </c>
      <c r="I2504" t="s">
        <v>34</v>
      </c>
      <c r="J2504" s="11">
        <v>45795</v>
      </c>
      <c r="K2504" t="str">
        <f>TEXT(Transactions_Clean[[#This Row],[Date]],"MMM-YYYY")</f>
        <v>May-2025</v>
      </c>
      <c r="L2504">
        <f>IF(Transactions_Clean[[#This Row],[Category]]="Revenue",Transactions_Clean[[#This Row],[Amount(₹)]],Transactions_Clean[[#This Row],[Amount(₹)]]/8)</f>
        <v>-2365.5</v>
      </c>
    </row>
    <row r="2505" spans="1:12">
      <c r="A2505" t="s">
        <v>3833</v>
      </c>
      <c r="B2505" t="s">
        <v>169</v>
      </c>
      <c r="C2505" t="s">
        <v>73</v>
      </c>
      <c r="D2505">
        <v>-70371</v>
      </c>
      <c r="E2505" t="s">
        <v>74</v>
      </c>
      <c r="F2505" t="s">
        <v>24</v>
      </c>
      <c r="G2505" t="s">
        <v>25</v>
      </c>
      <c r="H2505" t="s">
        <v>39</v>
      </c>
      <c r="I2505" t="s">
        <v>34</v>
      </c>
      <c r="J2505" s="11">
        <v>45832</v>
      </c>
      <c r="K2505" t="str">
        <f>TEXT(Transactions_Clean[[#This Row],[Date]],"MMM-YYYY")</f>
        <v>Jun-2025</v>
      </c>
      <c r="L2505">
        <f>IF(Transactions_Clean[[#This Row],[Category]]="Revenue",Transactions_Clean[[#This Row],[Amount(₹)]],Transactions_Clean[[#This Row],[Amount(₹)]]/8)</f>
        <v>-8796.375</v>
      </c>
    </row>
    <row r="2506" spans="1:12">
      <c r="A2506" t="s">
        <v>3835</v>
      </c>
      <c r="B2506" t="s">
        <v>177</v>
      </c>
      <c r="C2506" t="s">
        <v>4750</v>
      </c>
      <c r="D2506">
        <v>-34525</v>
      </c>
      <c r="E2506" t="s">
        <v>23</v>
      </c>
      <c r="F2506" t="s">
        <v>24</v>
      </c>
      <c r="G2506" t="s">
        <v>79</v>
      </c>
      <c r="H2506" t="s">
        <v>26</v>
      </c>
      <c r="I2506" t="s">
        <v>27</v>
      </c>
      <c r="J2506" s="11">
        <v>45321</v>
      </c>
      <c r="K2506" t="str">
        <f>TEXT(Transactions_Clean[[#This Row],[Date]],"MMM-YYYY")</f>
        <v>Jan-2024</v>
      </c>
      <c r="L2506">
        <f>IF(Transactions_Clean[[#This Row],[Category]]="Revenue",Transactions_Clean[[#This Row],[Amount(₹)]],Transactions_Clean[[#This Row],[Amount(₹)]]/8)</f>
        <v>-4315.625</v>
      </c>
    </row>
    <row r="2507" spans="1:12">
      <c r="A2507" t="s">
        <v>3837</v>
      </c>
      <c r="B2507" t="s">
        <v>4757</v>
      </c>
      <c r="C2507" t="s">
        <v>73</v>
      </c>
      <c r="D2507">
        <v>-25093</v>
      </c>
      <c r="E2507" t="s">
        <v>74</v>
      </c>
      <c r="F2507" t="s">
        <v>32</v>
      </c>
      <c r="G2507" t="s">
        <v>25</v>
      </c>
      <c r="H2507" t="s">
        <v>45</v>
      </c>
      <c r="I2507" t="s">
        <v>27</v>
      </c>
      <c r="J2507" s="11">
        <v>45730</v>
      </c>
      <c r="K2507" t="str">
        <f>TEXT(Transactions_Clean[[#This Row],[Date]],"MMM-YYYY")</f>
        <v>Mar-2025</v>
      </c>
      <c r="L2507">
        <f>IF(Transactions_Clean[[#This Row],[Category]]="Revenue",Transactions_Clean[[#This Row],[Amount(₹)]],Transactions_Clean[[#This Row],[Amount(₹)]]/8)</f>
        <v>-3136.625</v>
      </c>
    </row>
    <row r="2508" spans="1:12">
      <c r="A2508" t="s">
        <v>3838</v>
      </c>
      <c r="B2508" t="s">
        <v>4752</v>
      </c>
      <c r="C2508" t="s">
        <v>44</v>
      </c>
      <c r="D2508">
        <v>-98591</v>
      </c>
      <c r="E2508" t="s">
        <v>23</v>
      </c>
      <c r="F2508" t="s">
        <v>32</v>
      </c>
      <c r="G2508" t="s">
        <v>33</v>
      </c>
      <c r="H2508" t="s">
        <v>26</v>
      </c>
      <c r="I2508" t="s">
        <v>40</v>
      </c>
      <c r="J2508" s="11">
        <v>45153</v>
      </c>
      <c r="K2508" t="str">
        <f>TEXT(Transactions_Clean[[#This Row],[Date]],"MMM-YYYY")</f>
        <v>Aug-2023</v>
      </c>
      <c r="L2508">
        <f>IF(Transactions_Clean[[#This Row],[Category]]="Revenue",Transactions_Clean[[#This Row],[Amount(₹)]],Transactions_Clean[[#This Row],[Amount(₹)]]/8)</f>
        <v>-12323.875</v>
      </c>
    </row>
    <row r="2509" spans="1:12">
      <c r="A2509" t="s">
        <v>3839</v>
      </c>
      <c r="B2509" t="s">
        <v>161</v>
      </c>
      <c r="C2509" t="s">
        <v>22</v>
      </c>
      <c r="D2509">
        <v>-199461</v>
      </c>
      <c r="E2509" t="s">
        <v>23</v>
      </c>
      <c r="F2509" t="s">
        <v>24</v>
      </c>
      <c r="G2509" t="s">
        <v>25</v>
      </c>
      <c r="H2509" t="s">
        <v>26</v>
      </c>
      <c r="I2509" t="s">
        <v>27</v>
      </c>
      <c r="J2509" s="11">
        <v>45320</v>
      </c>
      <c r="K2509" t="str">
        <f>TEXT(Transactions_Clean[[#This Row],[Date]],"MMM-YYYY")</f>
        <v>Jan-2024</v>
      </c>
      <c r="L2509">
        <f>IF(Transactions_Clean[[#This Row],[Category]]="Revenue",Transactions_Clean[[#This Row],[Amount(₹)]],Transactions_Clean[[#This Row],[Amount(₹)]]/8)</f>
        <v>-24932.625</v>
      </c>
    </row>
    <row r="2510" spans="1:12">
      <c r="A2510" t="s">
        <v>3840</v>
      </c>
      <c r="B2510" t="s">
        <v>116</v>
      </c>
      <c r="C2510" t="s">
        <v>4750</v>
      </c>
      <c r="D2510">
        <v>-71074</v>
      </c>
      <c r="E2510" t="s">
        <v>74</v>
      </c>
      <c r="F2510" t="s">
        <v>32</v>
      </c>
      <c r="G2510" t="s">
        <v>25</v>
      </c>
      <c r="H2510" t="s">
        <v>39</v>
      </c>
      <c r="I2510" t="s">
        <v>34</v>
      </c>
      <c r="J2510" s="11">
        <v>45828</v>
      </c>
      <c r="K2510" t="str">
        <f>TEXT(Transactions_Clean[[#This Row],[Date]],"MMM-YYYY")</f>
        <v>Jun-2025</v>
      </c>
      <c r="L2510">
        <f>IF(Transactions_Clean[[#This Row],[Category]]="Revenue",Transactions_Clean[[#This Row],[Amount(₹)]],Transactions_Clean[[#This Row],[Amount(₹)]]/8)</f>
        <v>-8884.25</v>
      </c>
    </row>
    <row r="2511" spans="1:12">
      <c r="A2511" t="s">
        <v>3841</v>
      </c>
      <c r="B2511" t="s">
        <v>143</v>
      </c>
      <c r="C2511" t="s">
        <v>78</v>
      </c>
      <c r="D2511">
        <v>-75868</v>
      </c>
      <c r="E2511" t="s">
        <v>23</v>
      </c>
      <c r="F2511" t="s">
        <v>32</v>
      </c>
      <c r="G2511" t="s">
        <v>79</v>
      </c>
      <c r="H2511" t="s">
        <v>45</v>
      </c>
      <c r="I2511" t="s">
        <v>27</v>
      </c>
      <c r="J2511" s="11">
        <v>45672</v>
      </c>
      <c r="K2511" t="str">
        <f>TEXT(Transactions_Clean[[#This Row],[Date]],"MMM-YYYY")</f>
        <v>Jan-2025</v>
      </c>
      <c r="L2511">
        <f>IF(Transactions_Clean[[#This Row],[Category]]="Revenue",Transactions_Clean[[#This Row],[Amount(₹)]],Transactions_Clean[[#This Row],[Amount(₹)]]/8)</f>
        <v>-9483.5</v>
      </c>
    </row>
    <row r="2512" spans="1:12">
      <c r="A2512" t="s">
        <v>3842</v>
      </c>
      <c r="B2512" t="s">
        <v>4751</v>
      </c>
      <c r="C2512" t="s">
        <v>38</v>
      </c>
      <c r="D2512">
        <v>-38704</v>
      </c>
      <c r="E2512" t="s">
        <v>23</v>
      </c>
      <c r="F2512" t="s">
        <v>24</v>
      </c>
      <c r="G2512" t="s">
        <v>33</v>
      </c>
      <c r="H2512" t="s">
        <v>39</v>
      </c>
      <c r="I2512" t="s">
        <v>34</v>
      </c>
      <c r="J2512" s="11">
        <v>45833</v>
      </c>
      <c r="K2512" t="str">
        <f>TEXT(Transactions_Clean[[#This Row],[Date]],"MMM-YYYY")</f>
        <v>Jun-2025</v>
      </c>
      <c r="L2512">
        <f>IF(Transactions_Clean[[#This Row],[Category]]="Revenue",Transactions_Clean[[#This Row],[Amount(₹)]],Transactions_Clean[[#This Row],[Amount(₹)]]/8)</f>
        <v>-4838</v>
      </c>
    </row>
    <row r="2513" spans="1:12">
      <c r="A2513" t="s">
        <v>3843</v>
      </c>
      <c r="B2513" t="s">
        <v>215</v>
      </c>
      <c r="C2513" t="s">
        <v>61</v>
      </c>
      <c r="D2513">
        <v>-43731</v>
      </c>
      <c r="E2513" t="s">
        <v>62</v>
      </c>
      <c r="F2513" t="s">
        <v>24</v>
      </c>
      <c r="G2513" t="s">
        <v>63</v>
      </c>
      <c r="H2513" t="s">
        <v>45</v>
      </c>
      <c r="I2513" t="s">
        <v>34</v>
      </c>
      <c r="J2513" s="11">
        <v>45464</v>
      </c>
      <c r="K2513" t="str">
        <f>TEXT(Transactions_Clean[[#This Row],[Date]],"MMM-YYYY")</f>
        <v>Jun-2024</v>
      </c>
      <c r="L2513">
        <f>IF(Transactions_Clean[[#This Row],[Category]]="Revenue",Transactions_Clean[[#This Row],[Amount(₹)]],Transactions_Clean[[#This Row],[Amount(₹)]]/8)</f>
        <v>-5466.375</v>
      </c>
    </row>
    <row r="2514" spans="1:12">
      <c r="A2514" t="s">
        <v>3844</v>
      </c>
      <c r="B2514" t="s">
        <v>4753</v>
      </c>
      <c r="C2514" t="s">
        <v>4750</v>
      </c>
      <c r="D2514">
        <v>-37847</v>
      </c>
      <c r="E2514" t="s">
        <v>23</v>
      </c>
      <c r="F2514" t="s">
        <v>32</v>
      </c>
      <c r="G2514" t="s">
        <v>33</v>
      </c>
      <c r="H2514" t="s">
        <v>26</v>
      </c>
      <c r="I2514" t="s">
        <v>27</v>
      </c>
      <c r="J2514" s="11">
        <v>45367</v>
      </c>
      <c r="K2514" t="str">
        <f>TEXT(Transactions_Clean[[#This Row],[Date]],"MMM-YYYY")</f>
        <v>Mar-2024</v>
      </c>
      <c r="L2514">
        <f>IF(Transactions_Clean[[#This Row],[Category]]="Revenue",Transactions_Clean[[#This Row],[Amount(₹)]],Transactions_Clean[[#This Row],[Amount(₹)]]/8)</f>
        <v>-4730.875</v>
      </c>
    </row>
    <row r="2515" spans="1:12">
      <c r="A2515" t="s">
        <v>3845</v>
      </c>
      <c r="B2515" t="s">
        <v>60</v>
      </c>
      <c r="C2515" t="s">
        <v>61</v>
      </c>
      <c r="D2515">
        <v>-39517</v>
      </c>
      <c r="E2515" t="s">
        <v>62</v>
      </c>
      <c r="F2515" t="s">
        <v>24</v>
      </c>
      <c r="G2515" t="s">
        <v>63</v>
      </c>
      <c r="H2515" t="s">
        <v>45</v>
      </c>
      <c r="I2515" t="s">
        <v>48</v>
      </c>
      <c r="J2515" s="11">
        <v>45629</v>
      </c>
      <c r="K2515" t="str">
        <f>TEXT(Transactions_Clean[[#This Row],[Date]],"MMM-YYYY")</f>
        <v>Dec-2024</v>
      </c>
      <c r="L2515">
        <f>IF(Transactions_Clean[[#This Row],[Category]]="Revenue",Transactions_Clean[[#This Row],[Amount(₹)]],Transactions_Clean[[#This Row],[Amount(₹)]]/8)</f>
        <v>-4939.625</v>
      </c>
    </row>
    <row r="2516" spans="1:12">
      <c r="A2516" t="s">
        <v>3846</v>
      </c>
      <c r="B2516" t="s">
        <v>4759</v>
      </c>
      <c r="C2516" t="s">
        <v>31</v>
      </c>
      <c r="D2516">
        <v>-43245</v>
      </c>
      <c r="E2516" t="s">
        <v>23</v>
      </c>
      <c r="F2516" t="s">
        <v>32</v>
      </c>
      <c r="G2516" t="s">
        <v>33</v>
      </c>
      <c r="H2516" t="s">
        <v>39</v>
      </c>
      <c r="I2516" t="s">
        <v>34</v>
      </c>
      <c r="J2516" s="11">
        <v>45787</v>
      </c>
      <c r="K2516" t="str">
        <f>TEXT(Transactions_Clean[[#This Row],[Date]],"MMM-YYYY")</f>
        <v>May-2025</v>
      </c>
      <c r="L2516">
        <f>IF(Transactions_Clean[[#This Row],[Category]]="Revenue",Transactions_Clean[[#This Row],[Amount(₹)]],Transactions_Clean[[#This Row],[Amount(₹)]]/8)</f>
        <v>-5405.625</v>
      </c>
    </row>
    <row r="2517" spans="1:12">
      <c r="A2517" t="s">
        <v>3847</v>
      </c>
      <c r="B2517" t="s">
        <v>290</v>
      </c>
      <c r="C2517" t="s">
        <v>440</v>
      </c>
      <c r="D2517">
        <v>-131352</v>
      </c>
      <c r="E2517" t="s">
        <v>23</v>
      </c>
      <c r="F2517" t="s">
        <v>24</v>
      </c>
      <c r="G2517" t="s">
        <v>33</v>
      </c>
      <c r="H2517" t="s">
        <v>45</v>
      </c>
      <c r="I2517" t="s">
        <v>34</v>
      </c>
      <c r="J2517" s="11">
        <v>45386</v>
      </c>
      <c r="K2517" t="str">
        <f>TEXT(Transactions_Clean[[#This Row],[Date]],"MMM-YYYY")</f>
        <v>Apr-2024</v>
      </c>
      <c r="L2517">
        <f>IF(Transactions_Clean[[#This Row],[Category]]="Revenue",Transactions_Clean[[#This Row],[Amount(₹)]],Transactions_Clean[[#This Row],[Amount(₹)]]/8)</f>
        <v>-16419</v>
      </c>
    </row>
    <row r="2518" spans="1:12">
      <c r="A2518" t="s">
        <v>3848</v>
      </c>
      <c r="B2518" t="s">
        <v>4753</v>
      </c>
      <c r="C2518" t="s">
        <v>38</v>
      </c>
      <c r="D2518">
        <v>-30248</v>
      </c>
      <c r="E2518" t="s">
        <v>23</v>
      </c>
      <c r="F2518" t="s">
        <v>32</v>
      </c>
      <c r="G2518" t="s">
        <v>33</v>
      </c>
      <c r="H2518" t="s">
        <v>39</v>
      </c>
      <c r="I2518" t="s">
        <v>48</v>
      </c>
      <c r="J2518" s="11">
        <v>45947</v>
      </c>
      <c r="K2518" t="str">
        <f>TEXT(Transactions_Clean[[#This Row],[Date]],"MMM-YYYY")</f>
        <v>Oct-2025</v>
      </c>
      <c r="L2518">
        <f>IF(Transactions_Clean[[#This Row],[Category]]="Revenue",Transactions_Clean[[#This Row],[Amount(₹)]],Transactions_Clean[[#This Row],[Amount(₹)]]/8)</f>
        <v>-3781</v>
      </c>
    </row>
    <row r="2519" spans="1:12">
      <c r="A2519" t="s">
        <v>3850</v>
      </c>
      <c r="B2519" t="s">
        <v>72</v>
      </c>
      <c r="C2519" t="s">
        <v>73</v>
      </c>
      <c r="D2519">
        <v>-73735</v>
      </c>
      <c r="E2519" t="s">
        <v>74</v>
      </c>
      <c r="F2519" t="s">
        <v>32</v>
      </c>
      <c r="G2519" t="s">
        <v>25</v>
      </c>
      <c r="H2519" t="s">
        <v>45</v>
      </c>
      <c r="I2519" t="s">
        <v>48</v>
      </c>
      <c r="J2519" s="11">
        <v>45570</v>
      </c>
      <c r="K2519" t="str">
        <f>TEXT(Transactions_Clean[[#This Row],[Date]],"MMM-YYYY")</f>
        <v>Oct-2024</v>
      </c>
      <c r="L2519">
        <f>IF(Transactions_Clean[[#This Row],[Category]]="Revenue",Transactions_Clean[[#This Row],[Amount(₹)]],Transactions_Clean[[#This Row],[Amount(₹)]]/8)</f>
        <v>-9216.875</v>
      </c>
    </row>
    <row r="2520" spans="1:12">
      <c r="A2520" t="s">
        <v>3851</v>
      </c>
      <c r="B2520" t="s">
        <v>4773</v>
      </c>
      <c r="C2520" t="s">
        <v>157</v>
      </c>
      <c r="D2520">
        <v>760655</v>
      </c>
      <c r="E2520" t="s">
        <v>62</v>
      </c>
      <c r="F2520" t="s">
        <v>32</v>
      </c>
      <c r="G2520" t="s">
        <v>25</v>
      </c>
      <c r="H2520" t="s">
        <v>39</v>
      </c>
      <c r="I2520" t="s">
        <v>48</v>
      </c>
      <c r="J2520" s="11">
        <v>46010</v>
      </c>
      <c r="K2520" t="str">
        <f>TEXT(Transactions_Clean[[#This Row],[Date]],"MMM-YYYY")</f>
        <v>Dec-2025</v>
      </c>
      <c r="L2520">
        <f>IF(Transactions_Clean[[#This Row],[Category]]="Revenue",Transactions_Clean[[#This Row],[Amount(₹)]],Transactions_Clean[[#This Row],[Amount(₹)]]/8)</f>
        <v>760655</v>
      </c>
    </row>
    <row r="2521" spans="1:12">
      <c r="A2521" t="s">
        <v>3852</v>
      </c>
      <c r="B2521" t="s">
        <v>215</v>
      </c>
      <c r="C2521" t="s">
        <v>61</v>
      </c>
      <c r="D2521">
        <v>-21422</v>
      </c>
      <c r="E2521" t="s">
        <v>62</v>
      </c>
      <c r="F2521" t="s">
        <v>32</v>
      </c>
      <c r="G2521" t="s">
        <v>63</v>
      </c>
      <c r="H2521" t="s">
        <v>45</v>
      </c>
      <c r="I2521" t="s">
        <v>48</v>
      </c>
      <c r="J2521" s="11">
        <v>45591</v>
      </c>
      <c r="K2521" t="str">
        <f>TEXT(Transactions_Clean[[#This Row],[Date]],"MMM-YYYY")</f>
        <v>Oct-2024</v>
      </c>
      <c r="L2521">
        <f>IF(Transactions_Clean[[#This Row],[Category]]="Revenue",Transactions_Clean[[#This Row],[Amount(₹)]],Transactions_Clean[[#This Row],[Amount(₹)]]/8)</f>
        <v>-2677.75</v>
      </c>
    </row>
    <row r="2522" spans="1:12">
      <c r="A2522" t="s">
        <v>3853</v>
      </c>
      <c r="B2522" t="s">
        <v>4764</v>
      </c>
      <c r="C2522" t="s">
        <v>157</v>
      </c>
      <c r="D2522">
        <v>620889</v>
      </c>
      <c r="E2522" t="s">
        <v>62</v>
      </c>
      <c r="F2522" t="s">
        <v>32</v>
      </c>
      <c r="G2522" t="s">
        <v>25</v>
      </c>
      <c r="H2522" t="s">
        <v>45</v>
      </c>
      <c r="I2522" t="s">
        <v>40</v>
      </c>
      <c r="J2522" s="11">
        <v>45524</v>
      </c>
      <c r="K2522" t="str">
        <f>TEXT(Transactions_Clean[[#This Row],[Date]],"MMM-YYYY")</f>
        <v>Aug-2024</v>
      </c>
      <c r="L2522">
        <f>IF(Transactions_Clean[[#This Row],[Category]]="Revenue",Transactions_Clean[[#This Row],[Amount(₹)]],Transactions_Clean[[#This Row],[Amount(₹)]]/8)</f>
        <v>620889</v>
      </c>
    </row>
    <row r="2523" spans="1:12">
      <c r="A2523" t="s">
        <v>3854</v>
      </c>
      <c r="B2523" t="s">
        <v>37</v>
      </c>
      <c r="C2523" t="s">
        <v>38</v>
      </c>
      <c r="D2523">
        <v>-41645</v>
      </c>
      <c r="E2523" t="s">
        <v>23</v>
      </c>
      <c r="F2523" t="s">
        <v>24</v>
      </c>
      <c r="G2523" t="s">
        <v>33</v>
      </c>
      <c r="H2523" t="s">
        <v>45</v>
      </c>
      <c r="I2523" t="s">
        <v>27</v>
      </c>
      <c r="J2523" s="11">
        <v>45691</v>
      </c>
      <c r="K2523" t="str">
        <f>TEXT(Transactions_Clean[[#This Row],[Date]],"MMM-YYYY")</f>
        <v>Feb-2025</v>
      </c>
      <c r="L2523">
        <f>IF(Transactions_Clean[[#This Row],[Category]]="Revenue",Transactions_Clean[[#This Row],[Amount(₹)]],Transactions_Clean[[#This Row],[Amount(₹)]]/8)</f>
        <v>-5205.625</v>
      </c>
    </row>
    <row r="2524" spans="1:12">
      <c r="A2524" t="s">
        <v>3855</v>
      </c>
      <c r="B2524" t="s">
        <v>4771</v>
      </c>
      <c r="C2524" t="s">
        <v>440</v>
      </c>
      <c r="D2524">
        <v>-129432</v>
      </c>
      <c r="E2524" t="s">
        <v>23</v>
      </c>
      <c r="F2524" t="s">
        <v>24</v>
      </c>
      <c r="G2524" t="s">
        <v>33</v>
      </c>
      <c r="H2524" t="s">
        <v>26</v>
      </c>
      <c r="I2524" t="s">
        <v>48</v>
      </c>
      <c r="J2524" s="11">
        <v>45279</v>
      </c>
      <c r="K2524" t="str">
        <f>TEXT(Transactions_Clean[[#This Row],[Date]],"MMM-YYYY")</f>
        <v>Dec-2023</v>
      </c>
      <c r="L2524">
        <f>IF(Transactions_Clean[[#This Row],[Category]]="Revenue",Transactions_Clean[[#This Row],[Amount(₹)]],Transactions_Clean[[#This Row],[Amount(₹)]]/8)</f>
        <v>-16179</v>
      </c>
    </row>
    <row r="2525" spans="1:12">
      <c r="A2525" t="s">
        <v>3856</v>
      </c>
      <c r="B2525" t="s">
        <v>687</v>
      </c>
      <c r="C2525" t="s">
        <v>44</v>
      </c>
      <c r="D2525">
        <v>-92829</v>
      </c>
      <c r="E2525" t="s">
        <v>23</v>
      </c>
      <c r="F2525" t="s">
        <v>24</v>
      </c>
      <c r="G2525" t="s">
        <v>33</v>
      </c>
      <c r="H2525" t="s">
        <v>39</v>
      </c>
      <c r="I2525" t="s">
        <v>40</v>
      </c>
      <c r="J2525" s="11">
        <v>45907</v>
      </c>
      <c r="K2525" t="str">
        <f>TEXT(Transactions_Clean[[#This Row],[Date]],"MMM-YYYY")</f>
        <v>Sep-2025</v>
      </c>
      <c r="L2525">
        <f>IF(Transactions_Clean[[#This Row],[Category]]="Revenue",Transactions_Clean[[#This Row],[Amount(₹)]],Transactions_Clean[[#This Row],[Amount(₹)]]/8)</f>
        <v>-11603.625</v>
      </c>
    </row>
    <row r="2526" spans="1:12">
      <c r="A2526" t="s">
        <v>3857</v>
      </c>
      <c r="B2526" t="s">
        <v>305</v>
      </c>
      <c r="C2526" t="s">
        <v>38</v>
      </c>
      <c r="D2526">
        <v>-13249</v>
      </c>
      <c r="E2526" t="s">
        <v>23</v>
      </c>
      <c r="F2526" t="s">
        <v>24</v>
      </c>
      <c r="G2526" t="s">
        <v>33</v>
      </c>
      <c r="H2526" t="s">
        <v>26</v>
      </c>
      <c r="I2526" t="s">
        <v>27</v>
      </c>
      <c r="J2526" s="11">
        <v>45349</v>
      </c>
      <c r="K2526" t="str">
        <f>TEXT(Transactions_Clean[[#This Row],[Date]],"MMM-YYYY")</f>
        <v>Feb-2024</v>
      </c>
      <c r="L2526">
        <f>IF(Transactions_Clean[[#This Row],[Category]]="Revenue",Transactions_Clean[[#This Row],[Amount(₹)]],Transactions_Clean[[#This Row],[Amount(₹)]]/8)</f>
        <v>-1656.125</v>
      </c>
    </row>
    <row r="2527" spans="1:12">
      <c r="A2527" t="s">
        <v>3858</v>
      </c>
      <c r="B2527" t="s">
        <v>4752</v>
      </c>
      <c r="C2527" t="s">
        <v>44</v>
      </c>
      <c r="D2527">
        <v>-119033</v>
      </c>
      <c r="E2527" t="s">
        <v>23</v>
      </c>
      <c r="F2527" t="s">
        <v>32</v>
      </c>
      <c r="G2527" t="s">
        <v>33</v>
      </c>
      <c r="H2527" t="s">
        <v>39</v>
      </c>
      <c r="I2527" t="s">
        <v>40</v>
      </c>
      <c r="J2527" s="11">
        <v>45909</v>
      </c>
      <c r="K2527" t="str">
        <f>TEXT(Transactions_Clean[[#This Row],[Date]],"MMM-YYYY")</f>
        <v>Sep-2025</v>
      </c>
      <c r="L2527">
        <f>IF(Transactions_Clean[[#This Row],[Category]]="Revenue",Transactions_Clean[[#This Row],[Amount(₹)]],Transactions_Clean[[#This Row],[Amount(₹)]]/8)</f>
        <v>-14879.125</v>
      </c>
    </row>
    <row r="2528" spans="1:12">
      <c r="A2528" t="s">
        <v>3859</v>
      </c>
      <c r="B2528" t="s">
        <v>4749</v>
      </c>
      <c r="C2528" t="s">
        <v>44</v>
      </c>
      <c r="D2528">
        <v>-65236</v>
      </c>
      <c r="E2528" t="s">
        <v>23</v>
      </c>
      <c r="F2528" t="s">
        <v>32</v>
      </c>
      <c r="G2528" t="s">
        <v>33</v>
      </c>
      <c r="H2528" t="s">
        <v>26</v>
      </c>
      <c r="I2528" t="s">
        <v>34</v>
      </c>
      <c r="J2528" s="11">
        <v>45045</v>
      </c>
      <c r="K2528" t="str">
        <f>TEXT(Transactions_Clean[[#This Row],[Date]],"MMM-YYYY")</f>
        <v>Apr-2023</v>
      </c>
      <c r="L2528">
        <f>IF(Transactions_Clean[[#This Row],[Category]]="Revenue",Transactions_Clean[[#This Row],[Amount(₹)]],Transactions_Clean[[#This Row],[Amount(₹)]]/8)</f>
        <v>-8154.5</v>
      </c>
    </row>
    <row r="2529" spans="1:12">
      <c r="A2529" t="s">
        <v>3860</v>
      </c>
      <c r="B2529" t="s">
        <v>66</v>
      </c>
      <c r="C2529" t="s">
        <v>61</v>
      </c>
      <c r="D2529">
        <v>-55478</v>
      </c>
      <c r="E2529" t="s">
        <v>62</v>
      </c>
      <c r="F2529" t="s">
        <v>32</v>
      </c>
      <c r="G2529" t="s">
        <v>63</v>
      </c>
      <c r="H2529" t="s">
        <v>26</v>
      </c>
      <c r="I2529" t="s">
        <v>48</v>
      </c>
      <c r="J2529" s="11">
        <v>45246</v>
      </c>
      <c r="K2529" t="str">
        <f>TEXT(Transactions_Clean[[#This Row],[Date]],"MMM-YYYY")</f>
        <v>Nov-2023</v>
      </c>
      <c r="L2529">
        <f>IF(Transactions_Clean[[#This Row],[Category]]="Revenue",Transactions_Clean[[#This Row],[Amount(₹)]],Transactions_Clean[[#This Row],[Amount(₹)]]/8)</f>
        <v>-6934.75</v>
      </c>
    </row>
    <row r="2530" spans="1:12">
      <c r="A2530" t="s">
        <v>3861</v>
      </c>
      <c r="B2530" t="s">
        <v>161</v>
      </c>
      <c r="C2530" t="s">
        <v>22</v>
      </c>
      <c r="D2530">
        <v>-86165</v>
      </c>
      <c r="E2530" t="s">
        <v>23</v>
      </c>
      <c r="F2530" t="s">
        <v>32</v>
      </c>
      <c r="G2530" t="s">
        <v>25</v>
      </c>
      <c r="H2530" t="s">
        <v>45</v>
      </c>
      <c r="I2530" t="s">
        <v>48</v>
      </c>
      <c r="J2530" s="11">
        <v>45625</v>
      </c>
      <c r="K2530" t="str">
        <f>TEXT(Transactions_Clean[[#This Row],[Date]],"MMM-YYYY")</f>
        <v>Nov-2024</v>
      </c>
      <c r="L2530">
        <f>IF(Transactions_Clean[[#This Row],[Category]]="Revenue",Transactions_Clean[[#This Row],[Amount(₹)]],Transactions_Clean[[#This Row],[Amount(₹)]]/8)</f>
        <v>-10770.625</v>
      </c>
    </row>
    <row r="2531" spans="1:12">
      <c r="A2531" t="s">
        <v>3862</v>
      </c>
      <c r="B2531" t="s">
        <v>66</v>
      </c>
      <c r="C2531" t="s">
        <v>61</v>
      </c>
      <c r="D2531">
        <v>-52535</v>
      </c>
      <c r="E2531" t="s">
        <v>62</v>
      </c>
      <c r="F2531" t="s">
        <v>32</v>
      </c>
      <c r="G2531" t="s">
        <v>63</v>
      </c>
      <c r="H2531" t="s">
        <v>26</v>
      </c>
      <c r="I2531" t="s">
        <v>34</v>
      </c>
      <c r="J2531" s="11">
        <v>45045</v>
      </c>
      <c r="K2531" t="str">
        <f>TEXT(Transactions_Clean[[#This Row],[Date]],"MMM-YYYY")</f>
        <v>Apr-2023</v>
      </c>
      <c r="L2531">
        <f>IF(Transactions_Clean[[#This Row],[Category]]="Revenue",Transactions_Clean[[#This Row],[Amount(₹)]],Transactions_Clean[[#This Row],[Amount(₹)]]/8)</f>
        <v>-6566.875</v>
      </c>
    </row>
    <row r="2532" spans="1:12">
      <c r="A2532" t="s">
        <v>3863</v>
      </c>
      <c r="B2532" t="s">
        <v>4755</v>
      </c>
      <c r="C2532" t="s">
        <v>78</v>
      </c>
      <c r="D2532">
        <v>-39952</v>
      </c>
      <c r="E2532" t="s">
        <v>23</v>
      </c>
      <c r="F2532" t="s">
        <v>32</v>
      </c>
      <c r="G2532" t="s">
        <v>79</v>
      </c>
      <c r="H2532" t="s">
        <v>39</v>
      </c>
      <c r="I2532" t="s">
        <v>34</v>
      </c>
      <c r="J2532" s="11">
        <v>45781</v>
      </c>
      <c r="K2532" t="str">
        <f>TEXT(Transactions_Clean[[#This Row],[Date]],"MMM-YYYY")</f>
        <v>May-2025</v>
      </c>
      <c r="L2532">
        <f>IF(Transactions_Clean[[#This Row],[Category]]="Revenue",Transactions_Clean[[#This Row],[Amount(₹)]],Transactions_Clean[[#This Row],[Amount(₹)]]/8)</f>
        <v>-4994</v>
      </c>
    </row>
    <row r="2533" spans="1:12">
      <c r="A2533" t="s">
        <v>3864</v>
      </c>
      <c r="B2533" t="s">
        <v>4758</v>
      </c>
      <c r="C2533" t="s">
        <v>78</v>
      </c>
      <c r="D2533">
        <v>-114071</v>
      </c>
      <c r="E2533" t="s">
        <v>23</v>
      </c>
      <c r="F2533" t="s">
        <v>32</v>
      </c>
      <c r="G2533" t="s">
        <v>79</v>
      </c>
      <c r="H2533" t="s">
        <v>45</v>
      </c>
      <c r="I2533" t="s">
        <v>40</v>
      </c>
      <c r="J2533" s="11">
        <v>45509</v>
      </c>
      <c r="K2533" t="str">
        <f>TEXT(Transactions_Clean[[#This Row],[Date]],"MMM-YYYY")</f>
        <v>Aug-2024</v>
      </c>
      <c r="L2533">
        <f>IF(Transactions_Clean[[#This Row],[Category]]="Revenue",Transactions_Clean[[#This Row],[Amount(₹)]],Transactions_Clean[[#This Row],[Amount(₹)]]/8)</f>
        <v>-14258.875</v>
      </c>
    </row>
    <row r="2534" spans="1:12">
      <c r="A2534" t="s">
        <v>3865</v>
      </c>
      <c r="B2534" t="s">
        <v>4754</v>
      </c>
      <c r="C2534" t="s">
        <v>78</v>
      </c>
      <c r="D2534">
        <v>-65001</v>
      </c>
      <c r="E2534" t="s">
        <v>23</v>
      </c>
      <c r="F2534" t="s">
        <v>32</v>
      </c>
      <c r="G2534" t="s">
        <v>79</v>
      </c>
      <c r="H2534" t="s">
        <v>39</v>
      </c>
      <c r="I2534" t="s">
        <v>48</v>
      </c>
      <c r="J2534" s="11">
        <v>45998</v>
      </c>
      <c r="K2534" t="str">
        <f>TEXT(Transactions_Clean[[#This Row],[Date]],"MMM-YYYY")</f>
        <v>Dec-2025</v>
      </c>
      <c r="L2534">
        <f>IF(Transactions_Clean[[#This Row],[Category]]="Revenue",Transactions_Clean[[#This Row],[Amount(₹)]],Transactions_Clean[[#This Row],[Amount(₹)]]/8)</f>
        <v>-8125.125</v>
      </c>
    </row>
    <row r="2535" spans="1:12">
      <c r="A2535" t="s">
        <v>3866</v>
      </c>
      <c r="B2535" t="s">
        <v>100</v>
      </c>
      <c r="C2535" t="s">
        <v>4750</v>
      </c>
      <c r="D2535">
        <v>-34458</v>
      </c>
      <c r="E2535" t="s">
        <v>23</v>
      </c>
      <c r="F2535" t="s">
        <v>32</v>
      </c>
      <c r="G2535" t="s">
        <v>33</v>
      </c>
      <c r="H2535" t="s">
        <v>45</v>
      </c>
      <c r="I2535" t="s">
        <v>48</v>
      </c>
      <c r="J2535" s="11">
        <v>45575</v>
      </c>
      <c r="K2535" t="str">
        <f>TEXT(Transactions_Clean[[#This Row],[Date]],"MMM-YYYY")</f>
        <v>Oct-2024</v>
      </c>
      <c r="L2535">
        <f>IF(Transactions_Clean[[#This Row],[Category]]="Revenue",Transactions_Clean[[#This Row],[Amount(₹)]],Transactions_Clean[[#This Row],[Amount(₹)]]/8)</f>
        <v>-4307.25</v>
      </c>
    </row>
    <row r="2536" spans="1:12">
      <c r="A2536" t="s">
        <v>3867</v>
      </c>
      <c r="B2536" t="s">
        <v>161</v>
      </c>
      <c r="C2536" t="s">
        <v>22</v>
      </c>
      <c r="D2536">
        <v>-59797</v>
      </c>
      <c r="E2536" t="s">
        <v>23</v>
      </c>
      <c r="F2536" t="s">
        <v>32</v>
      </c>
      <c r="G2536" t="s">
        <v>25</v>
      </c>
      <c r="H2536" t="s">
        <v>45</v>
      </c>
      <c r="I2536" t="s">
        <v>48</v>
      </c>
      <c r="J2536" s="11">
        <v>45647</v>
      </c>
      <c r="K2536" t="str">
        <f>TEXT(Transactions_Clean[[#This Row],[Date]],"MMM-YYYY")</f>
        <v>Dec-2024</v>
      </c>
      <c r="L2536">
        <f>IF(Transactions_Clean[[#This Row],[Category]]="Revenue",Transactions_Clean[[#This Row],[Amount(₹)]],Transactions_Clean[[#This Row],[Amount(₹)]]/8)</f>
        <v>-7474.625</v>
      </c>
    </row>
    <row r="2537" spans="1:12">
      <c r="A2537" t="s">
        <v>3869</v>
      </c>
      <c r="B2537" t="s">
        <v>66</v>
      </c>
      <c r="C2537" t="s">
        <v>61</v>
      </c>
      <c r="D2537">
        <v>-49393</v>
      </c>
      <c r="E2537" t="s">
        <v>62</v>
      </c>
      <c r="F2537" t="s">
        <v>32</v>
      </c>
      <c r="G2537" t="s">
        <v>63</v>
      </c>
      <c r="H2537" t="s">
        <v>45</v>
      </c>
      <c r="I2537" t="s">
        <v>48</v>
      </c>
      <c r="J2537" s="11">
        <v>45620</v>
      </c>
      <c r="K2537" t="str">
        <f>TEXT(Transactions_Clean[[#This Row],[Date]],"MMM-YYYY")</f>
        <v>Nov-2024</v>
      </c>
      <c r="L2537">
        <f>IF(Transactions_Clean[[#This Row],[Category]]="Revenue",Transactions_Clean[[#This Row],[Amount(₹)]],Transactions_Clean[[#This Row],[Amount(₹)]]/8)</f>
        <v>-6174.125</v>
      </c>
    </row>
    <row r="2538" spans="1:12">
      <c r="A2538" t="s">
        <v>3870</v>
      </c>
      <c r="B2538" t="s">
        <v>169</v>
      </c>
      <c r="C2538" t="s">
        <v>73</v>
      </c>
      <c r="D2538">
        <v>-36913</v>
      </c>
      <c r="E2538" t="s">
        <v>74</v>
      </c>
      <c r="F2538" t="s">
        <v>24</v>
      </c>
      <c r="G2538" t="s">
        <v>25</v>
      </c>
      <c r="H2538" t="s">
        <v>26</v>
      </c>
      <c r="I2538" t="s">
        <v>48</v>
      </c>
      <c r="J2538" s="11">
        <v>45239</v>
      </c>
      <c r="K2538" t="str">
        <f>TEXT(Transactions_Clean[[#This Row],[Date]],"MMM-YYYY")</f>
        <v>Nov-2023</v>
      </c>
      <c r="L2538">
        <f>IF(Transactions_Clean[[#This Row],[Category]]="Revenue",Transactions_Clean[[#This Row],[Amount(₹)]],Transactions_Clean[[#This Row],[Amount(₹)]]/8)</f>
        <v>-4614.125</v>
      </c>
    </row>
    <row r="2539" spans="1:12">
      <c r="A2539" t="s">
        <v>3871</v>
      </c>
      <c r="B2539" t="s">
        <v>169</v>
      </c>
      <c r="C2539" t="s">
        <v>73</v>
      </c>
      <c r="D2539">
        <v>-9925</v>
      </c>
      <c r="E2539" t="s">
        <v>74</v>
      </c>
      <c r="F2539" t="s">
        <v>24</v>
      </c>
      <c r="G2539" t="s">
        <v>25</v>
      </c>
      <c r="H2539" t="s">
        <v>39</v>
      </c>
      <c r="I2539" t="s">
        <v>40</v>
      </c>
      <c r="J2539" s="11">
        <v>45879</v>
      </c>
      <c r="K2539" t="str">
        <f>TEXT(Transactions_Clean[[#This Row],[Date]],"MMM-YYYY")</f>
        <v>Aug-2025</v>
      </c>
      <c r="L2539">
        <f>IF(Transactions_Clean[[#This Row],[Category]]="Revenue",Transactions_Clean[[#This Row],[Amount(₹)]],Transactions_Clean[[#This Row],[Amount(₹)]]/8)</f>
        <v>-1240.625</v>
      </c>
    </row>
    <row r="2540" spans="1:12">
      <c r="A2540" t="s">
        <v>3872</v>
      </c>
      <c r="B2540" t="s">
        <v>4757</v>
      </c>
      <c r="C2540" t="s">
        <v>73</v>
      </c>
      <c r="D2540">
        <v>-72312</v>
      </c>
      <c r="E2540" t="s">
        <v>74</v>
      </c>
      <c r="F2540" t="s">
        <v>24</v>
      </c>
      <c r="G2540" t="s">
        <v>25</v>
      </c>
      <c r="H2540" t="s">
        <v>45</v>
      </c>
      <c r="I2540" t="s">
        <v>40</v>
      </c>
      <c r="J2540" s="11">
        <v>45528</v>
      </c>
      <c r="K2540" t="str">
        <f>TEXT(Transactions_Clean[[#This Row],[Date]],"MMM-YYYY")</f>
        <v>Aug-2024</v>
      </c>
      <c r="L2540">
        <f>IF(Transactions_Clean[[#This Row],[Category]]="Revenue",Transactions_Clean[[#This Row],[Amount(₹)]],Transactions_Clean[[#This Row],[Amount(₹)]]/8)</f>
        <v>-9039</v>
      </c>
    </row>
    <row r="2541" spans="1:12">
      <c r="A2541" t="s">
        <v>3873</v>
      </c>
      <c r="B2541" t="s">
        <v>215</v>
      </c>
      <c r="C2541" t="s">
        <v>61</v>
      </c>
      <c r="D2541">
        <v>-45134</v>
      </c>
      <c r="E2541" t="s">
        <v>62</v>
      </c>
      <c r="F2541" t="s">
        <v>24</v>
      </c>
      <c r="G2541" t="s">
        <v>63</v>
      </c>
      <c r="H2541" t="s">
        <v>45</v>
      </c>
      <c r="I2541" t="s">
        <v>27</v>
      </c>
      <c r="J2541" s="11">
        <v>45660</v>
      </c>
      <c r="K2541" t="str">
        <f>TEXT(Transactions_Clean[[#This Row],[Date]],"MMM-YYYY")</f>
        <v>Jan-2025</v>
      </c>
      <c r="L2541">
        <f>IF(Transactions_Clean[[#This Row],[Category]]="Revenue",Transactions_Clean[[#This Row],[Amount(₹)]],Transactions_Clean[[#This Row],[Amount(₹)]]/8)</f>
        <v>-5641.75</v>
      </c>
    </row>
    <row r="2542" spans="1:12">
      <c r="A2542" t="s">
        <v>3874</v>
      </c>
      <c r="B2542" t="s">
        <v>4756</v>
      </c>
      <c r="C2542" t="s">
        <v>73</v>
      </c>
      <c r="D2542">
        <v>-14695</v>
      </c>
      <c r="E2542" t="s">
        <v>74</v>
      </c>
      <c r="F2542" t="s">
        <v>24</v>
      </c>
      <c r="G2542" t="s">
        <v>25</v>
      </c>
      <c r="H2542" t="s">
        <v>45</v>
      </c>
      <c r="I2542" t="s">
        <v>48</v>
      </c>
      <c r="J2542" s="11">
        <v>45607</v>
      </c>
      <c r="K2542" t="str">
        <f>TEXT(Transactions_Clean[[#This Row],[Date]],"MMM-YYYY")</f>
        <v>Nov-2024</v>
      </c>
      <c r="L2542">
        <f>IF(Transactions_Clean[[#This Row],[Category]]="Revenue",Transactions_Clean[[#This Row],[Amount(₹)]],Transactions_Clean[[#This Row],[Amount(₹)]]/8)</f>
        <v>-1836.875</v>
      </c>
    </row>
    <row r="2543" spans="1:12">
      <c r="A2543" t="s">
        <v>3876</v>
      </c>
      <c r="B2543" t="s">
        <v>4751</v>
      </c>
      <c r="C2543" t="s">
        <v>38</v>
      </c>
      <c r="D2543">
        <v>-19258</v>
      </c>
      <c r="E2543" t="s">
        <v>23</v>
      </c>
      <c r="F2543" t="s">
        <v>32</v>
      </c>
      <c r="G2543" t="s">
        <v>33</v>
      </c>
      <c r="H2543" t="s">
        <v>39</v>
      </c>
      <c r="I2543" t="s">
        <v>27</v>
      </c>
      <c r="J2543" s="11">
        <v>46078</v>
      </c>
      <c r="K2543" t="str">
        <f>TEXT(Transactions_Clean[[#This Row],[Date]],"MMM-YYYY")</f>
        <v>Feb-2026</v>
      </c>
      <c r="L2543">
        <f>IF(Transactions_Clean[[#This Row],[Category]]="Revenue",Transactions_Clean[[#This Row],[Amount(₹)]],Transactions_Clean[[#This Row],[Amount(₹)]]/8)</f>
        <v>-2407.25</v>
      </c>
    </row>
    <row r="2544" spans="1:12">
      <c r="A2544" t="s">
        <v>3877</v>
      </c>
      <c r="B2544" t="s">
        <v>30</v>
      </c>
      <c r="C2544" t="s">
        <v>31</v>
      </c>
      <c r="D2544">
        <v>-17487</v>
      </c>
      <c r="E2544" t="s">
        <v>23</v>
      </c>
      <c r="F2544" t="s">
        <v>32</v>
      </c>
      <c r="G2544" t="s">
        <v>33</v>
      </c>
      <c r="H2544" t="s">
        <v>26</v>
      </c>
      <c r="I2544" t="s">
        <v>27</v>
      </c>
      <c r="J2544" s="11">
        <v>45359</v>
      </c>
      <c r="K2544" t="str">
        <f>TEXT(Transactions_Clean[[#This Row],[Date]],"MMM-YYYY")</f>
        <v>Mar-2024</v>
      </c>
      <c r="L2544">
        <f>IF(Transactions_Clean[[#This Row],[Category]]="Revenue",Transactions_Clean[[#This Row],[Amount(₹)]],Transactions_Clean[[#This Row],[Amount(₹)]]/8)</f>
        <v>-2185.875</v>
      </c>
    </row>
    <row r="2545" spans="1:12">
      <c r="A2545" t="s">
        <v>3879</v>
      </c>
      <c r="B2545" t="s">
        <v>106</v>
      </c>
      <c r="C2545" t="s">
        <v>31</v>
      </c>
      <c r="D2545">
        <v>-31610</v>
      </c>
      <c r="E2545" t="s">
        <v>23</v>
      </c>
      <c r="F2545" t="s">
        <v>32</v>
      </c>
      <c r="G2545" t="s">
        <v>33</v>
      </c>
      <c r="H2545" t="s">
        <v>39</v>
      </c>
      <c r="I2545" t="s">
        <v>48</v>
      </c>
      <c r="J2545" s="11">
        <v>45789</v>
      </c>
      <c r="K2545" t="str">
        <f>TEXT(Transactions_Clean[[#This Row],[Date]],"MMM-YYYY")</f>
        <v>May-2025</v>
      </c>
      <c r="L2545">
        <f>IF(Transactions_Clean[[#This Row],[Category]]="Revenue",Transactions_Clean[[#This Row],[Amount(₹)]],Transactions_Clean[[#This Row],[Amount(₹)]]/8)</f>
        <v>-3951.25</v>
      </c>
    </row>
    <row r="2546" spans="1:12">
      <c r="A2546" t="s">
        <v>3881</v>
      </c>
      <c r="B2546" t="s">
        <v>116</v>
      </c>
      <c r="C2546" t="s">
        <v>4750</v>
      </c>
      <c r="D2546">
        <v>-45762</v>
      </c>
      <c r="E2546" t="s">
        <v>74</v>
      </c>
      <c r="F2546" t="s">
        <v>24</v>
      </c>
      <c r="G2546" t="s">
        <v>25</v>
      </c>
      <c r="H2546" t="s">
        <v>26</v>
      </c>
      <c r="I2546" t="s">
        <v>34</v>
      </c>
      <c r="J2546" s="11">
        <v>45085</v>
      </c>
      <c r="K2546" t="str">
        <f>TEXT(Transactions_Clean[[#This Row],[Date]],"MMM-YYYY")</f>
        <v>Jun-2023</v>
      </c>
      <c r="L2546">
        <f>IF(Transactions_Clean[[#This Row],[Category]]="Revenue",Transactions_Clean[[#This Row],[Amount(₹)]],Transactions_Clean[[#This Row],[Amount(₹)]]/8)</f>
        <v>-5720.25</v>
      </c>
    </row>
    <row r="2547" spans="1:12">
      <c r="A2547" t="s">
        <v>3882</v>
      </c>
      <c r="B2547" t="s">
        <v>935</v>
      </c>
      <c r="C2547" t="s">
        <v>22</v>
      </c>
      <c r="D2547">
        <v>-103027</v>
      </c>
      <c r="E2547" t="s">
        <v>23</v>
      </c>
      <c r="F2547" t="s">
        <v>24</v>
      </c>
      <c r="G2547" t="s">
        <v>25</v>
      </c>
      <c r="H2547" t="s">
        <v>45</v>
      </c>
      <c r="I2547" t="s">
        <v>34</v>
      </c>
      <c r="J2547" s="11">
        <v>45433</v>
      </c>
      <c r="K2547" t="str">
        <f>TEXT(Transactions_Clean[[#This Row],[Date]],"MMM-YYYY")</f>
        <v>May-2024</v>
      </c>
      <c r="L2547">
        <f>IF(Transactions_Clean[[#This Row],[Category]]="Revenue",Transactions_Clean[[#This Row],[Amount(₹)]],Transactions_Clean[[#This Row],[Amount(₹)]]/8)</f>
        <v>-12878.375</v>
      </c>
    </row>
    <row r="2548" spans="1:12">
      <c r="A2548" t="s">
        <v>3883</v>
      </c>
      <c r="B2548" t="s">
        <v>60</v>
      </c>
      <c r="C2548" t="s">
        <v>61</v>
      </c>
      <c r="D2548">
        <v>-34945</v>
      </c>
      <c r="E2548" t="s">
        <v>62</v>
      </c>
      <c r="F2548" t="s">
        <v>32</v>
      </c>
      <c r="G2548" t="s">
        <v>63</v>
      </c>
      <c r="H2548" t="s">
        <v>45</v>
      </c>
      <c r="I2548" t="s">
        <v>27</v>
      </c>
      <c r="J2548" s="11">
        <v>45672</v>
      </c>
      <c r="K2548" t="str">
        <f>TEXT(Transactions_Clean[[#This Row],[Date]],"MMM-YYYY")</f>
        <v>Jan-2025</v>
      </c>
      <c r="L2548">
        <f>IF(Transactions_Clean[[#This Row],[Category]]="Revenue",Transactions_Clean[[#This Row],[Amount(₹)]],Transactions_Clean[[#This Row],[Amount(₹)]]/8)</f>
        <v>-4368.125</v>
      </c>
    </row>
    <row r="2549" spans="1:12">
      <c r="A2549" t="s">
        <v>3884</v>
      </c>
      <c r="B2549" t="s">
        <v>177</v>
      </c>
      <c r="C2549" t="s">
        <v>78</v>
      </c>
      <c r="D2549">
        <v>-112290</v>
      </c>
      <c r="E2549" t="s">
        <v>23</v>
      </c>
      <c r="F2549" t="s">
        <v>24</v>
      </c>
      <c r="G2549" t="s">
        <v>79</v>
      </c>
      <c r="H2549" t="s">
        <v>26</v>
      </c>
      <c r="I2549" t="s">
        <v>34</v>
      </c>
      <c r="J2549" s="11">
        <v>45070</v>
      </c>
      <c r="K2549" t="str">
        <f>TEXT(Transactions_Clean[[#This Row],[Date]],"MMM-YYYY")</f>
        <v>May-2023</v>
      </c>
      <c r="L2549">
        <f>IF(Transactions_Clean[[#This Row],[Category]]="Revenue",Transactions_Clean[[#This Row],[Amount(₹)]],Transactions_Clean[[#This Row],[Amount(₹)]]/8)</f>
        <v>-14036.25</v>
      </c>
    </row>
    <row r="2550" spans="1:12">
      <c r="A2550" t="s">
        <v>3885</v>
      </c>
      <c r="B2550" t="s">
        <v>4753</v>
      </c>
      <c r="C2550" t="s">
        <v>38</v>
      </c>
      <c r="D2550">
        <v>-45483</v>
      </c>
      <c r="E2550" t="s">
        <v>23</v>
      </c>
      <c r="F2550" t="s">
        <v>24</v>
      </c>
      <c r="G2550" t="s">
        <v>33</v>
      </c>
      <c r="H2550" t="s">
        <v>26</v>
      </c>
      <c r="I2550" t="s">
        <v>40</v>
      </c>
      <c r="J2550" s="11">
        <v>45124</v>
      </c>
      <c r="K2550" t="str">
        <f>TEXT(Transactions_Clean[[#This Row],[Date]],"MMM-YYYY")</f>
        <v>Jul-2023</v>
      </c>
      <c r="L2550">
        <f>IF(Transactions_Clean[[#This Row],[Category]]="Revenue",Transactions_Clean[[#This Row],[Amount(₹)]],Transactions_Clean[[#This Row],[Amount(₹)]]/8)</f>
        <v>-5685.375</v>
      </c>
    </row>
    <row r="2551" spans="1:12">
      <c r="A2551" t="s">
        <v>3886</v>
      </c>
      <c r="B2551" t="s">
        <v>37</v>
      </c>
      <c r="C2551" t="s">
        <v>38</v>
      </c>
      <c r="D2551">
        <v>-22914</v>
      </c>
      <c r="E2551" t="s">
        <v>23</v>
      </c>
      <c r="F2551" t="s">
        <v>24</v>
      </c>
      <c r="G2551" t="s">
        <v>33</v>
      </c>
      <c r="H2551" t="s">
        <v>45</v>
      </c>
      <c r="I2551" t="s">
        <v>34</v>
      </c>
      <c r="J2551" s="11">
        <v>45390</v>
      </c>
      <c r="K2551" t="str">
        <f>TEXT(Transactions_Clean[[#This Row],[Date]],"MMM-YYYY")</f>
        <v>Apr-2024</v>
      </c>
      <c r="L2551">
        <f>IF(Transactions_Clean[[#This Row],[Category]]="Revenue",Transactions_Clean[[#This Row],[Amount(₹)]],Transactions_Clean[[#This Row],[Amount(₹)]]/8)</f>
        <v>-2864.25</v>
      </c>
    </row>
    <row r="2552" spans="1:12">
      <c r="A2552" t="s">
        <v>3887</v>
      </c>
      <c r="B2552" t="s">
        <v>4764</v>
      </c>
      <c r="C2552" t="s">
        <v>157</v>
      </c>
      <c r="D2552">
        <v>774646</v>
      </c>
      <c r="E2552" t="s">
        <v>62</v>
      </c>
      <c r="F2552" t="s">
        <v>32</v>
      </c>
      <c r="G2552" t="s">
        <v>25</v>
      </c>
      <c r="H2552" t="s">
        <v>39</v>
      </c>
      <c r="I2552" t="s">
        <v>48</v>
      </c>
      <c r="J2552" s="11">
        <v>46012</v>
      </c>
      <c r="K2552" t="str">
        <f>TEXT(Transactions_Clean[[#This Row],[Date]],"MMM-YYYY")</f>
        <v>Dec-2025</v>
      </c>
      <c r="L2552">
        <f>IF(Transactions_Clean[[#This Row],[Category]]="Revenue",Transactions_Clean[[#This Row],[Amount(₹)]],Transactions_Clean[[#This Row],[Amount(₹)]]/8)</f>
        <v>774646</v>
      </c>
    </row>
    <row r="2553" spans="1:12">
      <c r="A2553" t="s">
        <v>3888</v>
      </c>
      <c r="B2553" t="s">
        <v>4770</v>
      </c>
      <c r="C2553" t="s">
        <v>440</v>
      </c>
      <c r="D2553">
        <v>-107977</v>
      </c>
      <c r="E2553" t="s">
        <v>23</v>
      </c>
      <c r="F2553" t="s">
        <v>32</v>
      </c>
      <c r="G2553" t="s">
        <v>33</v>
      </c>
      <c r="H2553" t="s">
        <v>45</v>
      </c>
      <c r="I2553" t="s">
        <v>34</v>
      </c>
      <c r="J2553" s="11">
        <v>45428</v>
      </c>
      <c r="K2553" t="str">
        <f>TEXT(Transactions_Clean[[#This Row],[Date]],"MMM-YYYY")</f>
        <v>May-2024</v>
      </c>
      <c r="L2553">
        <f>IF(Transactions_Clean[[#This Row],[Category]]="Revenue",Transactions_Clean[[#This Row],[Amount(₹)]],Transactions_Clean[[#This Row],[Amount(₹)]]/8)</f>
        <v>-13497.125</v>
      </c>
    </row>
    <row r="2554" spans="1:12">
      <c r="A2554" t="s">
        <v>3889</v>
      </c>
      <c r="B2554" t="s">
        <v>4765</v>
      </c>
      <c r="C2554" t="s">
        <v>73</v>
      </c>
      <c r="D2554">
        <v>-73535</v>
      </c>
      <c r="E2554" t="s">
        <v>74</v>
      </c>
      <c r="F2554" t="s">
        <v>32</v>
      </c>
      <c r="G2554" t="s">
        <v>25</v>
      </c>
      <c r="H2554" t="s">
        <v>45</v>
      </c>
      <c r="I2554" t="s">
        <v>27</v>
      </c>
      <c r="J2554" s="11">
        <v>45699</v>
      </c>
      <c r="K2554" t="str">
        <f>TEXT(Transactions_Clean[[#This Row],[Date]],"MMM-YYYY")</f>
        <v>Feb-2025</v>
      </c>
      <c r="L2554">
        <f>IF(Transactions_Clean[[#This Row],[Category]]="Revenue",Transactions_Clean[[#This Row],[Amount(₹)]],Transactions_Clean[[#This Row],[Amount(₹)]]/8)</f>
        <v>-9191.875</v>
      </c>
    </row>
    <row r="2555" spans="1:12">
      <c r="A2555" t="s">
        <v>3890</v>
      </c>
      <c r="B2555" t="s">
        <v>100</v>
      </c>
      <c r="C2555" t="s">
        <v>31</v>
      </c>
      <c r="D2555">
        <v>-22839</v>
      </c>
      <c r="E2555" t="s">
        <v>23</v>
      </c>
      <c r="F2555" t="s">
        <v>24</v>
      </c>
      <c r="G2555" t="s">
        <v>33</v>
      </c>
      <c r="H2555" t="s">
        <v>39</v>
      </c>
      <c r="I2555" t="s">
        <v>27</v>
      </c>
      <c r="J2555" s="11">
        <v>46072</v>
      </c>
      <c r="K2555" t="str">
        <f>TEXT(Transactions_Clean[[#This Row],[Date]],"MMM-YYYY")</f>
        <v>Feb-2026</v>
      </c>
      <c r="L2555">
        <f>IF(Transactions_Clean[[#This Row],[Category]]="Revenue",Transactions_Clean[[#This Row],[Amount(₹)]],Transactions_Clean[[#This Row],[Amount(₹)]]/8)</f>
        <v>-2854.875</v>
      </c>
    </row>
    <row r="2556" spans="1:12">
      <c r="A2556" t="s">
        <v>3891</v>
      </c>
      <c r="B2556" t="s">
        <v>106</v>
      </c>
      <c r="C2556" t="s">
        <v>31</v>
      </c>
      <c r="D2556">
        <v>-32430</v>
      </c>
      <c r="E2556" t="s">
        <v>23</v>
      </c>
      <c r="F2556" t="s">
        <v>32</v>
      </c>
      <c r="G2556" t="s">
        <v>33</v>
      </c>
      <c r="H2556" t="s">
        <v>45</v>
      </c>
      <c r="I2556" t="s">
        <v>34</v>
      </c>
      <c r="J2556" s="11">
        <v>45417</v>
      </c>
      <c r="K2556" t="str">
        <f>TEXT(Transactions_Clean[[#This Row],[Date]],"MMM-YYYY")</f>
        <v>May-2024</v>
      </c>
      <c r="L2556">
        <f>IF(Transactions_Clean[[#This Row],[Category]]="Revenue",Transactions_Clean[[#This Row],[Amount(₹)]],Transactions_Clean[[#This Row],[Amount(₹)]]/8)</f>
        <v>-4053.75</v>
      </c>
    </row>
    <row r="2557" spans="1:12">
      <c r="A2557" t="s">
        <v>3893</v>
      </c>
      <c r="B2557" t="s">
        <v>687</v>
      </c>
      <c r="C2557" t="s">
        <v>44</v>
      </c>
      <c r="D2557">
        <v>-138596</v>
      </c>
      <c r="E2557" t="s">
        <v>23</v>
      </c>
      <c r="F2557" t="s">
        <v>32</v>
      </c>
      <c r="G2557" t="s">
        <v>33</v>
      </c>
      <c r="H2557" t="s">
        <v>39</v>
      </c>
      <c r="I2557" t="s">
        <v>40</v>
      </c>
      <c r="J2557" s="11">
        <v>45854</v>
      </c>
      <c r="K2557" t="str">
        <f>TEXT(Transactions_Clean[[#This Row],[Date]],"MMM-YYYY")</f>
        <v>Jul-2025</v>
      </c>
      <c r="L2557">
        <f>IF(Transactions_Clean[[#This Row],[Category]]="Revenue",Transactions_Clean[[#This Row],[Amount(₹)]],Transactions_Clean[[#This Row],[Amount(₹)]]/8)</f>
        <v>-17324.5</v>
      </c>
    </row>
    <row r="2558" spans="1:12">
      <c r="A2558" t="s">
        <v>3894</v>
      </c>
      <c r="B2558" t="s">
        <v>4773</v>
      </c>
      <c r="C2558" t="s">
        <v>157</v>
      </c>
      <c r="D2558">
        <v>632507</v>
      </c>
      <c r="E2558" t="s">
        <v>62</v>
      </c>
      <c r="F2558" t="s">
        <v>32</v>
      </c>
      <c r="G2558" t="s">
        <v>25</v>
      </c>
      <c r="H2558" t="s">
        <v>45</v>
      </c>
      <c r="I2558" t="s">
        <v>40</v>
      </c>
      <c r="J2558" s="11">
        <v>45502</v>
      </c>
      <c r="K2558" t="str">
        <f>TEXT(Transactions_Clean[[#This Row],[Date]],"MMM-YYYY")</f>
        <v>Jul-2024</v>
      </c>
      <c r="L2558">
        <f>IF(Transactions_Clean[[#This Row],[Category]]="Revenue",Transactions_Clean[[#This Row],[Amount(₹)]],Transactions_Clean[[#This Row],[Amount(₹)]]/8)</f>
        <v>632507</v>
      </c>
    </row>
    <row r="2559" spans="1:12">
      <c r="A2559" t="s">
        <v>3895</v>
      </c>
      <c r="B2559" t="s">
        <v>4776</v>
      </c>
      <c r="C2559" t="s">
        <v>440</v>
      </c>
      <c r="D2559">
        <v>-150397</v>
      </c>
      <c r="E2559" t="s">
        <v>23</v>
      </c>
      <c r="F2559" t="s">
        <v>32</v>
      </c>
      <c r="G2559" t="s">
        <v>33</v>
      </c>
      <c r="H2559" t="s">
        <v>26</v>
      </c>
      <c r="I2559" t="s">
        <v>34</v>
      </c>
      <c r="J2559" s="11">
        <v>45056</v>
      </c>
      <c r="K2559" t="str">
        <f>TEXT(Transactions_Clean[[#This Row],[Date]],"MMM-YYYY")</f>
        <v>May-2023</v>
      </c>
      <c r="L2559">
        <f>IF(Transactions_Clean[[#This Row],[Category]]="Revenue",Transactions_Clean[[#This Row],[Amount(₹)]],Transactions_Clean[[#This Row],[Amount(₹)]]/8)</f>
        <v>-18799.625</v>
      </c>
    </row>
    <row r="2560" spans="1:12">
      <c r="A2560" t="s">
        <v>3896</v>
      </c>
      <c r="B2560" t="s">
        <v>4758</v>
      </c>
      <c r="C2560" t="s">
        <v>78</v>
      </c>
      <c r="D2560">
        <v>-26726</v>
      </c>
      <c r="E2560" t="s">
        <v>23</v>
      </c>
      <c r="F2560" t="s">
        <v>24</v>
      </c>
      <c r="G2560" t="s">
        <v>79</v>
      </c>
      <c r="H2560" t="s">
        <v>39</v>
      </c>
      <c r="I2560" t="s">
        <v>27</v>
      </c>
      <c r="J2560" s="11">
        <v>46048</v>
      </c>
      <c r="K2560" t="str">
        <f>TEXT(Transactions_Clean[[#This Row],[Date]],"MMM-YYYY")</f>
        <v>Jan-2026</v>
      </c>
      <c r="L2560">
        <f>IF(Transactions_Clean[[#This Row],[Category]]="Revenue",Transactions_Clean[[#This Row],[Amount(₹)]],Transactions_Clean[[#This Row],[Amount(₹)]]/8)</f>
        <v>-3340.75</v>
      </c>
    </row>
    <row r="2561" spans="1:12">
      <c r="A2561" t="s">
        <v>3897</v>
      </c>
      <c r="B2561" t="s">
        <v>4770</v>
      </c>
      <c r="C2561" t="s">
        <v>440</v>
      </c>
      <c r="D2561">
        <v>-110376</v>
      </c>
      <c r="E2561" t="s">
        <v>23</v>
      </c>
      <c r="F2561" t="s">
        <v>24</v>
      </c>
      <c r="G2561" t="s">
        <v>33</v>
      </c>
      <c r="H2561" t="s">
        <v>26</v>
      </c>
      <c r="I2561" t="s">
        <v>27</v>
      </c>
      <c r="J2561" s="11">
        <v>45343</v>
      </c>
      <c r="K2561" t="str">
        <f>TEXT(Transactions_Clean[[#This Row],[Date]],"MMM-YYYY")</f>
        <v>Feb-2024</v>
      </c>
      <c r="L2561">
        <f>IF(Transactions_Clean[[#This Row],[Category]]="Revenue",Transactions_Clean[[#This Row],[Amount(₹)]],Transactions_Clean[[#This Row],[Amount(₹)]]/8)</f>
        <v>-13797</v>
      </c>
    </row>
    <row r="2562" spans="1:12">
      <c r="A2562" t="s">
        <v>3898</v>
      </c>
      <c r="B2562" t="s">
        <v>60</v>
      </c>
      <c r="C2562" t="s">
        <v>61</v>
      </c>
      <c r="D2562">
        <v>-54098</v>
      </c>
      <c r="E2562" t="s">
        <v>62</v>
      </c>
      <c r="F2562" t="s">
        <v>32</v>
      </c>
      <c r="G2562" t="s">
        <v>63</v>
      </c>
      <c r="H2562" t="s">
        <v>39</v>
      </c>
      <c r="I2562" t="s">
        <v>48</v>
      </c>
      <c r="J2562" s="11">
        <v>45964</v>
      </c>
      <c r="K2562" t="str">
        <f>TEXT(Transactions_Clean[[#This Row],[Date]],"MMM-YYYY")</f>
        <v>Nov-2025</v>
      </c>
      <c r="L2562">
        <f>IF(Transactions_Clean[[#This Row],[Category]]="Revenue",Transactions_Clean[[#This Row],[Amount(₹)]],Transactions_Clean[[#This Row],[Amount(₹)]]/8)</f>
        <v>-6762.25</v>
      </c>
    </row>
    <row r="2563" spans="1:12">
      <c r="A2563" t="s">
        <v>3900</v>
      </c>
      <c r="B2563" t="s">
        <v>310</v>
      </c>
      <c r="C2563" t="s">
        <v>4750</v>
      </c>
      <c r="D2563">
        <v>-31760</v>
      </c>
      <c r="E2563" t="s">
        <v>23</v>
      </c>
      <c r="F2563" t="s">
        <v>24</v>
      </c>
      <c r="G2563" t="s">
        <v>25</v>
      </c>
      <c r="H2563" t="s">
        <v>45</v>
      </c>
      <c r="I2563" t="s">
        <v>40</v>
      </c>
      <c r="J2563" s="11">
        <v>45513</v>
      </c>
      <c r="K2563" t="str">
        <f>TEXT(Transactions_Clean[[#This Row],[Date]],"MMM-YYYY")</f>
        <v>Aug-2024</v>
      </c>
      <c r="L2563">
        <f>IF(Transactions_Clean[[#This Row],[Category]]="Revenue",Transactions_Clean[[#This Row],[Amount(₹)]],Transactions_Clean[[#This Row],[Amount(₹)]]/8)</f>
        <v>-3970</v>
      </c>
    </row>
    <row r="2564" spans="1:12">
      <c r="A2564" t="s">
        <v>3901</v>
      </c>
      <c r="B2564" t="s">
        <v>30</v>
      </c>
      <c r="C2564" t="s">
        <v>31</v>
      </c>
      <c r="D2564">
        <v>-30494</v>
      </c>
      <c r="E2564" t="s">
        <v>23</v>
      </c>
      <c r="F2564" t="s">
        <v>24</v>
      </c>
      <c r="G2564" t="s">
        <v>33</v>
      </c>
      <c r="H2564" t="s">
        <v>39</v>
      </c>
      <c r="I2564" t="s">
        <v>27</v>
      </c>
      <c r="J2564" s="11">
        <v>46045</v>
      </c>
      <c r="K2564" t="str">
        <f>TEXT(Transactions_Clean[[#This Row],[Date]],"MMM-YYYY")</f>
        <v>Jan-2026</v>
      </c>
      <c r="L2564">
        <f>IF(Transactions_Clean[[#This Row],[Category]]="Revenue",Transactions_Clean[[#This Row],[Amount(₹)]],Transactions_Clean[[#This Row],[Amount(₹)]]/8)</f>
        <v>-3811.75</v>
      </c>
    </row>
    <row r="2565" spans="1:12">
      <c r="A2565" t="s">
        <v>3903</v>
      </c>
      <c r="B2565" t="s">
        <v>255</v>
      </c>
      <c r="C2565" t="s">
        <v>22</v>
      </c>
      <c r="D2565">
        <v>-171138</v>
      </c>
      <c r="E2565" t="s">
        <v>23</v>
      </c>
      <c r="F2565" t="s">
        <v>32</v>
      </c>
      <c r="G2565" t="s">
        <v>25</v>
      </c>
      <c r="H2565" t="s">
        <v>26</v>
      </c>
      <c r="I2565" t="s">
        <v>27</v>
      </c>
      <c r="J2565" s="11">
        <v>45304</v>
      </c>
      <c r="K2565" t="str">
        <f>TEXT(Transactions_Clean[[#This Row],[Date]],"MMM-YYYY")</f>
        <v>Jan-2024</v>
      </c>
      <c r="L2565">
        <f>IF(Transactions_Clean[[#This Row],[Category]]="Revenue",Transactions_Clean[[#This Row],[Amount(₹)]],Transactions_Clean[[#This Row],[Amount(₹)]]/8)</f>
        <v>-21392.25</v>
      </c>
    </row>
    <row r="2566" spans="1:12">
      <c r="A2566" t="s">
        <v>3904</v>
      </c>
      <c r="B2566" t="s">
        <v>66</v>
      </c>
      <c r="C2566" t="s">
        <v>61</v>
      </c>
      <c r="D2566">
        <v>-33252</v>
      </c>
      <c r="E2566" t="s">
        <v>62</v>
      </c>
      <c r="F2566" t="s">
        <v>24</v>
      </c>
      <c r="G2566" t="s">
        <v>63</v>
      </c>
      <c r="H2566" t="s">
        <v>26</v>
      </c>
      <c r="I2566" t="s">
        <v>34</v>
      </c>
      <c r="J2566" s="11">
        <v>45043</v>
      </c>
      <c r="K2566" t="str">
        <f>TEXT(Transactions_Clean[[#This Row],[Date]],"MMM-YYYY")</f>
        <v>Apr-2023</v>
      </c>
      <c r="L2566">
        <f>IF(Transactions_Clean[[#This Row],[Category]]="Revenue",Transactions_Clean[[#This Row],[Amount(₹)]],Transactions_Clean[[#This Row],[Amount(₹)]]/8)</f>
        <v>-4156.5</v>
      </c>
    </row>
    <row r="2567" spans="1:12">
      <c r="A2567" t="s">
        <v>3905</v>
      </c>
      <c r="B2567" t="s">
        <v>51</v>
      </c>
      <c r="C2567" t="s">
        <v>31</v>
      </c>
      <c r="D2567">
        <v>-17684</v>
      </c>
      <c r="E2567" t="s">
        <v>23</v>
      </c>
      <c r="F2567" t="s">
        <v>32</v>
      </c>
      <c r="G2567" t="s">
        <v>33</v>
      </c>
      <c r="H2567" t="s">
        <v>45</v>
      </c>
      <c r="I2567" t="s">
        <v>48</v>
      </c>
      <c r="J2567" s="11">
        <v>45603</v>
      </c>
      <c r="K2567" t="str">
        <f>TEXT(Transactions_Clean[[#This Row],[Date]],"MMM-YYYY")</f>
        <v>Nov-2024</v>
      </c>
      <c r="L2567">
        <f>IF(Transactions_Clean[[#This Row],[Category]]="Revenue",Transactions_Clean[[#This Row],[Amount(₹)]],Transactions_Clean[[#This Row],[Amount(₹)]]/8)</f>
        <v>-2210.5</v>
      </c>
    </row>
    <row r="2568" spans="1:12">
      <c r="A2568" t="s">
        <v>3906</v>
      </c>
      <c r="B2568" t="s">
        <v>174</v>
      </c>
      <c r="C2568" t="s">
        <v>22</v>
      </c>
      <c r="D2568">
        <v>-140866</v>
      </c>
      <c r="E2568" t="s">
        <v>23</v>
      </c>
      <c r="F2568" t="s">
        <v>24</v>
      </c>
      <c r="G2568" t="s">
        <v>25</v>
      </c>
      <c r="H2568" t="s">
        <v>26</v>
      </c>
      <c r="I2568" t="s">
        <v>34</v>
      </c>
      <c r="J2568" s="11">
        <v>45069</v>
      </c>
      <c r="K2568" t="str">
        <f>TEXT(Transactions_Clean[[#This Row],[Date]],"MMM-YYYY")</f>
        <v>May-2023</v>
      </c>
      <c r="L2568">
        <f>IF(Transactions_Clean[[#This Row],[Category]]="Revenue",Transactions_Clean[[#This Row],[Amount(₹)]],Transactions_Clean[[#This Row],[Amount(₹)]]/8)</f>
        <v>-17608.25</v>
      </c>
    </row>
    <row r="2569" spans="1:12">
      <c r="A2569" t="s">
        <v>3907</v>
      </c>
      <c r="B2569" t="s">
        <v>100</v>
      </c>
      <c r="C2569" t="s">
        <v>31</v>
      </c>
      <c r="D2569">
        <v>-17006</v>
      </c>
      <c r="E2569" t="s">
        <v>23</v>
      </c>
      <c r="F2569" t="s">
        <v>32</v>
      </c>
      <c r="G2569" t="s">
        <v>33</v>
      </c>
      <c r="H2569" t="s">
        <v>39</v>
      </c>
      <c r="I2569" t="s">
        <v>40</v>
      </c>
      <c r="J2569" s="11">
        <v>45904</v>
      </c>
      <c r="K2569" t="str">
        <f>TEXT(Transactions_Clean[[#This Row],[Date]],"MMM-YYYY")</f>
        <v>Sep-2025</v>
      </c>
      <c r="L2569">
        <f>IF(Transactions_Clean[[#This Row],[Category]]="Revenue",Transactions_Clean[[#This Row],[Amount(₹)]],Transactions_Clean[[#This Row],[Amount(₹)]]/8)</f>
        <v>-2125.75</v>
      </c>
    </row>
    <row r="2570" spans="1:12">
      <c r="A2570" t="s">
        <v>3908</v>
      </c>
      <c r="B2570" t="s">
        <v>72</v>
      </c>
      <c r="C2570" t="s">
        <v>73</v>
      </c>
      <c r="D2570">
        <v>-86390</v>
      </c>
      <c r="E2570" t="s">
        <v>74</v>
      </c>
      <c r="F2570" t="s">
        <v>32</v>
      </c>
      <c r="G2570" t="s">
        <v>25</v>
      </c>
      <c r="H2570" t="s">
        <v>45</v>
      </c>
      <c r="I2570" t="s">
        <v>34</v>
      </c>
      <c r="J2570" s="11">
        <v>45443</v>
      </c>
      <c r="K2570" t="str">
        <f>TEXT(Transactions_Clean[[#This Row],[Date]],"MMM-YYYY")</f>
        <v>May-2024</v>
      </c>
      <c r="L2570">
        <f>IF(Transactions_Clean[[#This Row],[Category]]="Revenue",Transactions_Clean[[#This Row],[Amount(₹)]],Transactions_Clean[[#This Row],[Amount(₹)]]/8)</f>
        <v>-10798.75</v>
      </c>
    </row>
    <row r="2571" spans="1:12">
      <c r="A2571" t="s">
        <v>3909</v>
      </c>
      <c r="B2571" t="s">
        <v>4762</v>
      </c>
      <c r="C2571" t="s">
        <v>157</v>
      </c>
      <c r="D2571">
        <v>650632</v>
      </c>
      <c r="E2571" t="s">
        <v>62</v>
      </c>
      <c r="F2571" t="s">
        <v>32</v>
      </c>
      <c r="G2571" t="s">
        <v>25</v>
      </c>
      <c r="H2571" t="s">
        <v>45</v>
      </c>
      <c r="I2571" t="s">
        <v>48</v>
      </c>
      <c r="J2571" s="11">
        <v>45572</v>
      </c>
      <c r="K2571" t="str">
        <f>TEXT(Transactions_Clean[[#This Row],[Date]],"MMM-YYYY")</f>
        <v>Oct-2024</v>
      </c>
      <c r="L2571">
        <f>IF(Transactions_Clean[[#This Row],[Category]]="Revenue",Transactions_Clean[[#This Row],[Amount(₹)]],Transactions_Clean[[#This Row],[Amount(₹)]]/8)</f>
        <v>650632</v>
      </c>
    </row>
    <row r="2572" spans="1:12">
      <c r="A2572" t="s">
        <v>3911</v>
      </c>
      <c r="B2572" t="s">
        <v>66</v>
      </c>
      <c r="C2572" t="s">
        <v>61</v>
      </c>
      <c r="D2572">
        <v>-46453</v>
      </c>
      <c r="E2572" t="s">
        <v>62</v>
      </c>
      <c r="F2572" t="s">
        <v>32</v>
      </c>
      <c r="G2572" t="s">
        <v>63</v>
      </c>
      <c r="H2572" t="s">
        <v>39</v>
      </c>
      <c r="I2572" t="s">
        <v>27</v>
      </c>
      <c r="J2572" s="11">
        <v>46104</v>
      </c>
      <c r="K2572" t="str">
        <f>TEXT(Transactions_Clean[[#This Row],[Date]],"MMM-YYYY")</f>
        <v>Mar-2026</v>
      </c>
      <c r="L2572">
        <f>IF(Transactions_Clean[[#This Row],[Category]]="Revenue",Transactions_Clean[[#This Row],[Amount(₹)]],Transactions_Clean[[#This Row],[Amount(₹)]]/8)</f>
        <v>-5806.625</v>
      </c>
    </row>
    <row r="2573" spans="1:12">
      <c r="A2573" t="s">
        <v>3913</v>
      </c>
      <c r="B2573" t="s">
        <v>116</v>
      </c>
      <c r="C2573" t="s">
        <v>73</v>
      </c>
      <c r="D2573">
        <v>-87887</v>
      </c>
      <c r="E2573" t="s">
        <v>74</v>
      </c>
      <c r="F2573" t="s">
        <v>32</v>
      </c>
      <c r="G2573" t="s">
        <v>25</v>
      </c>
      <c r="H2573" t="s">
        <v>26</v>
      </c>
      <c r="I2573" t="s">
        <v>34</v>
      </c>
      <c r="J2573" s="11">
        <v>45074</v>
      </c>
      <c r="K2573" t="str">
        <f>TEXT(Transactions_Clean[[#This Row],[Date]],"MMM-YYYY")</f>
        <v>May-2023</v>
      </c>
      <c r="L2573">
        <f>IF(Transactions_Clean[[#This Row],[Category]]="Revenue",Transactions_Clean[[#This Row],[Amount(₹)]],Transactions_Clean[[#This Row],[Amount(₹)]]/8)</f>
        <v>-10985.875</v>
      </c>
    </row>
    <row r="2574" spans="1:12">
      <c r="A2574" t="s">
        <v>3914</v>
      </c>
      <c r="B2574" t="s">
        <v>4749</v>
      </c>
      <c r="C2574" t="s">
        <v>44</v>
      </c>
      <c r="D2574">
        <v>-78105</v>
      </c>
      <c r="E2574" t="s">
        <v>23</v>
      </c>
      <c r="F2574" t="s">
        <v>24</v>
      </c>
      <c r="G2574" t="s">
        <v>33</v>
      </c>
      <c r="H2574" t="s">
        <v>45</v>
      </c>
      <c r="I2574" t="s">
        <v>27</v>
      </c>
      <c r="J2574" s="11">
        <v>45693</v>
      </c>
      <c r="K2574" t="str">
        <f>TEXT(Transactions_Clean[[#This Row],[Date]],"MMM-YYYY")</f>
        <v>Feb-2025</v>
      </c>
      <c r="L2574">
        <f>IF(Transactions_Clean[[#This Row],[Category]]="Revenue",Transactions_Clean[[#This Row],[Amount(₹)]],Transactions_Clean[[#This Row],[Amount(₹)]]/8)</f>
        <v>-9763.125</v>
      </c>
    </row>
    <row r="2575" spans="1:12">
      <c r="A2575" t="s">
        <v>3915</v>
      </c>
      <c r="B2575" t="s">
        <v>4774</v>
      </c>
      <c r="C2575" t="s">
        <v>440</v>
      </c>
      <c r="D2575">
        <v>-145686</v>
      </c>
      <c r="E2575" t="s">
        <v>23</v>
      </c>
      <c r="F2575" t="s">
        <v>32</v>
      </c>
      <c r="G2575" t="s">
        <v>33</v>
      </c>
      <c r="H2575" t="s">
        <v>45</v>
      </c>
      <c r="I2575" t="s">
        <v>48</v>
      </c>
      <c r="J2575" s="11">
        <v>45483</v>
      </c>
      <c r="K2575" t="str">
        <f>TEXT(Transactions_Clean[[#This Row],[Date]],"MMM-YYYY")</f>
        <v>Jul-2024</v>
      </c>
      <c r="L2575">
        <f>IF(Transactions_Clean[[#This Row],[Category]]="Revenue",Transactions_Clean[[#This Row],[Amount(₹)]],Transactions_Clean[[#This Row],[Amount(₹)]]/8)</f>
        <v>-18210.75</v>
      </c>
    </row>
    <row r="2576" spans="1:12">
      <c r="A2576" t="s">
        <v>3917</v>
      </c>
      <c r="B2576" t="s">
        <v>4765</v>
      </c>
      <c r="C2576" t="s">
        <v>73</v>
      </c>
      <c r="D2576">
        <v>-47107</v>
      </c>
      <c r="E2576" t="s">
        <v>74</v>
      </c>
      <c r="F2576" t="s">
        <v>32</v>
      </c>
      <c r="G2576" t="s">
        <v>25</v>
      </c>
      <c r="H2576" t="s">
        <v>26</v>
      </c>
      <c r="I2576" t="s">
        <v>40</v>
      </c>
      <c r="J2576" s="11">
        <v>45122</v>
      </c>
      <c r="K2576" t="str">
        <f>TEXT(Transactions_Clean[[#This Row],[Date]],"MMM-YYYY")</f>
        <v>Jul-2023</v>
      </c>
      <c r="L2576">
        <f>IF(Transactions_Clean[[#This Row],[Category]]="Revenue",Transactions_Clean[[#This Row],[Amount(₹)]],Transactions_Clean[[#This Row],[Amount(₹)]]/8)</f>
        <v>-5888.375</v>
      </c>
    </row>
    <row r="2577" spans="1:12">
      <c r="A2577" t="s">
        <v>3918</v>
      </c>
      <c r="B2577" t="s">
        <v>4763</v>
      </c>
      <c r="C2577" t="s">
        <v>22</v>
      </c>
      <c r="D2577">
        <v>-79686</v>
      </c>
      <c r="E2577" t="s">
        <v>23</v>
      </c>
      <c r="F2577" t="s">
        <v>32</v>
      </c>
      <c r="G2577" t="s">
        <v>25</v>
      </c>
      <c r="H2577" t="s">
        <v>39</v>
      </c>
      <c r="I2577" t="s">
        <v>27</v>
      </c>
      <c r="J2577" s="11">
        <v>46062</v>
      </c>
      <c r="K2577" t="str">
        <f>TEXT(Transactions_Clean[[#This Row],[Date]],"MMM-YYYY")</f>
        <v>Feb-2026</v>
      </c>
      <c r="L2577">
        <f>IF(Transactions_Clean[[#This Row],[Category]]="Revenue",Transactions_Clean[[#This Row],[Amount(₹)]],Transactions_Clean[[#This Row],[Amount(₹)]]/8)</f>
        <v>-9960.75</v>
      </c>
    </row>
    <row r="2578" spans="1:12">
      <c r="A2578" t="s">
        <v>3919</v>
      </c>
      <c r="B2578" t="s">
        <v>224</v>
      </c>
      <c r="C2578" t="s">
        <v>4750</v>
      </c>
      <c r="D2578">
        <v>-46334</v>
      </c>
      <c r="E2578" t="s">
        <v>23</v>
      </c>
      <c r="F2578" t="s">
        <v>24</v>
      </c>
      <c r="G2578" t="s">
        <v>79</v>
      </c>
      <c r="H2578" t="s">
        <v>26</v>
      </c>
      <c r="I2578" t="s">
        <v>27</v>
      </c>
      <c r="J2578" s="11">
        <v>45312</v>
      </c>
      <c r="K2578" t="str">
        <f>TEXT(Transactions_Clean[[#This Row],[Date]],"MMM-YYYY")</f>
        <v>Jan-2024</v>
      </c>
      <c r="L2578">
        <f>IF(Transactions_Clean[[#This Row],[Category]]="Revenue",Transactions_Clean[[#This Row],[Amount(₹)]],Transactions_Clean[[#This Row],[Amount(₹)]]/8)</f>
        <v>-5791.75</v>
      </c>
    </row>
    <row r="2579" spans="1:12">
      <c r="A2579" t="s">
        <v>3920</v>
      </c>
      <c r="B2579" t="s">
        <v>106</v>
      </c>
      <c r="C2579" t="s">
        <v>31</v>
      </c>
      <c r="D2579">
        <v>-17168</v>
      </c>
      <c r="E2579" t="s">
        <v>23</v>
      </c>
      <c r="F2579" t="s">
        <v>24</v>
      </c>
      <c r="G2579" t="s">
        <v>33</v>
      </c>
      <c r="H2579" t="s">
        <v>45</v>
      </c>
      <c r="I2579" t="s">
        <v>48</v>
      </c>
      <c r="J2579" s="11">
        <v>45636</v>
      </c>
      <c r="K2579" t="str">
        <f>TEXT(Transactions_Clean[[#This Row],[Date]],"MMM-YYYY")</f>
        <v>Dec-2024</v>
      </c>
      <c r="L2579">
        <f>IF(Transactions_Clean[[#This Row],[Category]]="Revenue",Transactions_Clean[[#This Row],[Amount(₹)]],Transactions_Clean[[#This Row],[Amount(₹)]]/8)</f>
        <v>-2146</v>
      </c>
    </row>
    <row r="2580" spans="1:12">
      <c r="A2580" t="s">
        <v>3922</v>
      </c>
      <c r="B2580" t="s">
        <v>4759</v>
      </c>
      <c r="C2580" t="s">
        <v>4750</v>
      </c>
      <c r="D2580">
        <v>-37459</v>
      </c>
      <c r="E2580" t="s">
        <v>23</v>
      </c>
      <c r="F2580" t="s">
        <v>24</v>
      </c>
      <c r="G2580" t="s">
        <v>33</v>
      </c>
      <c r="H2580" t="s">
        <v>39</v>
      </c>
      <c r="I2580" t="s">
        <v>48</v>
      </c>
      <c r="J2580" s="11">
        <v>45979</v>
      </c>
      <c r="K2580" t="str">
        <f>TEXT(Transactions_Clean[[#This Row],[Date]],"MMM-YYYY")</f>
        <v>Nov-2025</v>
      </c>
      <c r="L2580">
        <f>IF(Transactions_Clean[[#This Row],[Category]]="Revenue",Transactions_Clean[[#This Row],[Amount(₹)]],Transactions_Clean[[#This Row],[Amount(₹)]]/8)</f>
        <v>-4682.375</v>
      </c>
    </row>
    <row r="2581" spans="1:12">
      <c r="A2581" t="s">
        <v>3923</v>
      </c>
      <c r="B2581" t="s">
        <v>66</v>
      </c>
      <c r="C2581" t="s">
        <v>61</v>
      </c>
      <c r="D2581">
        <v>-50717</v>
      </c>
      <c r="E2581" t="s">
        <v>62</v>
      </c>
      <c r="F2581" t="s">
        <v>32</v>
      </c>
      <c r="G2581" t="s">
        <v>63</v>
      </c>
      <c r="H2581" t="s">
        <v>45</v>
      </c>
      <c r="I2581" t="s">
        <v>48</v>
      </c>
      <c r="J2581" s="11">
        <v>45643</v>
      </c>
      <c r="K2581" t="str">
        <f>TEXT(Transactions_Clean[[#This Row],[Date]],"MMM-YYYY")</f>
        <v>Dec-2024</v>
      </c>
      <c r="L2581">
        <f>IF(Transactions_Clean[[#This Row],[Category]]="Revenue",Transactions_Clean[[#This Row],[Amount(₹)]],Transactions_Clean[[#This Row],[Amount(₹)]]/8)</f>
        <v>-6339.625</v>
      </c>
    </row>
    <row r="2582" spans="1:12">
      <c r="A2582" t="s">
        <v>3924</v>
      </c>
      <c r="B2582" t="s">
        <v>66</v>
      </c>
      <c r="C2582" t="s">
        <v>61</v>
      </c>
      <c r="D2582">
        <v>-30540</v>
      </c>
      <c r="E2582" t="s">
        <v>62</v>
      </c>
      <c r="F2582" t="s">
        <v>32</v>
      </c>
      <c r="G2582" t="s">
        <v>63</v>
      </c>
      <c r="H2582" t="s">
        <v>45</v>
      </c>
      <c r="I2582" t="s">
        <v>27</v>
      </c>
      <c r="J2582" s="11">
        <v>45699</v>
      </c>
      <c r="K2582" t="str">
        <f>TEXT(Transactions_Clean[[#This Row],[Date]],"MMM-YYYY")</f>
        <v>Feb-2025</v>
      </c>
      <c r="L2582">
        <f>IF(Transactions_Clean[[#This Row],[Category]]="Revenue",Transactions_Clean[[#This Row],[Amount(₹)]],Transactions_Clean[[#This Row],[Amount(₹)]]/8)</f>
        <v>-3817.5</v>
      </c>
    </row>
    <row r="2583" spans="1:12">
      <c r="A2583" t="s">
        <v>3925</v>
      </c>
      <c r="B2583" t="s">
        <v>177</v>
      </c>
      <c r="C2583" t="s">
        <v>4750</v>
      </c>
      <c r="D2583">
        <v>-21286</v>
      </c>
      <c r="E2583" t="s">
        <v>23</v>
      </c>
      <c r="F2583" t="s">
        <v>32</v>
      </c>
      <c r="G2583" t="s">
        <v>79</v>
      </c>
      <c r="H2583" t="s">
        <v>26</v>
      </c>
      <c r="I2583" t="s">
        <v>40</v>
      </c>
      <c r="J2583" s="11">
        <v>45191</v>
      </c>
      <c r="K2583" t="str">
        <f>TEXT(Transactions_Clean[[#This Row],[Date]],"MMM-YYYY")</f>
        <v>Sep-2023</v>
      </c>
      <c r="L2583">
        <f>IF(Transactions_Clean[[#This Row],[Category]]="Revenue",Transactions_Clean[[#This Row],[Amount(₹)]],Transactions_Clean[[#This Row],[Amount(₹)]]/8)</f>
        <v>-2660.75</v>
      </c>
    </row>
    <row r="2584" spans="1:12">
      <c r="A2584" t="s">
        <v>3926</v>
      </c>
      <c r="B2584" t="s">
        <v>4755</v>
      </c>
      <c r="C2584" t="s">
        <v>78</v>
      </c>
      <c r="D2584">
        <v>-48850</v>
      </c>
      <c r="E2584" t="s">
        <v>23</v>
      </c>
      <c r="F2584" t="s">
        <v>32</v>
      </c>
      <c r="G2584" t="s">
        <v>79</v>
      </c>
      <c r="H2584" t="s">
        <v>26</v>
      </c>
      <c r="I2584" t="s">
        <v>48</v>
      </c>
      <c r="J2584" s="11">
        <v>45229</v>
      </c>
      <c r="K2584" t="str">
        <f>TEXT(Transactions_Clean[[#This Row],[Date]],"MMM-YYYY")</f>
        <v>Oct-2023</v>
      </c>
      <c r="L2584">
        <f>IF(Transactions_Clean[[#This Row],[Category]]="Revenue",Transactions_Clean[[#This Row],[Amount(₹)]],Transactions_Clean[[#This Row],[Amount(₹)]]/8)</f>
        <v>-6106.25</v>
      </c>
    </row>
    <row r="2585" spans="1:12">
      <c r="A2585" t="s">
        <v>3927</v>
      </c>
      <c r="B2585" t="s">
        <v>66</v>
      </c>
      <c r="C2585" t="s">
        <v>61</v>
      </c>
      <c r="D2585">
        <v>-52290</v>
      </c>
      <c r="E2585" t="s">
        <v>62</v>
      </c>
      <c r="F2585" t="s">
        <v>32</v>
      </c>
      <c r="G2585" t="s">
        <v>63</v>
      </c>
      <c r="H2585" t="s">
        <v>39</v>
      </c>
      <c r="I2585" t="s">
        <v>40</v>
      </c>
      <c r="J2585" s="11">
        <v>45894</v>
      </c>
      <c r="K2585" t="str">
        <f>TEXT(Transactions_Clean[[#This Row],[Date]],"MMM-YYYY")</f>
        <v>Aug-2025</v>
      </c>
      <c r="L2585">
        <f>IF(Transactions_Clean[[#This Row],[Category]]="Revenue",Transactions_Clean[[#This Row],[Amount(₹)]],Transactions_Clean[[#This Row],[Amount(₹)]]/8)</f>
        <v>-6536.25</v>
      </c>
    </row>
    <row r="2586" spans="1:12">
      <c r="A2586" t="s">
        <v>3928</v>
      </c>
      <c r="B2586" t="s">
        <v>143</v>
      </c>
      <c r="C2586" t="s">
        <v>78</v>
      </c>
      <c r="D2586">
        <v>-73828</v>
      </c>
      <c r="E2586" t="s">
        <v>23</v>
      </c>
      <c r="F2586" t="s">
        <v>24</v>
      </c>
      <c r="G2586" t="s">
        <v>79</v>
      </c>
      <c r="H2586" t="s">
        <v>39</v>
      </c>
      <c r="I2586" t="s">
        <v>48</v>
      </c>
      <c r="J2586" s="11">
        <v>45980</v>
      </c>
      <c r="K2586" t="str">
        <f>TEXT(Transactions_Clean[[#This Row],[Date]],"MMM-YYYY")</f>
        <v>Nov-2025</v>
      </c>
      <c r="L2586">
        <f>IF(Transactions_Clean[[#This Row],[Category]]="Revenue",Transactions_Clean[[#This Row],[Amount(₹)]],Transactions_Clean[[#This Row],[Amount(₹)]]/8)</f>
        <v>-9228.5</v>
      </c>
    </row>
    <row r="2587" spans="1:12">
      <c r="A2587" t="s">
        <v>3929</v>
      </c>
      <c r="B2587" t="s">
        <v>255</v>
      </c>
      <c r="C2587" t="s">
        <v>22</v>
      </c>
      <c r="D2587">
        <v>-166070</v>
      </c>
      <c r="E2587" t="s">
        <v>23</v>
      </c>
      <c r="F2587" t="s">
        <v>32</v>
      </c>
      <c r="G2587" t="s">
        <v>25</v>
      </c>
      <c r="H2587" t="s">
        <v>26</v>
      </c>
      <c r="I2587" t="s">
        <v>48</v>
      </c>
      <c r="J2587" s="11">
        <v>45290</v>
      </c>
      <c r="K2587" t="str">
        <f>TEXT(Transactions_Clean[[#This Row],[Date]],"MMM-YYYY")</f>
        <v>Dec-2023</v>
      </c>
      <c r="L2587">
        <f>IF(Transactions_Clean[[#This Row],[Category]]="Revenue",Transactions_Clean[[#This Row],[Amount(₹)]],Transactions_Clean[[#This Row],[Amount(₹)]]/8)</f>
        <v>-20758.75</v>
      </c>
    </row>
    <row r="2588" spans="1:12">
      <c r="A2588" t="s">
        <v>3930</v>
      </c>
      <c r="B2588" t="s">
        <v>106</v>
      </c>
      <c r="C2588" t="s">
        <v>31</v>
      </c>
      <c r="D2588">
        <v>-44240</v>
      </c>
      <c r="E2588" t="s">
        <v>23</v>
      </c>
      <c r="F2588" t="s">
        <v>32</v>
      </c>
      <c r="G2588" t="s">
        <v>33</v>
      </c>
      <c r="H2588" t="s">
        <v>26</v>
      </c>
      <c r="I2588" t="s">
        <v>48</v>
      </c>
      <c r="J2588" s="11">
        <v>45222</v>
      </c>
      <c r="K2588" t="str">
        <f>TEXT(Transactions_Clean[[#This Row],[Date]],"MMM-YYYY")</f>
        <v>Oct-2023</v>
      </c>
      <c r="L2588">
        <f>IF(Transactions_Clean[[#This Row],[Category]]="Revenue",Transactions_Clean[[#This Row],[Amount(₹)]],Transactions_Clean[[#This Row],[Amount(₹)]]/8)</f>
        <v>-5530</v>
      </c>
    </row>
    <row r="2589" spans="1:12">
      <c r="A2589" t="s">
        <v>3932</v>
      </c>
      <c r="B2589" t="s">
        <v>4765</v>
      </c>
      <c r="C2589" t="s">
        <v>73</v>
      </c>
      <c r="D2589">
        <v>-25481</v>
      </c>
      <c r="E2589" t="s">
        <v>74</v>
      </c>
      <c r="F2589" t="s">
        <v>24</v>
      </c>
      <c r="G2589" t="s">
        <v>25</v>
      </c>
      <c r="H2589" t="s">
        <v>26</v>
      </c>
      <c r="I2589" t="s">
        <v>27</v>
      </c>
      <c r="J2589" s="11">
        <v>45295</v>
      </c>
      <c r="K2589" t="str">
        <f>TEXT(Transactions_Clean[[#This Row],[Date]],"MMM-YYYY")</f>
        <v>Jan-2024</v>
      </c>
      <c r="L2589">
        <f>IF(Transactions_Clean[[#This Row],[Category]]="Revenue",Transactions_Clean[[#This Row],[Amount(₹)]],Transactions_Clean[[#This Row],[Amount(₹)]]/8)</f>
        <v>-3185.125</v>
      </c>
    </row>
    <row r="2590" spans="1:12">
      <c r="A2590" t="s">
        <v>3933</v>
      </c>
      <c r="B2590" t="s">
        <v>51</v>
      </c>
      <c r="C2590" t="s">
        <v>31</v>
      </c>
      <c r="D2590">
        <v>-20358</v>
      </c>
      <c r="E2590" t="s">
        <v>23</v>
      </c>
      <c r="F2590" t="s">
        <v>32</v>
      </c>
      <c r="G2590" t="s">
        <v>33</v>
      </c>
      <c r="H2590" t="s">
        <v>26</v>
      </c>
      <c r="I2590" t="s">
        <v>27</v>
      </c>
      <c r="J2590" s="11">
        <v>45339</v>
      </c>
      <c r="K2590" t="str">
        <f>TEXT(Transactions_Clean[[#This Row],[Date]],"MMM-YYYY")</f>
        <v>Feb-2024</v>
      </c>
      <c r="L2590">
        <f>IF(Transactions_Clean[[#This Row],[Category]]="Revenue",Transactions_Clean[[#This Row],[Amount(₹)]],Transactions_Clean[[#This Row],[Amount(₹)]]/8)</f>
        <v>-2544.75</v>
      </c>
    </row>
    <row r="2591" spans="1:12">
      <c r="A2591" t="s">
        <v>3934</v>
      </c>
      <c r="B2591" t="s">
        <v>180</v>
      </c>
      <c r="C2591" t="s">
        <v>44</v>
      </c>
      <c r="D2591">
        <v>-84571</v>
      </c>
      <c r="E2591" t="s">
        <v>23</v>
      </c>
      <c r="F2591" t="s">
        <v>24</v>
      </c>
      <c r="G2591" t="s">
        <v>33</v>
      </c>
      <c r="H2591" t="s">
        <v>45</v>
      </c>
      <c r="I2591" t="s">
        <v>34</v>
      </c>
      <c r="J2591" s="11">
        <v>45410</v>
      </c>
      <c r="K2591" t="str">
        <f>TEXT(Transactions_Clean[[#This Row],[Date]],"MMM-YYYY")</f>
        <v>Apr-2024</v>
      </c>
      <c r="L2591">
        <f>IF(Transactions_Clean[[#This Row],[Category]]="Revenue",Transactions_Clean[[#This Row],[Amount(₹)]],Transactions_Clean[[#This Row],[Amount(₹)]]/8)</f>
        <v>-10571.375</v>
      </c>
    </row>
    <row r="2592" spans="1:12">
      <c r="A2592" t="s">
        <v>3936</v>
      </c>
      <c r="B2592" t="s">
        <v>4766</v>
      </c>
      <c r="C2592" t="s">
        <v>73</v>
      </c>
      <c r="D2592">
        <v>-91068</v>
      </c>
      <c r="E2592" t="s">
        <v>74</v>
      </c>
      <c r="F2592" t="s">
        <v>24</v>
      </c>
      <c r="G2592" t="s">
        <v>25</v>
      </c>
      <c r="H2592" t="s">
        <v>39</v>
      </c>
      <c r="I2592" t="s">
        <v>48</v>
      </c>
      <c r="J2592" s="11">
        <v>46000</v>
      </c>
      <c r="K2592" t="str">
        <f>TEXT(Transactions_Clean[[#This Row],[Date]],"MMM-YYYY")</f>
        <v>Dec-2025</v>
      </c>
      <c r="L2592">
        <f>IF(Transactions_Clean[[#This Row],[Category]]="Revenue",Transactions_Clean[[#This Row],[Amount(₹)]],Transactions_Clean[[#This Row],[Amount(₹)]]/8)</f>
        <v>-11383.5</v>
      </c>
    </row>
    <row r="2593" spans="1:12">
      <c r="A2593" t="s">
        <v>3938</v>
      </c>
      <c r="B2593" t="s">
        <v>215</v>
      </c>
      <c r="C2593" t="s">
        <v>61</v>
      </c>
      <c r="D2593">
        <v>-29546</v>
      </c>
      <c r="E2593" t="s">
        <v>62</v>
      </c>
      <c r="F2593" t="s">
        <v>24</v>
      </c>
      <c r="G2593" t="s">
        <v>63</v>
      </c>
      <c r="H2593" t="s">
        <v>26</v>
      </c>
      <c r="I2593" t="s">
        <v>34</v>
      </c>
      <c r="J2593" s="11">
        <v>45019</v>
      </c>
      <c r="K2593" t="str">
        <f>TEXT(Transactions_Clean[[#This Row],[Date]],"MMM-YYYY")</f>
        <v>Apr-2023</v>
      </c>
      <c r="L2593">
        <f>IF(Transactions_Clean[[#This Row],[Category]]="Revenue",Transactions_Clean[[#This Row],[Amount(₹)]],Transactions_Clean[[#This Row],[Amount(₹)]]/8)</f>
        <v>-3693.25</v>
      </c>
    </row>
    <row r="2594" spans="1:12">
      <c r="A2594" t="s">
        <v>3939</v>
      </c>
      <c r="B2594" t="s">
        <v>310</v>
      </c>
      <c r="C2594" t="s">
        <v>22</v>
      </c>
      <c r="D2594">
        <v>-147884</v>
      </c>
      <c r="E2594" t="s">
        <v>23</v>
      </c>
      <c r="F2594" t="s">
        <v>32</v>
      </c>
      <c r="G2594" t="s">
        <v>25</v>
      </c>
      <c r="H2594" t="s">
        <v>26</v>
      </c>
      <c r="I2594" t="s">
        <v>34</v>
      </c>
      <c r="J2594" s="11">
        <v>45204</v>
      </c>
      <c r="K2594" t="str">
        <f>TEXT(Transactions_Clean[[#This Row],[Date]],"MMM-YYYY")</f>
        <v>Oct-2023</v>
      </c>
      <c r="L2594">
        <f>IF(Transactions_Clean[[#This Row],[Category]]="Revenue",Transactions_Clean[[#This Row],[Amount(₹)]],Transactions_Clean[[#This Row],[Amount(₹)]]/8)</f>
        <v>-18485.5</v>
      </c>
    </row>
    <row r="2595" spans="1:12">
      <c r="A2595" t="s">
        <v>3941</v>
      </c>
      <c r="B2595" t="s">
        <v>169</v>
      </c>
      <c r="C2595" t="s">
        <v>73</v>
      </c>
      <c r="D2595">
        <v>-56318</v>
      </c>
      <c r="E2595" t="s">
        <v>74</v>
      </c>
      <c r="F2595" t="s">
        <v>24</v>
      </c>
      <c r="G2595" t="s">
        <v>25</v>
      </c>
      <c r="H2595" t="s">
        <v>39</v>
      </c>
      <c r="I2595" t="s">
        <v>48</v>
      </c>
      <c r="J2595" s="11">
        <v>45984</v>
      </c>
      <c r="K2595" t="str">
        <f>TEXT(Transactions_Clean[[#This Row],[Date]],"MMM-YYYY")</f>
        <v>Nov-2025</v>
      </c>
      <c r="L2595">
        <f>IF(Transactions_Clean[[#This Row],[Category]]="Revenue",Transactions_Clean[[#This Row],[Amount(₹)]],Transactions_Clean[[#This Row],[Amount(₹)]]/8)</f>
        <v>-7039.75</v>
      </c>
    </row>
    <row r="2596" spans="1:12">
      <c r="A2596" t="s">
        <v>3942</v>
      </c>
      <c r="B2596" t="s">
        <v>4753</v>
      </c>
      <c r="C2596" t="s">
        <v>38</v>
      </c>
      <c r="D2596">
        <v>-38007</v>
      </c>
      <c r="E2596" t="s">
        <v>23</v>
      </c>
      <c r="F2596" t="s">
        <v>32</v>
      </c>
      <c r="G2596" t="s">
        <v>33</v>
      </c>
      <c r="H2596" t="s">
        <v>26</v>
      </c>
      <c r="I2596" t="s">
        <v>27</v>
      </c>
      <c r="J2596" s="11">
        <v>45294</v>
      </c>
      <c r="K2596" t="str">
        <f>TEXT(Transactions_Clean[[#This Row],[Date]],"MMM-YYYY")</f>
        <v>Jan-2024</v>
      </c>
      <c r="L2596">
        <f>IF(Transactions_Clean[[#This Row],[Category]]="Revenue",Transactions_Clean[[#This Row],[Amount(₹)]],Transactions_Clean[[#This Row],[Amount(₹)]]/8)</f>
        <v>-4750.875</v>
      </c>
    </row>
    <row r="2597" spans="1:12">
      <c r="A2597" t="s">
        <v>3943</v>
      </c>
      <c r="B2597" t="s">
        <v>129</v>
      </c>
      <c r="C2597" t="s">
        <v>38</v>
      </c>
      <c r="D2597">
        <v>-18424</v>
      </c>
      <c r="E2597" t="s">
        <v>23</v>
      </c>
      <c r="F2597" t="s">
        <v>32</v>
      </c>
      <c r="G2597" t="s">
        <v>33</v>
      </c>
      <c r="H2597" t="s">
        <v>39</v>
      </c>
      <c r="I2597" t="s">
        <v>34</v>
      </c>
      <c r="J2597" s="11">
        <v>45763</v>
      </c>
      <c r="K2597" t="str">
        <f>TEXT(Transactions_Clean[[#This Row],[Date]],"MMM-YYYY")</f>
        <v>Apr-2025</v>
      </c>
      <c r="L2597">
        <f>IF(Transactions_Clean[[#This Row],[Category]]="Revenue",Transactions_Clean[[#This Row],[Amount(₹)]],Transactions_Clean[[#This Row],[Amount(₹)]]/8)</f>
        <v>-2303</v>
      </c>
    </row>
    <row r="2598" spans="1:12">
      <c r="A2598" t="s">
        <v>3945</v>
      </c>
      <c r="B2598" t="s">
        <v>4773</v>
      </c>
      <c r="C2598" t="s">
        <v>157</v>
      </c>
      <c r="D2598">
        <v>579886</v>
      </c>
      <c r="E2598" t="s">
        <v>62</v>
      </c>
      <c r="F2598" t="s">
        <v>32</v>
      </c>
      <c r="G2598" t="s">
        <v>25</v>
      </c>
      <c r="H2598" t="s">
        <v>26</v>
      </c>
      <c r="I2598" t="s">
        <v>27</v>
      </c>
      <c r="J2598" s="11">
        <v>45320</v>
      </c>
      <c r="K2598" t="str">
        <f>TEXT(Transactions_Clean[[#This Row],[Date]],"MMM-YYYY")</f>
        <v>Jan-2024</v>
      </c>
      <c r="L2598">
        <f>IF(Transactions_Clean[[#This Row],[Category]]="Revenue",Transactions_Clean[[#This Row],[Amount(₹)]],Transactions_Clean[[#This Row],[Amount(₹)]]/8)</f>
        <v>579886</v>
      </c>
    </row>
    <row r="2599" spans="1:12">
      <c r="A2599" t="s">
        <v>3946</v>
      </c>
      <c r="B2599" t="s">
        <v>215</v>
      </c>
      <c r="C2599" t="s">
        <v>61</v>
      </c>
      <c r="D2599">
        <v>-54633</v>
      </c>
      <c r="E2599" t="s">
        <v>62</v>
      </c>
      <c r="F2599" t="s">
        <v>32</v>
      </c>
      <c r="G2599" t="s">
        <v>63</v>
      </c>
      <c r="H2599" t="s">
        <v>26</v>
      </c>
      <c r="I2599" t="s">
        <v>40</v>
      </c>
      <c r="J2599" s="11">
        <v>45114</v>
      </c>
      <c r="K2599" t="str">
        <f>TEXT(Transactions_Clean[[#This Row],[Date]],"MMM-YYYY")</f>
        <v>Jul-2023</v>
      </c>
      <c r="L2599">
        <f>IF(Transactions_Clean[[#This Row],[Category]]="Revenue",Transactions_Clean[[#This Row],[Amount(₹)]],Transactions_Clean[[#This Row],[Amount(₹)]]/8)</f>
        <v>-6829.125</v>
      </c>
    </row>
    <row r="2600" spans="1:12">
      <c r="A2600" t="s">
        <v>3947</v>
      </c>
      <c r="B2600" t="s">
        <v>4759</v>
      </c>
      <c r="C2600" t="s">
        <v>31</v>
      </c>
      <c r="D2600">
        <v>-4892</v>
      </c>
      <c r="E2600" t="s">
        <v>23</v>
      </c>
      <c r="F2600" t="s">
        <v>24</v>
      </c>
      <c r="G2600" t="s">
        <v>33</v>
      </c>
      <c r="H2600" t="s">
        <v>39</v>
      </c>
      <c r="I2600" t="s">
        <v>40</v>
      </c>
      <c r="J2600" s="11">
        <v>45868</v>
      </c>
      <c r="K2600" t="str">
        <f>TEXT(Transactions_Clean[[#This Row],[Date]],"MMM-YYYY")</f>
        <v>Jul-2025</v>
      </c>
      <c r="L2600">
        <f>IF(Transactions_Clean[[#This Row],[Category]]="Revenue",Transactions_Clean[[#This Row],[Amount(₹)]],Transactions_Clean[[#This Row],[Amount(₹)]]/8)</f>
        <v>-611.5</v>
      </c>
    </row>
    <row r="2601" spans="1:12">
      <c r="A2601" t="s">
        <v>3948</v>
      </c>
      <c r="B2601" t="s">
        <v>116</v>
      </c>
      <c r="C2601" t="s">
        <v>73</v>
      </c>
      <c r="D2601">
        <v>-88025</v>
      </c>
      <c r="E2601" t="s">
        <v>74</v>
      </c>
      <c r="F2601" t="s">
        <v>24</v>
      </c>
      <c r="G2601" t="s">
        <v>25</v>
      </c>
      <c r="H2601" t="s">
        <v>39</v>
      </c>
      <c r="I2601" t="s">
        <v>40</v>
      </c>
      <c r="J2601" s="11">
        <v>45853</v>
      </c>
      <c r="K2601" t="str">
        <f>TEXT(Transactions_Clean[[#This Row],[Date]],"MMM-YYYY")</f>
        <v>Jul-2025</v>
      </c>
      <c r="L2601">
        <f>IF(Transactions_Clean[[#This Row],[Category]]="Revenue",Transactions_Clean[[#This Row],[Amount(₹)]],Transactions_Clean[[#This Row],[Amount(₹)]]/8)</f>
        <v>-11003.125</v>
      </c>
    </row>
    <row r="2602" spans="1:12">
      <c r="A2602" t="s">
        <v>3949</v>
      </c>
      <c r="B2602" t="s">
        <v>100</v>
      </c>
      <c r="C2602" t="s">
        <v>31</v>
      </c>
      <c r="D2602">
        <v>-8498</v>
      </c>
      <c r="E2602" t="s">
        <v>23</v>
      </c>
      <c r="F2602" t="s">
        <v>32</v>
      </c>
      <c r="G2602" t="s">
        <v>33</v>
      </c>
      <c r="H2602" t="s">
        <v>39</v>
      </c>
      <c r="I2602" t="s">
        <v>48</v>
      </c>
      <c r="J2602" s="11">
        <v>45984</v>
      </c>
      <c r="K2602" t="str">
        <f>TEXT(Transactions_Clean[[#This Row],[Date]],"MMM-YYYY")</f>
        <v>Nov-2025</v>
      </c>
      <c r="L2602">
        <f>IF(Transactions_Clean[[#This Row],[Category]]="Revenue",Transactions_Clean[[#This Row],[Amount(₹)]],Transactions_Clean[[#This Row],[Amount(₹)]]/8)</f>
        <v>-1062.25</v>
      </c>
    </row>
    <row r="2603" spans="1:12">
      <c r="A2603" t="s">
        <v>3950</v>
      </c>
      <c r="B2603" t="s">
        <v>687</v>
      </c>
      <c r="C2603" t="s">
        <v>44</v>
      </c>
      <c r="D2603">
        <v>-174041</v>
      </c>
      <c r="E2603" t="s">
        <v>23</v>
      </c>
      <c r="F2603" t="s">
        <v>24</v>
      </c>
      <c r="G2603" t="s">
        <v>33</v>
      </c>
      <c r="H2603" t="s">
        <v>45</v>
      </c>
      <c r="I2603" t="s">
        <v>48</v>
      </c>
      <c r="J2603" s="11">
        <v>45612</v>
      </c>
      <c r="K2603" t="str">
        <f>TEXT(Transactions_Clean[[#This Row],[Date]],"MMM-YYYY")</f>
        <v>Nov-2024</v>
      </c>
      <c r="L2603">
        <f>IF(Transactions_Clean[[#This Row],[Category]]="Revenue",Transactions_Clean[[#This Row],[Amount(₹)]],Transactions_Clean[[#This Row],[Amount(₹)]]/8)</f>
        <v>-21755.125</v>
      </c>
    </row>
    <row r="2604" spans="1:12">
      <c r="A2604" t="s">
        <v>3951</v>
      </c>
      <c r="B2604" t="s">
        <v>4766</v>
      </c>
      <c r="C2604" t="s">
        <v>73</v>
      </c>
      <c r="D2604">
        <v>-37634</v>
      </c>
      <c r="E2604" t="s">
        <v>74</v>
      </c>
      <c r="F2604" t="s">
        <v>24</v>
      </c>
      <c r="G2604" t="s">
        <v>25</v>
      </c>
      <c r="H2604" t="s">
        <v>45</v>
      </c>
      <c r="I2604" t="s">
        <v>34</v>
      </c>
      <c r="J2604" s="11">
        <v>45459</v>
      </c>
      <c r="K2604" t="str">
        <f>TEXT(Transactions_Clean[[#This Row],[Date]],"MMM-YYYY")</f>
        <v>Jun-2024</v>
      </c>
      <c r="L2604">
        <f>IF(Transactions_Clean[[#This Row],[Category]]="Revenue",Transactions_Clean[[#This Row],[Amount(₹)]],Transactions_Clean[[#This Row],[Amount(₹)]]/8)</f>
        <v>-4704.25</v>
      </c>
    </row>
    <row r="2605" spans="1:12">
      <c r="A2605" t="s">
        <v>3952</v>
      </c>
      <c r="B2605" t="s">
        <v>4751</v>
      </c>
      <c r="C2605" t="s">
        <v>38</v>
      </c>
      <c r="D2605">
        <v>-18001</v>
      </c>
      <c r="E2605" t="s">
        <v>23</v>
      </c>
      <c r="F2605" t="s">
        <v>32</v>
      </c>
      <c r="G2605" t="s">
        <v>33</v>
      </c>
      <c r="H2605" t="s">
        <v>45</v>
      </c>
      <c r="I2605" t="s">
        <v>48</v>
      </c>
      <c r="J2605" s="11">
        <v>45603</v>
      </c>
      <c r="K2605" t="str">
        <f>TEXT(Transactions_Clean[[#This Row],[Date]],"MMM-YYYY")</f>
        <v>Nov-2024</v>
      </c>
      <c r="L2605">
        <f>IF(Transactions_Clean[[#This Row],[Category]]="Revenue",Transactions_Clean[[#This Row],[Amount(₹)]],Transactions_Clean[[#This Row],[Amount(₹)]]/8)</f>
        <v>-2250.125</v>
      </c>
    </row>
    <row r="2606" spans="1:12">
      <c r="A2606" t="s">
        <v>3953</v>
      </c>
      <c r="B2606" t="s">
        <v>4752</v>
      </c>
      <c r="C2606" t="s">
        <v>44</v>
      </c>
      <c r="D2606">
        <v>-131030</v>
      </c>
      <c r="E2606" t="s">
        <v>23</v>
      </c>
      <c r="F2606" t="s">
        <v>24</v>
      </c>
      <c r="G2606" t="s">
        <v>33</v>
      </c>
      <c r="H2606" t="s">
        <v>26</v>
      </c>
      <c r="I2606" t="s">
        <v>34</v>
      </c>
      <c r="J2606" s="11">
        <v>45089</v>
      </c>
      <c r="K2606" t="str">
        <f>TEXT(Transactions_Clean[[#This Row],[Date]],"MMM-YYYY")</f>
        <v>Jun-2023</v>
      </c>
      <c r="L2606">
        <f>IF(Transactions_Clean[[#This Row],[Category]]="Revenue",Transactions_Clean[[#This Row],[Amount(₹)]],Transactions_Clean[[#This Row],[Amount(₹)]]/8)</f>
        <v>-16378.75</v>
      </c>
    </row>
    <row r="2607" spans="1:12">
      <c r="A2607" t="s">
        <v>3954</v>
      </c>
      <c r="B2607" t="s">
        <v>116</v>
      </c>
      <c r="C2607" t="s">
        <v>73</v>
      </c>
      <c r="D2607">
        <v>-92133</v>
      </c>
      <c r="E2607" t="s">
        <v>74</v>
      </c>
      <c r="F2607" t="s">
        <v>24</v>
      </c>
      <c r="G2607" t="s">
        <v>25</v>
      </c>
      <c r="H2607" t="s">
        <v>45</v>
      </c>
      <c r="I2607" t="s">
        <v>40</v>
      </c>
      <c r="J2607" s="11">
        <v>45549</v>
      </c>
      <c r="K2607" t="str">
        <f>TEXT(Transactions_Clean[[#This Row],[Date]],"MMM-YYYY")</f>
        <v>Sep-2024</v>
      </c>
      <c r="L2607">
        <f>IF(Transactions_Clean[[#This Row],[Category]]="Revenue",Transactions_Clean[[#This Row],[Amount(₹)]],Transactions_Clean[[#This Row],[Amount(₹)]]/8)</f>
        <v>-11516.625</v>
      </c>
    </row>
    <row r="2608" spans="1:12">
      <c r="A2608" t="s">
        <v>3955</v>
      </c>
      <c r="B2608" t="s">
        <v>4752</v>
      </c>
      <c r="C2608" t="s">
        <v>44</v>
      </c>
      <c r="D2608">
        <v>-132806</v>
      </c>
      <c r="E2608" t="s">
        <v>23</v>
      </c>
      <c r="F2608" t="s">
        <v>32</v>
      </c>
      <c r="G2608" t="s">
        <v>33</v>
      </c>
      <c r="H2608" t="s">
        <v>26</v>
      </c>
      <c r="I2608" t="s">
        <v>40</v>
      </c>
      <c r="J2608" s="11">
        <v>44935</v>
      </c>
      <c r="K2608" t="str">
        <f>TEXT(Transactions_Clean[[#This Row],[Date]],"MMM-YYYY")</f>
        <v>Jan-2023</v>
      </c>
      <c r="L2608">
        <f>IF(Transactions_Clean[[#This Row],[Category]]="Revenue",Transactions_Clean[[#This Row],[Amount(₹)]],Transactions_Clean[[#This Row],[Amount(₹)]]/8)</f>
        <v>-16600.75</v>
      </c>
    </row>
    <row r="2609" spans="1:12">
      <c r="A2609" t="s">
        <v>3957</v>
      </c>
      <c r="B2609" t="s">
        <v>169</v>
      </c>
      <c r="C2609" t="s">
        <v>73</v>
      </c>
      <c r="D2609">
        <v>-73564</v>
      </c>
      <c r="E2609" t="s">
        <v>74</v>
      </c>
      <c r="F2609" t="s">
        <v>32</v>
      </c>
      <c r="G2609" t="s">
        <v>25</v>
      </c>
      <c r="H2609" t="s">
        <v>45</v>
      </c>
      <c r="I2609" t="s">
        <v>40</v>
      </c>
      <c r="J2609" s="11">
        <v>45480</v>
      </c>
      <c r="K2609" t="str">
        <f>TEXT(Transactions_Clean[[#This Row],[Date]],"MMM-YYYY")</f>
        <v>Jul-2024</v>
      </c>
      <c r="L2609">
        <f>IF(Transactions_Clean[[#This Row],[Category]]="Revenue",Transactions_Clean[[#This Row],[Amount(₹)]],Transactions_Clean[[#This Row],[Amount(₹)]]/8)</f>
        <v>-9195.5</v>
      </c>
    </row>
    <row r="2610" spans="1:12">
      <c r="A2610" t="s">
        <v>3958</v>
      </c>
      <c r="B2610" t="s">
        <v>51</v>
      </c>
      <c r="C2610" t="s">
        <v>31</v>
      </c>
      <c r="D2610">
        <v>-37080</v>
      </c>
      <c r="E2610" t="s">
        <v>23</v>
      </c>
      <c r="F2610" t="s">
        <v>24</v>
      </c>
      <c r="G2610" t="s">
        <v>33</v>
      </c>
      <c r="H2610" t="s">
        <v>26</v>
      </c>
      <c r="I2610" t="s">
        <v>27</v>
      </c>
      <c r="J2610" s="11">
        <v>45372</v>
      </c>
      <c r="K2610" t="str">
        <f>TEXT(Transactions_Clean[[#This Row],[Date]],"MMM-YYYY")</f>
        <v>Mar-2024</v>
      </c>
      <c r="L2610">
        <f>IF(Transactions_Clean[[#This Row],[Category]]="Revenue",Transactions_Clean[[#This Row],[Amount(₹)]],Transactions_Clean[[#This Row],[Amount(₹)]]/8)</f>
        <v>-4635</v>
      </c>
    </row>
    <row r="2611" spans="1:12">
      <c r="A2611" t="s">
        <v>3959</v>
      </c>
      <c r="B2611" t="s">
        <v>4755</v>
      </c>
      <c r="C2611" t="s">
        <v>78</v>
      </c>
      <c r="D2611">
        <v>-84934</v>
      </c>
      <c r="E2611" t="s">
        <v>23</v>
      </c>
      <c r="F2611" t="s">
        <v>24</v>
      </c>
      <c r="G2611" t="s">
        <v>79</v>
      </c>
      <c r="H2611" t="s">
        <v>45</v>
      </c>
      <c r="I2611" t="s">
        <v>34</v>
      </c>
      <c r="J2611" s="11">
        <v>45467</v>
      </c>
      <c r="K2611" t="str">
        <f>TEXT(Transactions_Clean[[#This Row],[Date]],"MMM-YYYY")</f>
        <v>Jun-2024</v>
      </c>
      <c r="L2611">
        <f>IF(Transactions_Clean[[#This Row],[Category]]="Revenue",Transactions_Clean[[#This Row],[Amount(₹)]],Transactions_Clean[[#This Row],[Amount(₹)]]/8)</f>
        <v>-10616.75</v>
      </c>
    </row>
    <row r="2612" spans="1:12">
      <c r="A2612" t="s">
        <v>3961</v>
      </c>
      <c r="B2612" t="s">
        <v>224</v>
      </c>
      <c r="C2612" t="s">
        <v>78</v>
      </c>
      <c r="D2612">
        <v>-62277</v>
      </c>
      <c r="E2612" t="s">
        <v>23</v>
      </c>
      <c r="F2612" t="s">
        <v>32</v>
      </c>
      <c r="G2612" t="s">
        <v>79</v>
      </c>
      <c r="H2612" t="s">
        <v>26</v>
      </c>
      <c r="I2612" t="s">
        <v>40</v>
      </c>
      <c r="J2612" s="11">
        <v>45111</v>
      </c>
      <c r="K2612" t="str">
        <f>TEXT(Transactions_Clean[[#This Row],[Date]],"MMM-YYYY")</f>
        <v>Jul-2023</v>
      </c>
      <c r="L2612">
        <f>IF(Transactions_Clean[[#This Row],[Category]]="Revenue",Transactions_Clean[[#This Row],[Amount(₹)]],Transactions_Clean[[#This Row],[Amount(₹)]]/8)</f>
        <v>-7784.625</v>
      </c>
    </row>
    <row r="2613" spans="1:12">
      <c r="A2613" t="s">
        <v>3962</v>
      </c>
      <c r="B2613" t="s">
        <v>4756</v>
      </c>
      <c r="C2613" t="s">
        <v>73</v>
      </c>
      <c r="D2613">
        <v>-72598</v>
      </c>
      <c r="E2613" t="s">
        <v>74</v>
      </c>
      <c r="F2613" t="s">
        <v>32</v>
      </c>
      <c r="G2613" t="s">
        <v>25</v>
      </c>
      <c r="H2613" t="s">
        <v>45</v>
      </c>
      <c r="I2613" t="s">
        <v>34</v>
      </c>
      <c r="J2613" s="11">
        <v>45469</v>
      </c>
      <c r="K2613" t="str">
        <f>TEXT(Transactions_Clean[[#This Row],[Date]],"MMM-YYYY")</f>
        <v>Jun-2024</v>
      </c>
      <c r="L2613">
        <f>IF(Transactions_Clean[[#This Row],[Category]]="Revenue",Transactions_Clean[[#This Row],[Amount(₹)]],Transactions_Clean[[#This Row],[Amount(₹)]]/8)</f>
        <v>-9074.75</v>
      </c>
    </row>
    <row r="2614" spans="1:12">
      <c r="A2614" t="s">
        <v>3963</v>
      </c>
      <c r="B2614" t="s">
        <v>4753</v>
      </c>
      <c r="C2614" t="s">
        <v>38</v>
      </c>
      <c r="D2614">
        <v>-29250</v>
      </c>
      <c r="E2614" t="s">
        <v>23</v>
      </c>
      <c r="F2614" t="s">
        <v>24</v>
      </c>
      <c r="G2614" t="s">
        <v>33</v>
      </c>
      <c r="H2614" t="s">
        <v>45</v>
      </c>
      <c r="I2614" t="s">
        <v>34</v>
      </c>
      <c r="J2614" s="11">
        <v>45452</v>
      </c>
      <c r="K2614" t="str">
        <f>TEXT(Transactions_Clean[[#This Row],[Date]],"MMM-YYYY")</f>
        <v>Jun-2024</v>
      </c>
      <c r="L2614">
        <f>IF(Transactions_Clean[[#This Row],[Category]]="Revenue",Transactions_Clean[[#This Row],[Amount(₹)]],Transactions_Clean[[#This Row],[Amount(₹)]]/8)</f>
        <v>-3656.25</v>
      </c>
    </row>
    <row r="2615" spans="1:12">
      <c r="A2615" t="s">
        <v>3964</v>
      </c>
      <c r="B2615" t="s">
        <v>116</v>
      </c>
      <c r="C2615" t="s">
        <v>73</v>
      </c>
      <c r="D2615">
        <v>-88862</v>
      </c>
      <c r="E2615" t="s">
        <v>74</v>
      </c>
      <c r="F2615" t="s">
        <v>32</v>
      </c>
      <c r="G2615" t="s">
        <v>25</v>
      </c>
      <c r="H2615" t="s">
        <v>39</v>
      </c>
      <c r="I2615" t="s">
        <v>27</v>
      </c>
      <c r="J2615" s="11">
        <v>46092</v>
      </c>
      <c r="K2615" t="str">
        <f>TEXT(Transactions_Clean[[#This Row],[Date]],"MMM-YYYY")</f>
        <v>Mar-2026</v>
      </c>
      <c r="L2615">
        <f>IF(Transactions_Clean[[#This Row],[Category]]="Revenue",Transactions_Clean[[#This Row],[Amount(₹)]],Transactions_Clean[[#This Row],[Amount(₹)]]/8)</f>
        <v>-11107.75</v>
      </c>
    </row>
    <row r="2616" spans="1:12">
      <c r="A2616" t="s">
        <v>3965</v>
      </c>
      <c r="B2616" t="s">
        <v>4760</v>
      </c>
      <c r="C2616" t="s">
        <v>73</v>
      </c>
      <c r="D2616">
        <v>-32890</v>
      </c>
      <c r="E2616" t="s">
        <v>74</v>
      </c>
      <c r="F2616" t="s">
        <v>24</v>
      </c>
      <c r="G2616" t="s">
        <v>25</v>
      </c>
      <c r="H2616" t="s">
        <v>26</v>
      </c>
      <c r="I2616" t="s">
        <v>34</v>
      </c>
      <c r="J2616" s="11">
        <v>45203</v>
      </c>
      <c r="K2616" t="str">
        <f>TEXT(Transactions_Clean[[#This Row],[Date]],"MMM-YYYY")</f>
        <v>Oct-2023</v>
      </c>
      <c r="L2616">
        <f>IF(Transactions_Clean[[#This Row],[Category]]="Revenue",Transactions_Clean[[#This Row],[Amount(₹)]],Transactions_Clean[[#This Row],[Amount(₹)]]/8)</f>
        <v>-4111.25</v>
      </c>
    </row>
    <row r="2617" spans="1:12">
      <c r="A2617" t="s">
        <v>3967</v>
      </c>
      <c r="B2617" t="s">
        <v>116</v>
      </c>
      <c r="C2617" t="s">
        <v>73</v>
      </c>
      <c r="D2617">
        <v>-42883</v>
      </c>
      <c r="E2617" t="s">
        <v>74</v>
      </c>
      <c r="F2617" t="s">
        <v>32</v>
      </c>
      <c r="G2617" t="s">
        <v>25</v>
      </c>
      <c r="H2617" t="s">
        <v>39</v>
      </c>
      <c r="I2617" t="s">
        <v>27</v>
      </c>
      <c r="J2617" s="11">
        <v>46175</v>
      </c>
      <c r="K2617" t="str">
        <f>TEXT(Transactions_Clean[[#This Row],[Date]],"MMM-YYYY")</f>
        <v>Jun-2026</v>
      </c>
      <c r="L2617">
        <f>IF(Transactions_Clean[[#This Row],[Category]]="Revenue",Transactions_Clean[[#This Row],[Amount(₹)]],Transactions_Clean[[#This Row],[Amount(₹)]]/8)</f>
        <v>-5360.375</v>
      </c>
    </row>
    <row r="2618" spans="1:12">
      <c r="A2618" t="s">
        <v>3969</v>
      </c>
      <c r="B2618" t="s">
        <v>215</v>
      </c>
      <c r="C2618" t="s">
        <v>61</v>
      </c>
      <c r="D2618">
        <v>-23643</v>
      </c>
      <c r="E2618" t="s">
        <v>62</v>
      </c>
      <c r="F2618" t="s">
        <v>24</v>
      </c>
      <c r="G2618" t="s">
        <v>63</v>
      </c>
      <c r="H2618" t="s">
        <v>39</v>
      </c>
      <c r="I2618" t="s">
        <v>48</v>
      </c>
      <c r="J2618" s="11">
        <v>45980</v>
      </c>
      <c r="K2618" t="str">
        <f>TEXT(Transactions_Clean[[#This Row],[Date]],"MMM-YYYY")</f>
        <v>Nov-2025</v>
      </c>
      <c r="L2618">
        <f>IF(Transactions_Clean[[#This Row],[Category]]="Revenue",Transactions_Clean[[#This Row],[Amount(₹)]],Transactions_Clean[[#This Row],[Amount(₹)]]/8)</f>
        <v>-2955.375</v>
      </c>
    </row>
    <row r="2619" spans="1:12">
      <c r="A2619" t="s">
        <v>3970</v>
      </c>
      <c r="B2619" t="s">
        <v>4770</v>
      </c>
      <c r="C2619" t="s">
        <v>440</v>
      </c>
      <c r="D2619">
        <v>-95037</v>
      </c>
      <c r="E2619" t="s">
        <v>23</v>
      </c>
      <c r="F2619" t="s">
        <v>32</v>
      </c>
      <c r="G2619" t="s">
        <v>33</v>
      </c>
      <c r="H2619" t="s">
        <v>45</v>
      </c>
      <c r="I2619" t="s">
        <v>27</v>
      </c>
      <c r="J2619" s="11">
        <v>45719</v>
      </c>
      <c r="K2619" t="str">
        <f>TEXT(Transactions_Clean[[#This Row],[Date]],"MMM-YYYY")</f>
        <v>Mar-2025</v>
      </c>
      <c r="L2619">
        <f>IF(Transactions_Clean[[#This Row],[Category]]="Revenue",Transactions_Clean[[#This Row],[Amount(₹)]],Transactions_Clean[[#This Row],[Amount(₹)]]/8)</f>
        <v>-11879.625</v>
      </c>
    </row>
    <row r="2620" spans="1:12">
      <c r="A2620" t="s">
        <v>3973</v>
      </c>
      <c r="B2620" t="s">
        <v>180</v>
      </c>
      <c r="C2620" t="s">
        <v>44</v>
      </c>
      <c r="D2620">
        <v>-78963</v>
      </c>
      <c r="E2620" t="s">
        <v>23</v>
      </c>
      <c r="F2620" t="s">
        <v>32</v>
      </c>
      <c r="G2620" t="s">
        <v>33</v>
      </c>
      <c r="H2620" t="s">
        <v>39</v>
      </c>
      <c r="I2620" t="s">
        <v>34</v>
      </c>
      <c r="J2620" s="11">
        <v>45838</v>
      </c>
      <c r="K2620" t="str">
        <f>TEXT(Transactions_Clean[[#This Row],[Date]],"MMM-YYYY")</f>
        <v>Jun-2025</v>
      </c>
      <c r="L2620">
        <f>IF(Transactions_Clean[[#This Row],[Category]]="Revenue",Transactions_Clean[[#This Row],[Amount(₹)]],Transactions_Clean[[#This Row],[Amount(₹)]]/8)</f>
        <v>-9870.375</v>
      </c>
    </row>
    <row r="2621" spans="1:12">
      <c r="A2621" t="s">
        <v>3975</v>
      </c>
      <c r="B2621" t="s">
        <v>87</v>
      </c>
      <c r="C2621" t="s">
        <v>22</v>
      </c>
      <c r="D2621">
        <v>-72321</v>
      </c>
      <c r="E2621" t="s">
        <v>23</v>
      </c>
      <c r="F2621" t="s">
        <v>24</v>
      </c>
      <c r="G2621" t="s">
        <v>25</v>
      </c>
      <c r="H2621" t="s">
        <v>39</v>
      </c>
      <c r="I2621" t="s">
        <v>40</v>
      </c>
      <c r="J2621" s="11">
        <v>45839</v>
      </c>
      <c r="K2621" t="str">
        <f>TEXT(Transactions_Clean[[#This Row],[Date]],"MMM-YYYY")</f>
        <v>Jul-2025</v>
      </c>
      <c r="L2621">
        <f>IF(Transactions_Clean[[#This Row],[Category]]="Revenue",Transactions_Clean[[#This Row],[Amount(₹)]],Transactions_Clean[[#This Row],[Amount(₹)]]/8)</f>
        <v>-9040.125</v>
      </c>
    </row>
    <row r="2622" spans="1:12">
      <c r="A2622" t="s">
        <v>3976</v>
      </c>
      <c r="B2622" t="s">
        <v>66</v>
      </c>
      <c r="C2622" t="s">
        <v>61</v>
      </c>
      <c r="D2622">
        <v>-47605</v>
      </c>
      <c r="E2622" t="s">
        <v>62</v>
      </c>
      <c r="F2622" t="s">
        <v>24</v>
      </c>
      <c r="G2622" t="s">
        <v>63</v>
      </c>
      <c r="H2622" t="s">
        <v>26</v>
      </c>
      <c r="I2622" t="s">
        <v>40</v>
      </c>
      <c r="J2622" s="11">
        <v>45124</v>
      </c>
      <c r="K2622" t="str">
        <f>TEXT(Transactions_Clean[[#This Row],[Date]],"MMM-YYYY")</f>
        <v>Jul-2023</v>
      </c>
      <c r="L2622">
        <f>IF(Transactions_Clean[[#This Row],[Category]]="Revenue",Transactions_Clean[[#This Row],[Amount(₹)]],Transactions_Clean[[#This Row],[Amount(₹)]]/8)</f>
        <v>-5950.625</v>
      </c>
    </row>
    <row r="2623" spans="1:12">
      <c r="A2623" t="s">
        <v>3977</v>
      </c>
      <c r="B2623" t="s">
        <v>66</v>
      </c>
      <c r="C2623" t="s">
        <v>61</v>
      </c>
      <c r="D2623">
        <v>-32936</v>
      </c>
      <c r="E2623" t="s">
        <v>62</v>
      </c>
      <c r="F2623" t="s">
        <v>24</v>
      </c>
      <c r="G2623" t="s">
        <v>63</v>
      </c>
      <c r="H2623" t="s">
        <v>45</v>
      </c>
      <c r="I2623" t="s">
        <v>27</v>
      </c>
      <c r="J2623" s="11">
        <v>45699</v>
      </c>
      <c r="K2623" t="str">
        <f>TEXT(Transactions_Clean[[#This Row],[Date]],"MMM-YYYY")</f>
        <v>Feb-2025</v>
      </c>
      <c r="L2623">
        <f>IF(Transactions_Clean[[#This Row],[Category]]="Revenue",Transactions_Clean[[#This Row],[Amount(₹)]],Transactions_Clean[[#This Row],[Amount(₹)]]/8)</f>
        <v>-4117</v>
      </c>
    </row>
    <row r="2624" spans="1:12">
      <c r="A2624" t="s">
        <v>3978</v>
      </c>
      <c r="B2624" t="s">
        <v>255</v>
      </c>
      <c r="C2624" t="s">
        <v>4750</v>
      </c>
      <c r="D2624">
        <v>-90995</v>
      </c>
      <c r="E2624" t="s">
        <v>23</v>
      </c>
      <c r="F2624" t="s">
        <v>24</v>
      </c>
      <c r="G2624" t="s">
        <v>25</v>
      </c>
      <c r="H2624" t="s">
        <v>45</v>
      </c>
      <c r="I2624" t="s">
        <v>34</v>
      </c>
      <c r="J2624" s="11">
        <v>45433</v>
      </c>
      <c r="K2624" t="str">
        <f>TEXT(Transactions_Clean[[#This Row],[Date]],"MMM-YYYY")</f>
        <v>May-2024</v>
      </c>
      <c r="L2624">
        <f>IF(Transactions_Clean[[#This Row],[Category]]="Revenue",Transactions_Clean[[#This Row],[Amount(₹)]],Transactions_Clean[[#This Row],[Amount(₹)]]/8)</f>
        <v>-11374.375</v>
      </c>
    </row>
    <row r="2625" spans="1:12">
      <c r="A2625" t="s">
        <v>3979</v>
      </c>
      <c r="B2625" t="s">
        <v>4760</v>
      </c>
      <c r="C2625" t="s">
        <v>73</v>
      </c>
      <c r="D2625">
        <v>-85469</v>
      </c>
      <c r="E2625" t="s">
        <v>74</v>
      </c>
      <c r="F2625" t="s">
        <v>32</v>
      </c>
      <c r="G2625" t="s">
        <v>25</v>
      </c>
      <c r="H2625" t="s">
        <v>26</v>
      </c>
      <c r="I2625" t="s">
        <v>27</v>
      </c>
      <c r="J2625" s="11">
        <v>45294</v>
      </c>
      <c r="K2625" t="str">
        <f>TEXT(Transactions_Clean[[#This Row],[Date]],"MMM-YYYY")</f>
        <v>Jan-2024</v>
      </c>
      <c r="L2625">
        <f>IF(Transactions_Clean[[#This Row],[Category]]="Revenue",Transactions_Clean[[#This Row],[Amount(₹)]],Transactions_Clean[[#This Row],[Amount(₹)]]/8)</f>
        <v>-10683.625</v>
      </c>
    </row>
    <row r="2626" spans="1:12">
      <c r="A2626" t="s">
        <v>3980</v>
      </c>
      <c r="B2626" t="s">
        <v>215</v>
      </c>
      <c r="C2626" t="s">
        <v>61</v>
      </c>
      <c r="D2626">
        <v>-48849</v>
      </c>
      <c r="E2626" t="s">
        <v>62</v>
      </c>
      <c r="F2626" t="s">
        <v>24</v>
      </c>
      <c r="G2626" t="s">
        <v>63</v>
      </c>
      <c r="H2626" t="s">
        <v>26</v>
      </c>
      <c r="I2626" t="s">
        <v>48</v>
      </c>
      <c r="J2626" s="11">
        <v>45215</v>
      </c>
      <c r="K2626" t="str">
        <f>TEXT(Transactions_Clean[[#This Row],[Date]],"MMM-YYYY")</f>
        <v>Oct-2023</v>
      </c>
      <c r="L2626">
        <f>IF(Transactions_Clean[[#This Row],[Category]]="Revenue",Transactions_Clean[[#This Row],[Amount(₹)]],Transactions_Clean[[#This Row],[Amount(₹)]]/8)</f>
        <v>-6106.125</v>
      </c>
    </row>
    <row r="2627" spans="1:12">
      <c r="A2627" t="s">
        <v>3981</v>
      </c>
      <c r="B2627" t="s">
        <v>215</v>
      </c>
      <c r="C2627" t="s">
        <v>61</v>
      </c>
      <c r="D2627">
        <v>-38953</v>
      </c>
      <c r="E2627" t="s">
        <v>62</v>
      </c>
      <c r="F2627" t="s">
        <v>32</v>
      </c>
      <c r="G2627" t="s">
        <v>63</v>
      </c>
      <c r="H2627" t="s">
        <v>45</v>
      </c>
      <c r="I2627" t="s">
        <v>34</v>
      </c>
      <c r="J2627" s="11">
        <v>45437</v>
      </c>
      <c r="K2627" t="str">
        <f>TEXT(Transactions_Clean[[#This Row],[Date]],"MMM-YYYY")</f>
        <v>May-2024</v>
      </c>
      <c r="L2627">
        <f>IF(Transactions_Clean[[#This Row],[Category]]="Revenue",Transactions_Clean[[#This Row],[Amount(₹)]],Transactions_Clean[[#This Row],[Amount(₹)]]/8)</f>
        <v>-4869.125</v>
      </c>
    </row>
    <row r="2628" spans="1:12">
      <c r="A2628" t="s">
        <v>3983</v>
      </c>
      <c r="B2628" t="s">
        <v>72</v>
      </c>
      <c r="C2628" t="s">
        <v>73</v>
      </c>
      <c r="D2628">
        <v>-22134</v>
      </c>
      <c r="E2628" t="s">
        <v>74</v>
      </c>
      <c r="F2628" t="s">
        <v>32</v>
      </c>
      <c r="G2628" t="s">
        <v>25</v>
      </c>
      <c r="H2628" t="s">
        <v>45</v>
      </c>
      <c r="I2628" t="s">
        <v>34</v>
      </c>
      <c r="J2628" s="11">
        <v>45398</v>
      </c>
      <c r="K2628" t="str">
        <f>TEXT(Transactions_Clean[[#This Row],[Date]],"MMM-YYYY")</f>
        <v>Apr-2024</v>
      </c>
      <c r="L2628">
        <f>IF(Transactions_Clean[[#This Row],[Category]]="Revenue",Transactions_Clean[[#This Row],[Amount(₹)]],Transactions_Clean[[#This Row],[Amount(₹)]]/8)</f>
        <v>-2766.75</v>
      </c>
    </row>
    <row r="2629" spans="1:12">
      <c r="A2629" t="s">
        <v>3984</v>
      </c>
      <c r="B2629" t="s">
        <v>60</v>
      </c>
      <c r="C2629" t="s">
        <v>4750</v>
      </c>
      <c r="D2629">
        <v>-30315</v>
      </c>
      <c r="E2629" t="s">
        <v>62</v>
      </c>
      <c r="F2629" t="s">
        <v>24</v>
      </c>
      <c r="G2629" t="s">
        <v>63</v>
      </c>
      <c r="H2629" t="s">
        <v>45</v>
      </c>
      <c r="I2629" t="s">
        <v>27</v>
      </c>
      <c r="J2629" s="11">
        <v>45720</v>
      </c>
      <c r="K2629" t="str">
        <f>TEXT(Transactions_Clean[[#This Row],[Date]],"MMM-YYYY")</f>
        <v>Mar-2025</v>
      </c>
      <c r="L2629">
        <f>IF(Transactions_Clean[[#This Row],[Category]]="Revenue",Transactions_Clean[[#This Row],[Amount(₹)]],Transactions_Clean[[#This Row],[Amount(₹)]]/8)</f>
        <v>-3789.375</v>
      </c>
    </row>
    <row r="2630" spans="1:12">
      <c r="A2630" t="s">
        <v>3985</v>
      </c>
      <c r="B2630" t="s">
        <v>37</v>
      </c>
      <c r="C2630" t="s">
        <v>4750</v>
      </c>
      <c r="D2630">
        <v>-37327</v>
      </c>
      <c r="E2630" t="s">
        <v>23</v>
      </c>
      <c r="F2630" t="s">
        <v>32</v>
      </c>
      <c r="G2630" t="s">
        <v>33</v>
      </c>
      <c r="H2630" t="s">
        <v>26</v>
      </c>
      <c r="I2630" t="s">
        <v>48</v>
      </c>
      <c r="J2630" s="11">
        <v>45243</v>
      </c>
      <c r="K2630" t="str">
        <f>TEXT(Transactions_Clean[[#This Row],[Date]],"MMM-YYYY")</f>
        <v>Nov-2023</v>
      </c>
      <c r="L2630">
        <f>IF(Transactions_Clean[[#This Row],[Category]]="Revenue",Transactions_Clean[[#This Row],[Amount(₹)]],Transactions_Clean[[#This Row],[Amount(₹)]]/8)</f>
        <v>-4665.875</v>
      </c>
    </row>
    <row r="2631" spans="1:12">
      <c r="A2631" t="s">
        <v>3987</v>
      </c>
      <c r="B2631" t="s">
        <v>60</v>
      </c>
      <c r="C2631" t="s">
        <v>61</v>
      </c>
      <c r="D2631">
        <v>-24190</v>
      </c>
      <c r="E2631" t="s">
        <v>62</v>
      </c>
      <c r="F2631" t="s">
        <v>24</v>
      </c>
      <c r="G2631" t="s">
        <v>63</v>
      </c>
      <c r="H2631" t="s">
        <v>26</v>
      </c>
      <c r="I2631" t="s">
        <v>27</v>
      </c>
      <c r="J2631" s="11">
        <v>45349</v>
      </c>
      <c r="K2631" t="str">
        <f>TEXT(Transactions_Clean[[#This Row],[Date]],"MMM-YYYY")</f>
        <v>Feb-2024</v>
      </c>
      <c r="L2631">
        <f>IF(Transactions_Clean[[#This Row],[Category]]="Revenue",Transactions_Clean[[#This Row],[Amount(₹)]],Transactions_Clean[[#This Row],[Amount(₹)]]/8)</f>
        <v>-3023.75</v>
      </c>
    </row>
    <row r="2632" spans="1:12">
      <c r="A2632" t="s">
        <v>3989</v>
      </c>
      <c r="B2632" t="s">
        <v>4757</v>
      </c>
      <c r="C2632" t="s">
        <v>73</v>
      </c>
      <c r="D2632">
        <v>-73225</v>
      </c>
      <c r="E2632" t="s">
        <v>74</v>
      </c>
      <c r="F2632" t="s">
        <v>32</v>
      </c>
      <c r="G2632" t="s">
        <v>25</v>
      </c>
      <c r="H2632" t="s">
        <v>26</v>
      </c>
      <c r="I2632" t="s">
        <v>48</v>
      </c>
      <c r="J2632" s="11">
        <v>45288</v>
      </c>
      <c r="K2632" t="str">
        <f>TEXT(Transactions_Clean[[#This Row],[Date]],"MMM-YYYY")</f>
        <v>Dec-2023</v>
      </c>
      <c r="L2632">
        <f>IF(Transactions_Clean[[#This Row],[Category]]="Revenue",Transactions_Clean[[#This Row],[Amount(₹)]],Transactions_Clean[[#This Row],[Amount(₹)]]/8)</f>
        <v>-9153.125</v>
      </c>
    </row>
    <row r="2633" spans="1:12">
      <c r="A2633" t="s">
        <v>3990</v>
      </c>
      <c r="B2633" t="s">
        <v>4755</v>
      </c>
      <c r="C2633" t="s">
        <v>78</v>
      </c>
      <c r="D2633">
        <v>-57788</v>
      </c>
      <c r="E2633" t="s">
        <v>23</v>
      </c>
      <c r="F2633" t="s">
        <v>24</v>
      </c>
      <c r="G2633" t="s">
        <v>79</v>
      </c>
      <c r="H2633" t="s">
        <v>39</v>
      </c>
      <c r="I2633" t="s">
        <v>40</v>
      </c>
      <c r="J2633" s="11">
        <v>45858</v>
      </c>
      <c r="K2633" t="str">
        <f>TEXT(Transactions_Clean[[#This Row],[Date]],"MMM-YYYY")</f>
        <v>Jul-2025</v>
      </c>
      <c r="L2633">
        <f>IF(Transactions_Clean[[#This Row],[Category]]="Revenue",Transactions_Clean[[#This Row],[Amount(₹)]],Transactions_Clean[[#This Row],[Amount(₹)]]/8)</f>
        <v>-7223.5</v>
      </c>
    </row>
    <row r="2634" spans="1:12">
      <c r="A2634" t="s">
        <v>3991</v>
      </c>
      <c r="B2634" t="s">
        <v>4758</v>
      </c>
      <c r="C2634" t="s">
        <v>78</v>
      </c>
      <c r="D2634">
        <v>-35337</v>
      </c>
      <c r="E2634" t="s">
        <v>23</v>
      </c>
      <c r="F2634" t="s">
        <v>32</v>
      </c>
      <c r="G2634" t="s">
        <v>79</v>
      </c>
      <c r="H2634" t="s">
        <v>39</v>
      </c>
      <c r="I2634" t="s">
        <v>48</v>
      </c>
      <c r="J2634" s="11">
        <v>45879</v>
      </c>
      <c r="K2634" t="str">
        <f>TEXT(Transactions_Clean[[#This Row],[Date]],"MMM-YYYY")</f>
        <v>Aug-2025</v>
      </c>
      <c r="L2634">
        <f>IF(Transactions_Clean[[#This Row],[Category]]="Revenue",Transactions_Clean[[#This Row],[Amount(₹)]],Transactions_Clean[[#This Row],[Amount(₹)]]/8)</f>
        <v>-4417.125</v>
      </c>
    </row>
    <row r="2635" spans="1:12">
      <c r="A2635" t="s">
        <v>3992</v>
      </c>
      <c r="B2635" t="s">
        <v>106</v>
      </c>
      <c r="C2635" t="s">
        <v>31</v>
      </c>
      <c r="D2635">
        <v>-24163</v>
      </c>
      <c r="E2635" t="s">
        <v>23</v>
      </c>
      <c r="F2635" t="s">
        <v>24</v>
      </c>
      <c r="G2635" t="s">
        <v>33</v>
      </c>
      <c r="H2635" t="s">
        <v>26</v>
      </c>
      <c r="I2635" t="s">
        <v>34</v>
      </c>
      <c r="J2635" s="11">
        <v>45103</v>
      </c>
      <c r="K2635" t="str">
        <f>TEXT(Transactions_Clean[[#This Row],[Date]],"MMM-YYYY")</f>
        <v>Jun-2023</v>
      </c>
      <c r="L2635">
        <f>IF(Transactions_Clean[[#This Row],[Category]]="Revenue",Transactions_Clean[[#This Row],[Amount(₹)]],Transactions_Clean[[#This Row],[Amount(₹)]]/8)</f>
        <v>-3020.375</v>
      </c>
    </row>
    <row r="2636" spans="1:12">
      <c r="A2636" t="s">
        <v>3993</v>
      </c>
      <c r="B2636" t="s">
        <v>51</v>
      </c>
      <c r="C2636" t="s">
        <v>4750</v>
      </c>
      <c r="D2636">
        <v>-12261</v>
      </c>
      <c r="E2636" t="s">
        <v>23</v>
      </c>
      <c r="F2636" t="s">
        <v>24</v>
      </c>
      <c r="G2636" t="s">
        <v>33</v>
      </c>
      <c r="H2636" t="s">
        <v>39</v>
      </c>
      <c r="I2636" t="s">
        <v>27</v>
      </c>
      <c r="J2636" s="11">
        <v>46094</v>
      </c>
      <c r="K2636" t="str">
        <f>TEXT(Transactions_Clean[[#This Row],[Date]],"MMM-YYYY")</f>
        <v>Mar-2026</v>
      </c>
      <c r="L2636">
        <f>IF(Transactions_Clean[[#This Row],[Category]]="Revenue",Transactions_Clean[[#This Row],[Amount(₹)]],Transactions_Clean[[#This Row],[Amount(₹)]]/8)</f>
        <v>-1532.625</v>
      </c>
    </row>
    <row r="2637" spans="1:12">
      <c r="A2637" t="s">
        <v>3995</v>
      </c>
      <c r="B2637" t="s">
        <v>66</v>
      </c>
      <c r="C2637" t="s">
        <v>61</v>
      </c>
      <c r="D2637">
        <v>-32513</v>
      </c>
      <c r="E2637" t="s">
        <v>62</v>
      </c>
      <c r="F2637" t="s">
        <v>32</v>
      </c>
      <c r="G2637" t="s">
        <v>63</v>
      </c>
      <c r="H2637" t="s">
        <v>26</v>
      </c>
      <c r="I2637" t="s">
        <v>27</v>
      </c>
      <c r="J2637" s="11">
        <v>45365</v>
      </c>
      <c r="K2637" t="str">
        <f>TEXT(Transactions_Clean[[#This Row],[Date]],"MMM-YYYY")</f>
        <v>Mar-2024</v>
      </c>
      <c r="L2637">
        <f>IF(Transactions_Clean[[#This Row],[Category]]="Revenue",Transactions_Clean[[#This Row],[Amount(₹)]],Transactions_Clean[[#This Row],[Amount(₹)]]/8)</f>
        <v>-4064.125</v>
      </c>
    </row>
    <row r="2638" spans="1:12">
      <c r="A2638" t="s">
        <v>3996</v>
      </c>
      <c r="B2638" t="s">
        <v>4755</v>
      </c>
      <c r="C2638" t="s">
        <v>78</v>
      </c>
      <c r="D2638">
        <v>-41350</v>
      </c>
      <c r="E2638" t="s">
        <v>23</v>
      </c>
      <c r="F2638" t="s">
        <v>32</v>
      </c>
      <c r="G2638" t="s">
        <v>79</v>
      </c>
      <c r="H2638" t="s">
        <v>39</v>
      </c>
      <c r="I2638" t="s">
        <v>48</v>
      </c>
      <c r="J2638" s="11">
        <v>45787</v>
      </c>
      <c r="K2638" t="str">
        <f>TEXT(Transactions_Clean[[#This Row],[Date]],"MMM-YYYY")</f>
        <v>May-2025</v>
      </c>
      <c r="L2638">
        <f>IF(Transactions_Clean[[#This Row],[Category]]="Revenue",Transactions_Clean[[#This Row],[Amount(₹)]],Transactions_Clean[[#This Row],[Amount(₹)]]/8)</f>
        <v>-5168.75</v>
      </c>
    </row>
    <row r="2639" spans="1:12">
      <c r="A2639" t="s">
        <v>3998</v>
      </c>
      <c r="B2639" t="s">
        <v>100</v>
      </c>
      <c r="C2639" t="s">
        <v>4750</v>
      </c>
      <c r="D2639">
        <v>-43513</v>
      </c>
      <c r="E2639" t="s">
        <v>23</v>
      </c>
      <c r="F2639" t="s">
        <v>32</v>
      </c>
      <c r="G2639" t="s">
        <v>33</v>
      </c>
      <c r="H2639" t="s">
        <v>39</v>
      </c>
      <c r="I2639" t="s">
        <v>34</v>
      </c>
      <c r="J2639" s="11">
        <v>45783</v>
      </c>
      <c r="K2639" t="str">
        <f>TEXT(Transactions_Clean[[#This Row],[Date]],"MMM-YYYY")</f>
        <v>May-2025</v>
      </c>
      <c r="L2639">
        <f>IF(Transactions_Clean[[#This Row],[Category]]="Revenue",Transactions_Clean[[#This Row],[Amount(₹)]],Transactions_Clean[[#This Row],[Amount(₹)]]/8)</f>
        <v>-5439.125</v>
      </c>
    </row>
    <row r="2640" spans="1:12">
      <c r="A2640" t="s">
        <v>3999</v>
      </c>
      <c r="B2640" t="s">
        <v>100</v>
      </c>
      <c r="C2640" t="s">
        <v>31</v>
      </c>
      <c r="D2640">
        <v>-32411</v>
      </c>
      <c r="E2640" t="s">
        <v>23</v>
      </c>
      <c r="F2640" t="s">
        <v>24</v>
      </c>
      <c r="G2640" t="s">
        <v>33</v>
      </c>
      <c r="H2640" t="s">
        <v>26</v>
      </c>
      <c r="I2640" t="s">
        <v>34</v>
      </c>
      <c r="J2640" s="11">
        <v>45028</v>
      </c>
      <c r="K2640" t="str">
        <f>TEXT(Transactions_Clean[[#This Row],[Date]],"MMM-YYYY")</f>
        <v>Apr-2023</v>
      </c>
      <c r="L2640">
        <f>IF(Transactions_Clean[[#This Row],[Category]]="Revenue",Transactions_Clean[[#This Row],[Amount(₹)]],Transactions_Clean[[#This Row],[Amount(₹)]]/8)</f>
        <v>-4051.375</v>
      </c>
    </row>
    <row r="2641" spans="1:12">
      <c r="A2641" t="s">
        <v>4000</v>
      </c>
      <c r="B2641" t="s">
        <v>60</v>
      </c>
      <c r="C2641" t="s">
        <v>61</v>
      </c>
      <c r="D2641">
        <v>-25033</v>
      </c>
      <c r="E2641" t="s">
        <v>62</v>
      </c>
      <c r="F2641" t="s">
        <v>32</v>
      </c>
      <c r="G2641" t="s">
        <v>63</v>
      </c>
      <c r="H2641" t="s">
        <v>26</v>
      </c>
      <c r="I2641" t="s">
        <v>48</v>
      </c>
      <c r="J2641" s="11">
        <v>45277</v>
      </c>
      <c r="K2641" t="str">
        <f>TEXT(Transactions_Clean[[#This Row],[Date]],"MMM-YYYY")</f>
        <v>Dec-2023</v>
      </c>
      <c r="L2641">
        <f>IF(Transactions_Clean[[#This Row],[Category]]="Revenue",Transactions_Clean[[#This Row],[Amount(₹)]],Transactions_Clean[[#This Row],[Amount(₹)]]/8)</f>
        <v>-3129.125</v>
      </c>
    </row>
    <row r="2642" spans="1:12">
      <c r="A2642" t="s">
        <v>4001</v>
      </c>
      <c r="B2642" t="s">
        <v>290</v>
      </c>
      <c r="C2642" t="s">
        <v>4750</v>
      </c>
      <c r="D2642">
        <v>-117124</v>
      </c>
      <c r="E2642" t="s">
        <v>23</v>
      </c>
      <c r="F2642" t="s">
        <v>24</v>
      </c>
      <c r="G2642" t="s">
        <v>33</v>
      </c>
      <c r="H2642" t="s">
        <v>26</v>
      </c>
      <c r="I2642" t="s">
        <v>27</v>
      </c>
      <c r="J2642" s="11">
        <v>45328</v>
      </c>
      <c r="K2642" t="str">
        <f>TEXT(Transactions_Clean[[#This Row],[Date]],"MMM-YYYY")</f>
        <v>Feb-2024</v>
      </c>
      <c r="L2642">
        <f>IF(Transactions_Clean[[#This Row],[Category]]="Revenue",Transactions_Clean[[#This Row],[Amount(₹)]],Transactions_Clean[[#This Row],[Amount(₹)]]/8)</f>
        <v>-14640.5</v>
      </c>
    </row>
    <row r="2643" spans="1:12">
      <c r="A2643" t="s">
        <v>4002</v>
      </c>
      <c r="B2643" t="s">
        <v>66</v>
      </c>
      <c r="C2643" t="s">
        <v>61</v>
      </c>
      <c r="D2643">
        <v>-60248</v>
      </c>
      <c r="E2643" t="s">
        <v>62</v>
      </c>
      <c r="F2643" t="s">
        <v>32</v>
      </c>
      <c r="G2643" t="s">
        <v>63</v>
      </c>
      <c r="H2643" t="s">
        <v>26</v>
      </c>
      <c r="I2643" t="s">
        <v>48</v>
      </c>
      <c r="J2643" s="11">
        <v>45201</v>
      </c>
      <c r="K2643" t="str">
        <f>TEXT(Transactions_Clean[[#This Row],[Date]],"MMM-YYYY")</f>
        <v>Oct-2023</v>
      </c>
      <c r="L2643">
        <f>IF(Transactions_Clean[[#This Row],[Category]]="Revenue",Transactions_Clean[[#This Row],[Amount(₹)]],Transactions_Clean[[#This Row],[Amount(₹)]]/8)</f>
        <v>-7531</v>
      </c>
    </row>
    <row r="2644" spans="1:12">
      <c r="A2644" t="s">
        <v>4004</v>
      </c>
      <c r="B2644" t="s">
        <v>215</v>
      </c>
      <c r="C2644" t="s">
        <v>61</v>
      </c>
      <c r="D2644">
        <v>-32334</v>
      </c>
      <c r="E2644" t="s">
        <v>62</v>
      </c>
      <c r="F2644" t="s">
        <v>32</v>
      </c>
      <c r="G2644" t="s">
        <v>63</v>
      </c>
      <c r="H2644" t="s">
        <v>26</v>
      </c>
      <c r="I2644" t="s">
        <v>34</v>
      </c>
      <c r="J2644" s="11">
        <v>45101</v>
      </c>
      <c r="K2644" t="str">
        <f>TEXT(Transactions_Clean[[#This Row],[Date]],"MMM-YYYY")</f>
        <v>Jun-2023</v>
      </c>
      <c r="L2644">
        <f>IF(Transactions_Clean[[#This Row],[Category]]="Revenue",Transactions_Clean[[#This Row],[Amount(₹)]],Transactions_Clean[[#This Row],[Amount(₹)]]/8)</f>
        <v>-4041.75</v>
      </c>
    </row>
    <row r="2645" spans="1:12">
      <c r="A2645" t="s">
        <v>4005</v>
      </c>
      <c r="B2645" t="s">
        <v>202</v>
      </c>
      <c r="C2645" t="s">
        <v>22</v>
      </c>
      <c r="D2645">
        <v>-87268</v>
      </c>
      <c r="E2645" t="s">
        <v>23</v>
      </c>
      <c r="F2645" t="s">
        <v>32</v>
      </c>
      <c r="G2645" t="s">
        <v>25</v>
      </c>
      <c r="H2645" t="s">
        <v>26</v>
      </c>
      <c r="I2645" t="s">
        <v>48</v>
      </c>
      <c r="J2645" s="11">
        <v>45204</v>
      </c>
      <c r="K2645" t="str">
        <f>TEXT(Transactions_Clean[[#This Row],[Date]],"MMM-YYYY")</f>
        <v>Oct-2023</v>
      </c>
      <c r="L2645">
        <f>IF(Transactions_Clean[[#This Row],[Category]]="Revenue",Transactions_Clean[[#This Row],[Amount(₹)]],Transactions_Clean[[#This Row],[Amount(₹)]]/8)</f>
        <v>-10908.5</v>
      </c>
    </row>
    <row r="2646" spans="1:12">
      <c r="A2646" t="s">
        <v>4007</v>
      </c>
      <c r="B2646" t="s">
        <v>174</v>
      </c>
      <c r="C2646" t="s">
        <v>22</v>
      </c>
      <c r="D2646">
        <v>-110424</v>
      </c>
      <c r="E2646" t="s">
        <v>23</v>
      </c>
      <c r="F2646" t="s">
        <v>32</v>
      </c>
      <c r="G2646" t="s">
        <v>25</v>
      </c>
      <c r="H2646" t="s">
        <v>39</v>
      </c>
      <c r="I2646" t="s">
        <v>40</v>
      </c>
      <c r="J2646" s="11">
        <v>45930</v>
      </c>
      <c r="K2646" t="str">
        <f>TEXT(Transactions_Clean[[#This Row],[Date]],"MMM-YYYY")</f>
        <v>Sep-2025</v>
      </c>
      <c r="L2646">
        <f>IF(Transactions_Clean[[#This Row],[Category]]="Revenue",Transactions_Clean[[#This Row],[Amount(₹)]],Transactions_Clean[[#This Row],[Amount(₹)]]/8)</f>
        <v>-13803</v>
      </c>
    </row>
    <row r="2647" spans="1:12">
      <c r="A2647" t="s">
        <v>4008</v>
      </c>
      <c r="B2647" t="s">
        <v>66</v>
      </c>
      <c r="C2647" t="s">
        <v>61</v>
      </c>
      <c r="D2647">
        <v>-17718</v>
      </c>
      <c r="E2647" t="s">
        <v>62</v>
      </c>
      <c r="F2647" t="s">
        <v>24</v>
      </c>
      <c r="G2647" t="s">
        <v>63</v>
      </c>
      <c r="H2647" t="s">
        <v>45</v>
      </c>
      <c r="I2647" t="s">
        <v>40</v>
      </c>
      <c r="J2647" s="11">
        <v>45481</v>
      </c>
      <c r="K2647" t="str">
        <f>TEXT(Transactions_Clean[[#This Row],[Date]],"MMM-YYYY")</f>
        <v>Jul-2024</v>
      </c>
      <c r="L2647">
        <f>IF(Transactions_Clean[[#This Row],[Category]]="Revenue",Transactions_Clean[[#This Row],[Amount(₹)]],Transactions_Clean[[#This Row],[Amount(₹)]]/8)</f>
        <v>-2214.75</v>
      </c>
    </row>
    <row r="2648" spans="1:12">
      <c r="A2648" t="s">
        <v>4009</v>
      </c>
      <c r="B2648" t="s">
        <v>215</v>
      </c>
      <c r="C2648" t="s">
        <v>61</v>
      </c>
      <c r="D2648">
        <v>-51895</v>
      </c>
      <c r="E2648" t="s">
        <v>62</v>
      </c>
      <c r="F2648" t="s">
        <v>24</v>
      </c>
      <c r="G2648" t="s">
        <v>63</v>
      </c>
      <c r="H2648" t="s">
        <v>39</v>
      </c>
      <c r="I2648" t="s">
        <v>34</v>
      </c>
      <c r="J2648" s="11">
        <v>45766</v>
      </c>
      <c r="K2648" t="str">
        <f>TEXT(Transactions_Clean[[#This Row],[Date]],"MMM-YYYY")</f>
        <v>Apr-2025</v>
      </c>
      <c r="L2648">
        <f>IF(Transactions_Clean[[#This Row],[Category]]="Revenue",Transactions_Clean[[#This Row],[Amount(₹)]],Transactions_Clean[[#This Row],[Amount(₹)]]/8)</f>
        <v>-6486.875</v>
      </c>
    </row>
    <row r="2649" spans="1:12">
      <c r="A2649" t="s">
        <v>4010</v>
      </c>
      <c r="B2649" t="s">
        <v>30</v>
      </c>
      <c r="C2649" t="s">
        <v>31</v>
      </c>
      <c r="D2649">
        <v>-33388</v>
      </c>
      <c r="E2649" t="s">
        <v>23</v>
      </c>
      <c r="F2649" t="s">
        <v>32</v>
      </c>
      <c r="G2649" t="s">
        <v>33</v>
      </c>
      <c r="H2649" t="s">
        <v>26</v>
      </c>
      <c r="I2649" t="s">
        <v>27</v>
      </c>
      <c r="J2649" s="11">
        <v>45309</v>
      </c>
      <c r="K2649" t="str">
        <f>TEXT(Transactions_Clean[[#This Row],[Date]],"MMM-YYYY")</f>
        <v>Jan-2024</v>
      </c>
      <c r="L2649">
        <f>IF(Transactions_Clean[[#This Row],[Category]]="Revenue",Transactions_Clean[[#This Row],[Amount(₹)]],Transactions_Clean[[#This Row],[Amount(₹)]]/8)</f>
        <v>-4173.5</v>
      </c>
    </row>
    <row r="2650" spans="1:12">
      <c r="A2650" t="s">
        <v>4011</v>
      </c>
      <c r="B2650" t="s">
        <v>60</v>
      </c>
      <c r="C2650" t="s">
        <v>61</v>
      </c>
      <c r="D2650">
        <v>-28364</v>
      </c>
      <c r="E2650" t="s">
        <v>62</v>
      </c>
      <c r="F2650" t="s">
        <v>32</v>
      </c>
      <c r="G2650" t="s">
        <v>63</v>
      </c>
      <c r="H2650" t="s">
        <v>26</v>
      </c>
      <c r="I2650" t="s">
        <v>48</v>
      </c>
      <c r="J2650" s="11">
        <v>45257</v>
      </c>
      <c r="K2650" t="str">
        <f>TEXT(Transactions_Clean[[#This Row],[Date]],"MMM-YYYY")</f>
        <v>Nov-2023</v>
      </c>
      <c r="L2650">
        <f>IF(Transactions_Clean[[#This Row],[Category]]="Revenue",Transactions_Clean[[#This Row],[Amount(₹)]],Transactions_Clean[[#This Row],[Amount(₹)]]/8)</f>
        <v>-3545.5</v>
      </c>
    </row>
    <row r="2651" spans="1:12">
      <c r="A2651" t="s">
        <v>4012</v>
      </c>
      <c r="B2651" t="s">
        <v>60</v>
      </c>
      <c r="C2651" t="s">
        <v>61</v>
      </c>
      <c r="D2651">
        <v>-46669</v>
      </c>
      <c r="E2651" t="s">
        <v>62</v>
      </c>
      <c r="F2651" t="s">
        <v>24</v>
      </c>
      <c r="G2651" t="s">
        <v>63</v>
      </c>
      <c r="H2651" t="s">
        <v>39</v>
      </c>
      <c r="I2651" t="s">
        <v>27</v>
      </c>
      <c r="J2651" s="11">
        <v>46067</v>
      </c>
      <c r="K2651" t="str">
        <f>TEXT(Transactions_Clean[[#This Row],[Date]],"MMM-YYYY")</f>
        <v>Feb-2026</v>
      </c>
      <c r="L2651">
        <f>IF(Transactions_Clean[[#This Row],[Category]]="Revenue",Transactions_Clean[[#This Row],[Amount(₹)]],Transactions_Clean[[#This Row],[Amount(₹)]]/8)</f>
        <v>-5833.625</v>
      </c>
    </row>
    <row r="2652" spans="1:12">
      <c r="A2652" t="s">
        <v>4013</v>
      </c>
      <c r="B2652" t="s">
        <v>60</v>
      </c>
      <c r="C2652" t="s">
        <v>61</v>
      </c>
      <c r="D2652">
        <v>-40870</v>
      </c>
      <c r="E2652" t="s">
        <v>62</v>
      </c>
      <c r="F2652" t="s">
        <v>32</v>
      </c>
      <c r="G2652" t="s">
        <v>63</v>
      </c>
      <c r="H2652" t="s">
        <v>45</v>
      </c>
      <c r="I2652" t="s">
        <v>27</v>
      </c>
      <c r="J2652" s="11">
        <v>45660</v>
      </c>
      <c r="K2652" t="str">
        <f>TEXT(Transactions_Clean[[#This Row],[Date]],"MMM-YYYY")</f>
        <v>Jan-2025</v>
      </c>
      <c r="L2652">
        <f>IF(Transactions_Clean[[#This Row],[Category]]="Revenue",Transactions_Clean[[#This Row],[Amount(₹)]],Transactions_Clean[[#This Row],[Amount(₹)]]/8)</f>
        <v>-5108.75</v>
      </c>
    </row>
    <row r="2653" spans="1:12">
      <c r="A2653" t="s">
        <v>4014</v>
      </c>
      <c r="B2653" t="s">
        <v>177</v>
      </c>
      <c r="C2653" t="s">
        <v>4750</v>
      </c>
      <c r="D2653">
        <v>-84602</v>
      </c>
      <c r="E2653" t="s">
        <v>23</v>
      </c>
      <c r="F2653" t="s">
        <v>24</v>
      </c>
      <c r="G2653" t="s">
        <v>79</v>
      </c>
      <c r="H2653" t="s">
        <v>45</v>
      </c>
      <c r="I2653" t="s">
        <v>48</v>
      </c>
      <c r="J2653" s="11">
        <v>45623</v>
      </c>
      <c r="K2653" t="str">
        <f>TEXT(Transactions_Clean[[#This Row],[Date]],"MMM-YYYY")</f>
        <v>Nov-2024</v>
      </c>
      <c r="L2653">
        <f>IF(Transactions_Clean[[#This Row],[Category]]="Revenue",Transactions_Clean[[#This Row],[Amount(₹)]],Transactions_Clean[[#This Row],[Amount(₹)]]/8)</f>
        <v>-10575.25</v>
      </c>
    </row>
    <row r="2654" spans="1:12">
      <c r="A2654" t="s">
        <v>4016</v>
      </c>
      <c r="B2654" t="s">
        <v>4760</v>
      </c>
      <c r="C2654" t="s">
        <v>4750</v>
      </c>
      <c r="D2654">
        <v>-77041</v>
      </c>
      <c r="E2654" t="s">
        <v>74</v>
      </c>
      <c r="F2654" t="s">
        <v>24</v>
      </c>
      <c r="G2654" t="s">
        <v>25</v>
      </c>
      <c r="H2654" t="s">
        <v>26</v>
      </c>
      <c r="I2654" t="s">
        <v>48</v>
      </c>
      <c r="J2654" s="11">
        <v>45257</v>
      </c>
      <c r="K2654" t="str">
        <f>TEXT(Transactions_Clean[[#This Row],[Date]],"MMM-YYYY")</f>
        <v>Nov-2023</v>
      </c>
      <c r="L2654">
        <f>IF(Transactions_Clean[[#This Row],[Category]]="Revenue",Transactions_Clean[[#This Row],[Amount(₹)]],Transactions_Clean[[#This Row],[Amount(₹)]]/8)</f>
        <v>-9630.125</v>
      </c>
    </row>
    <row r="2655" spans="1:12">
      <c r="A2655" t="s">
        <v>4017</v>
      </c>
      <c r="B2655" t="s">
        <v>4757</v>
      </c>
      <c r="C2655" t="s">
        <v>73</v>
      </c>
      <c r="D2655">
        <v>-71576</v>
      </c>
      <c r="E2655" t="s">
        <v>74</v>
      </c>
      <c r="F2655" t="s">
        <v>24</v>
      </c>
      <c r="G2655" t="s">
        <v>25</v>
      </c>
      <c r="H2655" t="s">
        <v>26</v>
      </c>
      <c r="I2655" t="s">
        <v>27</v>
      </c>
      <c r="J2655" s="11">
        <v>45367</v>
      </c>
      <c r="K2655" t="str">
        <f>TEXT(Transactions_Clean[[#This Row],[Date]],"MMM-YYYY")</f>
        <v>Mar-2024</v>
      </c>
      <c r="L2655">
        <f>IF(Transactions_Clean[[#This Row],[Category]]="Revenue",Transactions_Clean[[#This Row],[Amount(₹)]],Transactions_Clean[[#This Row],[Amount(₹)]]/8)</f>
        <v>-8947</v>
      </c>
    </row>
    <row r="2656" spans="1:12">
      <c r="A2656" t="s">
        <v>4018</v>
      </c>
      <c r="B2656" t="s">
        <v>4766</v>
      </c>
      <c r="C2656" t="s">
        <v>73</v>
      </c>
      <c r="D2656">
        <v>-68469</v>
      </c>
      <c r="E2656" t="s">
        <v>74</v>
      </c>
      <c r="F2656" t="s">
        <v>32</v>
      </c>
      <c r="G2656" t="s">
        <v>25</v>
      </c>
      <c r="H2656" t="s">
        <v>26</v>
      </c>
      <c r="I2656" t="s">
        <v>48</v>
      </c>
      <c r="J2656" s="11">
        <v>45266</v>
      </c>
      <c r="K2656" t="str">
        <f>TEXT(Transactions_Clean[[#This Row],[Date]],"MMM-YYYY")</f>
        <v>Dec-2023</v>
      </c>
      <c r="L2656">
        <f>IF(Transactions_Clean[[#This Row],[Category]]="Revenue",Transactions_Clean[[#This Row],[Amount(₹)]],Transactions_Clean[[#This Row],[Amount(₹)]]/8)</f>
        <v>-8558.625</v>
      </c>
    </row>
    <row r="2657" spans="1:12">
      <c r="A2657" t="s">
        <v>4019</v>
      </c>
      <c r="B2657" t="s">
        <v>4756</v>
      </c>
      <c r="C2657" t="s">
        <v>73</v>
      </c>
      <c r="D2657">
        <v>-87150</v>
      </c>
      <c r="E2657" t="s">
        <v>74</v>
      </c>
      <c r="F2657" t="s">
        <v>24</v>
      </c>
      <c r="G2657" t="s">
        <v>25</v>
      </c>
      <c r="H2657" t="s">
        <v>39</v>
      </c>
      <c r="I2657" t="s">
        <v>40</v>
      </c>
      <c r="J2657" s="11">
        <v>45928</v>
      </c>
      <c r="K2657" t="str">
        <f>TEXT(Transactions_Clean[[#This Row],[Date]],"MMM-YYYY")</f>
        <v>Sep-2025</v>
      </c>
      <c r="L2657">
        <f>IF(Transactions_Clean[[#This Row],[Category]]="Revenue",Transactions_Clean[[#This Row],[Amount(₹)]],Transactions_Clean[[#This Row],[Amount(₹)]]/8)</f>
        <v>-10893.75</v>
      </c>
    </row>
    <row r="2658" spans="1:12">
      <c r="A2658" t="s">
        <v>4020</v>
      </c>
      <c r="B2658" t="s">
        <v>4755</v>
      </c>
      <c r="C2658" t="s">
        <v>78</v>
      </c>
      <c r="D2658">
        <v>-28213</v>
      </c>
      <c r="E2658" t="s">
        <v>23</v>
      </c>
      <c r="F2658" t="s">
        <v>24</v>
      </c>
      <c r="G2658" t="s">
        <v>79</v>
      </c>
      <c r="H2658" t="s">
        <v>39</v>
      </c>
      <c r="I2658" t="s">
        <v>34</v>
      </c>
      <c r="J2658" s="11">
        <v>45832</v>
      </c>
      <c r="K2658" t="str">
        <f>TEXT(Transactions_Clean[[#This Row],[Date]],"MMM-YYYY")</f>
        <v>Jun-2025</v>
      </c>
      <c r="L2658">
        <f>IF(Transactions_Clean[[#This Row],[Category]]="Revenue",Transactions_Clean[[#This Row],[Amount(₹)]],Transactions_Clean[[#This Row],[Amount(₹)]]/8)</f>
        <v>-3526.625</v>
      </c>
    </row>
    <row r="2659" spans="1:12">
      <c r="A2659" t="s">
        <v>4022</v>
      </c>
      <c r="B2659" t="s">
        <v>224</v>
      </c>
      <c r="C2659" t="s">
        <v>78</v>
      </c>
      <c r="D2659">
        <v>-81417</v>
      </c>
      <c r="E2659" t="s">
        <v>23</v>
      </c>
      <c r="F2659" t="s">
        <v>24</v>
      </c>
      <c r="G2659" t="s">
        <v>79</v>
      </c>
      <c r="H2659" t="s">
        <v>39</v>
      </c>
      <c r="I2659" t="s">
        <v>40</v>
      </c>
      <c r="J2659" s="11">
        <v>45851</v>
      </c>
      <c r="K2659" t="str">
        <f>TEXT(Transactions_Clean[[#This Row],[Date]],"MMM-YYYY")</f>
        <v>Jul-2025</v>
      </c>
      <c r="L2659">
        <f>IF(Transactions_Clean[[#This Row],[Category]]="Revenue",Transactions_Clean[[#This Row],[Amount(₹)]],Transactions_Clean[[#This Row],[Amount(₹)]]/8)</f>
        <v>-10177.125</v>
      </c>
    </row>
    <row r="2660" spans="1:12">
      <c r="A2660" t="s">
        <v>4023</v>
      </c>
      <c r="B2660" t="s">
        <v>106</v>
      </c>
      <c r="C2660" t="s">
        <v>31</v>
      </c>
      <c r="D2660">
        <v>-26812</v>
      </c>
      <c r="E2660" t="s">
        <v>23</v>
      </c>
      <c r="F2660" t="s">
        <v>32</v>
      </c>
      <c r="G2660" t="s">
        <v>33</v>
      </c>
      <c r="H2660" t="s">
        <v>45</v>
      </c>
      <c r="I2660" t="s">
        <v>40</v>
      </c>
      <c r="J2660" s="11">
        <v>45523</v>
      </c>
      <c r="K2660" t="str">
        <f>TEXT(Transactions_Clean[[#This Row],[Date]],"MMM-YYYY")</f>
        <v>Aug-2024</v>
      </c>
      <c r="L2660">
        <f>IF(Transactions_Clean[[#This Row],[Category]]="Revenue",Transactions_Clean[[#This Row],[Amount(₹)]],Transactions_Clean[[#This Row],[Amount(₹)]]/8)</f>
        <v>-3351.5</v>
      </c>
    </row>
    <row r="2661" spans="1:12">
      <c r="A2661" t="s">
        <v>4024</v>
      </c>
      <c r="B2661" t="s">
        <v>4768</v>
      </c>
      <c r="C2661" t="s">
        <v>157</v>
      </c>
      <c r="D2661">
        <v>725600</v>
      </c>
      <c r="E2661" t="s">
        <v>62</v>
      </c>
      <c r="F2661" t="s">
        <v>32</v>
      </c>
      <c r="G2661" t="s">
        <v>25</v>
      </c>
      <c r="H2661" t="s">
        <v>39</v>
      </c>
      <c r="I2661" t="s">
        <v>48</v>
      </c>
      <c r="J2661" s="11">
        <v>45943</v>
      </c>
      <c r="K2661" t="str">
        <f>TEXT(Transactions_Clean[[#This Row],[Date]],"MMM-YYYY")</f>
        <v>Oct-2025</v>
      </c>
      <c r="L2661">
        <f>IF(Transactions_Clean[[#This Row],[Category]]="Revenue",Transactions_Clean[[#This Row],[Amount(₹)]],Transactions_Clean[[#This Row],[Amount(₹)]]/8)</f>
        <v>725600</v>
      </c>
    </row>
    <row r="2662" spans="1:12">
      <c r="A2662" t="s">
        <v>4025</v>
      </c>
      <c r="B2662" t="s">
        <v>177</v>
      </c>
      <c r="C2662" t="s">
        <v>78</v>
      </c>
      <c r="D2662">
        <v>-70902</v>
      </c>
      <c r="E2662" t="s">
        <v>23</v>
      </c>
      <c r="F2662" t="s">
        <v>32</v>
      </c>
      <c r="G2662" t="s">
        <v>79</v>
      </c>
      <c r="H2662" t="s">
        <v>45</v>
      </c>
      <c r="I2662" t="s">
        <v>40</v>
      </c>
      <c r="J2662" s="11">
        <v>45559</v>
      </c>
      <c r="K2662" t="str">
        <f>TEXT(Transactions_Clean[[#This Row],[Date]],"MMM-YYYY")</f>
        <v>Sep-2024</v>
      </c>
      <c r="L2662">
        <f>IF(Transactions_Clean[[#This Row],[Category]]="Revenue",Transactions_Clean[[#This Row],[Amount(₹)]],Transactions_Clean[[#This Row],[Amount(₹)]]/8)</f>
        <v>-8862.75</v>
      </c>
    </row>
    <row r="2663" spans="1:12">
      <c r="A2663" t="s">
        <v>4026</v>
      </c>
      <c r="B2663" t="s">
        <v>305</v>
      </c>
      <c r="C2663" t="s">
        <v>38</v>
      </c>
      <c r="D2663">
        <v>-18251</v>
      </c>
      <c r="E2663" t="s">
        <v>23</v>
      </c>
      <c r="F2663" t="s">
        <v>32</v>
      </c>
      <c r="G2663" t="s">
        <v>33</v>
      </c>
      <c r="H2663" t="s">
        <v>39</v>
      </c>
      <c r="I2663" t="s">
        <v>40</v>
      </c>
      <c r="J2663" s="11">
        <v>45907</v>
      </c>
      <c r="K2663" t="str">
        <f>TEXT(Transactions_Clean[[#This Row],[Date]],"MMM-YYYY")</f>
        <v>Sep-2025</v>
      </c>
      <c r="L2663">
        <f>IF(Transactions_Clean[[#This Row],[Category]]="Revenue",Transactions_Clean[[#This Row],[Amount(₹)]],Transactions_Clean[[#This Row],[Amount(₹)]]/8)</f>
        <v>-2281.375</v>
      </c>
    </row>
    <row r="2664" spans="1:12">
      <c r="A2664" t="s">
        <v>4027</v>
      </c>
      <c r="B2664" t="s">
        <v>283</v>
      </c>
      <c r="C2664" t="s">
        <v>44</v>
      </c>
      <c r="D2664">
        <v>-143609</v>
      </c>
      <c r="E2664" t="s">
        <v>23</v>
      </c>
      <c r="F2664" t="s">
        <v>32</v>
      </c>
      <c r="G2664" t="s">
        <v>33</v>
      </c>
      <c r="H2664" t="s">
        <v>26</v>
      </c>
      <c r="I2664" t="s">
        <v>27</v>
      </c>
      <c r="J2664" s="11">
        <v>45335</v>
      </c>
      <c r="K2664" t="str">
        <f>TEXT(Transactions_Clean[[#This Row],[Date]],"MMM-YYYY")</f>
        <v>Feb-2024</v>
      </c>
      <c r="L2664">
        <f>IF(Transactions_Clean[[#This Row],[Category]]="Revenue",Transactions_Clean[[#This Row],[Amount(₹)]],Transactions_Clean[[#This Row],[Amount(₹)]]/8)</f>
        <v>-17951.125</v>
      </c>
    </row>
    <row r="2665" spans="1:12">
      <c r="A2665" t="s">
        <v>4028</v>
      </c>
      <c r="B2665" t="s">
        <v>4760</v>
      </c>
      <c r="C2665" t="s">
        <v>73</v>
      </c>
      <c r="D2665">
        <v>-75329</v>
      </c>
      <c r="E2665" t="s">
        <v>74</v>
      </c>
      <c r="F2665" t="s">
        <v>32</v>
      </c>
      <c r="G2665" t="s">
        <v>25</v>
      </c>
      <c r="H2665" t="s">
        <v>45</v>
      </c>
      <c r="I2665" t="s">
        <v>34</v>
      </c>
      <c r="J2665" s="11">
        <v>45455</v>
      </c>
      <c r="K2665" t="str">
        <f>TEXT(Transactions_Clean[[#This Row],[Date]],"MMM-YYYY")</f>
        <v>Jun-2024</v>
      </c>
      <c r="L2665">
        <f>IF(Transactions_Clean[[#This Row],[Category]]="Revenue",Transactions_Clean[[#This Row],[Amount(₹)]],Transactions_Clean[[#This Row],[Amount(₹)]]/8)</f>
        <v>-9416.125</v>
      </c>
    </row>
    <row r="2666" spans="1:12">
      <c r="A2666" t="s">
        <v>4029</v>
      </c>
      <c r="B2666" t="s">
        <v>4759</v>
      </c>
      <c r="C2666" t="s">
        <v>31</v>
      </c>
      <c r="D2666">
        <v>-19400</v>
      </c>
      <c r="E2666" t="s">
        <v>23</v>
      </c>
      <c r="F2666" t="s">
        <v>24</v>
      </c>
      <c r="G2666" t="s">
        <v>33</v>
      </c>
      <c r="H2666" t="s">
        <v>26</v>
      </c>
      <c r="I2666" t="s">
        <v>40</v>
      </c>
      <c r="J2666" s="11">
        <v>45172</v>
      </c>
      <c r="K2666" t="str">
        <f>TEXT(Transactions_Clean[[#This Row],[Date]],"MMM-YYYY")</f>
        <v>Sep-2023</v>
      </c>
      <c r="L2666">
        <f>IF(Transactions_Clean[[#This Row],[Category]]="Revenue",Transactions_Clean[[#This Row],[Amount(₹)]],Transactions_Clean[[#This Row],[Amount(₹)]]/8)</f>
        <v>-2425</v>
      </c>
    </row>
    <row r="2667" spans="1:12">
      <c r="A2667" t="s">
        <v>4030</v>
      </c>
      <c r="B2667" t="s">
        <v>237</v>
      </c>
      <c r="C2667" t="s">
        <v>22</v>
      </c>
      <c r="D2667">
        <v>-123717</v>
      </c>
      <c r="E2667" t="s">
        <v>23</v>
      </c>
      <c r="F2667" t="s">
        <v>24</v>
      </c>
      <c r="G2667" t="s">
        <v>25</v>
      </c>
      <c r="H2667" t="s">
        <v>39</v>
      </c>
      <c r="I2667" t="s">
        <v>34</v>
      </c>
      <c r="J2667" s="11">
        <v>45803</v>
      </c>
      <c r="K2667" t="str">
        <f>TEXT(Transactions_Clean[[#This Row],[Date]],"MMM-YYYY")</f>
        <v>May-2025</v>
      </c>
      <c r="L2667">
        <f>IF(Transactions_Clean[[#This Row],[Category]]="Revenue",Transactions_Clean[[#This Row],[Amount(₹)]],Transactions_Clean[[#This Row],[Amount(₹)]]/8)</f>
        <v>-15464.625</v>
      </c>
    </row>
    <row r="2668" spans="1:12">
      <c r="A2668" t="s">
        <v>4032</v>
      </c>
      <c r="B2668" t="s">
        <v>935</v>
      </c>
      <c r="C2668" t="s">
        <v>22</v>
      </c>
      <c r="D2668">
        <v>-210762</v>
      </c>
      <c r="E2668" t="s">
        <v>23</v>
      </c>
      <c r="F2668" t="s">
        <v>32</v>
      </c>
      <c r="G2668" t="s">
        <v>25</v>
      </c>
      <c r="H2668" t="s">
        <v>26</v>
      </c>
      <c r="I2668" t="s">
        <v>48</v>
      </c>
      <c r="J2668" s="11">
        <v>45287</v>
      </c>
      <c r="K2668" t="str">
        <f>TEXT(Transactions_Clean[[#This Row],[Date]],"MMM-YYYY")</f>
        <v>Dec-2023</v>
      </c>
      <c r="L2668">
        <f>IF(Transactions_Clean[[#This Row],[Category]]="Revenue",Transactions_Clean[[#This Row],[Amount(₹)]],Transactions_Clean[[#This Row],[Amount(₹)]]/8)</f>
        <v>-26345.25</v>
      </c>
    </row>
    <row r="2669" spans="1:12">
      <c r="A2669" t="s">
        <v>4033</v>
      </c>
      <c r="B2669" t="s">
        <v>4749</v>
      </c>
      <c r="C2669" t="s">
        <v>44</v>
      </c>
      <c r="D2669">
        <v>-68115</v>
      </c>
      <c r="E2669" t="s">
        <v>23</v>
      </c>
      <c r="F2669" t="s">
        <v>32</v>
      </c>
      <c r="G2669" t="s">
        <v>33</v>
      </c>
      <c r="H2669" t="s">
        <v>39</v>
      </c>
      <c r="I2669" t="s">
        <v>27</v>
      </c>
      <c r="J2669" s="11">
        <v>46080</v>
      </c>
      <c r="K2669" t="str">
        <f>TEXT(Transactions_Clean[[#This Row],[Date]],"MMM-YYYY")</f>
        <v>Feb-2026</v>
      </c>
      <c r="L2669">
        <f>IF(Transactions_Clean[[#This Row],[Category]]="Revenue",Transactions_Clean[[#This Row],[Amount(₹)]],Transactions_Clean[[#This Row],[Amount(₹)]]/8)</f>
        <v>-8514.375</v>
      </c>
    </row>
    <row r="2670" spans="1:12">
      <c r="A2670" t="s">
        <v>4034</v>
      </c>
      <c r="B2670" t="s">
        <v>4757</v>
      </c>
      <c r="C2670" t="s">
        <v>73</v>
      </c>
      <c r="D2670">
        <v>-23327</v>
      </c>
      <c r="E2670" t="s">
        <v>74</v>
      </c>
      <c r="F2670" t="s">
        <v>32</v>
      </c>
      <c r="G2670" t="s">
        <v>25</v>
      </c>
      <c r="H2670" t="s">
        <v>26</v>
      </c>
      <c r="I2670" t="s">
        <v>27</v>
      </c>
      <c r="J2670" s="11">
        <v>45367</v>
      </c>
      <c r="K2670" t="str">
        <f>TEXT(Transactions_Clean[[#This Row],[Date]],"MMM-YYYY")</f>
        <v>Mar-2024</v>
      </c>
      <c r="L2670">
        <f>IF(Transactions_Clean[[#This Row],[Category]]="Revenue",Transactions_Clean[[#This Row],[Amount(₹)]],Transactions_Clean[[#This Row],[Amount(₹)]]/8)</f>
        <v>-2915.875</v>
      </c>
    </row>
    <row r="2671" spans="1:12">
      <c r="A2671" t="s">
        <v>4035</v>
      </c>
      <c r="B2671" t="s">
        <v>4773</v>
      </c>
      <c r="C2671" t="s">
        <v>157</v>
      </c>
      <c r="D2671">
        <v>717722</v>
      </c>
      <c r="E2671" t="s">
        <v>62</v>
      </c>
      <c r="F2671" t="s">
        <v>32</v>
      </c>
      <c r="G2671" t="s">
        <v>25</v>
      </c>
      <c r="H2671" t="s">
        <v>39</v>
      </c>
      <c r="I2671" t="s">
        <v>27</v>
      </c>
      <c r="J2671" s="11">
        <v>46037</v>
      </c>
      <c r="K2671" t="str">
        <f>TEXT(Transactions_Clean[[#This Row],[Date]],"MMM-YYYY")</f>
        <v>Jan-2026</v>
      </c>
      <c r="L2671">
        <f>IF(Transactions_Clean[[#This Row],[Category]]="Revenue",Transactions_Clean[[#This Row],[Amount(₹)]],Transactions_Clean[[#This Row],[Amount(₹)]]/8)</f>
        <v>717722</v>
      </c>
    </row>
    <row r="2672" spans="1:12">
      <c r="A2672" t="s">
        <v>4036</v>
      </c>
      <c r="B2672" t="s">
        <v>60</v>
      </c>
      <c r="C2672" t="s">
        <v>61</v>
      </c>
      <c r="D2672">
        <v>-39898</v>
      </c>
      <c r="E2672" t="s">
        <v>62</v>
      </c>
      <c r="F2672" t="s">
        <v>32</v>
      </c>
      <c r="G2672" t="s">
        <v>63</v>
      </c>
      <c r="H2672" t="s">
        <v>45</v>
      </c>
      <c r="I2672" t="s">
        <v>48</v>
      </c>
      <c r="J2672" s="11">
        <v>45588</v>
      </c>
      <c r="K2672" t="str">
        <f>TEXT(Transactions_Clean[[#This Row],[Date]],"MMM-YYYY")</f>
        <v>Oct-2024</v>
      </c>
      <c r="L2672">
        <f>IF(Transactions_Clean[[#This Row],[Category]]="Revenue",Transactions_Clean[[#This Row],[Amount(₹)]],Transactions_Clean[[#This Row],[Amount(₹)]]/8)</f>
        <v>-4987.25</v>
      </c>
    </row>
    <row r="2673" spans="1:12">
      <c r="A2673" t="s">
        <v>4037</v>
      </c>
      <c r="B2673" t="s">
        <v>212</v>
      </c>
      <c r="C2673" t="s">
        <v>73</v>
      </c>
      <c r="D2673">
        <v>-39149</v>
      </c>
      <c r="E2673" t="s">
        <v>74</v>
      </c>
      <c r="F2673" t="s">
        <v>32</v>
      </c>
      <c r="G2673" t="s">
        <v>25</v>
      </c>
      <c r="H2673" t="s">
        <v>39</v>
      </c>
      <c r="I2673" t="s">
        <v>34</v>
      </c>
      <c r="J2673" s="11">
        <v>45793</v>
      </c>
      <c r="K2673" t="str">
        <f>TEXT(Transactions_Clean[[#This Row],[Date]],"MMM-YYYY")</f>
        <v>May-2025</v>
      </c>
      <c r="L2673">
        <f>IF(Transactions_Clean[[#This Row],[Category]]="Revenue",Transactions_Clean[[#This Row],[Amount(₹)]],Transactions_Clean[[#This Row],[Amount(₹)]]/8)</f>
        <v>-4893.625</v>
      </c>
    </row>
    <row r="2674" spans="1:12">
      <c r="A2674" t="s">
        <v>4039</v>
      </c>
      <c r="B2674" t="s">
        <v>4756</v>
      </c>
      <c r="C2674" t="s">
        <v>73</v>
      </c>
      <c r="D2674">
        <v>-37602</v>
      </c>
      <c r="E2674" t="s">
        <v>74</v>
      </c>
      <c r="F2674" t="s">
        <v>24</v>
      </c>
      <c r="G2674" t="s">
        <v>25</v>
      </c>
      <c r="H2674" t="s">
        <v>26</v>
      </c>
      <c r="I2674" t="s">
        <v>27</v>
      </c>
      <c r="J2674" s="11">
        <v>45292</v>
      </c>
      <c r="K2674" t="str">
        <f>TEXT(Transactions_Clean[[#This Row],[Date]],"MMM-YYYY")</f>
        <v>Jan-2024</v>
      </c>
      <c r="L2674">
        <f>IF(Transactions_Clean[[#This Row],[Category]]="Revenue",Transactions_Clean[[#This Row],[Amount(₹)]],Transactions_Clean[[#This Row],[Amount(₹)]]/8)</f>
        <v>-4700.25</v>
      </c>
    </row>
    <row r="2675" spans="1:12">
      <c r="A2675" t="s">
        <v>4040</v>
      </c>
      <c r="B2675" t="s">
        <v>4759</v>
      </c>
      <c r="C2675" t="s">
        <v>31</v>
      </c>
      <c r="D2675">
        <v>-25013</v>
      </c>
      <c r="E2675" t="s">
        <v>23</v>
      </c>
      <c r="F2675" t="s">
        <v>24</v>
      </c>
      <c r="G2675" t="s">
        <v>33</v>
      </c>
      <c r="H2675" t="s">
        <v>26</v>
      </c>
      <c r="I2675" t="s">
        <v>40</v>
      </c>
      <c r="J2675" s="11">
        <v>45177</v>
      </c>
      <c r="K2675" t="str">
        <f>TEXT(Transactions_Clean[[#This Row],[Date]],"MMM-YYYY")</f>
        <v>Sep-2023</v>
      </c>
      <c r="L2675">
        <f>IF(Transactions_Clean[[#This Row],[Category]]="Revenue",Transactions_Clean[[#This Row],[Amount(₹)]],Transactions_Clean[[#This Row],[Amount(₹)]]/8)</f>
        <v>-3126.625</v>
      </c>
    </row>
    <row r="2676" spans="1:12">
      <c r="A2676" t="s">
        <v>4041</v>
      </c>
      <c r="B2676" t="s">
        <v>116</v>
      </c>
      <c r="C2676" t="s">
        <v>73</v>
      </c>
      <c r="D2676">
        <v>-34560</v>
      </c>
      <c r="E2676" t="s">
        <v>74</v>
      </c>
      <c r="F2676" t="s">
        <v>32</v>
      </c>
      <c r="G2676" t="s">
        <v>25</v>
      </c>
      <c r="H2676" t="s">
        <v>26</v>
      </c>
      <c r="I2676" t="s">
        <v>27</v>
      </c>
      <c r="J2676" s="11">
        <v>45305</v>
      </c>
      <c r="K2676" t="str">
        <f>TEXT(Transactions_Clean[[#This Row],[Date]],"MMM-YYYY")</f>
        <v>Jan-2024</v>
      </c>
      <c r="L2676">
        <f>IF(Transactions_Clean[[#This Row],[Category]]="Revenue",Transactions_Clean[[#This Row],[Amount(₹)]],Transactions_Clean[[#This Row],[Amount(₹)]]/8)</f>
        <v>-4320</v>
      </c>
    </row>
    <row r="2677" spans="1:12">
      <c r="A2677" t="s">
        <v>4042</v>
      </c>
      <c r="B2677" t="s">
        <v>169</v>
      </c>
      <c r="C2677" t="s">
        <v>73</v>
      </c>
      <c r="D2677">
        <v>-69972</v>
      </c>
      <c r="E2677" t="s">
        <v>74</v>
      </c>
      <c r="F2677" t="s">
        <v>24</v>
      </c>
      <c r="G2677" t="s">
        <v>25</v>
      </c>
      <c r="H2677" t="s">
        <v>45</v>
      </c>
      <c r="I2677" t="s">
        <v>27</v>
      </c>
      <c r="J2677" s="11">
        <v>45670</v>
      </c>
      <c r="K2677" t="str">
        <f>TEXT(Transactions_Clean[[#This Row],[Date]],"MMM-YYYY")</f>
        <v>Jan-2025</v>
      </c>
      <c r="L2677">
        <f>IF(Transactions_Clean[[#This Row],[Category]]="Revenue",Transactions_Clean[[#This Row],[Amount(₹)]],Transactions_Clean[[#This Row],[Amount(₹)]]/8)</f>
        <v>-8746.5</v>
      </c>
    </row>
    <row r="2678" spans="1:12">
      <c r="A2678" t="s">
        <v>4043</v>
      </c>
      <c r="B2678" t="s">
        <v>66</v>
      </c>
      <c r="C2678" t="s">
        <v>61</v>
      </c>
      <c r="D2678">
        <v>-35801</v>
      </c>
      <c r="E2678" t="s">
        <v>62</v>
      </c>
      <c r="F2678" t="s">
        <v>24</v>
      </c>
      <c r="G2678" t="s">
        <v>63</v>
      </c>
      <c r="H2678" t="s">
        <v>39</v>
      </c>
      <c r="I2678" t="s">
        <v>40</v>
      </c>
      <c r="J2678" s="11">
        <v>45868</v>
      </c>
      <c r="K2678" t="str">
        <f>TEXT(Transactions_Clean[[#This Row],[Date]],"MMM-YYYY")</f>
        <v>Jul-2025</v>
      </c>
      <c r="L2678">
        <f>IF(Transactions_Clean[[#This Row],[Category]]="Revenue",Transactions_Clean[[#This Row],[Amount(₹)]],Transactions_Clean[[#This Row],[Amount(₹)]]/8)</f>
        <v>-4475.125</v>
      </c>
    </row>
    <row r="2679" spans="1:12">
      <c r="A2679" t="s">
        <v>4044</v>
      </c>
      <c r="B2679" t="s">
        <v>169</v>
      </c>
      <c r="C2679" t="s">
        <v>73</v>
      </c>
      <c r="D2679">
        <v>-49471</v>
      </c>
      <c r="E2679" t="s">
        <v>74</v>
      </c>
      <c r="F2679" t="s">
        <v>32</v>
      </c>
      <c r="G2679" t="s">
        <v>25</v>
      </c>
      <c r="H2679" t="s">
        <v>26</v>
      </c>
      <c r="I2679" t="s">
        <v>48</v>
      </c>
      <c r="J2679" s="11">
        <v>45200</v>
      </c>
      <c r="K2679" t="str">
        <f>TEXT(Transactions_Clean[[#This Row],[Date]],"MMM-YYYY")</f>
        <v>Oct-2023</v>
      </c>
      <c r="L2679">
        <f>IF(Transactions_Clean[[#This Row],[Category]]="Revenue",Transactions_Clean[[#This Row],[Amount(₹)]],Transactions_Clean[[#This Row],[Amount(₹)]]/8)</f>
        <v>-6183.875</v>
      </c>
    </row>
    <row r="2680" spans="1:12">
      <c r="A2680" t="s">
        <v>4045</v>
      </c>
      <c r="B2680" t="s">
        <v>4766</v>
      </c>
      <c r="C2680" t="s">
        <v>73</v>
      </c>
      <c r="D2680">
        <v>-51399</v>
      </c>
      <c r="E2680" t="s">
        <v>74</v>
      </c>
      <c r="F2680" t="s">
        <v>32</v>
      </c>
      <c r="G2680" t="s">
        <v>25</v>
      </c>
      <c r="H2680" t="s">
        <v>26</v>
      </c>
      <c r="I2680" t="s">
        <v>48</v>
      </c>
      <c r="J2680" s="11">
        <v>45290</v>
      </c>
      <c r="K2680" t="str">
        <f>TEXT(Transactions_Clean[[#This Row],[Date]],"MMM-YYYY")</f>
        <v>Dec-2023</v>
      </c>
      <c r="L2680">
        <f>IF(Transactions_Clean[[#This Row],[Category]]="Revenue",Transactions_Clean[[#This Row],[Amount(₹)]],Transactions_Clean[[#This Row],[Amount(₹)]]/8)</f>
        <v>-6424.875</v>
      </c>
    </row>
    <row r="2681" spans="1:12">
      <c r="A2681" t="s">
        <v>4046</v>
      </c>
      <c r="B2681" t="s">
        <v>4755</v>
      </c>
      <c r="C2681" t="s">
        <v>78</v>
      </c>
      <c r="D2681">
        <v>-53687</v>
      </c>
      <c r="E2681" t="s">
        <v>23</v>
      </c>
      <c r="F2681" t="s">
        <v>32</v>
      </c>
      <c r="G2681" t="s">
        <v>79</v>
      </c>
      <c r="H2681" t="s">
        <v>26</v>
      </c>
      <c r="I2681" t="s">
        <v>27</v>
      </c>
      <c r="J2681" s="11">
        <v>45311</v>
      </c>
      <c r="K2681" t="str">
        <f>TEXT(Transactions_Clean[[#This Row],[Date]],"MMM-YYYY")</f>
        <v>Jan-2024</v>
      </c>
      <c r="L2681">
        <f>IF(Transactions_Clean[[#This Row],[Category]]="Revenue",Transactions_Clean[[#This Row],[Amount(₹)]],Transactions_Clean[[#This Row],[Amount(₹)]]/8)</f>
        <v>-6710.875</v>
      </c>
    </row>
    <row r="2682" spans="1:12">
      <c r="A2682" t="s">
        <v>4047</v>
      </c>
      <c r="B2682" t="s">
        <v>4755</v>
      </c>
      <c r="C2682" t="s">
        <v>78</v>
      </c>
      <c r="D2682">
        <v>-18819</v>
      </c>
      <c r="E2682" t="s">
        <v>23</v>
      </c>
      <c r="F2682" t="s">
        <v>32</v>
      </c>
      <c r="G2682" t="s">
        <v>79</v>
      </c>
      <c r="H2682" t="s">
        <v>26</v>
      </c>
      <c r="I2682" t="s">
        <v>27</v>
      </c>
      <c r="J2682" s="11">
        <v>45331</v>
      </c>
      <c r="K2682" t="str">
        <f>TEXT(Transactions_Clean[[#This Row],[Date]],"MMM-YYYY")</f>
        <v>Feb-2024</v>
      </c>
      <c r="L2682">
        <f>IF(Transactions_Clean[[#This Row],[Category]]="Revenue",Transactions_Clean[[#This Row],[Amount(₹)]],Transactions_Clean[[#This Row],[Amount(₹)]]/8)</f>
        <v>-2352.375</v>
      </c>
    </row>
    <row r="2683" spans="1:12">
      <c r="A2683" t="s">
        <v>4048</v>
      </c>
      <c r="B2683" t="s">
        <v>30</v>
      </c>
      <c r="C2683" t="s">
        <v>31</v>
      </c>
      <c r="D2683">
        <v>-37486</v>
      </c>
      <c r="E2683" t="s">
        <v>23</v>
      </c>
      <c r="F2683" t="s">
        <v>32</v>
      </c>
      <c r="G2683" t="s">
        <v>33</v>
      </c>
      <c r="H2683" t="s">
        <v>45</v>
      </c>
      <c r="I2683" t="s">
        <v>27</v>
      </c>
      <c r="J2683" s="11">
        <v>45686</v>
      </c>
      <c r="K2683" t="str">
        <f>TEXT(Transactions_Clean[[#This Row],[Date]],"MMM-YYYY")</f>
        <v>Jan-2025</v>
      </c>
      <c r="L2683">
        <f>IF(Transactions_Clean[[#This Row],[Category]]="Revenue",Transactions_Clean[[#This Row],[Amount(₹)]],Transactions_Clean[[#This Row],[Amount(₹)]]/8)</f>
        <v>-4685.75</v>
      </c>
    </row>
    <row r="2684" spans="1:12">
      <c r="A2684" t="s">
        <v>4049</v>
      </c>
      <c r="B2684" t="s">
        <v>212</v>
      </c>
      <c r="C2684" t="s">
        <v>73</v>
      </c>
      <c r="D2684">
        <v>-92390</v>
      </c>
      <c r="E2684" t="s">
        <v>74</v>
      </c>
      <c r="F2684" t="s">
        <v>24</v>
      </c>
      <c r="G2684" t="s">
        <v>25</v>
      </c>
      <c r="H2684" t="s">
        <v>45</v>
      </c>
      <c r="I2684" t="s">
        <v>48</v>
      </c>
      <c r="J2684" s="11">
        <v>45601</v>
      </c>
      <c r="K2684" t="str">
        <f>TEXT(Transactions_Clean[[#This Row],[Date]],"MMM-YYYY")</f>
        <v>Nov-2024</v>
      </c>
      <c r="L2684">
        <f>IF(Transactions_Clean[[#This Row],[Category]]="Revenue",Transactions_Clean[[#This Row],[Amount(₹)]],Transactions_Clean[[#This Row],[Amount(₹)]]/8)</f>
        <v>-11548.75</v>
      </c>
    </row>
    <row r="2685" spans="1:12">
      <c r="A2685" t="s">
        <v>4050</v>
      </c>
      <c r="B2685" t="s">
        <v>215</v>
      </c>
      <c r="C2685" t="s">
        <v>61</v>
      </c>
      <c r="D2685">
        <v>-20589</v>
      </c>
      <c r="E2685" t="s">
        <v>62</v>
      </c>
      <c r="F2685" t="s">
        <v>32</v>
      </c>
      <c r="G2685" t="s">
        <v>63</v>
      </c>
      <c r="H2685" t="s">
        <v>45</v>
      </c>
      <c r="I2685" t="s">
        <v>40</v>
      </c>
      <c r="J2685" s="11">
        <v>45531</v>
      </c>
      <c r="K2685" t="str">
        <f>TEXT(Transactions_Clean[[#This Row],[Date]],"MMM-YYYY")</f>
        <v>Aug-2024</v>
      </c>
      <c r="L2685">
        <f>IF(Transactions_Clean[[#This Row],[Category]]="Revenue",Transactions_Clean[[#This Row],[Amount(₹)]],Transactions_Clean[[#This Row],[Amount(₹)]]/8)</f>
        <v>-2573.625</v>
      </c>
    </row>
    <row r="2686" spans="1:12">
      <c r="A2686" t="s">
        <v>4052</v>
      </c>
      <c r="B2686" t="s">
        <v>60</v>
      </c>
      <c r="C2686" t="s">
        <v>61</v>
      </c>
      <c r="D2686">
        <v>-57953</v>
      </c>
      <c r="E2686" t="s">
        <v>62</v>
      </c>
      <c r="F2686" t="s">
        <v>32</v>
      </c>
      <c r="G2686" t="s">
        <v>63</v>
      </c>
      <c r="H2686" t="s">
        <v>39</v>
      </c>
      <c r="I2686" t="s">
        <v>40</v>
      </c>
      <c r="J2686" s="11">
        <v>45861</v>
      </c>
      <c r="K2686" t="str">
        <f>TEXT(Transactions_Clean[[#This Row],[Date]],"MMM-YYYY")</f>
        <v>Jul-2025</v>
      </c>
      <c r="L2686">
        <f>IF(Transactions_Clean[[#This Row],[Category]]="Revenue",Transactions_Clean[[#This Row],[Amount(₹)]],Transactions_Clean[[#This Row],[Amount(₹)]]/8)</f>
        <v>-7244.125</v>
      </c>
    </row>
    <row r="2687" spans="1:12">
      <c r="A2687" t="s">
        <v>4054</v>
      </c>
      <c r="B2687" t="s">
        <v>215</v>
      </c>
      <c r="C2687" t="s">
        <v>61</v>
      </c>
      <c r="D2687">
        <v>-14982</v>
      </c>
      <c r="E2687" t="s">
        <v>62</v>
      </c>
      <c r="F2687" t="s">
        <v>24</v>
      </c>
      <c r="G2687" t="s">
        <v>63</v>
      </c>
      <c r="H2687" t="s">
        <v>26</v>
      </c>
      <c r="I2687" t="s">
        <v>34</v>
      </c>
      <c r="J2687" s="11">
        <v>45048</v>
      </c>
      <c r="K2687" t="str">
        <f>TEXT(Transactions_Clean[[#This Row],[Date]],"MMM-YYYY")</f>
        <v>May-2023</v>
      </c>
      <c r="L2687">
        <f>IF(Transactions_Clean[[#This Row],[Category]]="Revenue",Transactions_Clean[[#This Row],[Amount(₹)]],Transactions_Clean[[#This Row],[Amount(₹)]]/8)</f>
        <v>-1872.75</v>
      </c>
    </row>
    <row r="2688" spans="1:12">
      <c r="A2688" t="s">
        <v>4056</v>
      </c>
      <c r="B2688" t="s">
        <v>161</v>
      </c>
      <c r="C2688" t="s">
        <v>22</v>
      </c>
      <c r="D2688">
        <v>-183484</v>
      </c>
      <c r="E2688" t="s">
        <v>23</v>
      </c>
      <c r="F2688" t="s">
        <v>32</v>
      </c>
      <c r="G2688" t="s">
        <v>25</v>
      </c>
      <c r="H2688" t="s">
        <v>26</v>
      </c>
      <c r="I2688" t="s">
        <v>48</v>
      </c>
      <c r="J2688" s="11">
        <v>45250</v>
      </c>
      <c r="K2688" t="str">
        <f>TEXT(Transactions_Clean[[#This Row],[Date]],"MMM-YYYY")</f>
        <v>Nov-2023</v>
      </c>
      <c r="L2688">
        <f>IF(Transactions_Clean[[#This Row],[Category]]="Revenue",Transactions_Clean[[#This Row],[Amount(₹)]],Transactions_Clean[[#This Row],[Amount(₹)]]/8)</f>
        <v>-22935.5</v>
      </c>
    </row>
    <row r="2689" spans="1:12">
      <c r="A2689" t="s">
        <v>4057</v>
      </c>
      <c r="B2689" t="s">
        <v>51</v>
      </c>
      <c r="C2689" t="s">
        <v>31</v>
      </c>
      <c r="D2689">
        <v>-26542</v>
      </c>
      <c r="E2689" t="s">
        <v>23</v>
      </c>
      <c r="F2689" t="s">
        <v>32</v>
      </c>
      <c r="G2689" t="s">
        <v>33</v>
      </c>
      <c r="H2689" t="s">
        <v>39</v>
      </c>
      <c r="I2689" t="s">
        <v>40</v>
      </c>
      <c r="J2689" s="11">
        <v>45905</v>
      </c>
      <c r="K2689" t="str">
        <f>TEXT(Transactions_Clean[[#This Row],[Date]],"MMM-YYYY")</f>
        <v>Sep-2025</v>
      </c>
      <c r="L2689">
        <f>IF(Transactions_Clean[[#This Row],[Category]]="Revenue",Transactions_Clean[[#This Row],[Amount(₹)]],Transactions_Clean[[#This Row],[Amount(₹)]]/8)</f>
        <v>-3317.75</v>
      </c>
    </row>
    <row r="2690" spans="1:12">
      <c r="A2690" t="s">
        <v>4058</v>
      </c>
      <c r="B2690" t="s">
        <v>116</v>
      </c>
      <c r="C2690" t="s">
        <v>73</v>
      </c>
      <c r="D2690">
        <v>-80055</v>
      </c>
      <c r="E2690" t="s">
        <v>74</v>
      </c>
      <c r="F2690" t="s">
        <v>24</v>
      </c>
      <c r="G2690" t="s">
        <v>25</v>
      </c>
      <c r="H2690" t="s">
        <v>39</v>
      </c>
      <c r="I2690" t="s">
        <v>34</v>
      </c>
      <c r="J2690" s="11">
        <v>45782</v>
      </c>
      <c r="K2690" t="str">
        <f>TEXT(Transactions_Clean[[#This Row],[Date]],"MMM-YYYY")</f>
        <v>May-2025</v>
      </c>
      <c r="L2690">
        <f>IF(Transactions_Clean[[#This Row],[Category]]="Revenue",Transactions_Clean[[#This Row],[Amount(₹)]],Transactions_Clean[[#This Row],[Amount(₹)]]/8)</f>
        <v>-10006.875</v>
      </c>
    </row>
    <row r="2691" spans="1:12">
      <c r="A2691" t="s">
        <v>4059</v>
      </c>
      <c r="B2691" t="s">
        <v>4755</v>
      </c>
      <c r="C2691" t="s">
        <v>78</v>
      </c>
      <c r="D2691">
        <v>-23189</v>
      </c>
      <c r="E2691" t="s">
        <v>23</v>
      </c>
      <c r="F2691" t="s">
        <v>32</v>
      </c>
      <c r="G2691" t="s">
        <v>79</v>
      </c>
      <c r="H2691" t="s">
        <v>39</v>
      </c>
      <c r="I2691" t="s">
        <v>27</v>
      </c>
      <c r="J2691" s="11">
        <v>46045</v>
      </c>
      <c r="K2691" t="str">
        <f>TEXT(Transactions_Clean[[#This Row],[Date]],"MMM-YYYY")</f>
        <v>Jan-2026</v>
      </c>
      <c r="L2691">
        <f>IF(Transactions_Clean[[#This Row],[Category]]="Revenue",Transactions_Clean[[#This Row],[Amount(₹)]],Transactions_Clean[[#This Row],[Amount(₹)]]/8)</f>
        <v>-2898.625</v>
      </c>
    </row>
    <row r="2692" spans="1:12">
      <c r="A2692" t="s">
        <v>4060</v>
      </c>
      <c r="B2692" t="s">
        <v>4757</v>
      </c>
      <c r="C2692" t="s">
        <v>73</v>
      </c>
      <c r="D2692">
        <v>-66917</v>
      </c>
      <c r="E2692" t="s">
        <v>74</v>
      </c>
      <c r="F2692" t="s">
        <v>32</v>
      </c>
      <c r="G2692" t="s">
        <v>25</v>
      </c>
      <c r="H2692" t="s">
        <v>39</v>
      </c>
      <c r="I2692" t="s">
        <v>48</v>
      </c>
      <c r="J2692" s="11">
        <v>45992</v>
      </c>
      <c r="K2692" t="str">
        <f>TEXT(Transactions_Clean[[#This Row],[Date]],"MMM-YYYY")</f>
        <v>Dec-2025</v>
      </c>
      <c r="L2692">
        <f>IF(Transactions_Clean[[#This Row],[Category]]="Revenue",Transactions_Clean[[#This Row],[Amount(₹)]],Transactions_Clean[[#This Row],[Amount(₹)]]/8)</f>
        <v>-8364.625</v>
      </c>
    </row>
    <row r="2693" spans="1:12">
      <c r="A2693" t="s">
        <v>4061</v>
      </c>
      <c r="B2693" t="s">
        <v>129</v>
      </c>
      <c r="C2693" t="s">
        <v>38</v>
      </c>
      <c r="D2693">
        <v>-43055</v>
      </c>
      <c r="E2693" t="s">
        <v>23</v>
      </c>
      <c r="F2693" t="s">
        <v>24</v>
      </c>
      <c r="G2693" t="s">
        <v>33</v>
      </c>
      <c r="H2693" t="s">
        <v>26</v>
      </c>
      <c r="I2693" t="s">
        <v>27</v>
      </c>
      <c r="J2693" s="11">
        <v>45350</v>
      </c>
      <c r="K2693" t="str">
        <f>TEXT(Transactions_Clean[[#This Row],[Date]],"MMM-YYYY")</f>
        <v>Feb-2024</v>
      </c>
      <c r="L2693">
        <f>IF(Transactions_Clean[[#This Row],[Category]]="Revenue",Transactions_Clean[[#This Row],[Amount(₹)]],Transactions_Clean[[#This Row],[Amount(₹)]]/8)</f>
        <v>-5381.875</v>
      </c>
    </row>
    <row r="2694" spans="1:12">
      <c r="A2694" t="s">
        <v>4063</v>
      </c>
      <c r="B2694" t="s">
        <v>4766</v>
      </c>
      <c r="C2694" t="s">
        <v>73</v>
      </c>
      <c r="D2694">
        <v>-37020</v>
      </c>
      <c r="E2694" t="s">
        <v>74</v>
      </c>
      <c r="F2694" t="s">
        <v>32</v>
      </c>
      <c r="G2694" t="s">
        <v>25</v>
      </c>
      <c r="H2694" t="s">
        <v>39</v>
      </c>
      <c r="I2694" t="s">
        <v>48</v>
      </c>
      <c r="J2694" s="11">
        <v>45940</v>
      </c>
      <c r="K2694" t="str">
        <f>TEXT(Transactions_Clean[[#This Row],[Date]],"MMM-YYYY")</f>
        <v>Oct-2025</v>
      </c>
      <c r="L2694">
        <f>IF(Transactions_Clean[[#This Row],[Category]]="Revenue",Transactions_Clean[[#This Row],[Amount(₹)]],Transactions_Clean[[#This Row],[Amount(₹)]]/8)</f>
        <v>-4627.5</v>
      </c>
    </row>
    <row r="2695" spans="1:12">
      <c r="A2695" t="s">
        <v>4064</v>
      </c>
      <c r="B2695" t="s">
        <v>4765</v>
      </c>
      <c r="C2695" t="s">
        <v>73</v>
      </c>
      <c r="D2695">
        <v>-48880</v>
      </c>
      <c r="E2695" t="s">
        <v>74</v>
      </c>
      <c r="F2695" t="s">
        <v>32</v>
      </c>
      <c r="G2695" t="s">
        <v>25</v>
      </c>
      <c r="H2695" t="s">
        <v>39</v>
      </c>
      <c r="I2695" t="s">
        <v>34</v>
      </c>
      <c r="J2695" s="11">
        <v>45777</v>
      </c>
      <c r="K2695" t="str">
        <f>TEXT(Transactions_Clean[[#This Row],[Date]],"MMM-YYYY")</f>
        <v>Apr-2025</v>
      </c>
      <c r="L2695">
        <f>IF(Transactions_Clean[[#This Row],[Category]]="Revenue",Transactions_Clean[[#This Row],[Amount(₹)]],Transactions_Clean[[#This Row],[Amount(₹)]]/8)</f>
        <v>-6110</v>
      </c>
    </row>
    <row r="2696" spans="1:12">
      <c r="A2696" t="s">
        <v>4065</v>
      </c>
      <c r="B2696" t="s">
        <v>66</v>
      </c>
      <c r="C2696" t="s">
        <v>61</v>
      </c>
      <c r="D2696">
        <v>-59217</v>
      </c>
      <c r="E2696" t="s">
        <v>62</v>
      </c>
      <c r="F2696" t="s">
        <v>32</v>
      </c>
      <c r="G2696" t="s">
        <v>63</v>
      </c>
      <c r="H2696" t="s">
        <v>45</v>
      </c>
      <c r="I2696" t="s">
        <v>27</v>
      </c>
      <c r="J2696" s="11">
        <v>45809</v>
      </c>
      <c r="K2696" t="str">
        <f>TEXT(Transactions_Clean[[#This Row],[Date]],"MMM-YYYY")</f>
        <v>Jun-2025</v>
      </c>
      <c r="L2696">
        <f>IF(Transactions_Clean[[#This Row],[Category]]="Revenue",Transactions_Clean[[#This Row],[Amount(₹)]],Transactions_Clean[[#This Row],[Amount(₹)]]/8)</f>
        <v>-7402.125</v>
      </c>
    </row>
    <row r="2697" spans="1:12">
      <c r="A2697" t="s">
        <v>4067</v>
      </c>
      <c r="B2697" t="s">
        <v>4760</v>
      </c>
      <c r="C2697" t="s">
        <v>73</v>
      </c>
      <c r="D2697">
        <v>-35919</v>
      </c>
      <c r="E2697" t="s">
        <v>74</v>
      </c>
      <c r="F2697" t="s">
        <v>24</v>
      </c>
      <c r="G2697" t="s">
        <v>25</v>
      </c>
      <c r="H2697" t="s">
        <v>45</v>
      </c>
      <c r="I2697" t="s">
        <v>27</v>
      </c>
      <c r="J2697" s="11">
        <v>45667</v>
      </c>
      <c r="K2697" t="str">
        <f>TEXT(Transactions_Clean[[#This Row],[Date]],"MMM-YYYY")</f>
        <v>Jan-2025</v>
      </c>
      <c r="L2697">
        <f>IF(Transactions_Clean[[#This Row],[Category]]="Revenue",Transactions_Clean[[#This Row],[Amount(₹)]],Transactions_Clean[[#This Row],[Amount(₹)]]/8)</f>
        <v>-4489.875</v>
      </c>
    </row>
    <row r="2698" spans="1:12">
      <c r="A2698" t="s">
        <v>4068</v>
      </c>
      <c r="B2698" t="s">
        <v>143</v>
      </c>
      <c r="C2698" t="s">
        <v>78</v>
      </c>
      <c r="D2698">
        <v>-26829</v>
      </c>
      <c r="E2698" t="s">
        <v>23</v>
      </c>
      <c r="F2698" t="s">
        <v>24</v>
      </c>
      <c r="G2698" t="s">
        <v>79</v>
      </c>
      <c r="H2698" t="s">
        <v>26</v>
      </c>
      <c r="I2698" t="s">
        <v>27</v>
      </c>
      <c r="J2698" s="11">
        <v>45330</v>
      </c>
      <c r="K2698" t="str">
        <f>TEXT(Transactions_Clean[[#This Row],[Date]],"MMM-YYYY")</f>
        <v>Feb-2024</v>
      </c>
      <c r="L2698">
        <f>IF(Transactions_Clean[[#This Row],[Category]]="Revenue",Transactions_Clean[[#This Row],[Amount(₹)]],Transactions_Clean[[#This Row],[Amount(₹)]]/8)</f>
        <v>-3353.625</v>
      </c>
    </row>
    <row r="2699" spans="1:12">
      <c r="A2699" t="s">
        <v>4069</v>
      </c>
      <c r="B2699" t="s">
        <v>345</v>
      </c>
      <c r="C2699" t="s">
        <v>22</v>
      </c>
      <c r="D2699">
        <v>-126277</v>
      </c>
      <c r="E2699" t="s">
        <v>23</v>
      </c>
      <c r="F2699" t="s">
        <v>24</v>
      </c>
      <c r="G2699" t="s">
        <v>25</v>
      </c>
      <c r="H2699" t="s">
        <v>26</v>
      </c>
      <c r="I2699" t="s">
        <v>48</v>
      </c>
      <c r="J2699" s="11">
        <v>45150</v>
      </c>
      <c r="K2699" t="str">
        <f>TEXT(Transactions_Clean[[#This Row],[Date]],"MMM-YYYY")</f>
        <v>Aug-2023</v>
      </c>
      <c r="L2699">
        <f>IF(Transactions_Clean[[#This Row],[Category]]="Revenue",Transactions_Clean[[#This Row],[Amount(₹)]],Transactions_Clean[[#This Row],[Amount(₹)]]/8)</f>
        <v>-15784.625</v>
      </c>
    </row>
    <row r="2700" spans="1:12">
      <c r="A2700" t="s">
        <v>4071</v>
      </c>
      <c r="B2700" t="s">
        <v>310</v>
      </c>
      <c r="C2700" t="s">
        <v>4750</v>
      </c>
      <c r="D2700">
        <v>-40106</v>
      </c>
      <c r="E2700" t="s">
        <v>23</v>
      </c>
      <c r="F2700" t="s">
        <v>32</v>
      </c>
      <c r="G2700" t="s">
        <v>25</v>
      </c>
      <c r="H2700" t="s">
        <v>26</v>
      </c>
      <c r="I2700" t="s">
        <v>34</v>
      </c>
      <c r="J2700" s="11">
        <v>45094</v>
      </c>
      <c r="K2700" t="str">
        <f>TEXT(Transactions_Clean[[#This Row],[Date]],"MMM-YYYY")</f>
        <v>Jun-2023</v>
      </c>
      <c r="L2700">
        <f>IF(Transactions_Clean[[#This Row],[Category]]="Revenue",Transactions_Clean[[#This Row],[Amount(₹)]],Transactions_Clean[[#This Row],[Amount(₹)]]/8)</f>
        <v>-5013.25</v>
      </c>
    </row>
    <row r="2701" spans="1:12">
      <c r="A2701" t="s">
        <v>4072</v>
      </c>
      <c r="B2701" t="s">
        <v>51</v>
      </c>
      <c r="C2701" t="s">
        <v>31</v>
      </c>
      <c r="D2701">
        <v>-24991</v>
      </c>
      <c r="E2701" t="s">
        <v>23</v>
      </c>
      <c r="F2701" t="s">
        <v>32</v>
      </c>
      <c r="G2701" t="s">
        <v>33</v>
      </c>
      <c r="H2701" t="s">
        <v>45</v>
      </c>
      <c r="I2701" t="s">
        <v>48</v>
      </c>
      <c r="J2701" s="11">
        <v>45629</v>
      </c>
      <c r="K2701" t="str">
        <f>TEXT(Transactions_Clean[[#This Row],[Date]],"MMM-YYYY")</f>
        <v>Dec-2024</v>
      </c>
      <c r="L2701">
        <f>IF(Transactions_Clean[[#This Row],[Category]]="Revenue",Transactions_Clean[[#This Row],[Amount(₹)]],Transactions_Clean[[#This Row],[Amount(₹)]]/8)</f>
        <v>-3123.875</v>
      </c>
    </row>
    <row r="2702" spans="1:12">
      <c r="A2702" t="s">
        <v>4073</v>
      </c>
      <c r="B2702" t="s">
        <v>37</v>
      </c>
      <c r="C2702" t="s">
        <v>38</v>
      </c>
      <c r="D2702">
        <v>-33285</v>
      </c>
      <c r="E2702" t="s">
        <v>23</v>
      </c>
      <c r="F2702" t="s">
        <v>32</v>
      </c>
      <c r="G2702" t="s">
        <v>33</v>
      </c>
      <c r="H2702" t="s">
        <v>45</v>
      </c>
      <c r="I2702" t="s">
        <v>40</v>
      </c>
      <c r="J2702" s="11">
        <v>45527</v>
      </c>
      <c r="K2702" t="str">
        <f>TEXT(Transactions_Clean[[#This Row],[Date]],"MMM-YYYY")</f>
        <v>Aug-2024</v>
      </c>
      <c r="L2702">
        <f>IF(Transactions_Clean[[#This Row],[Category]]="Revenue",Transactions_Clean[[#This Row],[Amount(₹)]],Transactions_Clean[[#This Row],[Amount(₹)]]/8)</f>
        <v>-4160.625</v>
      </c>
    </row>
    <row r="2703" spans="1:12">
      <c r="A2703" t="s">
        <v>4074</v>
      </c>
      <c r="B2703" t="s">
        <v>174</v>
      </c>
      <c r="C2703" t="s">
        <v>22</v>
      </c>
      <c r="D2703">
        <v>-33351</v>
      </c>
      <c r="E2703" t="s">
        <v>23</v>
      </c>
      <c r="F2703" t="s">
        <v>32</v>
      </c>
      <c r="G2703" t="s">
        <v>25</v>
      </c>
      <c r="H2703" t="s">
        <v>39</v>
      </c>
      <c r="I2703" t="s">
        <v>27</v>
      </c>
      <c r="J2703" s="11">
        <v>46040</v>
      </c>
      <c r="K2703" t="str">
        <f>TEXT(Transactions_Clean[[#This Row],[Date]],"MMM-YYYY")</f>
        <v>Jan-2026</v>
      </c>
      <c r="L2703">
        <f>IF(Transactions_Clean[[#This Row],[Category]]="Revenue",Transactions_Clean[[#This Row],[Amount(₹)]],Transactions_Clean[[#This Row],[Amount(₹)]]/8)</f>
        <v>-4168.875</v>
      </c>
    </row>
    <row r="2704" spans="1:12">
      <c r="A2704" t="s">
        <v>4075</v>
      </c>
      <c r="B2704" t="s">
        <v>4752</v>
      </c>
      <c r="C2704" t="s">
        <v>44</v>
      </c>
      <c r="D2704">
        <v>-140831</v>
      </c>
      <c r="E2704" t="s">
        <v>23</v>
      </c>
      <c r="F2704" t="s">
        <v>32</v>
      </c>
      <c r="G2704" t="s">
        <v>33</v>
      </c>
      <c r="H2704" t="s">
        <v>39</v>
      </c>
      <c r="I2704" t="s">
        <v>34</v>
      </c>
      <c r="J2704" s="11">
        <v>45748</v>
      </c>
      <c r="K2704" t="str">
        <f>TEXT(Transactions_Clean[[#This Row],[Date]],"MMM-YYYY")</f>
        <v>Apr-2025</v>
      </c>
      <c r="L2704">
        <f>IF(Transactions_Clean[[#This Row],[Category]]="Revenue",Transactions_Clean[[#This Row],[Amount(₹)]],Transactions_Clean[[#This Row],[Amount(₹)]]/8)</f>
        <v>-17603.875</v>
      </c>
    </row>
    <row r="2705" spans="1:12">
      <c r="A2705" t="s">
        <v>4076</v>
      </c>
      <c r="B2705" t="s">
        <v>4766</v>
      </c>
      <c r="C2705" t="s">
        <v>73</v>
      </c>
      <c r="D2705">
        <v>-17003</v>
      </c>
      <c r="E2705" t="s">
        <v>74</v>
      </c>
      <c r="F2705" t="s">
        <v>24</v>
      </c>
      <c r="G2705" t="s">
        <v>25</v>
      </c>
      <c r="H2705" t="s">
        <v>39</v>
      </c>
      <c r="I2705" t="s">
        <v>48</v>
      </c>
      <c r="J2705" s="11">
        <v>46018</v>
      </c>
      <c r="K2705" t="str">
        <f>TEXT(Transactions_Clean[[#This Row],[Date]],"MMM-YYYY")</f>
        <v>Dec-2025</v>
      </c>
      <c r="L2705">
        <f>IF(Transactions_Clean[[#This Row],[Category]]="Revenue",Transactions_Clean[[#This Row],[Amount(₹)]],Transactions_Clean[[#This Row],[Amount(₹)]]/8)</f>
        <v>-2125.375</v>
      </c>
    </row>
    <row r="2706" spans="1:12">
      <c r="A2706" t="s">
        <v>4078</v>
      </c>
      <c r="B2706" t="s">
        <v>30</v>
      </c>
      <c r="C2706" t="s">
        <v>31</v>
      </c>
      <c r="D2706">
        <v>-15409</v>
      </c>
      <c r="E2706" t="s">
        <v>23</v>
      </c>
      <c r="F2706" t="s">
        <v>24</v>
      </c>
      <c r="G2706" t="s">
        <v>33</v>
      </c>
      <c r="H2706" t="s">
        <v>39</v>
      </c>
      <c r="I2706" t="s">
        <v>48</v>
      </c>
      <c r="J2706" s="11">
        <v>45977</v>
      </c>
      <c r="K2706" t="str">
        <f>TEXT(Transactions_Clean[[#This Row],[Date]],"MMM-YYYY")</f>
        <v>Nov-2025</v>
      </c>
      <c r="L2706">
        <f>IF(Transactions_Clean[[#This Row],[Category]]="Revenue",Transactions_Clean[[#This Row],[Amount(₹)]],Transactions_Clean[[#This Row],[Amount(₹)]]/8)</f>
        <v>-1926.125</v>
      </c>
    </row>
    <row r="2707" spans="1:12">
      <c r="A2707" t="s">
        <v>4079</v>
      </c>
      <c r="B2707" t="s">
        <v>215</v>
      </c>
      <c r="C2707" t="s">
        <v>61</v>
      </c>
      <c r="D2707">
        <v>-59066</v>
      </c>
      <c r="E2707" t="s">
        <v>62</v>
      </c>
      <c r="F2707" t="s">
        <v>32</v>
      </c>
      <c r="G2707" t="s">
        <v>63</v>
      </c>
      <c r="H2707" t="s">
        <v>39</v>
      </c>
      <c r="I2707" t="s">
        <v>34</v>
      </c>
      <c r="J2707" s="11">
        <v>45802</v>
      </c>
      <c r="K2707" t="str">
        <f>TEXT(Transactions_Clean[[#This Row],[Date]],"MMM-YYYY")</f>
        <v>May-2025</v>
      </c>
      <c r="L2707">
        <f>IF(Transactions_Clean[[#This Row],[Category]]="Revenue",Transactions_Clean[[#This Row],[Amount(₹)]],Transactions_Clean[[#This Row],[Amount(₹)]]/8)</f>
        <v>-7383.25</v>
      </c>
    </row>
    <row r="2708" spans="1:12">
      <c r="A2708" t="s">
        <v>4081</v>
      </c>
      <c r="B2708" t="s">
        <v>66</v>
      </c>
      <c r="C2708" t="s">
        <v>61</v>
      </c>
      <c r="D2708">
        <v>-16530</v>
      </c>
      <c r="E2708" t="s">
        <v>62</v>
      </c>
      <c r="F2708" t="s">
        <v>32</v>
      </c>
      <c r="G2708" t="s">
        <v>63</v>
      </c>
      <c r="H2708" t="s">
        <v>39</v>
      </c>
      <c r="I2708" t="s">
        <v>40</v>
      </c>
      <c r="J2708" s="11">
        <v>45892</v>
      </c>
      <c r="K2708" t="str">
        <f>TEXT(Transactions_Clean[[#This Row],[Date]],"MMM-YYYY")</f>
        <v>Aug-2025</v>
      </c>
      <c r="L2708">
        <f>IF(Transactions_Clean[[#This Row],[Category]]="Revenue",Transactions_Clean[[#This Row],[Amount(₹)]],Transactions_Clean[[#This Row],[Amount(₹)]]/8)</f>
        <v>-2066.25</v>
      </c>
    </row>
    <row r="2709" spans="1:12">
      <c r="A2709" t="s">
        <v>4082</v>
      </c>
      <c r="B2709" t="s">
        <v>4769</v>
      </c>
      <c r="C2709" t="s">
        <v>44</v>
      </c>
      <c r="D2709">
        <v>-114776</v>
      </c>
      <c r="E2709" t="s">
        <v>23</v>
      </c>
      <c r="F2709" t="s">
        <v>32</v>
      </c>
      <c r="G2709" t="s">
        <v>33</v>
      </c>
      <c r="H2709" t="s">
        <v>26</v>
      </c>
      <c r="I2709" t="s">
        <v>27</v>
      </c>
      <c r="J2709" s="11">
        <v>45375</v>
      </c>
      <c r="K2709" t="str">
        <f>TEXT(Transactions_Clean[[#This Row],[Date]],"MMM-YYYY")</f>
        <v>Mar-2024</v>
      </c>
      <c r="L2709">
        <f>IF(Transactions_Clean[[#This Row],[Category]]="Revenue",Transactions_Clean[[#This Row],[Amount(₹)]],Transactions_Clean[[#This Row],[Amount(₹)]]/8)</f>
        <v>-14347</v>
      </c>
    </row>
    <row r="2710" spans="1:12">
      <c r="A2710" t="s">
        <v>4083</v>
      </c>
      <c r="B2710" t="s">
        <v>169</v>
      </c>
      <c r="C2710" t="s">
        <v>73</v>
      </c>
      <c r="D2710">
        <v>-44149</v>
      </c>
      <c r="E2710" t="s">
        <v>74</v>
      </c>
      <c r="F2710" t="s">
        <v>24</v>
      </c>
      <c r="G2710" t="s">
        <v>25</v>
      </c>
      <c r="H2710" t="s">
        <v>39</v>
      </c>
      <c r="I2710" t="s">
        <v>48</v>
      </c>
      <c r="J2710" s="11">
        <v>45964</v>
      </c>
      <c r="K2710" t="str">
        <f>TEXT(Transactions_Clean[[#This Row],[Date]],"MMM-YYYY")</f>
        <v>Nov-2025</v>
      </c>
      <c r="L2710">
        <f>IF(Transactions_Clean[[#This Row],[Category]]="Revenue",Transactions_Clean[[#This Row],[Amount(₹)]],Transactions_Clean[[#This Row],[Amount(₹)]]/8)</f>
        <v>-5518.625</v>
      </c>
    </row>
    <row r="2711" spans="1:12">
      <c r="A2711" t="s">
        <v>4084</v>
      </c>
      <c r="B2711" t="s">
        <v>4765</v>
      </c>
      <c r="C2711" t="s">
        <v>73</v>
      </c>
      <c r="D2711">
        <v>-16888</v>
      </c>
      <c r="E2711" t="s">
        <v>74</v>
      </c>
      <c r="F2711" t="s">
        <v>24</v>
      </c>
      <c r="G2711" t="s">
        <v>25</v>
      </c>
      <c r="H2711" t="s">
        <v>39</v>
      </c>
      <c r="I2711" t="s">
        <v>40</v>
      </c>
      <c r="J2711" s="11">
        <v>45864</v>
      </c>
      <c r="K2711" t="str">
        <f>TEXT(Transactions_Clean[[#This Row],[Date]],"MMM-YYYY")</f>
        <v>Jul-2025</v>
      </c>
      <c r="L2711">
        <f>IF(Transactions_Clean[[#This Row],[Category]]="Revenue",Transactions_Clean[[#This Row],[Amount(₹)]],Transactions_Clean[[#This Row],[Amount(₹)]]/8)</f>
        <v>-2111</v>
      </c>
    </row>
    <row r="2712" spans="1:12">
      <c r="A2712" t="s">
        <v>4086</v>
      </c>
      <c r="B2712" t="s">
        <v>212</v>
      </c>
      <c r="C2712" t="s">
        <v>73</v>
      </c>
      <c r="D2712">
        <v>-40737</v>
      </c>
      <c r="E2712" t="s">
        <v>74</v>
      </c>
      <c r="F2712" t="s">
        <v>24</v>
      </c>
      <c r="G2712" t="s">
        <v>25</v>
      </c>
      <c r="H2712" t="s">
        <v>45</v>
      </c>
      <c r="I2712" t="s">
        <v>34</v>
      </c>
      <c r="J2712" s="11">
        <v>45470</v>
      </c>
      <c r="K2712" t="str">
        <f>TEXT(Transactions_Clean[[#This Row],[Date]],"MMM-YYYY")</f>
        <v>Jun-2024</v>
      </c>
      <c r="L2712">
        <f>IF(Transactions_Clean[[#This Row],[Category]]="Revenue",Transactions_Clean[[#This Row],[Amount(₹)]],Transactions_Clean[[#This Row],[Amount(₹)]]/8)</f>
        <v>-5092.125</v>
      </c>
    </row>
    <row r="2713" spans="1:12">
      <c r="A2713" t="s">
        <v>4087</v>
      </c>
      <c r="B2713" t="s">
        <v>4754</v>
      </c>
      <c r="C2713" t="s">
        <v>78</v>
      </c>
      <c r="D2713">
        <v>-92894</v>
      </c>
      <c r="E2713" t="s">
        <v>23</v>
      </c>
      <c r="F2713" t="s">
        <v>24</v>
      </c>
      <c r="G2713" t="s">
        <v>79</v>
      </c>
      <c r="H2713" t="s">
        <v>26</v>
      </c>
      <c r="I2713" t="s">
        <v>48</v>
      </c>
      <c r="J2713" s="11">
        <v>45288</v>
      </c>
      <c r="K2713" t="str">
        <f>TEXT(Transactions_Clean[[#This Row],[Date]],"MMM-YYYY")</f>
        <v>Dec-2023</v>
      </c>
      <c r="L2713">
        <f>IF(Transactions_Clean[[#This Row],[Category]]="Revenue",Transactions_Clean[[#This Row],[Amount(₹)]],Transactions_Clean[[#This Row],[Amount(₹)]]/8)</f>
        <v>-11611.75</v>
      </c>
    </row>
    <row r="2714" spans="1:12">
      <c r="A2714" t="s">
        <v>4088</v>
      </c>
      <c r="B2714" t="s">
        <v>4757</v>
      </c>
      <c r="C2714" t="s">
        <v>73</v>
      </c>
      <c r="D2714">
        <v>-44505</v>
      </c>
      <c r="E2714" t="s">
        <v>74</v>
      </c>
      <c r="F2714" t="s">
        <v>24</v>
      </c>
      <c r="G2714" t="s">
        <v>25</v>
      </c>
      <c r="H2714" t="s">
        <v>26</v>
      </c>
      <c r="I2714" t="s">
        <v>27</v>
      </c>
      <c r="J2714" s="11">
        <v>45347</v>
      </c>
      <c r="K2714" t="str">
        <f>TEXT(Transactions_Clean[[#This Row],[Date]],"MMM-YYYY")</f>
        <v>Feb-2024</v>
      </c>
      <c r="L2714">
        <f>IF(Transactions_Clean[[#This Row],[Category]]="Revenue",Transactions_Clean[[#This Row],[Amount(₹)]],Transactions_Clean[[#This Row],[Amount(₹)]]/8)</f>
        <v>-5563.125</v>
      </c>
    </row>
    <row r="2715" spans="1:12">
      <c r="A2715" t="s">
        <v>4089</v>
      </c>
      <c r="B2715" t="s">
        <v>100</v>
      </c>
      <c r="C2715" t="s">
        <v>31</v>
      </c>
      <c r="D2715">
        <v>-32031</v>
      </c>
      <c r="E2715" t="s">
        <v>23</v>
      </c>
      <c r="F2715" t="s">
        <v>32</v>
      </c>
      <c r="G2715" t="s">
        <v>33</v>
      </c>
      <c r="H2715" t="s">
        <v>39</v>
      </c>
      <c r="I2715" t="s">
        <v>34</v>
      </c>
      <c r="J2715" s="11">
        <v>45763</v>
      </c>
      <c r="K2715" t="str">
        <f>TEXT(Transactions_Clean[[#This Row],[Date]],"MMM-YYYY")</f>
        <v>Apr-2025</v>
      </c>
      <c r="L2715">
        <f>IF(Transactions_Clean[[#This Row],[Category]]="Revenue",Transactions_Clean[[#This Row],[Amount(₹)]],Transactions_Clean[[#This Row],[Amount(₹)]]/8)</f>
        <v>-4003.875</v>
      </c>
    </row>
    <row r="2716" spans="1:12">
      <c r="A2716" t="s">
        <v>4091</v>
      </c>
      <c r="B2716" t="s">
        <v>4763</v>
      </c>
      <c r="C2716" t="s">
        <v>22</v>
      </c>
      <c r="D2716">
        <v>-80188</v>
      </c>
      <c r="E2716" t="s">
        <v>23</v>
      </c>
      <c r="F2716" t="s">
        <v>24</v>
      </c>
      <c r="G2716" t="s">
        <v>25</v>
      </c>
      <c r="H2716" t="s">
        <v>39</v>
      </c>
      <c r="I2716" t="s">
        <v>48</v>
      </c>
      <c r="J2716" s="11">
        <v>45957</v>
      </c>
      <c r="K2716" t="str">
        <f>TEXT(Transactions_Clean[[#This Row],[Date]],"MMM-YYYY")</f>
        <v>Oct-2025</v>
      </c>
      <c r="L2716">
        <f>IF(Transactions_Clean[[#This Row],[Category]]="Revenue",Transactions_Clean[[#This Row],[Amount(₹)]],Transactions_Clean[[#This Row],[Amount(₹)]]/8)</f>
        <v>-10023.5</v>
      </c>
    </row>
    <row r="2717" spans="1:12">
      <c r="A2717" t="s">
        <v>4092</v>
      </c>
      <c r="B2717" t="s">
        <v>4766</v>
      </c>
      <c r="C2717" t="s">
        <v>73</v>
      </c>
      <c r="D2717">
        <v>-35297</v>
      </c>
      <c r="E2717" t="s">
        <v>74</v>
      </c>
      <c r="F2717" t="s">
        <v>24</v>
      </c>
      <c r="G2717" t="s">
        <v>25</v>
      </c>
      <c r="H2717" t="s">
        <v>39</v>
      </c>
      <c r="I2717" t="s">
        <v>48</v>
      </c>
      <c r="J2717" s="11">
        <v>46010</v>
      </c>
      <c r="K2717" t="str">
        <f>TEXT(Transactions_Clean[[#This Row],[Date]],"MMM-YYYY")</f>
        <v>Dec-2025</v>
      </c>
      <c r="L2717">
        <f>IF(Transactions_Clean[[#This Row],[Category]]="Revenue",Transactions_Clean[[#This Row],[Amount(₹)]],Transactions_Clean[[#This Row],[Amount(₹)]]/8)</f>
        <v>-4412.125</v>
      </c>
    </row>
    <row r="2718" spans="1:12">
      <c r="A2718" t="s">
        <v>4093</v>
      </c>
      <c r="B2718" t="s">
        <v>87</v>
      </c>
      <c r="C2718" t="s">
        <v>22</v>
      </c>
      <c r="D2718">
        <v>-75498</v>
      </c>
      <c r="E2718" t="s">
        <v>23</v>
      </c>
      <c r="F2718" t="s">
        <v>32</v>
      </c>
      <c r="G2718" t="s">
        <v>25</v>
      </c>
      <c r="H2718" t="s">
        <v>39</v>
      </c>
      <c r="I2718" t="s">
        <v>48</v>
      </c>
      <c r="J2718" s="11">
        <v>45990</v>
      </c>
      <c r="K2718" t="str">
        <f>TEXT(Transactions_Clean[[#This Row],[Date]],"MMM-YYYY")</f>
        <v>Nov-2025</v>
      </c>
      <c r="L2718">
        <f>IF(Transactions_Clean[[#This Row],[Category]]="Revenue",Transactions_Clean[[#This Row],[Amount(₹)]],Transactions_Clean[[#This Row],[Amount(₹)]]/8)</f>
        <v>-9437.25</v>
      </c>
    </row>
    <row r="2719" spans="1:12">
      <c r="A2719" t="s">
        <v>4094</v>
      </c>
      <c r="B2719" t="s">
        <v>310</v>
      </c>
      <c r="C2719" t="s">
        <v>22</v>
      </c>
      <c r="D2719">
        <v>-26473</v>
      </c>
      <c r="E2719" t="s">
        <v>23</v>
      </c>
      <c r="F2719" t="s">
        <v>32</v>
      </c>
      <c r="G2719" t="s">
        <v>25</v>
      </c>
      <c r="H2719" t="s">
        <v>45</v>
      </c>
      <c r="I2719" t="s">
        <v>48</v>
      </c>
      <c r="J2719" s="11">
        <v>45618</v>
      </c>
      <c r="K2719" t="str">
        <f>TEXT(Transactions_Clean[[#This Row],[Date]],"MMM-YYYY")</f>
        <v>Nov-2024</v>
      </c>
      <c r="L2719">
        <f>IF(Transactions_Clean[[#This Row],[Category]]="Revenue",Transactions_Clean[[#This Row],[Amount(₹)]],Transactions_Clean[[#This Row],[Amount(₹)]]/8)</f>
        <v>-3309.125</v>
      </c>
    </row>
    <row r="2720" spans="1:12">
      <c r="A2720" t="s">
        <v>4095</v>
      </c>
      <c r="B2720" t="s">
        <v>180</v>
      </c>
      <c r="C2720" t="s">
        <v>44</v>
      </c>
      <c r="D2720">
        <v>-168048</v>
      </c>
      <c r="E2720" t="s">
        <v>23</v>
      </c>
      <c r="F2720" t="s">
        <v>32</v>
      </c>
      <c r="G2720" t="s">
        <v>33</v>
      </c>
      <c r="H2720" t="s">
        <v>26</v>
      </c>
      <c r="I2720" t="s">
        <v>27</v>
      </c>
      <c r="J2720" s="11">
        <v>45505</v>
      </c>
      <c r="K2720" t="str">
        <f>TEXT(Transactions_Clean[[#This Row],[Date]],"MMM-YYYY")</f>
        <v>Aug-2024</v>
      </c>
      <c r="L2720">
        <f>IF(Transactions_Clean[[#This Row],[Category]]="Revenue",Transactions_Clean[[#This Row],[Amount(₹)]],Transactions_Clean[[#This Row],[Amount(₹)]]/8)</f>
        <v>-21006</v>
      </c>
    </row>
    <row r="2721" spans="1:12">
      <c r="A2721" t="s">
        <v>4097</v>
      </c>
      <c r="B2721" t="s">
        <v>60</v>
      </c>
      <c r="C2721" t="s">
        <v>61</v>
      </c>
      <c r="D2721">
        <v>-49396</v>
      </c>
      <c r="E2721" t="s">
        <v>62</v>
      </c>
      <c r="F2721" t="s">
        <v>32</v>
      </c>
      <c r="G2721" t="s">
        <v>63</v>
      </c>
      <c r="H2721" t="s">
        <v>39</v>
      </c>
      <c r="I2721" t="s">
        <v>34</v>
      </c>
      <c r="J2721" s="11">
        <v>45813</v>
      </c>
      <c r="K2721" t="str">
        <f>TEXT(Transactions_Clean[[#This Row],[Date]],"MMM-YYYY")</f>
        <v>Jun-2025</v>
      </c>
      <c r="L2721">
        <f>IF(Transactions_Clean[[#This Row],[Category]]="Revenue",Transactions_Clean[[#This Row],[Amount(₹)]],Transactions_Clean[[#This Row],[Amount(₹)]]/8)</f>
        <v>-6174.5</v>
      </c>
    </row>
    <row r="2722" spans="1:12">
      <c r="A2722" t="s">
        <v>4098</v>
      </c>
      <c r="B2722" t="s">
        <v>116</v>
      </c>
      <c r="C2722" t="s">
        <v>73</v>
      </c>
      <c r="D2722">
        <v>-55131</v>
      </c>
      <c r="E2722" t="s">
        <v>74</v>
      </c>
      <c r="F2722" t="s">
        <v>24</v>
      </c>
      <c r="G2722" t="s">
        <v>25</v>
      </c>
      <c r="H2722" t="s">
        <v>45</v>
      </c>
      <c r="I2722" t="s">
        <v>34</v>
      </c>
      <c r="J2722" s="11">
        <v>45425</v>
      </c>
      <c r="K2722" t="str">
        <f>TEXT(Transactions_Clean[[#This Row],[Date]],"MMM-YYYY")</f>
        <v>May-2024</v>
      </c>
      <c r="L2722">
        <f>IF(Transactions_Clean[[#This Row],[Category]]="Revenue",Transactions_Clean[[#This Row],[Amount(₹)]],Transactions_Clean[[#This Row],[Amount(₹)]]/8)</f>
        <v>-6891.375</v>
      </c>
    </row>
    <row r="2723" spans="1:12">
      <c r="A2723" t="s">
        <v>4099</v>
      </c>
      <c r="B2723" t="s">
        <v>72</v>
      </c>
      <c r="C2723" t="s">
        <v>73</v>
      </c>
      <c r="D2723">
        <v>-21090</v>
      </c>
      <c r="E2723" t="s">
        <v>74</v>
      </c>
      <c r="F2723" t="s">
        <v>24</v>
      </c>
      <c r="G2723" t="s">
        <v>25</v>
      </c>
      <c r="H2723" t="s">
        <v>45</v>
      </c>
      <c r="I2723" t="s">
        <v>48</v>
      </c>
      <c r="J2723" s="11">
        <v>45614</v>
      </c>
      <c r="K2723" t="str">
        <f>TEXT(Transactions_Clean[[#This Row],[Date]],"MMM-YYYY")</f>
        <v>Nov-2024</v>
      </c>
      <c r="L2723">
        <f>IF(Transactions_Clean[[#This Row],[Category]]="Revenue",Transactions_Clean[[#This Row],[Amount(₹)]],Transactions_Clean[[#This Row],[Amount(₹)]]/8)</f>
        <v>-2636.25</v>
      </c>
    </row>
    <row r="2724" spans="1:12">
      <c r="A2724" t="s">
        <v>4101</v>
      </c>
      <c r="B2724" t="s">
        <v>4759</v>
      </c>
      <c r="C2724" t="s">
        <v>31</v>
      </c>
      <c r="D2724">
        <v>-33305</v>
      </c>
      <c r="E2724" t="s">
        <v>23</v>
      </c>
      <c r="F2724" t="s">
        <v>24</v>
      </c>
      <c r="G2724" t="s">
        <v>33</v>
      </c>
      <c r="H2724" t="s">
        <v>45</v>
      </c>
      <c r="I2724" t="s">
        <v>40</v>
      </c>
      <c r="J2724" s="11">
        <v>45546</v>
      </c>
      <c r="K2724" t="str">
        <f>TEXT(Transactions_Clean[[#This Row],[Date]],"MMM-YYYY")</f>
        <v>Sep-2024</v>
      </c>
      <c r="L2724">
        <f>IF(Transactions_Clean[[#This Row],[Category]]="Revenue",Transactions_Clean[[#This Row],[Amount(₹)]],Transactions_Clean[[#This Row],[Amount(₹)]]/8)</f>
        <v>-4163.125</v>
      </c>
    </row>
    <row r="2725" spans="1:12">
      <c r="A2725" t="s">
        <v>4102</v>
      </c>
      <c r="B2725" t="s">
        <v>100</v>
      </c>
      <c r="C2725" t="s">
        <v>31</v>
      </c>
      <c r="D2725">
        <v>-6056</v>
      </c>
      <c r="E2725" t="s">
        <v>23</v>
      </c>
      <c r="F2725" t="s">
        <v>24</v>
      </c>
      <c r="G2725" t="s">
        <v>33</v>
      </c>
      <c r="H2725" t="s">
        <v>45</v>
      </c>
      <c r="I2725" t="s">
        <v>27</v>
      </c>
      <c r="J2725" s="11">
        <v>45743</v>
      </c>
      <c r="K2725" t="str">
        <f>TEXT(Transactions_Clean[[#This Row],[Date]],"MMM-YYYY")</f>
        <v>Mar-2025</v>
      </c>
      <c r="L2725">
        <f>IF(Transactions_Clean[[#This Row],[Category]]="Revenue",Transactions_Clean[[#This Row],[Amount(₹)]],Transactions_Clean[[#This Row],[Amount(₹)]]/8)</f>
        <v>-757</v>
      </c>
    </row>
    <row r="2726" spans="1:12">
      <c r="A2726" t="s">
        <v>4103</v>
      </c>
      <c r="B2726" t="s">
        <v>60</v>
      </c>
      <c r="C2726" t="s">
        <v>61</v>
      </c>
      <c r="D2726">
        <v>-52039</v>
      </c>
      <c r="E2726" t="s">
        <v>62</v>
      </c>
      <c r="F2726" t="s">
        <v>24</v>
      </c>
      <c r="G2726" t="s">
        <v>63</v>
      </c>
      <c r="H2726" t="s">
        <v>26</v>
      </c>
      <c r="I2726" t="s">
        <v>40</v>
      </c>
      <c r="J2726" s="11">
        <v>45135</v>
      </c>
      <c r="K2726" t="str">
        <f>TEXT(Transactions_Clean[[#This Row],[Date]],"MMM-YYYY")</f>
        <v>Jul-2023</v>
      </c>
      <c r="L2726">
        <f>IF(Transactions_Clean[[#This Row],[Category]]="Revenue",Transactions_Clean[[#This Row],[Amount(₹)]],Transactions_Clean[[#This Row],[Amount(₹)]]/8)</f>
        <v>-6504.875</v>
      </c>
    </row>
    <row r="2727" spans="1:12">
      <c r="A2727" t="s">
        <v>4104</v>
      </c>
      <c r="B2727" t="s">
        <v>4752</v>
      </c>
      <c r="C2727" t="s">
        <v>44</v>
      </c>
      <c r="D2727">
        <v>-103633</v>
      </c>
      <c r="E2727" t="s">
        <v>23</v>
      </c>
      <c r="F2727" t="s">
        <v>24</v>
      </c>
      <c r="G2727" t="s">
        <v>33</v>
      </c>
      <c r="H2727" t="s">
        <v>39</v>
      </c>
      <c r="I2727" t="s">
        <v>40</v>
      </c>
      <c r="J2727" s="11">
        <v>45892</v>
      </c>
      <c r="K2727" t="str">
        <f>TEXT(Transactions_Clean[[#This Row],[Date]],"MMM-YYYY")</f>
        <v>Aug-2025</v>
      </c>
      <c r="L2727">
        <f>IF(Transactions_Clean[[#This Row],[Category]]="Revenue",Transactions_Clean[[#This Row],[Amount(₹)]],Transactions_Clean[[#This Row],[Amount(₹)]]/8)</f>
        <v>-12954.125</v>
      </c>
    </row>
    <row r="2728" spans="1:12">
      <c r="A2728" t="s">
        <v>4106</v>
      </c>
      <c r="B2728" t="s">
        <v>72</v>
      </c>
      <c r="C2728" t="s">
        <v>73</v>
      </c>
      <c r="D2728">
        <v>-20214</v>
      </c>
      <c r="E2728" t="s">
        <v>74</v>
      </c>
      <c r="F2728" t="s">
        <v>32</v>
      </c>
      <c r="G2728" t="s">
        <v>25</v>
      </c>
      <c r="H2728" t="s">
        <v>45</v>
      </c>
      <c r="I2728" t="s">
        <v>27</v>
      </c>
      <c r="J2728" s="11">
        <v>45736</v>
      </c>
      <c r="K2728" t="str">
        <f>TEXT(Transactions_Clean[[#This Row],[Date]],"MMM-YYYY")</f>
        <v>Mar-2025</v>
      </c>
      <c r="L2728">
        <f>IF(Transactions_Clean[[#This Row],[Category]]="Revenue",Transactions_Clean[[#This Row],[Amount(₹)]],Transactions_Clean[[#This Row],[Amount(₹)]]/8)</f>
        <v>-2526.75</v>
      </c>
    </row>
    <row r="2729" spans="1:12">
      <c r="A2729" t="s">
        <v>4107</v>
      </c>
      <c r="B2729" t="s">
        <v>4759</v>
      </c>
      <c r="C2729" t="s">
        <v>31</v>
      </c>
      <c r="D2729">
        <v>-7537</v>
      </c>
      <c r="E2729" t="s">
        <v>23</v>
      </c>
      <c r="F2729" t="s">
        <v>24</v>
      </c>
      <c r="G2729" t="s">
        <v>33</v>
      </c>
      <c r="H2729" t="s">
        <v>39</v>
      </c>
      <c r="I2729" t="s">
        <v>40</v>
      </c>
      <c r="J2729" s="11">
        <v>45891</v>
      </c>
      <c r="K2729" t="str">
        <f>TEXT(Transactions_Clean[[#This Row],[Date]],"MMM-YYYY")</f>
        <v>Aug-2025</v>
      </c>
      <c r="L2729">
        <f>IF(Transactions_Clean[[#This Row],[Category]]="Revenue",Transactions_Clean[[#This Row],[Amount(₹)]],Transactions_Clean[[#This Row],[Amount(₹)]]/8)</f>
        <v>-942.125</v>
      </c>
    </row>
    <row r="2730" spans="1:12">
      <c r="A2730" t="s">
        <v>4108</v>
      </c>
      <c r="B2730" t="s">
        <v>4799</v>
      </c>
      <c r="C2730" t="s">
        <v>136</v>
      </c>
      <c r="D2730">
        <v>-10398299</v>
      </c>
      <c r="E2730" t="s">
        <v>62</v>
      </c>
      <c r="F2730" t="s">
        <v>32</v>
      </c>
      <c r="G2730" t="s">
        <v>63</v>
      </c>
      <c r="H2730" t="s">
        <v>39</v>
      </c>
      <c r="I2730" t="s">
        <v>27</v>
      </c>
      <c r="J2730" s="11">
        <v>46050</v>
      </c>
      <c r="K2730" t="str">
        <f>TEXT(Transactions_Clean[[#This Row],[Date]],"MMM-YYYY")</f>
        <v>Jan-2026</v>
      </c>
      <c r="L2730">
        <f>IF(Transactions_Clean[[#This Row],[Category]]="Revenue",Transactions_Clean[[#This Row],[Amount(₹)]],Transactions_Clean[[#This Row],[Amount(₹)]]/8)</f>
        <v>-1299787.375</v>
      </c>
    </row>
    <row r="2731" spans="1:12">
      <c r="A2731" t="s">
        <v>4110</v>
      </c>
      <c r="B2731" t="s">
        <v>129</v>
      </c>
      <c r="C2731" t="s">
        <v>38</v>
      </c>
      <c r="D2731">
        <v>-11140</v>
      </c>
      <c r="E2731" t="s">
        <v>23</v>
      </c>
      <c r="F2731" t="s">
        <v>24</v>
      </c>
      <c r="G2731" t="s">
        <v>33</v>
      </c>
      <c r="H2731" t="s">
        <v>39</v>
      </c>
      <c r="I2731" t="s">
        <v>34</v>
      </c>
      <c r="J2731" s="11">
        <v>45808</v>
      </c>
      <c r="K2731" t="str">
        <f>TEXT(Transactions_Clean[[#This Row],[Date]],"MMM-YYYY")</f>
        <v>May-2025</v>
      </c>
      <c r="L2731">
        <f>IF(Transactions_Clean[[#This Row],[Category]]="Revenue",Transactions_Clean[[#This Row],[Amount(₹)]],Transactions_Clean[[#This Row],[Amount(₹)]]/8)</f>
        <v>-1392.5</v>
      </c>
    </row>
    <row r="2732" spans="1:12">
      <c r="A2732" t="s">
        <v>4111</v>
      </c>
      <c r="B2732" t="s">
        <v>4766</v>
      </c>
      <c r="C2732" t="s">
        <v>73</v>
      </c>
      <c r="D2732">
        <v>-63549</v>
      </c>
      <c r="E2732" t="s">
        <v>74</v>
      </c>
      <c r="F2732" t="s">
        <v>24</v>
      </c>
      <c r="G2732" t="s">
        <v>25</v>
      </c>
      <c r="H2732" t="s">
        <v>26</v>
      </c>
      <c r="I2732" t="s">
        <v>40</v>
      </c>
      <c r="J2732" s="11">
        <v>45198</v>
      </c>
      <c r="K2732" t="str">
        <f>TEXT(Transactions_Clean[[#This Row],[Date]],"MMM-YYYY")</f>
        <v>Sep-2023</v>
      </c>
      <c r="L2732">
        <f>IF(Transactions_Clean[[#This Row],[Category]]="Revenue",Transactions_Clean[[#This Row],[Amount(₹)]],Transactions_Clean[[#This Row],[Amount(₹)]]/8)</f>
        <v>-7943.625</v>
      </c>
    </row>
    <row r="2733" spans="1:12">
      <c r="A2733" t="s">
        <v>4112</v>
      </c>
      <c r="B2733" t="s">
        <v>180</v>
      </c>
      <c r="C2733" t="s">
        <v>44</v>
      </c>
      <c r="D2733">
        <v>-139757</v>
      </c>
      <c r="E2733" t="s">
        <v>23</v>
      </c>
      <c r="F2733" t="s">
        <v>24</v>
      </c>
      <c r="G2733" t="s">
        <v>33</v>
      </c>
      <c r="H2733" t="s">
        <v>45</v>
      </c>
      <c r="I2733" t="s">
        <v>48</v>
      </c>
      <c r="J2733" s="11">
        <v>45647</v>
      </c>
      <c r="K2733" t="str">
        <f>TEXT(Transactions_Clean[[#This Row],[Date]],"MMM-YYYY")</f>
        <v>Dec-2024</v>
      </c>
      <c r="L2733">
        <f>IF(Transactions_Clean[[#This Row],[Category]]="Revenue",Transactions_Clean[[#This Row],[Amount(₹)]],Transactions_Clean[[#This Row],[Amount(₹)]]/8)</f>
        <v>-17469.625</v>
      </c>
    </row>
    <row r="2734" spans="1:12">
      <c r="A2734" t="s">
        <v>4113</v>
      </c>
      <c r="B2734" t="s">
        <v>237</v>
      </c>
      <c r="C2734" t="s">
        <v>22</v>
      </c>
      <c r="D2734">
        <v>-156012</v>
      </c>
      <c r="E2734" t="s">
        <v>23</v>
      </c>
      <c r="F2734" t="s">
        <v>24</v>
      </c>
      <c r="G2734" t="s">
        <v>25</v>
      </c>
      <c r="H2734" t="s">
        <v>45</v>
      </c>
      <c r="I2734" t="s">
        <v>34</v>
      </c>
      <c r="J2734" s="11">
        <v>45467</v>
      </c>
      <c r="K2734" t="str">
        <f>TEXT(Transactions_Clean[[#This Row],[Date]],"MMM-YYYY")</f>
        <v>Jun-2024</v>
      </c>
      <c r="L2734">
        <f>IF(Transactions_Clean[[#This Row],[Category]]="Revenue",Transactions_Clean[[#This Row],[Amount(₹)]],Transactions_Clean[[#This Row],[Amount(₹)]]/8)</f>
        <v>-19501.5</v>
      </c>
    </row>
    <row r="2735" spans="1:12">
      <c r="A2735" t="s">
        <v>4115</v>
      </c>
      <c r="B2735" t="s">
        <v>4756</v>
      </c>
      <c r="C2735" t="s">
        <v>73</v>
      </c>
      <c r="D2735">
        <v>-55265</v>
      </c>
      <c r="E2735" t="s">
        <v>74</v>
      </c>
      <c r="F2735" t="s">
        <v>32</v>
      </c>
      <c r="G2735" t="s">
        <v>25</v>
      </c>
      <c r="H2735" t="s">
        <v>26</v>
      </c>
      <c r="I2735" t="s">
        <v>34</v>
      </c>
      <c r="J2735" s="11">
        <v>45080</v>
      </c>
      <c r="K2735" t="str">
        <f>TEXT(Transactions_Clean[[#This Row],[Date]],"MMM-YYYY")</f>
        <v>Jun-2023</v>
      </c>
      <c r="L2735">
        <f>IF(Transactions_Clean[[#This Row],[Category]]="Revenue",Transactions_Clean[[#This Row],[Amount(₹)]],Transactions_Clean[[#This Row],[Amount(₹)]]/8)</f>
        <v>-6908.125</v>
      </c>
    </row>
    <row r="2736" spans="1:12">
      <c r="A2736" t="s">
        <v>4116</v>
      </c>
      <c r="B2736" t="s">
        <v>310</v>
      </c>
      <c r="C2736" t="s">
        <v>22</v>
      </c>
      <c r="D2736">
        <v>-88602</v>
      </c>
      <c r="E2736" t="s">
        <v>23</v>
      </c>
      <c r="F2736" t="s">
        <v>24</v>
      </c>
      <c r="G2736" t="s">
        <v>25</v>
      </c>
      <c r="H2736" t="s">
        <v>39</v>
      </c>
      <c r="I2736" t="s">
        <v>34</v>
      </c>
      <c r="J2736" s="11">
        <v>45837</v>
      </c>
      <c r="K2736" t="str">
        <f>TEXT(Transactions_Clean[[#This Row],[Date]],"MMM-YYYY")</f>
        <v>Jun-2025</v>
      </c>
      <c r="L2736">
        <f>IF(Transactions_Clean[[#This Row],[Category]]="Revenue",Transactions_Clean[[#This Row],[Amount(₹)]],Transactions_Clean[[#This Row],[Amount(₹)]]/8)</f>
        <v>-11075.25</v>
      </c>
    </row>
    <row r="2737" spans="1:12">
      <c r="A2737" t="s">
        <v>4117</v>
      </c>
      <c r="B2737" t="s">
        <v>106</v>
      </c>
      <c r="C2737" t="s">
        <v>31</v>
      </c>
      <c r="D2737">
        <v>-6728</v>
      </c>
      <c r="E2737" t="s">
        <v>23</v>
      </c>
      <c r="F2737" t="s">
        <v>32</v>
      </c>
      <c r="G2737" t="s">
        <v>33</v>
      </c>
      <c r="H2737" t="s">
        <v>45</v>
      </c>
      <c r="I2737" t="s">
        <v>48</v>
      </c>
      <c r="J2737" s="11">
        <v>45633</v>
      </c>
      <c r="K2737" t="str">
        <f>TEXT(Transactions_Clean[[#This Row],[Date]],"MMM-YYYY")</f>
        <v>Dec-2024</v>
      </c>
      <c r="L2737">
        <f>IF(Transactions_Clean[[#This Row],[Category]]="Revenue",Transactions_Clean[[#This Row],[Amount(₹)]],Transactions_Clean[[#This Row],[Amount(₹)]]/8)</f>
        <v>-841</v>
      </c>
    </row>
    <row r="2738" spans="1:12">
      <c r="A2738" t="s">
        <v>4118</v>
      </c>
      <c r="B2738" t="s">
        <v>4748</v>
      </c>
      <c r="C2738" t="s">
        <v>22</v>
      </c>
      <c r="D2738">
        <v>-173270</v>
      </c>
      <c r="E2738" t="s">
        <v>23</v>
      </c>
      <c r="F2738" t="s">
        <v>32</v>
      </c>
      <c r="G2738" t="s">
        <v>25</v>
      </c>
      <c r="H2738" t="s">
        <v>45</v>
      </c>
      <c r="I2738" t="s">
        <v>34</v>
      </c>
      <c r="J2738" s="11">
        <v>45448</v>
      </c>
      <c r="K2738" t="str">
        <f>TEXT(Transactions_Clean[[#This Row],[Date]],"MMM-YYYY")</f>
        <v>Jun-2024</v>
      </c>
      <c r="L2738">
        <f>IF(Transactions_Clean[[#This Row],[Category]]="Revenue",Transactions_Clean[[#This Row],[Amount(₹)]],Transactions_Clean[[#This Row],[Amount(₹)]]/8)</f>
        <v>-21658.75</v>
      </c>
    </row>
    <row r="2739" spans="1:12">
      <c r="A2739" t="s">
        <v>4119</v>
      </c>
      <c r="B2739" t="s">
        <v>290</v>
      </c>
      <c r="C2739" t="s">
        <v>440</v>
      </c>
      <c r="D2739">
        <v>-95473</v>
      </c>
      <c r="E2739" t="s">
        <v>23</v>
      </c>
      <c r="F2739" t="s">
        <v>24</v>
      </c>
      <c r="G2739" t="s">
        <v>33</v>
      </c>
      <c r="H2739" t="s">
        <v>26</v>
      </c>
      <c r="I2739" t="s">
        <v>27</v>
      </c>
      <c r="J2739" s="11">
        <v>45297</v>
      </c>
      <c r="K2739" t="str">
        <f>TEXT(Transactions_Clean[[#This Row],[Date]],"MMM-YYYY")</f>
        <v>Jan-2024</v>
      </c>
      <c r="L2739">
        <f>IF(Transactions_Clean[[#This Row],[Category]]="Revenue",Transactions_Clean[[#This Row],[Amount(₹)]],Transactions_Clean[[#This Row],[Amount(₹)]]/8)</f>
        <v>-11934.125</v>
      </c>
    </row>
    <row r="2740" spans="1:12">
      <c r="A2740" t="s">
        <v>4120</v>
      </c>
      <c r="B2740" t="s">
        <v>116</v>
      </c>
      <c r="C2740" t="s">
        <v>73</v>
      </c>
      <c r="D2740">
        <v>-36821</v>
      </c>
      <c r="E2740" t="s">
        <v>74</v>
      </c>
      <c r="F2740" t="s">
        <v>32</v>
      </c>
      <c r="G2740" t="s">
        <v>25</v>
      </c>
      <c r="H2740" t="s">
        <v>45</v>
      </c>
      <c r="I2740" t="s">
        <v>40</v>
      </c>
      <c r="J2740" s="11">
        <v>45528</v>
      </c>
      <c r="K2740" t="str">
        <f>TEXT(Transactions_Clean[[#This Row],[Date]],"MMM-YYYY")</f>
        <v>Aug-2024</v>
      </c>
      <c r="L2740">
        <f>IF(Transactions_Clean[[#This Row],[Category]]="Revenue",Transactions_Clean[[#This Row],[Amount(₹)]],Transactions_Clean[[#This Row],[Amount(₹)]]/8)</f>
        <v>-4602.625</v>
      </c>
    </row>
    <row r="2741" spans="1:12">
      <c r="A2741" t="s">
        <v>4121</v>
      </c>
      <c r="B2741" t="s">
        <v>4752</v>
      </c>
      <c r="C2741" t="s">
        <v>44</v>
      </c>
      <c r="D2741">
        <v>-125505</v>
      </c>
      <c r="E2741" t="s">
        <v>23</v>
      </c>
      <c r="F2741" t="s">
        <v>32</v>
      </c>
      <c r="G2741" t="s">
        <v>33</v>
      </c>
      <c r="H2741" t="s">
        <v>26</v>
      </c>
      <c r="I2741" t="s">
        <v>27</v>
      </c>
      <c r="J2741" s="11">
        <v>45380</v>
      </c>
      <c r="K2741" t="str">
        <f>TEXT(Transactions_Clean[[#This Row],[Date]],"MMM-YYYY")</f>
        <v>Mar-2024</v>
      </c>
      <c r="L2741">
        <f>IF(Transactions_Clean[[#This Row],[Category]]="Revenue",Transactions_Clean[[#This Row],[Amount(₹)]],Transactions_Clean[[#This Row],[Amount(₹)]]/8)</f>
        <v>-15688.125</v>
      </c>
    </row>
    <row r="2742" spans="1:12">
      <c r="A2742" t="s">
        <v>4122</v>
      </c>
      <c r="B2742" t="s">
        <v>37</v>
      </c>
      <c r="C2742" t="s">
        <v>38</v>
      </c>
      <c r="D2742">
        <v>-54870</v>
      </c>
      <c r="E2742" t="s">
        <v>23</v>
      </c>
      <c r="F2742" t="s">
        <v>24</v>
      </c>
      <c r="G2742" t="s">
        <v>33</v>
      </c>
      <c r="H2742" t="s">
        <v>45</v>
      </c>
      <c r="I2742" t="s">
        <v>40</v>
      </c>
      <c r="J2742" s="11">
        <v>45532</v>
      </c>
      <c r="K2742" t="str">
        <f>TEXT(Transactions_Clean[[#This Row],[Date]],"MMM-YYYY")</f>
        <v>Aug-2024</v>
      </c>
      <c r="L2742">
        <f>IF(Transactions_Clean[[#This Row],[Category]]="Revenue",Transactions_Clean[[#This Row],[Amount(₹)]],Transactions_Clean[[#This Row],[Amount(₹)]]/8)</f>
        <v>-6858.75</v>
      </c>
    </row>
    <row r="2743" spans="1:12">
      <c r="A2743" t="s">
        <v>4124</v>
      </c>
      <c r="B2743" t="s">
        <v>4774</v>
      </c>
      <c r="C2743" t="s">
        <v>440</v>
      </c>
      <c r="D2743">
        <v>-114252</v>
      </c>
      <c r="E2743" t="s">
        <v>23</v>
      </c>
      <c r="F2743" t="s">
        <v>24</v>
      </c>
      <c r="G2743" t="s">
        <v>33</v>
      </c>
      <c r="H2743" t="s">
        <v>26</v>
      </c>
      <c r="I2743" t="s">
        <v>34</v>
      </c>
      <c r="J2743" s="11">
        <v>45088</v>
      </c>
      <c r="K2743" t="str">
        <f>TEXT(Transactions_Clean[[#This Row],[Date]],"MMM-YYYY")</f>
        <v>Jun-2023</v>
      </c>
      <c r="L2743">
        <f>IF(Transactions_Clean[[#This Row],[Category]]="Revenue",Transactions_Clean[[#This Row],[Amount(₹)]],Transactions_Clean[[#This Row],[Amount(₹)]]/8)</f>
        <v>-14281.5</v>
      </c>
    </row>
    <row r="2744" spans="1:12">
      <c r="A2744" t="s">
        <v>4126</v>
      </c>
      <c r="B2744" t="s">
        <v>4754</v>
      </c>
      <c r="C2744" t="s">
        <v>78</v>
      </c>
      <c r="D2744">
        <v>-22857</v>
      </c>
      <c r="E2744" t="s">
        <v>23</v>
      </c>
      <c r="F2744" t="s">
        <v>32</v>
      </c>
      <c r="G2744" t="s">
        <v>79</v>
      </c>
      <c r="H2744" t="s">
        <v>26</v>
      </c>
      <c r="I2744" t="s">
        <v>27</v>
      </c>
      <c r="J2744" s="11">
        <v>45378</v>
      </c>
      <c r="K2744" t="str">
        <f>TEXT(Transactions_Clean[[#This Row],[Date]],"MMM-YYYY")</f>
        <v>Mar-2024</v>
      </c>
      <c r="L2744">
        <f>IF(Transactions_Clean[[#This Row],[Category]]="Revenue",Transactions_Clean[[#This Row],[Amount(₹)]],Transactions_Clean[[#This Row],[Amount(₹)]]/8)</f>
        <v>-2857.125</v>
      </c>
    </row>
    <row r="2745" spans="1:12">
      <c r="A2745" t="s">
        <v>4128</v>
      </c>
      <c r="B2745" t="s">
        <v>687</v>
      </c>
      <c r="C2745" t="s">
        <v>44</v>
      </c>
      <c r="D2745">
        <v>-36299</v>
      </c>
      <c r="E2745" t="s">
        <v>23</v>
      </c>
      <c r="F2745" t="s">
        <v>24</v>
      </c>
      <c r="G2745" t="s">
        <v>33</v>
      </c>
      <c r="H2745" t="s">
        <v>39</v>
      </c>
      <c r="I2745" t="s">
        <v>34</v>
      </c>
      <c r="J2745" s="11">
        <v>45803</v>
      </c>
      <c r="K2745" t="str">
        <f>TEXT(Transactions_Clean[[#This Row],[Date]],"MMM-YYYY")</f>
        <v>May-2025</v>
      </c>
      <c r="L2745">
        <f>IF(Transactions_Clean[[#This Row],[Category]]="Revenue",Transactions_Clean[[#This Row],[Amount(₹)]],Transactions_Clean[[#This Row],[Amount(₹)]]/8)</f>
        <v>-4537.375</v>
      </c>
    </row>
    <row r="2746" spans="1:12">
      <c r="A2746" t="s">
        <v>4129</v>
      </c>
      <c r="B2746" t="s">
        <v>4751</v>
      </c>
      <c r="C2746" t="s">
        <v>38</v>
      </c>
      <c r="D2746">
        <v>-37999</v>
      </c>
      <c r="E2746" t="s">
        <v>23</v>
      </c>
      <c r="F2746" t="s">
        <v>24</v>
      </c>
      <c r="G2746" t="s">
        <v>33</v>
      </c>
      <c r="H2746" t="s">
        <v>45</v>
      </c>
      <c r="I2746" t="s">
        <v>48</v>
      </c>
      <c r="J2746" s="11">
        <v>45617</v>
      </c>
      <c r="K2746" t="str">
        <f>TEXT(Transactions_Clean[[#This Row],[Date]],"MMM-YYYY")</f>
        <v>Nov-2024</v>
      </c>
      <c r="L2746">
        <f>IF(Transactions_Clean[[#This Row],[Category]]="Revenue",Transactions_Clean[[#This Row],[Amount(₹)]],Transactions_Clean[[#This Row],[Amount(₹)]]/8)</f>
        <v>-4749.875</v>
      </c>
    </row>
    <row r="2747" spans="1:12">
      <c r="A2747" t="s">
        <v>4130</v>
      </c>
      <c r="B2747" t="s">
        <v>4755</v>
      </c>
      <c r="C2747" t="s">
        <v>78</v>
      </c>
      <c r="D2747">
        <v>-80264</v>
      </c>
      <c r="E2747" t="s">
        <v>23</v>
      </c>
      <c r="F2747" t="s">
        <v>24</v>
      </c>
      <c r="G2747" t="s">
        <v>79</v>
      </c>
      <c r="H2747" t="s">
        <v>45</v>
      </c>
      <c r="I2747" t="s">
        <v>34</v>
      </c>
      <c r="J2747" s="11">
        <v>45438</v>
      </c>
      <c r="K2747" t="str">
        <f>TEXT(Transactions_Clean[[#This Row],[Date]],"MMM-YYYY")</f>
        <v>May-2024</v>
      </c>
      <c r="L2747">
        <f>IF(Transactions_Clean[[#This Row],[Category]]="Revenue",Transactions_Clean[[#This Row],[Amount(₹)]],Transactions_Clean[[#This Row],[Amount(₹)]]/8)</f>
        <v>-10033</v>
      </c>
    </row>
    <row r="2748" spans="1:12">
      <c r="A2748" t="s">
        <v>4131</v>
      </c>
      <c r="B2748" t="s">
        <v>180</v>
      </c>
      <c r="C2748" t="s">
        <v>44</v>
      </c>
      <c r="D2748">
        <v>-87335</v>
      </c>
      <c r="E2748" t="s">
        <v>23</v>
      </c>
      <c r="F2748" t="s">
        <v>32</v>
      </c>
      <c r="G2748" t="s">
        <v>33</v>
      </c>
      <c r="H2748" t="s">
        <v>45</v>
      </c>
      <c r="I2748" t="s">
        <v>34</v>
      </c>
      <c r="J2748" s="11">
        <v>45446</v>
      </c>
      <c r="K2748" t="str">
        <f>TEXT(Transactions_Clean[[#This Row],[Date]],"MMM-YYYY")</f>
        <v>Jun-2024</v>
      </c>
      <c r="L2748">
        <f>IF(Transactions_Clean[[#This Row],[Category]]="Revenue",Transactions_Clean[[#This Row],[Amount(₹)]],Transactions_Clean[[#This Row],[Amount(₹)]]/8)</f>
        <v>-10916.875</v>
      </c>
    </row>
    <row r="2749" spans="1:12">
      <c r="A2749" t="s">
        <v>4132</v>
      </c>
      <c r="B2749" t="s">
        <v>37</v>
      </c>
      <c r="C2749" t="s">
        <v>38</v>
      </c>
      <c r="D2749">
        <v>-14579</v>
      </c>
      <c r="E2749" t="s">
        <v>23</v>
      </c>
      <c r="F2749" t="s">
        <v>24</v>
      </c>
      <c r="G2749" t="s">
        <v>33</v>
      </c>
      <c r="H2749" t="s">
        <v>26</v>
      </c>
      <c r="I2749" t="s">
        <v>27</v>
      </c>
      <c r="J2749" s="11">
        <v>45349</v>
      </c>
      <c r="K2749" t="str">
        <f>TEXT(Transactions_Clean[[#This Row],[Date]],"MMM-YYYY")</f>
        <v>Feb-2024</v>
      </c>
      <c r="L2749">
        <f>IF(Transactions_Clean[[#This Row],[Category]]="Revenue",Transactions_Clean[[#This Row],[Amount(₹)]],Transactions_Clean[[#This Row],[Amount(₹)]]/8)</f>
        <v>-1822.375</v>
      </c>
    </row>
    <row r="2750" spans="1:12">
      <c r="A2750" t="s">
        <v>4133</v>
      </c>
      <c r="B2750" t="s">
        <v>4769</v>
      </c>
      <c r="C2750" t="s">
        <v>44</v>
      </c>
      <c r="D2750">
        <v>-61970</v>
      </c>
      <c r="E2750" t="s">
        <v>23</v>
      </c>
      <c r="F2750" t="s">
        <v>32</v>
      </c>
      <c r="G2750" t="s">
        <v>33</v>
      </c>
      <c r="H2750" t="s">
        <v>39</v>
      </c>
      <c r="I2750" t="s">
        <v>27</v>
      </c>
      <c r="J2750" s="11">
        <v>46058</v>
      </c>
      <c r="K2750" t="str">
        <f>TEXT(Transactions_Clean[[#This Row],[Date]],"MMM-YYYY")</f>
        <v>Feb-2026</v>
      </c>
      <c r="L2750">
        <f>IF(Transactions_Clean[[#This Row],[Category]]="Revenue",Transactions_Clean[[#This Row],[Amount(₹)]],Transactions_Clean[[#This Row],[Amount(₹)]]/8)</f>
        <v>-7746.25</v>
      </c>
    </row>
    <row r="2751" spans="1:12">
      <c r="A2751" t="s">
        <v>4134</v>
      </c>
      <c r="B2751" t="s">
        <v>212</v>
      </c>
      <c r="C2751" t="s">
        <v>73</v>
      </c>
      <c r="D2751">
        <v>-23549</v>
      </c>
      <c r="E2751" t="s">
        <v>74</v>
      </c>
      <c r="F2751" t="s">
        <v>32</v>
      </c>
      <c r="G2751" t="s">
        <v>25</v>
      </c>
      <c r="H2751" t="s">
        <v>26</v>
      </c>
      <c r="I2751" t="s">
        <v>40</v>
      </c>
      <c r="J2751" s="11">
        <v>45113</v>
      </c>
      <c r="K2751" t="str">
        <f>TEXT(Transactions_Clean[[#This Row],[Date]],"MMM-YYYY")</f>
        <v>Jul-2023</v>
      </c>
      <c r="L2751">
        <f>IF(Transactions_Clean[[#This Row],[Category]]="Revenue",Transactions_Clean[[#This Row],[Amount(₹)]],Transactions_Clean[[#This Row],[Amount(₹)]]/8)</f>
        <v>-2943.625</v>
      </c>
    </row>
    <row r="2752" spans="1:12">
      <c r="A2752" t="s">
        <v>4135</v>
      </c>
      <c r="B2752" t="s">
        <v>4756</v>
      </c>
      <c r="C2752" t="s">
        <v>73</v>
      </c>
      <c r="D2752">
        <v>-72044</v>
      </c>
      <c r="E2752" t="s">
        <v>74</v>
      </c>
      <c r="F2752" t="s">
        <v>32</v>
      </c>
      <c r="G2752" t="s">
        <v>25</v>
      </c>
      <c r="H2752" t="s">
        <v>45</v>
      </c>
      <c r="I2752" t="s">
        <v>34</v>
      </c>
      <c r="J2752" s="11">
        <v>45433</v>
      </c>
      <c r="K2752" t="str">
        <f>TEXT(Transactions_Clean[[#This Row],[Date]],"MMM-YYYY")</f>
        <v>May-2024</v>
      </c>
      <c r="L2752">
        <f>IF(Transactions_Clean[[#This Row],[Category]]="Revenue",Transactions_Clean[[#This Row],[Amount(₹)]],Transactions_Clean[[#This Row],[Amount(₹)]]/8)</f>
        <v>-9005.5</v>
      </c>
    </row>
    <row r="2753" spans="1:12">
      <c r="A2753" t="s">
        <v>4136</v>
      </c>
      <c r="B2753" t="s">
        <v>116</v>
      </c>
      <c r="C2753" t="s">
        <v>73</v>
      </c>
      <c r="D2753">
        <v>-88518</v>
      </c>
      <c r="E2753" t="s">
        <v>74</v>
      </c>
      <c r="F2753" t="s">
        <v>32</v>
      </c>
      <c r="G2753" t="s">
        <v>25</v>
      </c>
      <c r="H2753" t="s">
        <v>39</v>
      </c>
      <c r="I2753" t="s">
        <v>27</v>
      </c>
      <c r="J2753" s="11">
        <v>46082</v>
      </c>
      <c r="K2753" t="str">
        <f>TEXT(Transactions_Clean[[#This Row],[Date]],"MMM-YYYY")</f>
        <v>Mar-2026</v>
      </c>
      <c r="L2753">
        <f>IF(Transactions_Clean[[#This Row],[Category]]="Revenue",Transactions_Clean[[#This Row],[Amount(₹)]],Transactions_Clean[[#This Row],[Amount(₹)]]/8)</f>
        <v>-11064.75</v>
      </c>
    </row>
    <row r="2754" spans="1:12">
      <c r="A2754" t="s">
        <v>4137</v>
      </c>
      <c r="B2754" t="s">
        <v>60</v>
      </c>
      <c r="C2754" t="s">
        <v>61</v>
      </c>
      <c r="D2754">
        <v>-32208</v>
      </c>
      <c r="E2754" t="s">
        <v>62</v>
      </c>
      <c r="F2754" t="s">
        <v>32</v>
      </c>
      <c r="G2754" t="s">
        <v>63</v>
      </c>
      <c r="H2754" t="s">
        <v>26</v>
      </c>
      <c r="I2754" t="s">
        <v>40</v>
      </c>
      <c r="J2754" s="11">
        <v>45195</v>
      </c>
      <c r="K2754" t="str">
        <f>TEXT(Transactions_Clean[[#This Row],[Date]],"MMM-YYYY")</f>
        <v>Sep-2023</v>
      </c>
      <c r="L2754">
        <f>IF(Transactions_Clean[[#This Row],[Category]]="Revenue",Transactions_Clean[[#This Row],[Amount(₹)]],Transactions_Clean[[#This Row],[Amount(₹)]]/8)</f>
        <v>-4026</v>
      </c>
    </row>
    <row r="2755" spans="1:12">
      <c r="A2755" t="s">
        <v>4138</v>
      </c>
      <c r="B2755" t="s">
        <v>177</v>
      </c>
      <c r="C2755" t="s">
        <v>78</v>
      </c>
      <c r="D2755">
        <v>-109210</v>
      </c>
      <c r="E2755" t="s">
        <v>23</v>
      </c>
      <c r="F2755" t="s">
        <v>24</v>
      </c>
      <c r="G2755" t="s">
        <v>79</v>
      </c>
      <c r="H2755" t="s">
        <v>26</v>
      </c>
      <c r="I2755" t="s">
        <v>40</v>
      </c>
      <c r="J2755" s="11">
        <v>45189</v>
      </c>
      <c r="K2755" t="str">
        <f>TEXT(Transactions_Clean[[#This Row],[Date]],"MMM-YYYY")</f>
        <v>Sep-2023</v>
      </c>
      <c r="L2755">
        <f>IF(Transactions_Clean[[#This Row],[Category]]="Revenue",Transactions_Clean[[#This Row],[Amount(₹)]],Transactions_Clean[[#This Row],[Amount(₹)]]/8)</f>
        <v>-13651.25</v>
      </c>
    </row>
    <row r="2756" spans="1:12">
      <c r="A2756" t="s">
        <v>4139</v>
      </c>
      <c r="B2756" t="s">
        <v>4755</v>
      </c>
      <c r="C2756" t="s">
        <v>78</v>
      </c>
      <c r="D2756">
        <v>-86659</v>
      </c>
      <c r="E2756" t="s">
        <v>23</v>
      </c>
      <c r="F2756" t="s">
        <v>24</v>
      </c>
      <c r="G2756" t="s">
        <v>79</v>
      </c>
      <c r="H2756" t="s">
        <v>45</v>
      </c>
      <c r="I2756" t="s">
        <v>40</v>
      </c>
      <c r="J2756" s="11">
        <v>45513</v>
      </c>
      <c r="K2756" t="str">
        <f>TEXT(Transactions_Clean[[#This Row],[Date]],"MMM-YYYY")</f>
        <v>Aug-2024</v>
      </c>
      <c r="L2756">
        <f>IF(Transactions_Clean[[#This Row],[Category]]="Revenue",Transactions_Clean[[#This Row],[Amount(₹)]],Transactions_Clean[[#This Row],[Amount(₹)]]/8)</f>
        <v>-10832.375</v>
      </c>
    </row>
    <row r="2757" spans="1:12">
      <c r="A2757" t="s">
        <v>4140</v>
      </c>
      <c r="B2757" t="s">
        <v>4754</v>
      </c>
      <c r="C2757" t="s">
        <v>78</v>
      </c>
      <c r="D2757">
        <v>-60268</v>
      </c>
      <c r="E2757" t="s">
        <v>23</v>
      </c>
      <c r="F2757" t="s">
        <v>32</v>
      </c>
      <c r="G2757" t="s">
        <v>79</v>
      </c>
      <c r="H2757" t="s">
        <v>26</v>
      </c>
      <c r="I2757" t="s">
        <v>34</v>
      </c>
      <c r="J2757" s="11">
        <v>45090</v>
      </c>
      <c r="K2757" t="str">
        <f>TEXT(Transactions_Clean[[#This Row],[Date]],"MMM-YYYY")</f>
        <v>Jun-2023</v>
      </c>
      <c r="L2757">
        <f>IF(Transactions_Clean[[#This Row],[Category]]="Revenue",Transactions_Clean[[#This Row],[Amount(₹)]],Transactions_Clean[[#This Row],[Amount(₹)]]/8)</f>
        <v>-7533.5</v>
      </c>
    </row>
    <row r="2758" spans="1:12">
      <c r="A2758" t="s">
        <v>4141</v>
      </c>
      <c r="B2758" t="s">
        <v>4751</v>
      </c>
      <c r="C2758" t="s">
        <v>38</v>
      </c>
      <c r="D2758">
        <v>-36458</v>
      </c>
      <c r="E2758" t="s">
        <v>23</v>
      </c>
      <c r="F2758" t="s">
        <v>32</v>
      </c>
      <c r="G2758" t="s">
        <v>33</v>
      </c>
      <c r="H2758" t="s">
        <v>39</v>
      </c>
      <c r="I2758" t="s">
        <v>34</v>
      </c>
      <c r="J2758" s="11">
        <v>45797</v>
      </c>
      <c r="K2758" t="str">
        <f>TEXT(Transactions_Clean[[#This Row],[Date]],"MMM-YYYY")</f>
        <v>May-2025</v>
      </c>
      <c r="L2758">
        <f>IF(Transactions_Clean[[#This Row],[Category]]="Revenue",Transactions_Clean[[#This Row],[Amount(₹)]],Transactions_Clean[[#This Row],[Amount(₹)]]/8)</f>
        <v>-4557.25</v>
      </c>
    </row>
    <row r="2759" spans="1:12">
      <c r="A2759" t="s">
        <v>4143</v>
      </c>
      <c r="B2759" t="s">
        <v>4758</v>
      </c>
      <c r="C2759" t="s">
        <v>78</v>
      </c>
      <c r="D2759">
        <v>-99179</v>
      </c>
      <c r="E2759" t="s">
        <v>23</v>
      </c>
      <c r="F2759" t="s">
        <v>32</v>
      </c>
      <c r="G2759" t="s">
        <v>79</v>
      </c>
      <c r="H2759" t="s">
        <v>45</v>
      </c>
      <c r="I2759" t="s">
        <v>48</v>
      </c>
      <c r="J2759" s="11">
        <v>45610</v>
      </c>
      <c r="K2759" t="str">
        <f>TEXT(Transactions_Clean[[#This Row],[Date]],"MMM-YYYY")</f>
        <v>Nov-2024</v>
      </c>
      <c r="L2759">
        <f>IF(Transactions_Clean[[#This Row],[Category]]="Revenue",Transactions_Clean[[#This Row],[Amount(₹)]],Transactions_Clean[[#This Row],[Amount(₹)]]/8)</f>
        <v>-12397.375</v>
      </c>
    </row>
    <row r="2760" spans="1:12">
      <c r="A2760" t="s">
        <v>4144</v>
      </c>
      <c r="B2760" t="s">
        <v>4769</v>
      </c>
      <c r="C2760" t="s">
        <v>44</v>
      </c>
      <c r="D2760">
        <v>-141092</v>
      </c>
      <c r="E2760" t="s">
        <v>23</v>
      </c>
      <c r="F2760" t="s">
        <v>32</v>
      </c>
      <c r="G2760" t="s">
        <v>33</v>
      </c>
      <c r="H2760" t="s">
        <v>45</v>
      </c>
      <c r="I2760" t="s">
        <v>27</v>
      </c>
      <c r="J2760" s="11">
        <v>45718</v>
      </c>
      <c r="K2760" t="str">
        <f>TEXT(Transactions_Clean[[#This Row],[Date]],"MMM-YYYY")</f>
        <v>Mar-2025</v>
      </c>
      <c r="L2760">
        <f>IF(Transactions_Clean[[#This Row],[Category]]="Revenue",Transactions_Clean[[#This Row],[Amount(₹)]],Transactions_Clean[[#This Row],[Amount(₹)]]/8)</f>
        <v>-17636.5</v>
      </c>
    </row>
    <row r="2761" spans="1:12">
      <c r="A2761" t="s">
        <v>4145</v>
      </c>
      <c r="B2761" t="s">
        <v>687</v>
      </c>
      <c r="C2761" t="s">
        <v>44</v>
      </c>
      <c r="D2761">
        <v>-81165</v>
      </c>
      <c r="E2761" t="s">
        <v>23</v>
      </c>
      <c r="F2761" t="s">
        <v>24</v>
      </c>
      <c r="G2761" t="s">
        <v>33</v>
      </c>
      <c r="H2761" t="s">
        <v>45</v>
      </c>
      <c r="I2761" t="s">
        <v>40</v>
      </c>
      <c r="J2761" s="11">
        <v>45476</v>
      </c>
      <c r="K2761" t="str">
        <f>TEXT(Transactions_Clean[[#This Row],[Date]],"MMM-YYYY")</f>
        <v>Jul-2024</v>
      </c>
      <c r="L2761">
        <f>IF(Transactions_Clean[[#This Row],[Category]]="Revenue",Transactions_Clean[[#This Row],[Amount(₹)]],Transactions_Clean[[#This Row],[Amount(₹)]]/8)</f>
        <v>-10145.625</v>
      </c>
    </row>
    <row r="2762" spans="1:12">
      <c r="A2762" t="s">
        <v>4146</v>
      </c>
      <c r="B2762" t="s">
        <v>4760</v>
      </c>
      <c r="C2762" t="s">
        <v>73</v>
      </c>
      <c r="D2762">
        <v>-46177</v>
      </c>
      <c r="E2762" t="s">
        <v>74</v>
      </c>
      <c r="F2762" t="s">
        <v>32</v>
      </c>
      <c r="G2762" t="s">
        <v>25</v>
      </c>
      <c r="H2762" t="s">
        <v>26</v>
      </c>
      <c r="I2762" t="s">
        <v>34</v>
      </c>
      <c r="J2762" s="11">
        <v>45091</v>
      </c>
      <c r="K2762" t="str">
        <f>TEXT(Transactions_Clean[[#This Row],[Date]],"MMM-YYYY")</f>
        <v>Jun-2023</v>
      </c>
      <c r="L2762">
        <f>IF(Transactions_Clean[[#This Row],[Category]]="Revenue",Transactions_Clean[[#This Row],[Amount(₹)]],Transactions_Clean[[#This Row],[Amount(₹)]]/8)</f>
        <v>-5772.125</v>
      </c>
    </row>
    <row r="2763" spans="1:12">
      <c r="A2763" t="s">
        <v>4147</v>
      </c>
      <c r="B2763" t="s">
        <v>4755</v>
      </c>
      <c r="C2763" t="s">
        <v>78</v>
      </c>
      <c r="D2763">
        <v>-40856</v>
      </c>
      <c r="E2763" t="s">
        <v>23</v>
      </c>
      <c r="F2763" t="s">
        <v>24</v>
      </c>
      <c r="G2763" t="s">
        <v>79</v>
      </c>
      <c r="H2763" t="s">
        <v>39</v>
      </c>
      <c r="I2763" t="s">
        <v>48</v>
      </c>
      <c r="J2763" s="11">
        <v>45939</v>
      </c>
      <c r="K2763" t="str">
        <f>TEXT(Transactions_Clean[[#This Row],[Date]],"MMM-YYYY")</f>
        <v>Oct-2025</v>
      </c>
      <c r="L2763">
        <f>IF(Transactions_Clean[[#This Row],[Category]]="Revenue",Transactions_Clean[[#This Row],[Amount(₹)]],Transactions_Clean[[#This Row],[Amount(₹)]]/8)</f>
        <v>-5107</v>
      </c>
    </row>
    <row r="2764" spans="1:12">
      <c r="A2764" t="s">
        <v>4148</v>
      </c>
      <c r="B2764" t="s">
        <v>66</v>
      </c>
      <c r="C2764" t="s">
        <v>61</v>
      </c>
      <c r="D2764">
        <v>-41309</v>
      </c>
      <c r="E2764" t="s">
        <v>62</v>
      </c>
      <c r="F2764" t="s">
        <v>32</v>
      </c>
      <c r="G2764" t="s">
        <v>63</v>
      </c>
      <c r="H2764" t="s">
        <v>45</v>
      </c>
      <c r="I2764" t="s">
        <v>34</v>
      </c>
      <c r="J2764" s="11">
        <v>45469</v>
      </c>
      <c r="K2764" t="str">
        <f>TEXT(Transactions_Clean[[#This Row],[Date]],"MMM-YYYY")</f>
        <v>Jun-2024</v>
      </c>
      <c r="L2764">
        <f>IF(Transactions_Clean[[#This Row],[Category]]="Revenue",Transactions_Clean[[#This Row],[Amount(₹)]],Transactions_Clean[[#This Row],[Amount(₹)]]/8)</f>
        <v>-5163.625</v>
      </c>
    </row>
    <row r="2765" spans="1:12">
      <c r="A2765" t="s">
        <v>4149</v>
      </c>
      <c r="B2765" t="s">
        <v>66</v>
      </c>
      <c r="C2765" t="s">
        <v>61</v>
      </c>
      <c r="D2765">
        <v>-19484</v>
      </c>
      <c r="E2765" t="s">
        <v>62</v>
      </c>
      <c r="F2765" t="s">
        <v>32</v>
      </c>
      <c r="G2765" t="s">
        <v>63</v>
      </c>
      <c r="H2765" t="s">
        <v>26</v>
      </c>
      <c r="I2765" t="s">
        <v>40</v>
      </c>
      <c r="J2765" s="11">
        <v>45147</v>
      </c>
      <c r="K2765" t="str">
        <f>TEXT(Transactions_Clean[[#This Row],[Date]],"MMM-YYYY")</f>
        <v>Aug-2023</v>
      </c>
      <c r="L2765">
        <f>IF(Transactions_Clean[[#This Row],[Category]]="Revenue",Transactions_Clean[[#This Row],[Amount(₹)]],Transactions_Clean[[#This Row],[Amount(₹)]]/8)</f>
        <v>-2435.5</v>
      </c>
    </row>
    <row r="2766" spans="1:12">
      <c r="A2766" t="s">
        <v>4150</v>
      </c>
      <c r="B2766" t="s">
        <v>616</v>
      </c>
      <c r="C2766" t="s">
        <v>22</v>
      </c>
      <c r="D2766">
        <v>-148965</v>
      </c>
      <c r="E2766" t="s">
        <v>23</v>
      </c>
      <c r="F2766" t="s">
        <v>32</v>
      </c>
      <c r="G2766" t="s">
        <v>25</v>
      </c>
      <c r="H2766" t="s">
        <v>45</v>
      </c>
      <c r="I2766" t="s">
        <v>27</v>
      </c>
      <c r="J2766" s="11">
        <v>45712</v>
      </c>
      <c r="K2766" t="str">
        <f>TEXT(Transactions_Clean[[#This Row],[Date]],"MMM-YYYY")</f>
        <v>Feb-2025</v>
      </c>
      <c r="L2766">
        <f>IF(Transactions_Clean[[#This Row],[Category]]="Revenue",Transactions_Clean[[#This Row],[Amount(₹)]],Transactions_Clean[[#This Row],[Amount(₹)]]/8)</f>
        <v>-18620.625</v>
      </c>
    </row>
    <row r="2767" spans="1:12">
      <c r="A2767" t="s">
        <v>4151</v>
      </c>
      <c r="B2767" t="s">
        <v>30</v>
      </c>
      <c r="C2767" t="s">
        <v>31</v>
      </c>
      <c r="D2767">
        <v>-4331</v>
      </c>
      <c r="E2767" t="s">
        <v>23</v>
      </c>
      <c r="F2767" t="s">
        <v>24</v>
      </c>
      <c r="G2767" t="s">
        <v>33</v>
      </c>
      <c r="H2767" t="s">
        <v>45</v>
      </c>
      <c r="I2767" t="s">
        <v>48</v>
      </c>
      <c r="J2767" s="11">
        <v>45579</v>
      </c>
      <c r="K2767" t="str">
        <f>TEXT(Transactions_Clean[[#This Row],[Date]],"MMM-YYYY")</f>
        <v>Oct-2024</v>
      </c>
      <c r="L2767">
        <f>IF(Transactions_Clean[[#This Row],[Category]]="Revenue",Transactions_Clean[[#This Row],[Amount(₹)]],Transactions_Clean[[#This Row],[Amount(₹)]]/8)</f>
        <v>-541.375</v>
      </c>
    </row>
    <row r="2768" spans="1:12">
      <c r="A2768" t="s">
        <v>4152</v>
      </c>
      <c r="B2768" t="s">
        <v>4759</v>
      </c>
      <c r="C2768" t="s">
        <v>31</v>
      </c>
      <c r="D2768">
        <v>-42810</v>
      </c>
      <c r="E2768" t="s">
        <v>23</v>
      </c>
      <c r="F2768" t="s">
        <v>32</v>
      </c>
      <c r="G2768" t="s">
        <v>33</v>
      </c>
      <c r="H2768" t="s">
        <v>26</v>
      </c>
      <c r="I2768" t="s">
        <v>40</v>
      </c>
      <c r="J2768" s="11">
        <v>45121</v>
      </c>
      <c r="K2768" t="str">
        <f>TEXT(Transactions_Clean[[#This Row],[Date]],"MMM-YYYY")</f>
        <v>Jul-2023</v>
      </c>
      <c r="L2768">
        <f>IF(Transactions_Clean[[#This Row],[Category]]="Revenue",Transactions_Clean[[#This Row],[Amount(₹)]],Transactions_Clean[[#This Row],[Amount(₹)]]/8)</f>
        <v>-5351.25</v>
      </c>
    </row>
    <row r="2769" spans="1:12">
      <c r="A2769" t="s">
        <v>4154</v>
      </c>
      <c r="B2769" t="s">
        <v>4757</v>
      </c>
      <c r="C2769" t="s">
        <v>73</v>
      </c>
      <c r="D2769">
        <v>-67889</v>
      </c>
      <c r="E2769" t="s">
        <v>74</v>
      </c>
      <c r="F2769" t="s">
        <v>32</v>
      </c>
      <c r="G2769" t="s">
        <v>25</v>
      </c>
      <c r="H2769" t="s">
        <v>39</v>
      </c>
      <c r="I2769" t="s">
        <v>40</v>
      </c>
      <c r="J2769" s="11">
        <v>45879</v>
      </c>
      <c r="K2769" t="str">
        <f>TEXT(Transactions_Clean[[#This Row],[Date]],"MMM-YYYY")</f>
        <v>Aug-2025</v>
      </c>
      <c r="L2769">
        <f>IF(Transactions_Clean[[#This Row],[Category]]="Revenue",Transactions_Clean[[#This Row],[Amount(₹)]],Transactions_Clean[[#This Row],[Amount(₹)]]/8)</f>
        <v>-8486.125</v>
      </c>
    </row>
    <row r="2770" spans="1:12">
      <c r="A2770" t="s">
        <v>4155</v>
      </c>
      <c r="B2770" t="s">
        <v>4760</v>
      </c>
      <c r="C2770" t="s">
        <v>73</v>
      </c>
      <c r="D2770">
        <v>-88076</v>
      </c>
      <c r="E2770" t="s">
        <v>74</v>
      </c>
      <c r="F2770" t="s">
        <v>24</v>
      </c>
      <c r="G2770" t="s">
        <v>25</v>
      </c>
      <c r="H2770" t="s">
        <v>39</v>
      </c>
      <c r="I2770" t="s">
        <v>48</v>
      </c>
      <c r="J2770" s="11">
        <v>45938</v>
      </c>
      <c r="K2770" t="str">
        <f>TEXT(Transactions_Clean[[#This Row],[Date]],"MMM-YYYY")</f>
        <v>Oct-2025</v>
      </c>
      <c r="L2770">
        <f>IF(Transactions_Clean[[#This Row],[Category]]="Revenue",Transactions_Clean[[#This Row],[Amount(₹)]],Transactions_Clean[[#This Row],[Amount(₹)]]/8)</f>
        <v>-11009.5</v>
      </c>
    </row>
    <row r="2771" spans="1:12">
      <c r="A2771" t="s">
        <v>4156</v>
      </c>
      <c r="B2771" t="s">
        <v>174</v>
      </c>
      <c r="C2771" t="s">
        <v>22</v>
      </c>
      <c r="D2771">
        <v>-158095</v>
      </c>
      <c r="E2771" t="s">
        <v>23</v>
      </c>
      <c r="F2771" t="s">
        <v>24</v>
      </c>
      <c r="G2771" t="s">
        <v>25</v>
      </c>
      <c r="H2771" t="s">
        <v>26</v>
      </c>
      <c r="I2771" t="s">
        <v>27</v>
      </c>
      <c r="J2771" s="11">
        <v>45341</v>
      </c>
      <c r="K2771" t="str">
        <f>TEXT(Transactions_Clean[[#This Row],[Date]],"MMM-YYYY")</f>
        <v>Feb-2024</v>
      </c>
      <c r="L2771">
        <f>IF(Transactions_Clean[[#This Row],[Category]]="Revenue",Transactions_Clean[[#This Row],[Amount(₹)]],Transactions_Clean[[#This Row],[Amount(₹)]]/8)</f>
        <v>-19761.875</v>
      </c>
    </row>
    <row r="2772" spans="1:12">
      <c r="A2772" t="s">
        <v>4157</v>
      </c>
      <c r="B2772" t="s">
        <v>37</v>
      </c>
      <c r="C2772" t="s">
        <v>38</v>
      </c>
      <c r="D2772">
        <v>-37575</v>
      </c>
      <c r="E2772" t="s">
        <v>23</v>
      </c>
      <c r="F2772" t="s">
        <v>32</v>
      </c>
      <c r="G2772" t="s">
        <v>33</v>
      </c>
      <c r="H2772" t="s">
        <v>45</v>
      </c>
      <c r="I2772" t="s">
        <v>48</v>
      </c>
      <c r="J2772" s="11">
        <v>45625</v>
      </c>
      <c r="K2772" t="str">
        <f>TEXT(Transactions_Clean[[#This Row],[Date]],"MMM-YYYY")</f>
        <v>Nov-2024</v>
      </c>
      <c r="L2772">
        <f>IF(Transactions_Clean[[#This Row],[Category]]="Revenue",Transactions_Clean[[#This Row],[Amount(₹)]],Transactions_Clean[[#This Row],[Amount(₹)]]/8)</f>
        <v>-4696.875</v>
      </c>
    </row>
    <row r="2773" spans="1:12">
      <c r="A2773" t="s">
        <v>4158</v>
      </c>
      <c r="B2773" t="s">
        <v>4768</v>
      </c>
      <c r="C2773" t="s">
        <v>157</v>
      </c>
      <c r="D2773">
        <v>544035</v>
      </c>
      <c r="E2773" t="s">
        <v>62</v>
      </c>
      <c r="F2773" t="s">
        <v>32</v>
      </c>
      <c r="G2773" t="s">
        <v>25</v>
      </c>
      <c r="H2773" t="s">
        <v>26</v>
      </c>
      <c r="I2773" t="s">
        <v>40</v>
      </c>
      <c r="J2773" s="11">
        <v>45109</v>
      </c>
      <c r="K2773" t="str">
        <f>TEXT(Transactions_Clean[[#This Row],[Date]],"MMM-YYYY")</f>
        <v>Jul-2023</v>
      </c>
      <c r="L2773">
        <f>IF(Transactions_Clean[[#This Row],[Category]]="Revenue",Transactions_Clean[[#This Row],[Amount(₹)]],Transactions_Clean[[#This Row],[Amount(₹)]]/8)</f>
        <v>544035</v>
      </c>
    </row>
    <row r="2774" spans="1:12">
      <c r="A2774" t="s">
        <v>4159</v>
      </c>
      <c r="B2774" t="s">
        <v>60</v>
      </c>
      <c r="C2774" t="s">
        <v>61</v>
      </c>
      <c r="D2774">
        <v>-28162</v>
      </c>
      <c r="E2774" t="s">
        <v>62</v>
      </c>
      <c r="F2774" t="s">
        <v>24</v>
      </c>
      <c r="G2774" t="s">
        <v>63</v>
      </c>
      <c r="H2774" t="s">
        <v>26</v>
      </c>
      <c r="I2774" t="s">
        <v>34</v>
      </c>
      <c r="J2774" s="11">
        <v>45040</v>
      </c>
      <c r="K2774" t="str">
        <f>TEXT(Transactions_Clean[[#This Row],[Date]],"MMM-YYYY")</f>
        <v>Apr-2023</v>
      </c>
      <c r="L2774">
        <f>IF(Transactions_Clean[[#This Row],[Category]]="Revenue",Transactions_Clean[[#This Row],[Amount(₹)]],Transactions_Clean[[#This Row],[Amount(₹)]]/8)</f>
        <v>-3520.25</v>
      </c>
    </row>
    <row r="2775" spans="1:12">
      <c r="A2775" t="s">
        <v>4160</v>
      </c>
      <c r="B2775" t="s">
        <v>4754</v>
      </c>
      <c r="C2775" t="s">
        <v>78</v>
      </c>
      <c r="D2775">
        <v>-108754</v>
      </c>
      <c r="E2775" t="s">
        <v>23</v>
      </c>
      <c r="F2775" t="s">
        <v>24</v>
      </c>
      <c r="G2775" t="s">
        <v>79</v>
      </c>
      <c r="H2775" t="s">
        <v>39</v>
      </c>
      <c r="I2775" t="s">
        <v>27</v>
      </c>
      <c r="J2775" s="11">
        <v>46042</v>
      </c>
      <c r="K2775" t="str">
        <f>TEXT(Transactions_Clean[[#This Row],[Date]],"MMM-YYYY")</f>
        <v>Jan-2026</v>
      </c>
      <c r="L2775">
        <f>IF(Transactions_Clean[[#This Row],[Category]]="Revenue",Transactions_Clean[[#This Row],[Amount(₹)]],Transactions_Clean[[#This Row],[Amount(₹)]]/8)</f>
        <v>-13594.25</v>
      </c>
    </row>
    <row r="2776" spans="1:12">
      <c r="A2776" t="s">
        <v>4161</v>
      </c>
      <c r="B2776" t="s">
        <v>30</v>
      </c>
      <c r="C2776" t="s">
        <v>31</v>
      </c>
      <c r="D2776">
        <v>-36394</v>
      </c>
      <c r="E2776" t="s">
        <v>23</v>
      </c>
      <c r="F2776" t="s">
        <v>32</v>
      </c>
      <c r="G2776" t="s">
        <v>33</v>
      </c>
      <c r="H2776" t="s">
        <v>26</v>
      </c>
      <c r="I2776" t="s">
        <v>48</v>
      </c>
      <c r="J2776" s="11">
        <v>45281</v>
      </c>
      <c r="K2776" t="str">
        <f>TEXT(Transactions_Clean[[#This Row],[Date]],"MMM-YYYY")</f>
        <v>Dec-2023</v>
      </c>
      <c r="L2776">
        <f>IF(Transactions_Clean[[#This Row],[Category]]="Revenue",Transactions_Clean[[#This Row],[Amount(₹)]],Transactions_Clean[[#This Row],[Amount(₹)]]/8)</f>
        <v>-4549.25</v>
      </c>
    </row>
    <row r="2777" spans="1:12">
      <c r="A2777" t="s">
        <v>4162</v>
      </c>
      <c r="B2777" t="s">
        <v>129</v>
      </c>
      <c r="C2777" t="s">
        <v>38</v>
      </c>
      <c r="D2777">
        <v>-26574</v>
      </c>
      <c r="E2777" t="s">
        <v>23</v>
      </c>
      <c r="F2777" t="s">
        <v>32</v>
      </c>
      <c r="G2777" t="s">
        <v>33</v>
      </c>
      <c r="H2777" t="s">
        <v>45</v>
      </c>
      <c r="I2777" t="s">
        <v>40</v>
      </c>
      <c r="J2777" s="11">
        <v>45519</v>
      </c>
      <c r="K2777" t="str">
        <f>TEXT(Transactions_Clean[[#This Row],[Date]],"MMM-YYYY")</f>
        <v>Aug-2024</v>
      </c>
      <c r="L2777">
        <f>IF(Transactions_Clean[[#This Row],[Category]]="Revenue",Transactions_Clean[[#This Row],[Amount(₹)]],Transactions_Clean[[#This Row],[Amount(₹)]]/8)</f>
        <v>-3321.75</v>
      </c>
    </row>
    <row r="2778" spans="1:12">
      <c r="A2778" t="s">
        <v>4163</v>
      </c>
      <c r="B2778" t="s">
        <v>616</v>
      </c>
      <c r="C2778" t="s">
        <v>22</v>
      </c>
      <c r="D2778">
        <v>-63564</v>
      </c>
      <c r="E2778" t="s">
        <v>23</v>
      </c>
      <c r="F2778" t="s">
        <v>32</v>
      </c>
      <c r="G2778" t="s">
        <v>25</v>
      </c>
      <c r="H2778" t="s">
        <v>26</v>
      </c>
      <c r="I2778" t="s">
        <v>34</v>
      </c>
      <c r="J2778" s="11">
        <v>45064</v>
      </c>
      <c r="K2778" t="str">
        <f>TEXT(Transactions_Clean[[#This Row],[Date]],"MMM-YYYY")</f>
        <v>May-2023</v>
      </c>
      <c r="L2778">
        <f>IF(Transactions_Clean[[#This Row],[Category]]="Revenue",Transactions_Clean[[#This Row],[Amount(₹)]],Transactions_Clean[[#This Row],[Amount(₹)]]/8)</f>
        <v>-7945.5</v>
      </c>
    </row>
    <row r="2779" spans="1:12">
      <c r="A2779" t="s">
        <v>4164</v>
      </c>
      <c r="B2779" t="s">
        <v>72</v>
      </c>
      <c r="C2779" t="s">
        <v>73</v>
      </c>
      <c r="D2779">
        <v>-16630</v>
      </c>
      <c r="E2779" t="s">
        <v>74</v>
      </c>
      <c r="F2779" t="s">
        <v>24</v>
      </c>
      <c r="G2779" t="s">
        <v>25</v>
      </c>
      <c r="H2779" t="s">
        <v>45</v>
      </c>
      <c r="I2779" t="s">
        <v>40</v>
      </c>
      <c r="J2779" s="11">
        <v>45522</v>
      </c>
      <c r="K2779" t="str">
        <f>TEXT(Transactions_Clean[[#This Row],[Date]],"MMM-YYYY")</f>
        <v>Aug-2024</v>
      </c>
      <c r="L2779">
        <f>IF(Transactions_Clean[[#This Row],[Category]]="Revenue",Transactions_Clean[[#This Row],[Amount(₹)]],Transactions_Clean[[#This Row],[Amount(₹)]]/8)</f>
        <v>-2078.75</v>
      </c>
    </row>
    <row r="2780" spans="1:12">
      <c r="A2780" t="s">
        <v>4166</v>
      </c>
      <c r="B2780" t="s">
        <v>290</v>
      </c>
      <c r="C2780" t="s">
        <v>440</v>
      </c>
      <c r="D2780">
        <v>-158095</v>
      </c>
      <c r="E2780" t="s">
        <v>23</v>
      </c>
      <c r="F2780" t="s">
        <v>32</v>
      </c>
      <c r="G2780" t="s">
        <v>33</v>
      </c>
      <c r="H2780" t="s">
        <v>45</v>
      </c>
      <c r="I2780" t="s">
        <v>27</v>
      </c>
      <c r="J2780" s="11">
        <v>45704</v>
      </c>
      <c r="K2780" t="str">
        <f>TEXT(Transactions_Clean[[#This Row],[Date]],"MMM-YYYY")</f>
        <v>Feb-2025</v>
      </c>
      <c r="L2780">
        <f>IF(Transactions_Clean[[#This Row],[Category]]="Revenue",Transactions_Clean[[#This Row],[Amount(₹)]],Transactions_Clean[[#This Row],[Amount(₹)]]/8)</f>
        <v>-19761.875</v>
      </c>
    </row>
    <row r="2781" spans="1:12">
      <c r="A2781" t="s">
        <v>4167</v>
      </c>
      <c r="B2781" t="s">
        <v>4765</v>
      </c>
      <c r="C2781" t="s">
        <v>73</v>
      </c>
      <c r="D2781">
        <v>-70206</v>
      </c>
      <c r="E2781" t="s">
        <v>74</v>
      </c>
      <c r="F2781" t="s">
        <v>32</v>
      </c>
      <c r="G2781" t="s">
        <v>25</v>
      </c>
      <c r="H2781" t="s">
        <v>45</v>
      </c>
      <c r="I2781" t="s">
        <v>40</v>
      </c>
      <c r="J2781" s="11">
        <v>45518</v>
      </c>
      <c r="K2781" t="str">
        <f>TEXT(Transactions_Clean[[#This Row],[Date]],"MMM-YYYY")</f>
        <v>Aug-2024</v>
      </c>
      <c r="L2781">
        <f>IF(Transactions_Clean[[#This Row],[Category]]="Revenue",Transactions_Clean[[#This Row],[Amount(₹)]],Transactions_Clean[[#This Row],[Amount(₹)]]/8)</f>
        <v>-8775.75</v>
      </c>
    </row>
    <row r="2782" spans="1:12">
      <c r="A2782" t="s">
        <v>4169</v>
      </c>
      <c r="B2782" t="s">
        <v>4751</v>
      </c>
      <c r="C2782" t="s">
        <v>38</v>
      </c>
      <c r="D2782">
        <v>-37965</v>
      </c>
      <c r="E2782" t="s">
        <v>23</v>
      </c>
      <c r="F2782" t="s">
        <v>24</v>
      </c>
      <c r="G2782" t="s">
        <v>33</v>
      </c>
      <c r="H2782" t="s">
        <v>26</v>
      </c>
      <c r="I2782" t="s">
        <v>34</v>
      </c>
      <c r="J2782" s="11">
        <v>45144</v>
      </c>
      <c r="K2782" t="str">
        <f>TEXT(Transactions_Clean[[#This Row],[Date]],"MMM-YYYY")</f>
        <v>Aug-2023</v>
      </c>
      <c r="L2782">
        <f>IF(Transactions_Clean[[#This Row],[Category]]="Revenue",Transactions_Clean[[#This Row],[Amount(₹)]],Transactions_Clean[[#This Row],[Amount(₹)]]/8)</f>
        <v>-4745.625</v>
      </c>
    </row>
    <row r="2783" spans="1:12">
      <c r="A2783" t="s">
        <v>4171</v>
      </c>
      <c r="B2783" t="s">
        <v>4759</v>
      </c>
      <c r="C2783" t="s">
        <v>31</v>
      </c>
      <c r="D2783">
        <v>-21070</v>
      </c>
      <c r="E2783" t="s">
        <v>23</v>
      </c>
      <c r="F2783" t="s">
        <v>32</v>
      </c>
      <c r="G2783" t="s">
        <v>33</v>
      </c>
      <c r="H2783" t="s">
        <v>45</v>
      </c>
      <c r="I2783" t="s">
        <v>40</v>
      </c>
      <c r="J2783" s="11">
        <v>45495</v>
      </c>
      <c r="K2783" t="str">
        <f>TEXT(Transactions_Clean[[#This Row],[Date]],"MMM-YYYY")</f>
        <v>Jul-2024</v>
      </c>
      <c r="L2783">
        <f>IF(Transactions_Clean[[#This Row],[Category]]="Revenue",Transactions_Clean[[#This Row],[Amount(₹)]],Transactions_Clean[[#This Row],[Amount(₹)]]/8)</f>
        <v>-2633.75</v>
      </c>
    </row>
    <row r="2784" spans="1:12">
      <c r="A2784" t="s">
        <v>4172</v>
      </c>
      <c r="B2784" t="s">
        <v>66</v>
      </c>
      <c r="C2784" t="s">
        <v>61</v>
      </c>
      <c r="D2784">
        <v>-12637</v>
      </c>
      <c r="E2784" t="s">
        <v>62</v>
      </c>
      <c r="F2784" t="s">
        <v>24</v>
      </c>
      <c r="G2784" t="s">
        <v>63</v>
      </c>
      <c r="H2784" t="s">
        <v>39</v>
      </c>
      <c r="I2784" t="s">
        <v>27</v>
      </c>
      <c r="J2784" s="11">
        <v>46028</v>
      </c>
      <c r="K2784" t="str">
        <f>TEXT(Transactions_Clean[[#This Row],[Date]],"MMM-YYYY")</f>
        <v>Jan-2026</v>
      </c>
      <c r="L2784">
        <f>IF(Transactions_Clean[[#This Row],[Category]]="Revenue",Transactions_Clean[[#This Row],[Amount(₹)]],Transactions_Clean[[#This Row],[Amount(₹)]]/8)</f>
        <v>-1579.625</v>
      </c>
    </row>
    <row r="2785" spans="1:12">
      <c r="A2785" t="s">
        <v>4173</v>
      </c>
      <c r="B2785" t="s">
        <v>305</v>
      </c>
      <c r="C2785" t="s">
        <v>38</v>
      </c>
      <c r="D2785">
        <v>-33278</v>
      </c>
      <c r="E2785" t="s">
        <v>23</v>
      </c>
      <c r="F2785" t="s">
        <v>32</v>
      </c>
      <c r="G2785" t="s">
        <v>33</v>
      </c>
      <c r="H2785" t="s">
        <v>26</v>
      </c>
      <c r="I2785" t="s">
        <v>40</v>
      </c>
      <c r="J2785" s="11">
        <v>45192</v>
      </c>
      <c r="K2785" t="str">
        <f>TEXT(Transactions_Clean[[#This Row],[Date]],"MMM-YYYY")</f>
        <v>Sep-2023</v>
      </c>
      <c r="L2785">
        <f>IF(Transactions_Clean[[#This Row],[Category]]="Revenue",Transactions_Clean[[#This Row],[Amount(₹)]],Transactions_Clean[[#This Row],[Amount(₹)]]/8)</f>
        <v>-4159.75</v>
      </c>
    </row>
    <row r="2786" spans="1:12">
      <c r="A2786" t="s">
        <v>4174</v>
      </c>
      <c r="B2786" t="s">
        <v>4755</v>
      </c>
      <c r="C2786" t="s">
        <v>78</v>
      </c>
      <c r="D2786">
        <v>-41100</v>
      </c>
      <c r="E2786" t="s">
        <v>23</v>
      </c>
      <c r="F2786" t="s">
        <v>24</v>
      </c>
      <c r="G2786" t="s">
        <v>79</v>
      </c>
      <c r="H2786" t="s">
        <v>26</v>
      </c>
      <c r="I2786" t="s">
        <v>34</v>
      </c>
      <c r="J2786" s="11">
        <v>45021</v>
      </c>
      <c r="K2786" t="str">
        <f>TEXT(Transactions_Clean[[#This Row],[Date]],"MMM-YYYY")</f>
        <v>Apr-2023</v>
      </c>
      <c r="L2786">
        <f>IF(Transactions_Clean[[#This Row],[Category]]="Revenue",Transactions_Clean[[#This Row],[Amount(₹)]],Transactions_Clean[[#This Row],[Amount(₹)]]/8)</f>
        <v>-5137.5</v>
      </c>
    </row>
    <row r="2787" spans="1:12">
      <c r="A2787" t="s">
        <v>4175</v>
      </c>
      <c r="B2787" t="s">
        <v>174</v>
      </c>
      <c r="C2787" t="s">
        <v>22</v>
      </c>
      <c r="D2787">
        <v>-141485</v>
      </c>
      <c r="E2787" t="s">
        <v>23</v>
      </c>
      <c r="F2787" t="s">
        <v>24</v>
      </c>
      <c r="G2787" t="s">
        <v>25</v>
      </c>
      <c r="H2787" t="s">
        <v>39</v>
      </c>
      <c r="I2787" t="s">
        <v>48</v>
      </c>
      <c r="J2787" s="11">
        <v>45989</v>
      </c>
      <c r="K2787" t="str">
        <f>TEXT(Transactions_Clean[[#This Row],[Date]],"MMM-YYYY")</f>
        <v>Nov-2025</v>
      </c>
      <c r="L2787">
        <f>IF(Transactions_Clean[[#This Row],[Category]]="Revenue",Transactions_Clean[[#This Row],[Amount(₹)]],Transactions_Clean[[#This Row],[Amount(₹)]]/8)</f>
        <v>-17685.625</v>
      </c>
    </row>
    <row r="2788" spans="1:12">
      <c r="A2788" t="s">
        <v>4176</v>
      </c>
      <c r="B2788" t="s">
        <v>30</v>
      </c>
      <c r="C2788" t="s">
        <v>31</v>
      </c>
      <c r="D2788">
        <v>-26635</v>
      </c>
      <c r="E2788" t="s">
        <v>23</v>
      </c>
      <c r="F2788" t="s">
        <v>24</v>
      </c>
      <c r="G2788" t="s">
        <v>33</v>
      </c>
      <c r="H2788" t="s">
        <v>45</v>
      </c>
      <c r="I2788" t="s">
        <v>48</v>
      </c>
      <c r="J2788" s="11">
        <v>45580</v>
      </c>
      <c r="K2788" t="str">
        <f>TEXT(Transactions_Clean[[#This Row],[Date]],"MMM-YYYY")</f>
        <v>Oct-2024</v>
      </c>
      <c r="L2788">
        <f>IF(Transactions_Clean[[#This Row],[Category]]="Revenue",Transactions_Clean[[#This Row],[Amount(₹)]],Transactions_Clean[[#This Row],[Amount(₹)]]/8)</f>
        <v>-3329.375</v>
      </c>
    </row>
    <row r="2789" spans="1:12">
      <c r="A2789" t="s">
        <v>4177</v>
      </c>
      <c r="B2789" t="s">
        <v>4751</v>
      </c>
      <c r="C2789" t="s">
        <v>38</v>
      </c>
      <c r="D2789">
        <v>-30567</v>
      </c>
      <c r="E2789" t="s">
        <v>23</v>
      </c>
      <c r="F2789" t="s">
        <v>32</v>
      </c>
      <c r="G2789" t="s">
        <v>33</v>
      </c>
      <c r="H2789" t="s">
        <v>26</v>
      </c>
      <c r="I2789" t="s">
        <v>48</v>
      </c>
      <c r="J2789" s="11">
        <v>45224</v>
      </c>
      <c r="K2789" t="str">
        <f>TEXT(Transactions_Clean[[#This Row],[Date]],"MMM-YYYY")</f>
        <v>Oct-2023</v>
      </c>
      <c r="L2789">
        <f>IF(Transactions_Clean[[#This Row],[Category]]="Revenue",Transactions_Clean[[#This Row],[Amount(₹)]],Transactions_Clean[[#This Row],[Amount(₹)]]/8)</f>
        <v>-3820.875</v>
      </c>
    </row>
    <row r="2790" spans="1:12">
      <c r="A2790" t="s">
        <v>4178</v>
      </c>
      <c r="B2790" t="s">
        <v>37</v>
      </c>
      <c r="C2790" t="s">
        <v>38</v>
      </c>
      <c r="D2790">
        <v>-24779</v>
      </c>
      <c r="E2790" t="s">
        <v>23</v>
      </c>
      <c r="F2790" t="s">
        <v>32</v>
      </c>
      <c r="G2790" t="s">
        <v>33</v>
      </c>
      <c r="H2790" t="s">
        <v>39</v>
      </c>
      <c r="I2790" t="s">
        <v>40</v>
      </c>
      <c r="J2790" s="11">
        <v>45886</v>
      </c>
      <c r="K2790" t="str">
        <f>TEXT(Transactions_Clean[[#This Row],[Date]],"MMM-YYYY")</f>
        <v>Aug-2025</v>
      </c>
      <c r="L2790">
        <f>IF(Transactions_Clean[[#This Row],[Category]]="Revenue",Transactions_Clean[[#This Row],[Amount(₹)]],Transactions_Clean[[#This Row],[Amount(₹)]]/8)</f>
        <v>-3097.375</v>
      </c>
    </row>
    <row r="2791" spans="1:12">
      <c r="A2791" t="s">
        <v>4179</v>
      </c>
      <c r="B2791" t="s">
        <v>60</v>
      </c>
      <c r="C2791" t="s">
        <v>61</v>
      </c>
      <c r="D2791">
        <v>-26781</v>
      </c>
      <c r="E2791" t="s">
        <v>62</v>
      </c>
      <c r="F2791" t="s">
        <v>32</v>
      </c>
      <c r="G2791" t="s">
        <v>63</v>
      </c>
      <c r="H2791" t="s">
        <v>45</v>
      </c>
      <c r="I2791" t="s">
        <v>48</v>
      </c>
      <c r="J2791" s="11">
        <v>45648</v>
      </c>
      <c r="K2791" t="str">
        <f>TEXT(Transactions_Clean[[#This Row],[Date]],"MMM-YYYY")</f>
        <v>Dec-2024</v>
      </c>
      <c r="L2791">
        <f>IF(Transactions_Clean[[#This Row],[Category]]="Revenue",Transactions_Clean[[#This Row],[Amount(₹)]],Transactions_Clean[[#This Row],[Amount(₹)]]/8)</f>
        <v>-3347.625</v>
      </c>
    </row>
    <row r="2792" spans="1:12">
      <c r="A2792" t="s">
        <v>4180</v>
      </c>
      <c r="B2792" t="s">
        <v>215</v>
      </c>
      <c r="C2792" t="s">
        <v>61</v>
      </c>
      <c r="D2792">
        <v>-28909</v>
      </c>
      <c r="E2792" t="s">
        <v>62</v>
      </c>
      <c r="F2792" t="s">
        <v>24</v>
      </c>
      <c r="G2792" t="s">
        <v>63</v>
      </c>
      <c r="H2792" t="s">
        <v>39</v>
      </c>
      <c r="I2792" t="s">
        <v>27</v>
      </c>
      <c r="J2792" s="11">
        <v>46035</v>
      </c>
      <c r="K2792" t="str">
        <f>TEXT(Transactions_Clean[[#This Row],[Date]],"MMM-YYYY")</f>
        <v>Jan-2026</v>
      </c>
      <c r="L2792">
        <f>IF(Transactions_Clean[[#This Row],[Category]]="Revenue",Transactions_Clean[[#This Row],[Amount(₹)]],Transactions_Clean[[#This Row],[Amount(₹)]]/8)</f>
        <v>-3613.625</v>
      </c>
    </row>
    <row r="2793" spans="1:12">
      <c r="A2793" t="s">
        <v>4181</v>
      </c>
      <c r="B2793" t="s">
        <v>4765</v>
      </c>
      <c r="C2793" t="s">
        <v>73</v>
      </c>
      <c r="D2793">
        <v>-68068</v>
      </c>
      <c r="E2793" t="s">
        <v>74</v>
      </c>
      <c r="F2793" t="s">
        <v>24</v>
      </c>
      <c r="G2793" t="s">
        <v>25</v>
      </c>
      <c r="H2793" t="s">
        <v>26</v>
      </c>
      <c r="I2793" t="s">
        <v>34</v>
      </c>
      <c r="J2793" s="11">
        <v>45036</v>
      </c>
      <c r="K2793" t="str">
        <f>TEXT(Transactions_Clean[[#This Row],[Date]],"MMM-YYYY")</f>
        <v>Apr-2023</v>
      </c>
      <c r="L2793">
        <f>IF(Transactions_Clean[[#This Row],[Category]]="Revenue",Transactions_Clean[[#This Row],[Amount(₹)]],Transactions_Clean[[#This Row],[Amount(₹)]]/8)</f>
        <v>-8508.5</v>
      </c>
    </row>
    <row r="2794" spans="1:12">
      <c r="A2794" t="s">
        <v>4182</v>
      </c>
      <c r="B2794" t="s">
        <v>66</v>
      </c>
      <c r="C2794" t="s">
        <v>61</v>
      </c>
      <c r="D2794">
        <v>-59351</v>
      </c>
      <c r="E2794" t="s">
        <v>62</v>
      </c>
      <c r="F2794" t="s">
        <v>32</v>
      </c>
      <c r="G2794" t="s">
        <v>63</v>
      </c>
      <c r="H2794" t="s">
        <v>45</v>
      </c>
      <c r="I2794" t="s">
        <v>48</v>
      </c>
      <c r="J2794" s="11">
        <v>45643</v>
      </c>
      <c r="K2794" t="str">
        <f>TEXT(Transactions_Clean[[#This Row],[Date]],"MMM-YYYY")</f>
        <v>Dec-2024</v>
      </c>
      <c r="L2794">
        <f>IF(Transactions_Clean[[#This Row],[Category]]="Revenue",Transactions_Clean[[#This Row],[Amount(₹)]],Transactions_Clean[[#This Row],[Amount(₹)]]/8)</f>
        <v>-7418.875</v>
      </c>
    </row>
    <row r="2795" spans="1:12">
      <c r="A2795" t="s">
        <v>4183</v>
      </c>
      <c r="B2795" t="s">
        <v>4760</v>
      </c>
      <c r="C2795" t="s">
        <v>73</v>
      </c>
      <c r="D2795">
        <v>-48730</v>
      </c>
      <c r="E2795" t="s">
        <v>74</v>
      </c>
      <c r="F2795" t="s">
        <v>24</v>
      </c>
      <c r="G2795" t="s">
        <v>25</v>
      </c>
      <c r="H2795" t="s">
        <v>26</v>
      </c>
      <c r="I2795" t="s">
        <v>34</v>
      </c>
      <c r="J2795" s="11">
        <v>45064</v>
      </c>
      <c r="K2795" t="str">
        <f>TEXT(Transactions_Clean[[#This Row],[Date]],"MMM-YYYY")</f>
        <v>May-2023</v>
      </c>
      <c r="L2795">
        <f>IF(Transactions_Clean[[#This Row],[Category]]="Revenue",Transactions_Clean[[#This Row],[Amount(₹)]],Transactions_Clean[[#This Row],[Amount(₹)]]/8)</f>
        <v>-6091.25</v>
      </c>
    </row>
    <row r="2796" spans="1:12">
      <c r="A2796" t="s">
        <v>4184</v>
      </c>
      <c r="B2796" t="s">
        <v>30</v>
      </c>
      <c r="C2796" t="s">
        <v>4750</v>
      </c>
      <c r="D2796">
        <v>-36870</v>
      </c>
      <c r="E2796" t="s">
        <v>23</v>
      </c>
      <c r="F2796" t="s">
        <v>24</v>
      </c>
      <c r="G2796" t="s">
        <v>33</v>
      </c>
      <c r="H2796" t="s">
        <v>45</v>
      </c>
      <c r="I2796" t="s">
        <v>48</v>
      </c>
      <c r="J2796" s="11">
        <v>45587</v>
      </c>
      <c r="K2796" t="str">
        <f>TEXT(Transactions_Clean[[#This Row],[Date]],"MMM-YYYY")</f>
        <v>Oct-2024</v>
      </c>
      <c r="L2796">
        <f>IF(Transactions_Clean[[#This Row],[Category]]="Revenue",Transactions_Clean[[#This Row],[Amount(₹)]],Transactions_Clean[[#This Row],[Amount(₹)]]/8)</f>
        <v>-4608.75</v>
      </c>
    </row>
    <row r="2797" spans="1:12">
      <c r="A2797" t="s">
        <v>4186</v>
      </c>
      <c r="B2797" t="s">
        <v>4756</v>
      </c>
      <c r="C2797" t="s">
        <v>73</v>
      </c>
      <c r="D2797">
        <v>-83675</v>
      </c>
      <c r="E2797" t="s">
        <v>74</v>
      </c>
      <c r="F2797" t="s">
        <v>24</v>
      </c>
      <c r="G2797" t="s">
        <v>25</v>
      </c>
      <c r="H2797" t="s">
        <v>39</v>
      </c>
      <c r="I2797" t="s">
        <v>34</v>
      </c>
      <c r="J2797" s="11">
        <v>45775</v>
      </c>
      <c r="K2797" t="str">
        <f>TEXT(Transactions_Clean[[#This Row],[Date]],"MMM-YYYY")</f>
        <v>Apr-2025</v>
      </c>
      <c r="L2797">
        <f>IF(Transactions_Clean[[#This Row],[Category]]="Revenue",Transactions_Clean[[#This Row],[Amount(₹)]],Transactions_Clean[[#This Row],[Amount(₹)]]/8)</f>
        <v>-10459.375</v>
      </c>
    </row>
    <row r="2798" spans="1:12">
      <c r="A2798" t="s">
        <v>4188</v>
      </c>
      <c r="B2798" t="s">
        <v>305</v>
      </c>
      <c r="C2798" t="s">
        <v>38</v>
      </c>
      <c r="D2798">
        <v>-52518</v>
      </c>
      <c r="E2798" t="s">
        <v>23</v>
      </c>
      <c r="F2798" t="s">
        <v>32</v>
      </c>
      <c r="G2798" t="s">
        <v>33</v>
      </c>
      <c r="H2798" t="s">
        <v>45</v>
      </c>
      <c r="I2798" t="s">
        <v>34</v>
      </c>
      <c r="J2798" s="11">
        <v>45442</v>
      </c>
      <c r="K2798" t="str">
        <f>TEXT(Transactions_Clean[[#This Row],[Date]],"MMM-YYYY")</f>
        <v>May-2024</v>
      </c>
      <c r="L2798">
        <f>IF(Transactions_Clean[[#This Row],[Category]]="Revenue",Transactions_Clean[[#This Row],[Amount(₹)]],Transactions_Clean[[#This Row],[Amount(₹)]]/8)</f>
        <v>-6564.75</v>
      </c>
    </row>
    <row r="2799" spans="1:12">
      <c r="A2799" t="s">
        <v>4189</v>
      </c>
      <c r="B2799" t="s">
        <v>60</v>
      </c>
      <c r="C2799" t="s">
        <v>61</v>
      </c>
      <c r="D2799">
        <v>-45483</v>
      </c>
      <c r="E2799" t="s">
        <v>62</v>
      </c>
      <c r="F2799" t="s">
        <v>32</v>
      </c>
      <c r="G2799" t="s">
        <v>63</v>
      </c>
      <c r="H2799" t="s">
        <v>26</v>
      </c>
      <c r="I2799" t="s">
        <v>48</v>
      </c>
      <c r="J2799" s="11">
        <v>45225</v>
      </c>
      <c r="K2799" t="str">
        <f>TEXT(Transactions_Clean[[#This Row],[Date]],"MMM-YYYY")</f>
        <v>Oct-2023</v>
      </c>
      <c r="L2799">
        <f>IF(Transactions_Clean[[#This Row],[Category]]="Revenue",Transactions_Clean[[#This Row],[Amount(₹)]],Transactions_Clean[[#This Row],[Amount(₹)]]/8)</f>
        <v>-5685.375</v>
      </c>
    </row>
    <row r="2800" spans="1:12">
      <c r="A2800" t="s">
        <v>4190</v>
      </c>
      <c r="B2800" t="s">
        <v>129</v>
      </c>
      <c r="C2800" t="s">
        <v>38</v>
      </c>
      <c r="D2800">
        <v>-30093</v>
      </c>
      <c r="E2800" t="s">
        <v>23</v>
      </c>
      <c r="F2800" t="s">
        <v>24</v>
      </c>
      <c r="G2800" t="s">
        <v>33</v>
      </c>
      <c r="H2800" t="s">
        <v>45</v>
      </c>
      <c r="I2800" t="s">
        <v>48</v>
      </c>
      <c r="J2800" s="11">
        <v>45596</v>
      </c>
      <c r="K2800" t="str">
        <f>TEXT(Transactions_Clean[[#This Row],[Date]],"MMM-YYYY")</f>
        <v>Oct-2024</v>
      </c>
      <c r="L2800">
        <f>IF(Transactions_Clean[[#This Row],[Category]]="Revenue",Transactions_Clean[[#This Row],[Amount(₹)]],Transactions_Clean[[#This Row],[Amount(₹)]]/8)</f>
        <v>-3761.625</v>
      </c>
    </row>
    <row r="2801" spans="1:12">
      <c r="A2801" t="s">
        <v>4191</v>
      </c>
      <c r="B2801" t="s">
        <v>4776</v>
      </c>
      <c r="C2801" t="s">
        <v>440</v>
      </c>
      <c r="D2801">
        <v>-124831</v>
      </c>
      <c r="E2801" t="s">
        <v>23</v>
      </c>
      <c r="F2801" t="s">
        <v>24</v>
      </c>
      <c r="G2801" t="s">
        <v>33</v>
      </c>
      <c r="H2801" t="s">
        <v>26</v>
      </c>
      <c r="I2801" t="s">
        <v>40</v>
      </c>
      <c r="J2801" s="11">
        <v>45155</v>
      </c>
      <c r="K2801" t="str">
        <f>TEXT(Transactions_Clean[[#This Row],[Date]],"MMM-YYYY")</f>
        <v>Aug-2023</v>
      </c>
      <c r="L2801">
        <f>IF(Transactions_Clean[[#This Row],[Category]]="Revenue",Transactions_Clean[[#This Row],[Amount(₹)]],Transactions_Clean[[#This Row],[Amount(₹)]]/8)</f>
        <v>-15603.875</v>
      </c>
    </row>
    <row r="2802" spans="1:12">
      <c r="A2802" t="s">
        <v>4192</v>
      </c>
      <c r="B2802" t="s">
        <v>237</v>
      </c>
      <c r="C2802" t="s">
        <v>22</v>
      </c>
      <c r="D2802">
        <v>-61206</v>
      </c>
      <c r="E2802" t="s">
        <v>23</v>
      </c>
      <c r="F2802" t="s">
        <v>24</v>
      </c>
      <c r="G2802" t="s">
        <v>25</v>
      </c>
      <c r="H2802" t="s">
        <v>45</v>
      </c>
      <c r="I2802" t="s">
        <v>48</v>
      </c>
      <c r="J2802" s="11">
        <v>45581</v>
      </c>
      <c r="K2802" t="str">
        <f>TEXT(Transactions_Clean[[#This Row],[Date]],"MMM-YYYY")</f>
        <v>Oct-2024</v>
      </c>
      <c r="L2802">
        <f>IF(Transactions_Clean[[#This Row],[Category]]="Revenue",Transactions_Clean[[#This Row],[Amount(₹)]],Transactions_Clean[[#This Row],[Amount(₹)]]/8)</f>
        <v>-7650.75</v>
      </c>
    </row>
    <row r="2803" spans="1:12">
      <c r="A2803" t="s">
        <v>4193</v>
      </c>
      <c r="B2803" t="s">
        <v>116</v>
      </c>
      <c r="C2803" t="s">
        <v>73</v>
      </c>
      <c r="D2803">
        <v>-55672</v>
      </c>
      <c r="E2803" t="s">
        <v>74</v>
      </c>
      <c r="F2803" t="s">
        <v>24</v>
      </c>
      <c r="G2803" t="s">
        <v>25</v>
      </c>
      <c r="H2803" t="s">
        <v>26</v>
      </c>
      <c r="I2803" t="s">
        <v>27</v>
      </c>
      <c r="J2803" s="11">
        <v>45329</v>
      </c>
      <c r="K2803" t="str">
        <f>TEXT(Transactions_Clean[[#This Row],[Date]],"MMM-YYYY")</f>
        <v>Feb-2024</v>
      </c>
      <c r="L2803">
        <f>IF(Transactions_Clean[[#This Row],[Category]]="Revenue",Transactions_Clean[[#This Row],[Amount(₹)]],Transactions_Clean[[#This Row],[Amount(₹)]]/8)</f>
        <v>-6959</v>
      </c>
    </row>
    <row r="2804" spans="1:12">
      <c r="A2804" t="s">
        <v>4195</v>
      </c>
      <c r="B2804" t="s">
        <v>4770</v>
      </c>
      <c r="C2804" t="s">
        <v>440</v>
      </c>
      <c r="D2804">
        <v>-97741</v>
      </c>
      <c r="E2804" t="s">
        <v>23</v>
      </c>
      <c r="F2804" t="s">
        <v>32</v>
      </c>
      <c r="G2804" t="s">
        <v>33</v>
      </c>
      <c r="H2804" t="s">
        <v>26</v>
      </c>
      <c r="I2804" t="s">
        <v>34</v>
      </c>
      <c r="J2804" s="11">
        <v>45026</v>
      </c>
      <c r="K2804" t="str">
        <f>TEXT(Transactions_Clean[[#This Row],[Date]],"MMM-YYYY")</f>
        <v>Apr-2023</v>
      </c>
      <c r="L2804">
        <f>IF(Transactions_Clean[[#This Row],[Category]]="Revenue",Transactions_Clean[[#This Row],[Amount(₹)]],Transactions_Clean[[#This Row],[Amount(₹)]]/8)</f>
        <v>-12217.625</v>
      </c>
    </row>
    <row r="2805" spans="1:12">
      <c r="A2805" t="s">
        <v>4197</v>
      </c>
      <c r="B2805" t="s">
        <v>4762</v>
      </c>
      <c r="C2805" t="s">
        <v>157</v>
      </c>
      <c r="D2805">
        <v>598712</v>
      </c>
      <c r="E2805" t="s">
        <v>62</v>
      </c>
      <c r="F2805" t="s">
        <v>32</v>
      </c>
      <c r="G2805" t="s">
        <v>25</v>
      </c>
      <c r="H2805" t="s">
        <v>45</v>
      </c>
      <c r="I2805" t="s">
        <v>40</v>
      </c>
      <c r="J2805" s="11">
        <v>45553</v>
      </c>
      <c r="K2805" t="str">
        <f>TEXT(Transactions_Clean[[#This Row],[Date]],"MMM-YYYY")</f>
        <v>Sep-2024</v>
      </c>
      <c r="L2805">
        <f>IF(Transactions_Clean[[#This Row],[Category]]="Revenue",Transactions_Clean[[#This Row],[Amount(₹)]],Transactions_Clean[[#This Row],[Amount(₹)]]/8)</f>
        <v>598712</v>
      </c>
    </row>
    <row r="2806" spans="1:12">
      <c r="A2806" t="s">
        <v>4199</v>
      </c>
      <c r="B2806" t="s">
        <v>616</v>
      </c>
      <c r="C2806" t="s">
        <v>22</v>
      </c>
      <c r="D2806">
        <v>-149297</v>
      </c>
      <c r="E2806" t="s">
        <v>23</v>
      </c>
      <c r="F2806" t="s">
        <v>32</v>
      </c>
      <c r="G2806" t="s">
        <v>25</v>
      </c>
      <c r="H2806" t="s">
        <v>39</v>
      </c>
      <c r="I2806" t="s">
        <v>27</v>
      </c>
      <c r="J2806" s="11">
        <v>46109</v>
      </c>
      <c r="K2806" t="str">
        <f>TEXT(Transactions_Clean[[#This Row],[Date]],"MMM-YYYY")</f>
        <v>Mar-2026</v>
      </c>
      <c r="L2806">
        <f>IF(Transactions_Clean[[#This Row],[Category]]="Revenue",Transactions_Clean[[#This Row],[Amount(₹)]],Transactions_Clean[[#This Row],[Amount(₹)]]/8)</f>
        <v>-18662.125</v>
      </c>
    </row>
    <row r="2807" spans="1:12">
      <c r="A2807" t="s">
        <v>4200</v>
      </c>
      <c r="B2807" t="s">
        <v>66</v>
      </c>
      <c r="C2807" t="s">
        <v>61</v>
      </c>
      <c r="D2807">
        <v>-49550</v>
      </c>
      <c r="E2807" t="s">
        <v>62</v>
      </c>
      <c r="F2807" t="s">
        <v>32</v>
      </c>
      <c r="G2807" t="s">
        <v>63</v>
      </c>
      <c r="H2807" t="s">
        <v>45</v>
      </c>
      <c r="I2807" t="s">
        <v>34</v>
      </c>
      <c r="J2807" s="11">
        <v>45462</v>
      </c>
      <c r="K2807" t="str">
        <f>TEXT(Transactions_Clean[[#This Row],[Date]],"MMM-YYYY")</f>
        <v>Jun-2024</v>
      </c>
      <c r="L2807">
        <f>IF(Transactions_Clean[[#This Row],[Category]]="Revenue",Transactions_Clean[[#This Row],[Amount(₹)]],Transactions_Clean[[#This Row],[Amount(₹)]]/8)</f>
        <v>-6193.75</v>
      </c>
    </row>
    <row r="2808" spans="1:12">
      <c r="A2808" t="s">
        <v>4202</v>
      </c>
      <c r="B2808" t="s">
        <v>4766</v>
      </c>
      <c r="C2808" t="s">
        <v>73</v>
      </c>
      <c r="D2808">
        <v>-18993</v>
      </c>
      <c r="E2808" t="s">
        <v>74</v>
      </c>
      <c r="F2808" t="s">
        <v>32</v>
      </c>
      <c r="G2808" t="s">
        <v>25</v>
      </c>
      <c r="H2808" t="s">
        <v>26</v>
      </c>
      <c r="I2808" t="s">
        <v>34</v>
      </c>
      <c r="J2808" s="11">
        <v>45102</v>
      </c>
      <c r="K2808" t="str">
        <f>TEXT(Transactions_Clean[[#This Row],[Date]],"MMM-YYYY")</f>
        <v>Jun-2023</v>
      </c>
      <c r="L2808">
        <f>IF(Transactions_Clean[[#This Row],[Category]]="Revenue",Transactions_Clean[[#This Row],[Amount(₹)]],Transactions_Clean[[#This Row],[Amount(₹)]]/8)</f>
        <v>-2374.125</v>
      </c>
    </row>
    <row r="2809" spans="1:12">
      <c r="A2809" t="s">
        <v>4203</v>
      </c>
      <c r="B2809" t="s">
        <v>215</v>
      </c>
      <c r="C2809" t="s">
        <v>61</v>
      </c>
      <c r="D2809">
        <v>-13540</v>
      </c>
      <c r="E2809" t="s">
        <v>62</v>
      </c>
      <c r="F2809" t="s">
        <v>32</v>
      </c>
      <c r="G2809" t="s">
        <v>63</v>
      </c>
      <c r="H2809" t="s">
        <v>45</v>
      </c>
      <c r="I2809" t="s">
        <v>27</v>
      </c>
      <c r="J2809" s="11">
        <v>45710</v>
      </c>
      <c r="K2809" t="str">
        <f>TEXT(Transactions_Clean[[#This Row],[Date]],"MMM-YYYY")</f>
        <v>Feb-2025</v>
      </c>
      <c r="L2809">
        <f>IF(Transactions_Clean[[#This Row],[Category]]="Revenue",Transactions_Clean[[#This Row],[Amount(₹)]],Transactions_Clean[[#This Row],[Amount(₹)]]/8)</f>
        <v>-1692.5</v>
      </c>
    </row>
    <row r="2810" spans="1:12">
      <c r="A2810" t="s">
        <v>4205</v>
      </c>
      <c r="B2810" t="s">
        <v>143</v>
      </c>
      <c r="C2810" t="s">
        <v>78</v>
      </c>
      <c r="D2810">
        <v>-75519</v>
      </c>
      <c r="E2810" t="s">
        <v>23</v>
      </c>
      <c r="F2810" t="s">
        <v>32</v>
      </c>
      <c r="G2810" t="s">
        <v>79</v>
      </c>
      <c r="H2810" t="s">
        <v>39</v>
      </c>
      <c r="I2810" t="s">
        <v>40</v>
      </c>
      <c r="J2810" s="11">
        <v>45865</v>
      </c>
      <c r="K2810" t="str">
        <f>TEXT(Transactions_Clean[[#This Row],[Date]],"MMM-YYYY")</f>
        <v>Jul-2025</v>
      </c>
      <c r="L2810">
        <f>IF(Transactions_Clean[[#This Row],[Category]]="Revenue",Transactions_Clean[[#This Row],[Amount(₹)]],Transactions_Clean[[#This Row],[Amount(₹)]]/8)</f>
        <v>-9439.875</v>
      </c>
    </row>
    <row r="2811" spans="1:12">
      <c r="A2811" t="s">
        <v>4206</v>
      </c>
      <c r="B2811" t="s">
        <v>106</v>
      </c>
      <c r="C2811" t="s">
        <v>31</v>
      </c>
      <c r="D2811">
        <v>-37735</v>
      </c>
      <c r="E2811" t="s">
        <v>23</v>
      </c>
      <c r="F2811" t="s">
        <v>24</v>
      </c>
      <c r="G2811" t="s">
        <v>33</v>
      </c>
      <c r="H2811" t="s">
        <v>39</v>
      </c>
      <c r="I2811" t="s">
        <v>27</v>
      </c>
      <c r="J2811" s="11">
        <v>46096</v>
      </c>
      <c r="K2811" t="str">
        <f>TEXT(Transactions_Clean[[#This Row],[Date]],"MMM-YYYY")</f>
        <v>Mar-2026</v>
      </c>
      <c r="L2811">
        <f>IF(Transactions_Clean[[#This Row],[Category]]="Revenue",Transactions_Clean[[#This Row],[Amount(₹)]],Transactions_Clean[[#This Row],[Amount(₹)]]/8)</f>
        <v>-4716.875</v>
      </c>
    </row>
    <row r="2812" spans="1:12">
      <c r="A2812" t="s">
        <v>4207</v>
      </c>
      <c r="B2812" t="s">
        <v>116</v>
      </c>
      <c r="C2812" t="s">
        <v>73</v>
      </c>
      <c r="D2812">
        <v>-8963</v>
      </c>
      <c r="E2812" t="s">
        <v>74</v>
      </c>
      <c r="F2812" t="s">
        <v>24</v>
      </c>
      <c r="G2812" t="s">
        <v>25</v>
      </c>
      <c r="H2812" t="s">
        <v>26</v>
      </c>
      <c r="I2812" t="s">
        <v>40</v>
      </c>
      <c r="J2812" s="11">
        <v>45186</v>
      </c>
      <c r="K2812" t="str">
        <f>TEXT(Transactions_Clean[[#This Row],[Date]],"MMM-YYYY")</f>
        <v>Sep-2023</v>
      </c>
      <c r="L2812">
        <f>IF(Transactions_Clean[[#This Row],[Category]]="Revenue",Transactions_Clean[[#This Row],[Amount(₹)]],Transactions_Clean[[#This Row],[Amount(₹)]]/8)</f>
        <v>-1120.375</v>
      </c>
    </row>
    <row r="2813" spans="1:12">
      <c r="A2813" t="s">
        <v>4208</v>
      </c>
      <c r="B2813" t="s">
        <v>180</v>
      </c>
      <c r="C2813" t="s">
        <v>44</v>
      </c>
      <c r="D2813">
        <v>-100951</v>
      </c>
      <c r="E2813" t="s">
        <v>23</v>
      </c>
      <c r="F2813" t="s">
        <v>24</v>
      </c>
      <c r="G2813" t="s">
        <v>33</v>
      </c>
      <c r="H2813" t="s">
        <v>26</v>
      </c>
      <c r="I2813" t="s">
        <v>48</v>
      </c>
      <c r="J2813" s="11">
        <v>45212</v>
      </c>
      <c r="K2813" t="str">
        <f>TEXT(Transactions_Clean[[#This Row],[Date]],"MMM-YYYY")</f>
        <v>Oct-2023</v>
      </c>
      <c r="L2813">
        <f>IF(Transactions_Clean[[#This Row],[Category]]="Revenue",Transactions_Clean[[#This Row],[Amount(₹)]],Transactions_Clean[[#This Row],[Amount(₹)]]/8)</f>
        <v>-12618.875</v>
      </c>
    </row>
    <row r="2814" spans="1:12">
      <c r="A2814" t="s">
        <v>4209</v>
      </c>
      <c r="B2814" t="s">
        <v>4759</v>
      </c>
      <c r="C2814" t="s">
        <v>31</v>
      </c>
      <c r="D2814">
        <v>-6453</v>
      </c>
      <c r="E2814" t="s">
        <v>23</v>
      </c>
      <c r="F2814" t="s">
        <v>32</v>
      </c>
      <c r="G2814" t="s">
        <v>33</v>
      </c>
      <c r="H2814" t="s">
        <v>39</v>
      </c>
      <c r="I2814" t="s">
        <v>48</v>
      </c>
      <c r="J2814" s="11">
        <v>45978</v>
      </c>
      <c r="K2814" t="str">
        <f>TEXT(Transactions_Clean[[#This Row],[Date]],"MMM-YYYY")</f>
        <v>Nov-2025</v>
      </c>
      <c r="L2814">
        <f>IF(Transactions_Clean[[#This Row],[Category]]="Revenue",Transactions_Clean[[#This Row],[Amount(₹)]],Transactions_Clean[[#This Row],[Amount(₹)]]/8)</f>
        <v>-806.625</v>
      </c>
    </row>
    <row r="2815" spans="1:12">
      <c r="A2815" t="s">
        <v>4211</v>
      </c>
      <c r="B2815" t="s">
        <v>4751</v>
      </c>
      <c r="C2815" t="s">
        <v>38</v>
      </c>
      <c r="D2815">
        <v>-53094</v>
      </c>
      <c r="E2815" t="s">
        <v>23</v>
      </c>
      <c r="F2815" t="s">
        <v>24</v>
      </c>
      <c r="G2815" t="s">
        <v>33</v>
      </c>
      <c r="H2815" t="s">
        <v>39</v>
      </c>
      <c r="I2815" t="s">
        <v>48</v>
      </c>
      <c r="J2815" s="11">
        <v>45941</v>
      </c>
      <c r="K2815" t="str">
        <f>TEXT(Transactions_Clean[[#This Row],[Date]],"MMM-YYYY")</f>
        <v>Oct-2025</v>
      </c>
      <c r="L2815">
        <f>IF(Transactions_Clean[[#This Row],[Category]]="Revenue",Transactions_Clean[[#This Row],[Amount(₹)]],Transactions_Clean[[#This Row],[Amount(₹)]]/8)</f>
        <v>-6636.75</v>
      </c>
    </row>
    <row r="2816" spans="1:12">
      <c r="A2816" t="s">
        <v>4213</v>
      </c>
      <c r="B2816" t="s">
        <v>51</v>
      </c>
      <c r="C2816" t="s">
        <v>31</v>
      </c>
      <c r="D2816">
        <v>-41389</v>
      </c>
      <c r="E2816" t="s">
        <v>23</v>
      </c>
      <c r="F2816" t="s">
        <v>32</v>
      </c>
      <c r="G2816" t="s">
        <v>33</v>
      </c>
      <c r="H2816" t="s">
        <v>39</v>
      </c>
      <c r="I2816" t="s">
        <v>34</v>
      </c>
      <c r="J2816" s="11">
        <v>45837</v>
      </c>
      <c r="K2816" t="str">
        <f>TEXT(Transactions_Clean[[#This Row],[Date]],"MMM-YYYY")</f>
        <v>Jun-2025</v>
      </c>
      <c r="L2816">
        <f>IF(Transactions_Clean[[#This Row],[Category]]="Revenue",Transactions_Clean[[#This Row],[Amount(₹)]],Transactions_Clean[[#This Row],[Amount(₹)]]/8)</f>
        <v>-5173.625</v>
      </c>
    </row>
    <row r="2817" spans="1:12">
      <c r="A2817" t="s">
        <v>4214</v>
      </c>
      <c r="B2817" t="s">
        <v>4765</v>
      </c>
      <c r="C2817" t="s">
        <v>4750</v>
      </c>
      <c r="D2817">
        <v>-27942</v>
      </c>
      <c r="E2817" t="s">
        <v>74</v>
      </c>
      <c r="F2817" t="s">
        <v>32</v>
      </c>
      <c r="G2817" t="s">
        <v>25</v>
      </c>
      <c r="H2817" t="s">
        <v>26</v>
      </c>
      <c r="I2817" t="s">
        <v>48</v>
      </c>
      <c r="J2817" s="11">
        <v>45232</v>
      </c>
      <c r="K2817" t="str">
        <f>TEXT(Transactions_Clean[[#This Row],[Date]],"MMM-YYYY")</f>
        <v>Nov-2023</v>
      </c>
      <c r="L2817">
        <f>IF(Transactions_Clean[[#This Row],[Category]]="Revenue",Transactions_Clean[[#This Row],[Amount(₹)]],Transactions_Clean[[#This Row],[Amount(₹)]]/8)</f>
        <v>-3492.75</v>
      </c>
    </row>
    <row r="2818" spans="1:12">
      <c r="A2818" t="s">
        <v>4216</v>
      </c>
      <c r="B2818" t="s">
        <v>30</v>
      </c>
      <c r="C2818" t="s">
        <v>31</v>
      </c>
      <c r="D2818">
        <v>-15471</v>
      </c>
      <c r="E2818" t="s">
        <v>23</v>
      </c>
      <c r="F2818" t="s">
        <v>24</v>
      </c>
      <c r="G2818" t="s">
        <v>33</v>
      </c>
      <c r="H2818" t="s">
        <v>26</v>
      </c>
      <c r="I2818" t="s">
        <v>48</v>
      </c>
      <c r="J2818" s="11">
        <v>45213</v>
      </c>
      <c r="K2818" t="str">
        <f>TEXT(Transactions_Clean[[#This Row],[Date]],"MMM-YYYY")</f>
        <v>Oct-2023</v>
      </c>
      <c r="L2818">
        <f>IF(Transactions_Clean[[#This Row],[Category]]="Revenue",Transactions_Clean[[#This Row],[Amount(₹)]],Transactions_Clean[[#This Row],[Amount(₹)]]/8)</f>
        <v>-1933.875</v>
      </c>
    </row>
    <row r="2819" spans="1:12">
      <c r="A2819" t="s">
        <v>4217</v>
      </c>
      <c r="B2819" t="s">
        <v>255</v>
      </c>
      <c r="C2819" t="s">
        <v>22</v>
      </c>
      <c r="D2819">
        <v>-71598</v>
      </c>
      <c r="E2819" t="s">
        <v>23</v>
      </c>
      <c r="F2819" t="s">
        <v>24</v>
      </c>
      <c r="G2819" t="s">
        <v>25</v>
      </c>
      <c r="H2819" t="s">
        <v>45</v>
      </c>
      <c r="I2819" t="s">
        <v>48</v>
      </c>
      <c r="J2819" s="11">
        <v>45591</v>
      </c>
      <c r="K2819" t="str">
        <f>TEXT(Transactions_Clean[[#This Row],[Date]],"MMM-YYYY")</f>
        <v>Oct-2024</v>
      </c>
      <c r="L2819">
        <f>IF(Transactions_Clean[[#This Row],[Category]]="Revenue",Transactions_Clean[[#This Row],[Amount(₹)]],Transactions_Clean[[#This Row],[Amount(₹)]]/8)</f>
        <v>-8949.75</v>
      </c>
    </row>
    <row r="2820" spans="1:12">
      <c r="A2820" t="s">
        <v>4218</v>
      </c>
      <c r="B2820" t="s">
        <v>100</v>
      </c>
      <c r="C2820" t="s">
        <v>31</v>
      </c>
      <c r="D2820">
        <v>-26778</v>
      </c>
      <c r="E2820" t="s">
        <v>23</v>
      </c>
      <c r="F2820" t="s">
        <v>24</v>
      </c>
      <c r="G2820" t="s">
        <v>33</v>
      </c>
      <c r="H2820" t="s">
        <v>45</v>
      </c>
      <c r="I2820" t="s">
        <v>40</v>
      </c>
      <c r="J2820" s="11">
        <v>45558</v>
      </c>
      <c r="K2820" t="str">
        <f>TEXT(Transactions_Clean[[#This Row],[Date]],"MMM-YYYY")</f>
        <v>Sep-2024</v>
      </c>
      <c r="L2820">
        <f>IF(Transactions_Clean[[#This Row],[Category]]="Revenue",Transactions_Clean[[#This Row],[Amount(₹)]],Transactions_Clean[[#This Row],[Amount(₹)]]/8)</f>
        <v>-3347.25</v>
      </c>
    </row>
    <row r="2821" spans="1:12">
      <c r="A2821" t="s">
        <v>4220</v>
      </c>
      <c r="B2821" t="s">
        <v>4753</v>
      </c>
      <c r="C2821" t="s">
        <v>38</v>
      </c>
      <c r="D2821">
        <v>-21760</v>
      </c>
      <c r="E2821" t="s">
        <v>23</v>
      </c>
      <c r="F2821" t="s">
        <v>24</v>
      </c>
      <c r="G2821" t="s">
        <v>33</v>
      </c>
      <c r="H2821" t="s">
        <v>45</v>
      </c>
      <c r="I2821" t="s">
        <v>34</v>
      </c>
      <c r="J2821" s="11">
        <v>45461</v>
      </c>
      <c r="K2821" t="str">
        <f>TEXT(Transactions_Clean[[#This Row],[Date]],"MMM-YYYY")</f>
        <v>Jun-2024</v>
      </c>
      <c r="L2821">
        <f>IF(Transactions_Clean[[#This Row],[Category]]="Revenue",Transactions_Clean[[#This Row],[Amount(₹)]],Transactions_Clean[[#This Row],[Amount(₹)]]/8)</f>
        <v>-2720</v>
      </c>
    </row>
    <row r="2822" spans="1:12">
      <c r="A2822" t="s">
        <v>4221</v>
      </c>
      <c r="B2822" t="s">
        <v>4749</v>
      </c>
      <c r="C2822" t="s">
        <v>44</v>
      </c>
      <c r="D2822">
        <v>-87198</v>
      </c>
      <c r="E2822" t="s">
        <v>23</v>
      </c>
      <c r="F2822" t="s">
        <v>32</v>
      </c>
      <c r="G2822" t="s">
        <v>33</v>
      </c>
      <c r="H2822" t="s">
        <v>45</v>
      </c>
      <c r="I2822" t="s">
        <v>34</v>
      </c>
      <c r="J2822" s="11">
        <v>45389</v>
      </c>
      <c r="K2822" t="str">
        <f>TEXT(Transactions_Clean[[#This Row],[Date]],"MMM-YYYY")</f>
        <v>Apr-2024</v>
      </c>
      <c r="L2822">
        <f>IF(Transactions_Clean[[#This Row],[Category]]="Revenue",Transactions_Clean[[#This Row],[Amount(₹)]],Transactions_Clean[[#This Row],[Amount(₹)]]/8)</f>
        <v>-10899.75</v>
      </c>
    </row>
    <row r="2823" spans="1:12">
      <c r="A2823" t="s">
        <v>4223</v>
      </c>
      <c r="B2823" t="s">
        <v>283</v>
      </c>
      <c r="C2823" t="s">
        <v>44</v>
      </c>
      <c r="D2823">
        <v>-86376</v>
      </c>
      <c r="E2823" t="s">
        <v>23</v>
      </c>
      <c r="F2823" t="s">
        <v>32</v>
      </c>
      <c r="G2823" t="s">
        <v>33</v>
      </c>
      <c r="H2823" t="s">
        <v>45</v>
      </c>
      <c r="I2823" t="s">
        <v>34</v>
      </c>
      <c r="J2823" s="11">
        <v>45383</v>
      </c>
      <c r="K2823" t="str">
        <f>TEXT(Transactions_Clean[[#This Row],[Date]],"MMM-YYYY")</f>
        <v>Apr-2024</v>
      </c>
      <c r="L2823">
        <f>IF(Transactions_Clean[[#This Row],[Category]]="Revenue",Transactions_Clean[[#This Row],[Amount(₹)]],Transactions_Clean[[#This Row],[Amount(₹)]]/8)</f>
        <v>-10797</v>
      </c>
    </row>
    <row r="2824" spans="1:12">
      <c r="A2824" t="s">
        <v>4224</v>
      </c>
      <c r="B2824" t="s">
        <v>4760</v>
      </c>
      <c r="C2824" t="s">
        <v>73</v>
      </c>
      <c r="D2824">
        <v>-12679</v>
      </c>
      <c r="E2824" t="s">
        <v>74</v>
      </c>
      <c r="F2824" t="s">
        <v>24</v>
      </c>
      <c r="G2824" t="s">
        <v>25</v>
      </c>
      <c r="H2824" t="s">
        <v>26</v>
      </c>
      <c r="I2824" t="s">
        <v>27</v>
      </c>
      <c r="J2824" s="11">
        <v>45298</v>
      </c>
      <c r="K2824" t="str">
        <f>TEXT(Transactions_Clean[[#This Row],[Date]],"MMM-YYYY")</f>
        <v>Jan-2024</v>
      </c>
      <c r="L2824">
        <f>IF(Transactions_Clean[[#This Row],[Category]]="Revenue",Transactions_Clean[[#This Row],[Amount(₹)]],Transactions_Clean[[#This Row],[Amount(₹)]]/8)</f>
        <v>-1584.875</v>
      </c>
    </row>
    <row r="2825" spans="1:12">
      <c r="A2825" t="s">
        <v>4226</v>
      </c>
      <c r="B2825" t="s">
        <v>305</v>
      </c>
      <c r="C2825" t="s">
        <v>38</v>
      </c>
      <c r="D2825">
        <v>-46887</v>
      </c>
      <c r="E2825" t="s">
        <v>23</v>
      </c>
      <c r="F2825" t="s">
        <v>24</v>
      </c>
      <c r="G2825" t="s">
        <v>33</v>
      </c>
      <c r="H2825" t="s">
        <v>45</v>
      </c>
      <c r="I2825" t="s">
        <v>27</v>
      </c>
      <c r="J2825" s="11">
        <v>45726</v>
      </c>
      <c r="K2825" t="str">
        <f>TEXT(Transactions_Clean[[#This Row],[Date]],"MMM-YYYY")</f>
        <v>Mar-2025</v>
      </c>
      <c r="L2825">
        <f>IF(Transactions_Clean[[#This Row],[Category]]="Revenue",Transactions_Clean[[#This Row],[Amount(₹)]],Transactions_Clean[[#This Row],[Amount(₹)]]/8)</f>
        <v>-5860.875</v>
      </c>
    </row>
    <row r="2826" spans="1:12">
      <c r="A2826" t="s">
        <v>4228</v>
      </c>
      <c r="B2826" t="s">
        <v>143</v>
      </c>
      <c r="C2826" t="s">
        <v>78</v>
      </c>
      <c r="D2826">
        <v>-87297</v>
      </c>
      <c r="E2826" t="s">
        <v>23</v>
      </c>
      <c r="F2826" t="s">
        <v>24</v>
      </c>
      <c r="G2826" t="s">
        <v>79</v>
      </c>
      <c r="H2826" t="s">
        <v>45</v>
      </c>
      <c r="I2826" t="s">
        <v>40</v>
      </c>
      <c r="J2826" s="11">
        <v>45486</v>
      </c>
      <c r="K2826" t="str">
        <f>TEXT(Transactions_Clean[[#This Row],[Date]],"MMM-YYYY")</f>
        <v>Jul-2024</v>
      </c>
      <c r="L2826">
        <f>IF(Transactions_Clean[[#This Row],[Category]]="Revenue",Transactions_Clean[[#This Row],[Amount(₹)]],Transactions_Clean[[#This Row],[Amount(₹)]]/8)</f>
        <v>-10912.125</v>
      </c>
    </row>
    <row r="2827" spans="1:12">
      <c r="A2827" t="s">
        <v>4229</v>
      </c>
      <c r="B2827" t="s">
        <v>4751</v>
      </c>
      <c r="C2827" t="s">
        <v>38</v>
      </c>
      <c r="D2827">
        <v>-46540</v>
      </c>
      <c r="E2827" t="s">
        <v>23</v>
      </c>
      <c r="F2827" t="s">
        <v>32</v>
      </c>
      <c r="G2827" t="s">
        <v>33</v>
      </c>
      <c r="H2827" t="s">
        <v>39</v>
      </c>
      <c r="I2827" t="s">
        <v>27</v>
      </c>
      <c r="J2827" s="11">
        <v>46043</v>
      </c>
      <c r="K2827" t="str">
        <f>TEXT(Transactions_Clean[[#This Row],[Date]],"MMM-YYYY")</f>
        <v>Jan-2026</v>
      </c>
      <c r="L2827">
        <f>IF(Transactions_Clean[[#This Row],[Category]]="Revenue",Transactions_Clean[[#This Row],[Amount(₹)]],Transactions_Clean[[#This Row],[Amount(₹)]]/8)</f>
        <v>-5817.5</v>
      </c>
    </row>
    <row r="2828" spans="1:12">
      <c r="A2828" t="s">
        <v>4230</v>
      </c>
      <c r="B2828" t="s">
        <v>4749</v>
      </c>
      <c r="C2828" t="s">
        <v>44</v>
      </c>
      <c r="D2828">
        <v>-72910</v>
      </c>
      <c r="E2828" t="s">
        <v>23</v>
      </c>
      <c r="F2828" t="s">
        <v>24</v>
      </c>
      <c r="G2828" t="s">
        <v>33</v>
      </c>
      <c r="H2828" t="s">
        <v>45</v>
      </c>
      <c r="I2828" t="s">
        <v>40</v>
      </c>
      <c r="J2828" s="11">
        <v>45484</v>
      </c>
      <c r="K2828" t="str">
        <f>TEXT(Transactions_Clean[[#This Row],[Date]],"MMM-YYYY")</f>
        <v>Jul-2024</v>
      </c>
      <c r="L2828">
        <f>IF(Transactions_Clean[[#This Row],[Category]]="Revenue",Transactions_Clean[[#This Row],[Amount(₹)]],Transactions_Clean[[#This Row],[Amount(₹)]]/8)</f>
        <v>-9113.75</v>
      </c>
    </row>
    <row r="2829" spans="1:12">
      <c r="A2829" t="s">
        <v>4231</v>
      </c>
      <c r="B2829" t="s">
        <v>169</v>
      </c>
      <c r="C2829" t="s">
        <v>73</v>
      </c>
      <c r="D2829">
        <v>-93456</v>
      </c>
      <c r="E2829" t="s">
        <v>74</v>
      </c>
      <c r="F2829" t="s">
        <v>32</v>
      </c>
      <c r="G2829" t="s">
        <v>25</v>
      </c>
      <c r="H2829" t="s">
        <v>45</v>
      </c>
      <c r="I2829" t="s">
        <v>40</v>
      </c>
      <c r="J2829" s="11">
        <v>45547</v>
      </c>
      <c r="K2829" t="str">
        <f>TEXT(Transactions_Clean[[#This Row],[Date]],"MMM-YYYY")</f>
        <v>Sep-2024</v>
      </c>
      <c r="L2829">
        <f>IF(Transactions_Clean[[#This Row],[Category]]="Revenue",Transactions_Clean[[#This Row],[Amount(₹)]],Transactions_Clean[[#This Row],[Amount(₹)]]/8)</f>
        <v>-11682</v>
      </c>
    </row>
    <row r="2830" spans="1:12">
      <c r="A2830" t="s">
        <v>4233</v>
      </c>
      <c r="B2830" t="s">
        <v>305</v>
      </c>
      <c r="C2830" t="s">
        <v>38</v>
      </c>
      <c r="D2830">
        <v>-17062</v>
      </c>
      <c r="E2830" t="s">
        <v>23</v>
      </c>
      <c r="F2830" t="s">
        <v>32</v>
      </c>
      <c r="G2830" t="s">
        <v>33</v>
      </c>
      <c r="H2830" t="s">
        <v>39</v>
      </c>
      <c r="I2830" t="s">
        <v>34</v>
      </c>
      <c r="J2830" s="11">
        <v>45827</v>
      </c>
      <c r="K2830" t="str">
        <f>TEXT(Transactions_Clean[[#This Row],[Date]],"MMM-YYYY")</f>
        <v>Jun-2025</v>
      </c>
      <c r="L2830">
        <f>IF(Transactions_Clean[[#This Row],[Category]]="Revenue",Transactions_Clean[[#This Row],[Amount(₹)]],Transactions_Clean[[#This Row],[Amount(₹)]]/8)</f>
        <v>-2132.75</v>
      </c>
    </row>
    <row r="2831" spans="1:12">
      <c r="A2831" t="s">
        <v>4235</v>
      </c>
      <c r="B2831" t="s">
        <v>143</v>
      </c>
      <c r="C2831" t="s">
        <v>78</v>
      </c>
      <c r="D2831">
        <v>-76846</v>
      </c>
      <c r="E2831" t="s">
        <v>23</v>
      </c>
      <c r="F2831" t="s">
        <v>24</v>
      </c>
      <c r="G2831" t="s">
        <v>79</v>
      </c>
      <c r="H2831" t="s">
        <v>39</v>
      </c>
      <c r="I2831" t="s">
        <v>34</v>
      </c>
      <c r="J2831" s="11">
        <v>45767</v>
      </c>
      <c r="K2831" t="str">
        <f>TEXT(Transactions_Clean[[#This Row],[Date]],"MMM-YYYY")</f>
        <v>Apr-2025</v>
      </c>
      <c r="L2831">
        <f>IF(Transactions_Clean[[#This Row],[Category]]="Revenue",Transactions_Clean[[#This Row],[Amount(₹)]],Transactions_Clean[[#This Row],[Amount(₹)]]/8)</f>
        <v>-9605.75</v>
      </c>
    </row>
    <row r="2832" spans="1:12">
      <c r="A2832" t="s">
        <v>4236</v>
      </c>
      <c r="B2832" t="s">
        <v>60</v>
      </c>
      <c r="C2832" t="s">
        <v>61</v>
      </c>
      <c r="D2832">
        <v>-46613</v>
      </c>
      <c r="E2832" t="s">
        <v>62</v>
      </c>
      <c r="F2832" t="s">
        <v>32</v>
      </c>
      <c r="G2832" t="s">
        <v>63</v>
      </c>
      <c r="H2832" t="s">
        <v>39</v>
      </c>
      <c r="I2832" t="s">
        <v>48</v>
      </c>
      <c r="J2832" s="11">
        <v>46008</v>
      </c>
      <c r="K2832" t="str">
        <f>TEXT(Transactions_Clean[[#This Row],[Date]],"MMM-YYYY")</f>
        <v>Dec-2025</v>
      </c>
      <c r="L2832">
        <f>IF(Transactions_Clean[[#This Row],[Category]]="Revenue",Transactions_Clean[[#This Row],[Amount(₹)]],Transactions_Clean[[#This Row],[Amount(₹)]]/8)</f>
        <v>-5826.625</v>
      </c>
    </row>
    <row r="2833" spans="1:12">
      <c r="A2833" t="s">
        <v>4237</v>
      </c>
      <c r="B2833" t="s">
        <v>202</v>
      </c>
      <c r="C2833" t="s">
        <v>22</v>
      </c>
      <c r="D2833">
        <v>-168918</v>
      </c>
      <c r="E2833" t="s">
        <v>23</v>
      </c>
      <c r="F2833" t="s">
        <v>32</v>
      </c>
      <c r="G2833" t="s">
        <v>25</v>
      </c>
      <c r="H2833" t="s">
        <v>39</v>
      </c>
      <c r="I2833" t="s">
        <v>34</v>
      </c>
      <c r="J2833" s="11">
        <v>45808</v>
      </c>
      <c r="K2833" t="str">
        <f>TEXT(Transactions_Clean[[#This Row],[Date]],"MMM-YYYY")</f>
        <v>May-2025</v>
      </c>
      <c r="L2833">
        <f>IF(Transactions_Clean[[#This Row],[Category]]="Revenue",Transactions_Clean[[#This Row],[Amount(₹)]],Transactions_Clean[[#This Row],[Amount(₹)]]/8)</f>
        <v>-21114.75</v>
      </c>
    </row>
    <row r="2834" spans="1:12">
      <c r="A2834" t="s">
        <v>4238</v>
      </c>
      <c r="B2834" t="s">
        <v>116</v>
      </c>
      <c r="C2834" t="s">
        <v>73</v>
      </c>
      <c r="D2834">
        <v>-9468</v>
      </c>
      <c r="E2834" t="s">
        <v>74</v>
      </c>
      <c r="F2834" t="s">
        <v>32</v>
      </c>
      <c r="G2834" t="s">
        <v>25</v>
      </c>
      <c r="H2834" t="s">
        <v>39</v>
      </c>
      <c r="I2834" t="s">
        <v>40</v>
      </c>
      <c r="J2834" s="11">
        <v>45887</v>
      </c>
      <c r="K2834" t="str">
        <f>TEXT(Transactions_Clean[[#This Row],[Date]],"MMM-YYYY")</f>
        <v>Aug-2025</v>
      </c>
      <c r="L2834">
        <f>IF(Transactions_Clean[[#This Row],[Category]]="Revenue",Transactions_Clean[[#This Row],[Amount(₹)]],Transactions_Clean[[#This Row],[Amount(₹)]]/8)</f>
        <v>-1183.5</v>
      </c>
    </row>
    <row r="2835" spans="1:12">
      <c r="A2835" t="s">
        <v>4240</v>
      </c>
      <c r="B2835" t="s">
        <v>143</v>
      </c>
      <c r="C2835" t="s">
        <v>78</v>
      </c>
      <c r="D2835">
        <v>-97544</v>
      </c>
      <c r="E2835" t="s">
        <v>23</v>
      </c>
      <c r="F2835" t="s">
        <v>32</v>
      </c>
      <c r="G2835" t="s">
        <v>79</v>
      </c>
      <c r="H2835" t="s">
        <v>26</v>
      </c>
      <c r="I2835" t="s">
        <v>34</v>
      </c>
      <c r="J2835" s="11">
        <v>45035</v>
      </c>
      <c r="K2835" t="str">
        <f>TEXT(Transactions_Clean[[#This Row],[Date]],"MMM-YYYY")</f>
        <v>Apr-2023</v>
      </c>
      <c r="L2835">
        <f>IF(Transactions_Clean[[#This Row],[Category]]="Revenue",Transactions_Clean[[#This Row],[Amount(₹)]],Transactions_Clean[[#This Row],[Amount(₹)]]/8)</f>
        <v>-12193</v>
      </c>
    </row>
    <row r="2836" spans="1:12">
      <c r="A2836" t="s">
        <v>4241</v>
      </c>
      <c r="B2836" t="s">
        <v>215</v>
      </c>
      <c r="C2836" t="s">
        <v>61</v>
      </c>
      <c r="D2836">
        <v>-36754</v>
      </c>
      <c r="E2836" t="s">
        <v>62</v>
      </c>
      <c r="F2836" t="s">
        <v>32</v>
      </c>
      <c r="G2836" t="s">
        <v>63</v>
      </c>
      <c r="H2836" t="s">
        <v>39</v>
      </c>
      <c r="I2836" t="s">
        <v>34</v>
      </c>
      <c r="J2836" s="11">
        <v>45796</v>
      </c>
      <c r="K2836" t="str">
        <f>TEXT(Transactions_Clean[[#This Row],[Date]],"MMM-YYYY")</f>
        <v>May-2025</v>
      </c>
      <c r="L2836">
        <f>IF(Transactions_Clean[[#This Row],[Category]]="Revenue",Transactions_Clean[[#This Row],[Amount(₹)]],Transactions_Clean[[#This Row],[Amount(₹)]]/8)</f>
        <v>-4594.25</v>
      </c>
    </row>
    <row r="2837" spans="1:12">
      <c r="A2837" t="s">
        <v>4242</v>
      </c>
      <c r="B2837" t="s">
        <v>4776</v>
      </c>
      <c r="C2837" t="s">
        <v>4750</v>
      </c>
      <c r="D2837">
        <v>-120445</v>
      </c>
      <c r="E2837" t="s">
        <v>23</v>
      </c>
      <c r="F2837" t="s">
        <v>32</v>
      </c>
      <c r="G2837" t="s">
        <v>33</v>
      </c>
      <c r="H2837" t="s">
        <v>26</v>
      </c>
      <c r="I2837" t="s">
        <v>40</v>
      </c>
      <c r="J2837" s="11">
        <v>45193</v>
      </c>
      <c r="K2837" t="str">
        <f>TEXT(Transactions_Clean[[#This Row],[Date]],"MMM-YYYY")</f>
        <v>Sep-2023</v>
      </c>
      <c r="L2837">
        <f>IF(Transactions_Clean[[#This Row],[Category]]="Revenue",Transactions_Clean[[#This Row],[Amount(₹)]],Transactions_Clean[[#This Row],[Amount(₹)]]/8)</f>
        <v>-15055.625</v>
      </c>
    </row>
    <row r="2838" spans="1:12">
      <c r="A2838" t="s">
        <v>4243</v>
      </c>
      <c r="B2838" t="s">
        <v>237</v>
      </c>
      <c r="C2838" t="s">
        <v>22</v>
      </c>
      <c r="D2838">
        <v>-32996</v>
      </c>
      <c r="E2838" t="s">
        <v>23</v>
      </c>
      <c r="F2838" t="s">
        <v>24</v>
      </c>
      <c r="G2838" t="s">
        <v>25</v>
      </c>
      <c r="H2838" t="s">
        <v>39</v>
      </c>
      <c r="I2838" t="s">
        <v>27</v>
      </c>
      <c r="J2838" s="11">
        <v>46078</v>
      </c>
      <c r="K2838" t="str">
        <f>TEXT(Transactions_Clean[[#This Row],[Date]],"MMM-YYYY")</f>
        <v>Feb-2026</v>
      </c>
      <c r="L2838">
        <f>IF(Transactions_Clean[[#This Row],[Category]]="Revenue",Transactions_Clean[[#This Row],[Amount(₹)]],Transactions_Clean[[#This Row],[Amount(₹)]]/8)</f>
        <v>-4124.5</v>
      </c>
    </row>
    <row r="2839" spans="1:12">
      <c r="A2839" t="s">
        <v>4244</v>
      </c>
      <c r="B2839" t="s">
        <v>4774</v>
      </c>
      <c r="C2839" t="s">
        <v>440</v>
      </c>
      <c r="D2839">
        <v>-107690</v>
      </c>
      <c r="E2839" t="s">
        <v>23</v>
      </c>
      <c r="F2839" t="s">
        <v>32</v>
      </c>
      <c r="G2839" t="s">
        <v>33</v>
      </c>
      <c r="H2839" t="s">
        <v>39</v>
      </c>
      <c r="I2839" t="s">
        <v>27</v>
      </c>
      <c r="J2839" s="11">
        <v>46078</v>
      </c>
      <c r="K2839" t="str">
        <f>TEXT(Transactions_Clean[[#This Row],[Date]],"MMM-YYYY")</f>
        <v>Feb-2026</v>
      </c>
      <c r="L2839">
        <f>IF(Transactions_Clean[[#This Row],[Category]]="Revenue",Transactions_Clean[[#This Row],[Amount(₹)]],Transactions_Clean[[#This Row],[Amount(₹)]]/8)</f>
        <v>-13461.25</v>
      </c>
    </row>
    <row r="2840" spans="1:12">
      <c r="A2840" t="s">
        <v>4245</v>
      </c>
      <c r="B2840" t="s">
        <v>4768</v>
      </c>
      <c r="C2840" t="s">
        <v>157</v>
      </c>
      <c r="D2840">
        <v>563235</v>
      </c>
      <c r="E2840" t="s">
        <v>62</v>
      </c>
      <c r="F2840" t="s">
        <v>32</v>
      </c>
      <c r="G2840" t="s">
        <v>25</v>
      </c>
      <c r="H2840" t="s">
        <v>26</v>
      </c>
      <c r="I2840" t="s">
        <v>27</v>
      </c>
      <c r="J2840" s="11">
        <v>45339</v>
      </c>
      <c r="K2840" t="str">
        <f>TEXT(Transactions_Clean[[#This Row],[Date]],"MMM-YYYY")</f>
        <v>Feb-2024</v>
      </c>
      <c r="L2840">
        <f>IF(Transactions_Clean[[#This Row],[Category]]="Revenue",Transactions_Clean[[#This Row],[Amount(₹)]],Transactions_Clean[[#This Row],[Amount(₹)]]/8)</f>
        <v>563235</v>
      </c>
    </row>
    <row r="2841" spans="1:12">
      <c r="A2841" t="s">
        <v>4246</v>
      </c>
      <c r="B2841" t="s">
        <v>177</v>
      </c>
      <c r="C2841" t="s">
        <v>78</v>
      </c>
      <c r="D2841">
        <v>-106320</v>
      </c>
      <c r="E2841" t="s">
        <v>23</v>
      </c>
      <c r="F2841" t="s">
        <v>24</v>
      </c>
      <c r="G2841" t="s">
        <v>79</v>
      </c>
      <c r="H2841" t="s">
        <v>45</v>
      </c>
      <c r="I2841" t="s">
        <v>34</v>
      </c>
      <c r="J2841" s="11">
        <v>45444</v>
      </c>
      <c r="K2841" t="str">
        <f>TEXT(Transactions_Clean[[#This Row],[Date]],"MMM-YYYY")</f>
        <v>Jun-2024</v>
      </c>
      <c r="L2841">
        <f>IF(Transactions_Clean[[#This Row],[Category]]="Revenue",Transactions_Clean[[#This Row],[Amount(₹)]],Transactions_Clean[[#This Row],[Amount(₹)]]/8)</f>
        <v>-13290</v>
      </c>
    </row>
    <row r="2842" spans="1:12">
      <c r="A2842" t="s">
        <v>4247</v>
      </c>
      <c r="B2842" t="s">
        <v>177</v>
      </c>
      <c r="C2842" t="s">
        <v>78</v>
      </c>
      <c r="D2842">
        <v>-67552</v>
      </c>
      <c r="E2842" t="s">
        <v>23</v>
      </c>
      <c r="F2842" t="s">
        <v>32</v>
      </c>
      <c r="G2842" t="s">
        <v>79</v>
      </c>
      <c r="H2842" t="s">
        <v>45</v>
      </c>
      <c r="I2842" t="s">
        <v>34</v>
      </c>
      <c r="J2842" s="11">
        <v>45403</v>
      </c>
      <c r="K2842" t="str">
        <f>TEXT(Transactions_Clean[[#This Row],[Date]],"MMM-YYYY")</f>
        <v>Apr-2024</v>
      </c>
      <c r="L2842">
        <f>IF(Transactions_Clean[[#This Row],[Category]]="Revenue",Transactions_Clean[[#This Row],[Amount(₹)]],Transactions_Clean[[#This Row],[Amount(₹)]]/8)</f>
        <v>-8444</v>
      </c>
    </row>
    <row r="2843" spans="1:12">
      <c r="A2843" t="s">
        <v>4248</v>
      </c>
      <c r="B2843" t="s">
        <v>4766</v>
      </c>
      <c r="C2843" t="s">
        <v>73</v>
      </c>
      <c r="D2843">
        <v>-8365</v>
      </c>
      <c r="E2843" t="s">
        <v>74</v>
      </c>
      <c r="F2843" t="s">
        <v>32</v>
      </c>
      <c r="G2843" t="s">
        <v>25</v>
      </c>
      <c r="H2843" t="s">
        <v>39</v>
      </c>
      <c r="I2843" t="s">
        <v>27</v>
      </c>
      <c r="J2843" s="11">
        <v>46067</v>
      </c>
      <c r="K2843" t="str">
        <f>TEXT(Transactions_Clean[[#This Row],[Date]],"MMM-YYYY")</f>
        <v>Feb-2026</v>
      </c>
      <c r="L2843">
        <f>IF(Transactions_Clean[[#This Row],[Category]]="Revenue",Transactions_Clean[[#This Row],[Amount(₹)]],Transactions_Clean[[#This Row],[Amount(₹)]]/8)</f>
        <v>-1045.625</v>
      </c>
    </row>
    <row r="2844" spans="1:12">
      <c r="A2844" t="s">
        <v>4249</v>
      </c>
      <c r="B2844" t="s">
        <v>72</v>
      </c>
      <c r="C2844" t="s">
        <v>73</v>
      </c>
      <c r="D2844">
        <v>-16965</v>
      </c>
      <c r="E2844" t="s">
        <v>74</v>
      </c>
      <c r="F2844" t="s">
        <v>24</v>
      </c>
      <c r="G2844" t="s">
        <v>25</v>
      </c>
      <c r="H2844" t="s">
        <v>45</v>
      </c>
      <c r="I2844" t="s">
        <v>34</v>
      </c>
      <c r="J2844" s="11">
        <v>45393</v>
      </c>
      <c r="K2844" t="str">
        <f>TEXT(Transactions_Clean[[#This Row],[Date]],"MMM-YYYY")</f>
        <v>Apr-2024</v>
      </c>
      <c r="L2844">
        <f>IF(Transactions_Clean[[#This Row],[Category]]="Revenue",Transactions_Clean[[#This Row],[Amount(₹)]],Transactions_Clean[[#This Row],[Amount(₹)]]/8)</f>
        <v>-2120.625</v>
      </c>
    </row>
    <row r="2845" spans="1:12">
      <c r="A2845" t="s">
        <v>4250</v>
      </c>
      <c r="B2845" t="s">
        <v>215</v>
      </c>
      <c r="C2845" t="s">
        <v>61</v>
      </c>
      <c r="D2845">
        <v>-55553</v>
      </c>
      <c r="E2845" t="s">
        <v>62</v>
      </c>
      <c r="F2845" t="s">
        <v>32</v>
      </c>
      <c r="G2845" t="s">
        <v>63</v>
      </c>
      <c r="H2845" t="s">
        <v>39</v>
      </c>
      <c r="I2845" t="s">
        <v>27</v>
      </c>
      <c r="J2845" s="11">
        <v>46077</v>
      </c>
      <c r="K2845" t="str">
        <f>TEXT(Transactions_Clean[[#This Row],[Date]],"MMM-YYYY")</f>
        <v>Feb-2026</v>
      </c>
      <c r="L2845">
        <f>IF(Transactions_Clean[[#This Row],[Category]]="Revenue",Transactions_Clean[[#This Row],[Amount(₹)]],Transactions_Clean[[#This Row],[Amount(₹)]]/8)</f>
        <v>-6944.125</v>
      </c>
    </row>
    <row r="2846" spans="1:12">
      <c r="A2846" t="s">
        <v>4252</v>
      </c>
      <c r="B2846" t="s">
        <v>66</v>
      </c>
      <c r="C2846" t="s">
        <v>4750</v>
      </c>
      <c r="D2846">
        <v>-52740</v>
      </c>
      <c r="E2846" t="s">
        <v>62</v>
      </c>
      <c r="F2846" t="s">
        <v>24</v>
      </c>
      <c r="G2846" t="s">
        <v>63</v>
      </c>
      <c r="H2846" t="s">
        <v>39</v>
      </c>
      <c r="I2846" t="s">
        <v>34</v>
      </c>
      <c r="J2846" s="11">
        <v>45803</v>
      </c>
      <c r="K2846" t="str">
        <f>TEXT(Transactions_Clean[[#This Row],[Date]],"MMM-YYYY")</f>
        <v>May-2025</v>
      </c>
      <c r="L2846">
        <f>IF(Transactions_Clean[[#This Row],[Category]]="Revenue",Transactions_Clean[[#This Row],[Amount(₹)]],Transactions_Clean[[#This Row],[Amount(₹)]]/8)</f>
        <v>-6592.5</v>
      </c>
    </row>
    <row r="2847" spans="1:12">
      <c r="A2847" t="s">
        <v>4254</v>
      </c>
      <c r="B2847" t="s">
        <v>224</v>
      </c>
      <c r="C2847" t="s">
        <v>78</v>
      </c>
      <c r="D2847">
        <v>-87161</v>
      </c>
      <c r="E2847" t="s">
        <v>23</v>
      </c>
      <c r="F2847" t="s">
        <v>32</v>
      </c>
      <c r="G2847" t="s">
        <v>79</v>
      </c>
      <c r="H2847" t="s">
        <v>45</v>
      </c>
      <c r="I2847" t="s">
        <v>34</v>
      </c>
      <c r="J2847" s="11">
        <v>45385</v>
      </c>
      <c r="K2847" t="str">
        <f>TEXT(Transactions_Clean[[#This Row],[Date]],"MMM-YYYY")</f>
        <v>Apr-2024</v>
      </c>
      <c r="L2847">
        <f>IF(Transactions_Clean[[#This Row],[Category]]="Revenue",Transactions_Clean[[#This Row],[Amount(₹)]],Transactions_Clean[[#This Row],[Amount(₹)]]/8)</f>
        <v>-10895.125</v>
      </c>
    </row>
    <row r="2848" spans="1:12">
      <c r="A2848" t="s">
        <v>4256</v>
      </c>
      <c r="B2848" t="s">
        <v>51</v>
      </c>
      <c r="C2848" t="s">
        <v>31</v>
      </c>
      <c r="D2848">
        <v>-23652</v>
      </c>
      <c r="E2848" t="s">
        <v>23</v>
      </c>
      <c r="F2848" t="s">
        <v>24</v>
      </c>
      <c r="G2848" t="s">
        <v>33</v>
      </c>
      <c r="H2848" t="s">
        <v>39</v>
      </c>
      <c r="I2848" t="s">
        <v>27</v>
      </c>
      <c r="J2848" s="11">
        <v>46068</v>
      </c>
      <c r="K2848" t="str">
        <f>TEXT(Transactions_Clean[[#This Row],[Date]],"MMM-YYYY")</f>
        <v>Feb-2026</v>
      </c>
      <c r="L2848">
        <f>IF(Transactions_Clean[[#This Row],[Category]]="Revenue",Transactions_Clean[[#This Row],[Amount(₹)]],Transactions_Clean[[#This Row],[Amount(₹)]]/8)</f>
        <v>-2956.5</v>
      </c>
    </row>
    <row r="2849" spans="1:12">
      <c r="A2849" t="s">
        <v>4257</v>
      </c>
      <c r="B2849" t="s">
        <v>60</v>
      </c>
      <c r="C2849" t="s">
        <v>61</v>
      </c>
      <c r="D2849">
        <v>-31610</v>
      </c>
      <c r="E2849" t="s">
        <v>62</v>
      </c>
      <c r="F2849" t="s">
        <v>24</v>
      </c>
      <c r="G2849" t="s">
        <v>63</v>
      </c>
      <c r="H2849" t="s">
        <v>39</v>
      </c>
      <c r="I2849" t="s">
        <v>48</v>
      </c>
      <c r="J2849" s="11">
        <v>46008</v>
      </c>
      <c r="K2849" t="str">
        <f>TEXT(Transactions_Clean[[#This Row],[Date]],"MMM-YYYY")</f>
        <v>Dec-2025</v>
      </c>
      <c r="L2849">
        <f>IF(Transactions_Clean[[#This Row],[Category]]="Revenue",Transactions_Clean[[#This Row],[Amount(₹)]],Transactions_Clean[[#This Row],[Amount(₹)]]/8)</f>
        <v>-3951.25</v>
      </c>
    </row>
    <row r="2850" spans="1:12">
      <c r="A2850" t="s">
        <v>4258</v>
      </c>
      <c r="B2850" t="s">
        <v>66</v>
      </c>
      <c r="C2850" t="s">
        <v>61</v>
      </c>
      <c r="D2850">
        <v>-37209</v>
      </c>
      <c r="E2850" t="s">
        <v>62</v>
      </c>
      <c r="F2850" t="s">
        <v>24</v>
      </c>
      <c r="G2850" t="s">
        <v>63</v>
      </c>
      <c r="H2850" t="s">
        <v>26</v>
      </c>
      <c r="I2850" t="s">
        <v>48</v>
      </c>
      <c r="J2850" s="11">
        <v>45213</v>
      </c>
      <c r="K2850" t="str">
        <f>TEXT(Transactions_Clean[[#This Row],[Date]],"MMM-YYYY")</f>
        <v>Oct-2023</v>
      </c>
      <c r="L2850">
        <f>IF(Transactions_Clean[[#This Row],[Category]]="Revenue",Transactions_Clean[[#This Row],[Amount(₹)]],Transactions_Clean[[#This Row],[Amount(₹)]]/8)</f>
        <v>-4651.125</v>
      </c>
    </row>
    <row r="2851" spans="1:12">
      <c r="A2851" t="s">
        <v>4259</v>
      </c>
      <c r="B2851" t="s">
        <v>180</v>
      </c>
      <c r="C2851" t="s">
        <v>44</v>
      </c>
      <c r="D2851">
        <v>-163615</v>
      </c>
      <c r="E2851" t="s">
        <v>23</v>
      </c>
      <c r="F2851" t="s">
        <v>24</v>
      </c>
      <c r="G2851" t="s">
        <v>33</v>
      </c>
      <c r="H2851" t="s">
        <v>39</v>
      </c>
      <c r="I2851" t="s">
        <v>34</v>
      </c>
      <c r="J2851" s="11">
        <v>45813</v>
      </c>
      <c r="K2851" t="str">
        <f>TEXT(Transactions_Clean[[#This Row],[Date]],"MMM-YYYY")</f>
        <v>Jun-2025</v>
      </c>
      <c r="L2851">
        <f>IF(Transactions_Clean[[#This Row],[Category]]="Revenue",Transactions_Clean[[#This Row],[Amount(₹)]],Transactions_Clean[[#This Row],[Amount(₹)]]/8)</f>
        <v>-20451.875</v>
      </c>
    </row>
    <row r="2852" spans="1:12">
      <c r="A2852" t="s">
        <v>4260</v>
      </c>
      <c r="B2852" t="s">
        <v>237</v>
      </c>
      <c r="C2852" t="s">
        <v>4750</v>
      </c>
      <c r="D2852">
        <v>-78298</v>
      </c>
      <c r="E2852" t="s">
        <v>23</v>
      </c>
      <c r="F2852" t="s">
        <v>24</v>
      </c>
      <c r="G2852" t="s">
        <v>25</v>
      </c>
      <c r="H2852" t="s">
        <v>39</v>
      </c>
      <c r="I2852" t="s">
        <v>40</v>
      </c>
      <c r="J2852" s="11">
        <v>45875</v>
      </c>
      <c r="K2852" t="str">
        <f>TEXT(Transactions_Clean[[#This Row],[Date]],"MMM-YYYY")</f>
        <v>Aug-2025</v>
      </c>
      <c r="L2852">
        <f>IF(Transactions_Clean[[#This Row],[Category]]="Revenue",Transactions_Clean[[#This Row],[Amount(₹)]],Transactions_Clean[[#This Row],[Amount(₹)]]/8)</f>
        <v>-9787.25</v>
      </c>
    </row>
    <row r="2853" spans="1:12">
      <c r="A2853" t="s">
        <v>4261</v>
      </c>
      <c r="B2853" t="s">
        <v>60</v>
      </c>
      <c r="C2853" t="s">
        <v>61</v>
      </c>
      <c r="D2853">
        <v>-53667</v>
      </c>
      <c r="E2853" t="s">
        <v>62</v>
      </c>
      <c r="F2853" t="s">
        <v>32</v>
      </c>
      <c r="G2853" t="s">
        <v>63</v>
      </c>
      <c r="H2853" t="s">
        <v>45</v>
      </c>
      <c r="I2853" t="s">
        <v>34</v>
      </c>
      <c r="J2853" s="11">
        <v>45399</v>
      </c>
      <c r="K2853" t="str">
        <f>TEXT(Transactions_Clean[[#This Row],[Date]],"MMM-YYYY")</f>
        <v>Apr-2024</v>
      </c>
      <c r="L2853">
        <f>IF(Transactions_Clean[[#This Row],[Category]]="Revenue",Transactions_Clean[[#This Row],[Amount(₹)]],Transactions_Clean[[#This Row],[Amount(₹)]]/8)</f>
        <v>-6708.375</v>
      </c>
    </row>
    <row r="2854" spans="1:12">
      <c r="A2854" t="s">
        <v>4262</v>
      </c>
      <c r="B2854" t="s">
        <v>72</v>
      </c>
      <c r="C2854" t="s">
        <v>73</v>
      </c>
      <c r="D2854">
        <v>-71060</v>
      </c>
      <c r="E2854" t="s">
        <v>74</v>
      </c>
      <c r="F2854" t="s">
        <v>32</v>
      </c>
      <c r="G2854" t="s">
        <v>25</v>
      </c>
      <c r="H2854" t="s">
        <v>26</v>
      </c>
      <c r="I2854" t="s">
        <v>27</v>
      </c>
      <c r="J2854" s="11">
        <v>45372</v>
      </c>
      <c r="K2854" t="str">
        <f>TEXT(Transactions_Clean[[#This Row],[Date]],"MMM-YYYY")</f>
        <v>Mar-2024</v>
      </c>
      <c r="L2854">
        <f>IF(Transactions_Clean[[#This Row],[Category]]="Revenue",Transactions_Clean[[#This Row],[Amount(₹)]],Transactions_Clean[[#This Row],[Amount(₹)]]/8)</f>
        <v>-8882.5</v>
      </c>
    </row>
    <row r="2855" spans="1:12">
      <c r="A2855" t="s">
        <v>4263</v>
      </c>
      <c r="B2855" t="s">
        <v>129</v>
      </c>
      <c r="C2855" t="s">
        <v>38</v>
      </c>
      <c r="D2855">
        <v>-42063</v>
      </c>
      <c r="E2855" t="s">
        <v>23</v>
      </c>
      <c r="F2855" t="s">
        <v>32</v>
      </c>
      <c r="G2855" t="s">
        <v>33</v>
      </c>
      <c r="H2855" t="s">
        <v>39</v>
      </c>
      <c r="I2855" t="s">
        <v>27</v>
      </c>
      <c r="J2855" s="11">
        <v>46064</v>
      </c>
      <c r="K2855" t="str">
        <f>TEXT(Transactions_Clean[[#This Row],[Date]],"MMM-YYYY")</f>
        <v>Feb-2026</v>
      </c>
      <c r="L2855">
        <f>IF(Transactions_Clean[[#This Row],[Category]]="Revenue",Transactions_Clean[[#This Row],[Amount(₹)]],Transactions_Clean[[#This Row],[Amount(₹)]]/8)</f>
        <v>-5257.875</v>
      </c>
    </row>
    <row r="2856" spans="1:12">
      <c r="A2856" t="s">
        <v>4264</v>
      </c>
      <c r="B2856" t="s">
        <v>4755</v>
      </c>
      <c r="C2856" t="s">
        <v>78</v>
      </c>
      <c r="D2856">
        <v>-118892</v>
      </c>
      <c r="E2856" t="s">
        <v>23</v>
      </c>
      <c r="F2856" t="s">
        <v>24</v>
      </c>
      <c r="G2856" t="s">
        <v>79</v>
      </c>
      <c r="H2856" t="s">
        <v>39</v>
      </c>
      <c r="I2856" t="s">
        <v>40</v>
      </c>
      <c r="J2856" s="11">
        <v>45929</v>
      </c>
      <c r="K2856" t="str">
        <f>TEXT(Transactions_Clean[[#This Row],[Date]],"MMM-YYYY")</f>
        <v>Sep-2025</v>
      </c>
      <c r="L2856">
        <f>IF(Transactions_Clean[[#This Row],[Category]]="Revenue",Transactions_Clean[[#This Row],[Amount(₹)]],Transactions_Clean[[#This Row],[Amount(₹)]]/8)</f>
        <v>-14861.5</v>
      </c>
    </row>
    <row r="2857" spans="1:12">
      <c r="A2857" t="s">
        <v>4265</v>
      </c>
      <c r="B2857" t="s">
        <v>4766</v>
      </c>
      <c r="C2857" t="s">
        <v>73</v>
      </c>
      <c r="D2857">
        <v>-58047</v>
      </c>
      <c r="E2857" t="s">
        <v>74</v>
      </c>
      <c r="F2857" t="s">
        <v>24</v>
      </c>
      <c r="G2857" t="s">
        <v>25</v>
      </c>
      <c r="H2857" t="s">
        <v>39</v>
      </c>
      <c r="I2857" t="s">
        <v>27</v>
      </c>
      <c r="J2857" s="11">
        <v>46046</v>
      </c>
      <c r="K2857" t="str">
        <f>TEXT(Transactions_Clean[[#This Row],[Date]],"MMM-YYYY")</f>
        <v>Jan-2026</v>
      </c>
      <c r="L2857">
        <f>IF(Transactions_Clean[[#This Row],[Category]]="Revenue",Transactions_Clean[[#This Row],[Amount(₹)]],Transactions_Clean[[#This Row],[Amount(₹)]]/8)</f>
        <v>-7255.875</v>
      </c>
    </row>
    <row r="2858" spans="1:12">
      <c r="A2858" t="s">
        <v>4266</v>
      </c>
      <c r="B2858" t="s">
        <v>66</v>
      </c>
      <c r="C2858" t="s">
        <v>61</v>
      </c>
      <c r="D2858">
        <v>-59007</v>
      </c>
      <c r="E2858" t="s">
        <v>62</v>
      </c>
      <c r="F2858" t="s">
        <v>32</v>
      </c>
      <c r="G2858" t="s">
        <v>63</v>
      </c>
      <c r="H2858" t="s">
        <v>45</v>
      </c>
      <c r="I2858" t="s">
        <v>27</v>
      </c>
      <c r="J2858" s="11">
        <v>45711</v>
      </c>
      <c r="K2858" t="str">
        <f>TEXT(Transactions_Clean[[#This Row],[Date]],"MMM-YYYY")</f>
        <v>Feb-2025</v>
      </c>
      <c r="L2858">
        <f>IF(Transactions_Clean[[#This Row],[Category]]="Revenue",Transactions_Clean[[#This Row],[Amount(₹)]],Transactions_Clean[[#This Row],[Amount(₹)]]/8)</f>
        <v>-7375.875</v>
      </c>
    </row>
    <row r="2859" spans="1:12">
      <c r="A2859" t="s">
        <v>4267</v>
      </c>
      <c r="B2859" t="s">
        <v>224</v>
      </c>
      <c r="C2859" t="s">
        <v>78</v>
      </c>
      <c r="D2859">
        <v>-42494</v>
      </c>
      <c r="E2859" t="s">
        <v>23</v>
      </c>
      <c r="F2859" t="s">
        <v>24</v>
      </c>
      <c r="G2859" t="s">
        <v>79</v>
      </c>
      <c r="H2859" t="s">
        <v>45</v>
      </c>
      <c r="I2859" t="s">
        <v>40</v>
      </c>
      <c r="J2859" s="11">
        <v>45504</v>
      </c>
      <c r="K2859" t="str">
        <f>TEXT(Transactions_Clean[[#This Row],[Date]],"MMM-YYYY")</f>
        <v>Jul-2024</v>
      </c>
      <c r="L2859">
        <f>IF(Transactions_Clean[[#This Row],[Category]]="Revenue",Transactions_Clean[[#This Row],[Amount(₹)]],Transactions_Clean[[#This Row],[Amount(₹)]]/8)</f>
        <v>-5311.75</v>
      </c>
    </row>
    <row r="2860" spans="1:12">
      <c r="A2860" t="s">
        <v>4268</v>
      </c>
      <c r="B2860" t="s">
        <v>143</v>
      </c>
      <c r="C2860" t="s">
        <v>78</v>
      </c>
      <c r="D2860">
        <v>-64976</v>
      </c>
      <c r="E2860" t="s">
        <v>23</v>
      </c>
      <c r="F2860" t="s">
        <v>32</v>
      </c>
      <c r="G2860" t="s">
        <v>79</v>
      </c>
      <c r="H2860" t="s">
        <v>45</v>
      </c>
      <c r="I2860" t="s">
        <v>48</v>
      </c>
      <c r="J2860" s="11">
        <v>45649</v>
      </c>
      <c r="K2860" t="str">
        <f>TEXT(Transactions_Clean[[#This Row],[Date]],"MMM-YYYY")</f>
        <v>Dec-2024</v>
      </c>
      <c r="L2860">
        <f>IF(Transactions_Clean[[#This Row],[Category]]="Revenue",Transactions_Clean[[#This Row],[Amount(₹)]],Transactions_Clean[[#This Row],[Amount(₹)]]/8)</f>
        <v>-8122</v>
      </c>
    </row>
    <row r="2861" spans="1:12">
      <c r="A2861" t="s">
        <v>4269</v>
      </c>
      <c r="B2861" t="s">
        <v>100</v>
      </c>
      <c r="C2861" t="s">
        <v>31</v>
      </c>
      <c r="D2861">
        <v>-14284</v>
      </c>
      <c r="E2861" t="s">
        <v>23</v>
      </c>
      <c r="F2861" t="s">
        <v>32</v>
      </c>
      <c r="G2861" t="s">
        <v>33</v>
      </c>
      <c r="H2861" t="s">
        <v>26</v>
      </c>
      <c r="I2861" t="s">
        <v>40</v>
      </c>
      <c r="J2861" s="11">
        <v>45186</v>
      </c>
      <c r="K2861" t="str">
        <f>TEXT(Transactions_Clean[[#This Row],[Date]],"MMM-YYYY")</f>
        <v>Sep-2023</v>
      </c>
      <c r="L2861">
        <f>IF(Transactions_Clean[[#This Row],[Category]]="Revenue",Transactions_Clean[[#This Row],[Amount(₹)]],Transactions_Clean[[#This Row],[Amount(₹)]]/8)</f>
        <v>-1785.5</v>
      </c>
    </row>
    <row r="2862" spans="1:12">
      <c r="A2862" t="s">
        <v>4270</v>
      </c>
      <c r="B2862" t="s">
        <v>100</v>
      </c>
      <c r="C2862" t="s">
        <v>31</v>
      </c>
      <c r="D2862">
        <v>-10013</v>
      </c>
      <c r="E2862" t="s">
        <v>23</v>
      </c>
      <c r="F2862" t="s">
        <v>32</v>
      </c>
      <c r="G2862" t="s">
        <v>33</v>
      </c>
      <c r="H2862" t="s">
        <v>26</v>
      </c>
      <c r="I2862" t="s">
        <v>34</v>
      </c>
      <c r="J2862" s="11">
        <v>45070</v>
      </c>
      <c r="K2862" t="str">
        <f>TEXT(Transactions_Clean[[#This Row],[Date]],"MMM-YYYY")</f>
        <v>May-2023</v>
      </c>
      <c r="L2862">
        <f>IF(Transactions_Clean[[#This Row],[Category]]="Revenue",Transactions_Clean[[#This Row],[Amount(₹)]],Transactions_Clean[[#This Row],[Amount(₹)]]/8)</f>
        <v>-1251.625</v>
      </c>
    </row>
    <row r="2863" spans="1:12">
      <c r="A2863" t="s">
        <v>4271</v>
      </c>
      <c r="B2863" t="s">
        <v>4763</v>
      </c>
      <c r="C2863" t="s">
        <v>22</v>
      </c>
      <c r="D2863">
        <v>-122708</v>
      </c>
      <c r="E2863" t="s">
        <v>23</v>
      </c>
      <c r="F2863" t="s">
        <v>32</v>
      </c>
      <c r="G2863" t="s">
        <v>25</v>
      </c>
      <c r="H2863" t="s">
        <v>45</v>
      </c>
      <c r="I2863" t="s">
        <v>48</v>
      </c>
      <c r="J2863" s="11">
        <v>45619</v>
      </c>
      <c r="K2863" t="str">
        <f>TEXT(Transactions_Clean[[#This Row],[Date]],"MMM-YYYY")</f>
        <v>Nov-2024</v>
      </c>
      <c r="L2863">
        <f>IF(Transactions_Clean[[#This Row],[Category]]="Revenue",Transactions_Clean[[#This Row],[Amount(₹)]],Transactions_Clean[[#This Row],[Amount(₹)]]/8)</f>
        <v>-15338.5</v>
      </c>
    </row>
    <row r="2864" spans="1:12">
      <c r="A2864" t="s">
        <v>4273</v>
      </c>
      <c r="B2864" t="s">
        <v>51</v>
      </c>
      <c r="C2864" t="s">
        <v>31</v>
      </c>
      <c r="D2864">
        <v>-25791</v>
      </c>
      <c r="E2864" t="s">
        <v>23</v>
      </c>
      <c r="F2864" t="s">
        <v>24</v>
      </c>
      <c r="G2864" t="s">
        <v>33</v>
      </c>
      <c r="H2864" t="s">
        <v>45</v>
      </c>
      <c r="I2864" t="s">
        <v>27</v>
      </c>
      <c r="J2864" s="11">
        <v>45738</v>
      </c>
      <c r="K2864" t="str">
        <f>TEXT(Transactions_Clean[[#This Row],[Date]],"MMM-YYYY")</f>
        <v>Mar-2025</v>
      </c>
      <c r="L2864">
        <f>IF(Transactions_Clean[[#This Row],[Category]]="Revenue",Transactions_Clean[[#This Row],[Amount(₹)]],Transactions_Clean[[#This Row],[Amount(₹)]]/8)</f>
        <v>-3223.875</v>
      </c>
    </row>
    <row r="2865" spans="1:12">
      <c r="A2865" t="s">
        <v>4275</v>
      </c>
      <c r="B2865" t="s">
        <v>4773</v>
      </c>
      <c r="C2865" t="s">
        <v>157</v>
      </c>
      <c r="D2865">
        <v>709923</v>
      </c>
      <c r="E2865" t="s">
        <v>62</v>
      </c>
      <c r="F2865" t="s">
        <v>32</v>
      </c>
      <c r="G2865" t="s">
        <v>25</v>
      </c>
      <c r="H2865" t="s">
        <v>39</v>
      </c>
      <c r="I2865" t="s">
        <v>40</v>
      </c>
      <c r="J2865" s="11">
        <v>45877</v>
      </c>
      <c r="K2865" t="str">
        <f>TEXT(Transactions_Clean[[#This Row],[Date]],"MMM-YYYY")</f>
        <v>Aug-2025</v>
      </c>
      <c r="L2865">
        <f>IF(Transactions_Clean[[#This Row],[Category]]="Revenue",Transactions_Clean[[#This Row],[Amount(₹)]],Transactions_Clean[[#This Row],[Amount(₹)]]/8)</f>
        <v>709923</v>
      </c>
    </row>
    <row r="2866" spans="1:12">
      <c r="A2866" t="s">
        <v>4276</v>
      </c>
      <c r="B2866" t="s">
        <v>4763</v>
      </c>
      <c r="C2866" t="s">
        <v>22</v>
      </c>
      <c r="D2866">
        <v>-115740</v>
      </c>
      <c r="E2866" t="s">
        <v>23</v>
      </c>
      <c r="F2866" t="s">
        <v>24</v>
      </c>
      <c r="G2866" t="s">
        <v>25</v>
      </c>
      <c r="H2866" t="s">
        <v>26</v>
      </c>
      <c r="I2866" t="s">
        <v>34</v>
      </c>
      <c r="J2866" s="11">
        <v>45107</v>
      </c>
      <c r="K2866" t="str">
        <f>TEXT(Transactions_Clean[[#This Row],[Date]],"MMM-YYYY")</f>
        <v>Jun-2023</v>
      </c>
      <c r="L2866">
        <f>IF(Transactions_Clean[[#This Row],[Category]]="Revenue",Transactions_Clean[[#This Row],[Amount(₹)]],Transactions_Clean[[#This Row],[Amount(₹)]]/8)</f>
        <v>-14467.5</v>
      </c>
    </row>
    <row r="2867" spans="1:12">
      <c r="A2867" t="s">
        <v>4277</v>
      </c>
      <c r="B2867" t="s">
        <v>4766</v>
      </c>
      <c r="C2867" t="s">
        <v>4750</v>
      </c>
      <c r="D2867">
        <v>-13616</v>
      </c>
      <c r="E2867" t="s">
        <v>74</v>
      </c>
      <c r="F2867" t="s">
        <v>32</v>
      </c>
      <c r="G2867" t="s">
        <v>25</v>
      </c>
      <c r="H2867" t="s">
        <v>39</v>
      </c>
      <c r="I2867" t="s">
        <v>48</v>
      </c>
      <c r="J2867" s="11">
        <v>46003</v>
      </c>
      <c r="K2867" t="str">
        <f>TEXT(Transactions_Clean[[#This Row],[Date]],"MMM-YYYY")</f>
        <v>Dec-2025</v>
      </c>
      <c r="L2867">
        <f>IF(Transactions_Clean[[#This Row],[Category]]="Revenue",Transactions_Clean[[#This Row],[Amount(₹)]],Transactions_Clean[[#This Row],[Amount(₹)]]/8)</f>
        <v>-1702</v>
      </c>
    </row>
    <row r="2868" spans="1:12">
      <c r="A2868" t="s">
        <v>4278</v>
      </c>
      <c r="B2868" t="s">
        <v>66</v>
      </c>
      <c r="C2868" t="s">
        <v>61</v>
      </c>
      <c r="D2868">
        <v>-25659</v>
      </c>
      <c r="E2868" t="s">
        <v>62</v>
      </c>
      <c r="F2868" t="s">
        <v>32</v>
      </c>
      <c r="G2868" t="s">
        <v>63</v>
      </c>
      <c r="H2868" t="s">
        <v>39</v>
      </c>
      <c r="I2868" t="s">
        <v>27</v>
      </c>
      <c r="J2868" s="11">
        <v>46107</v>
      </c>
      <c r="K2868" t="str">
        <f>TEXT(Transactions_Clean[[#This Row],[Date]],"MMM-YYYY")</f>
        <v>Mar-2026</v>
      </c>
      <c r="L2868">
        <f>IF(Transactions_Clean[[#This Row],[Category]]="Revenue",Transactions_Clean[[#This Row],[Amount(₹)]],Transactions_Clean[[#This Row],[Amount(₹)]]/8)</f>
        <v>-3207.375</v>
      </c>
    </row>
    <row r="2869" spans="1:12">
      <c r="A2869" t="s">
        <v>4279</v>
      </c>
      <c r="B2869" t="s">
        <v>4756</v>
      </c>
      <c r="C2869" t="s">
        <v>73</v>
      </c>
      <c r="D2869">
        <v>-58777</v>
      </c>
      <c r="E2869" t="s">
        <v>74</v>
      </c>
      <c r="F2869" t="s">
        <v>24</v>
      </c>
      <c r="G2869" t="s">
        <v>25</v>
      </c>
      <c r="H2869" t="s">
        <v>26</v>
      </c>
      <c r="I2869" t="s">
        <v>48</v>
      </c>
      <c r="J2869" s="11">
        <v>45277</v>
      </c>
      <c r="K2869" t="str">
        <f>TEXT(Transactions_Clean[[#This Row],[Date]],"MMM-YYYY")</f>
        <v>Dec-2023</v>
      </c>
      <c r="L2869">
        <f>IF(Transactions_Clean[[#This Row],[Category]]="Revenue",Transactions_Clean[[#This Row],[Amount(₹)]],Transactions_Clean[[#This Row],[Amount(₹)]]/8)</f>
        <v>-7347.125</v>
      </c>
    </row>
    <row r="2870" spans="1:12">
      <c r="A2870" t="s">
        <v>4280</v>
      </c>
      <c r="B2870" t="s">
        <v>616</v>
      </c>
      <c r="C2870" t="s">
        <v>22</v>
      </c>
      <c r="D2870">
        <v>-98665</v>
      </c>
      <c r="E2870" t="s">
        <v>23</v>
      </c>
      <c r="F2870" t="s">
        <v>32</v>
      </c>
      <c r="G2870" t="s">
        <v>25</v>
      </c>
      <c r="H2870" t="s">
        <v>39</v>
      </c>
      <c r="I2870" t="s">
        <v>40</v>
      </c>
      <c r="J2870" s="11">
        <v>45970</v>
      </c>
      <c r="K2870" t="str">
        <f>TEXT(Transactions_Clean[[#This Row],[Date]],"MMM-YYYY")</f>
        <v>Nov-2025</v>
      </c>
      <c r="L2870">
        <f>IF(Transactions_Clean[[#This Row],[Category]]="Revenue",Transactions_Clean[[#This Row],[Amount(₹)]],Transactions_Clean[[#This Row],[Amount(₹)]]/8)</f>
        <v>-12333.125</v>
      </c>
    </row>
    <row r="2871" spans="1:12">
      <c r="A2871" t="s">
        <v>4282</v>
      </c>
      <c r="B2871" t="s">
        <v>100</v>
      </c>
      <c r="C2871" t="s">
        <v>31</v>
      </c>
      <c r="D2871">
        <v>-16797</v>
      </c>
      <c r="E2871" t="s">
        <v>23</v>
      </c>
      <c r="F2871" t="s">
        <v>24</v>
      </c>
      <c r="G2871" t="s">
        <v>33</v>
      </c>
      <c r="H2871" t="s">
        <v>39</v>
      </c>
      <c r="I2871" t="s">
        <v>34</v>
      </c>
      <c r="J2871" s="11">
        <v>45784</v>
      </c>
      <c r="K2871" t="str">
        <f>TEXT(Transactions_Clean[[#This Row],[Date]],"MMM-YYYY")</f>
        <v>May-2025</v>
      </c>
      <c r="L2871">
        <f>IF(Transactions_Clean[[#This Row],[Category]]="Revenue",Transactions_Clean[[#This Row],[Amount(₹)]],Transactions_Clean[[#This Row],[Amount(₹)]]/8)</f>
        <v>-2099.625</v>
      </c>
    </row>
    <row r="2872" spans="1:12">
      <c r="A2872" t="s">
        <v>4283</v>
      </c>
      <c r="B2872" t="s">
        <v>4759</v>
      </c>
      <c r="C2872" t="s">
        <v>31</v>
      </c>
      <c r="D2872">
        <v>-35929</v>
      </c>
      <c r="E2872" t="s">
        <v>23</v>
      </c>
      <c r="F2872" t="s">
        <v>24</v>
      </c>
      <c r="G2872" t="s">
        <v>33</v>
      </c>
      <c r="H2872" t="s">
        <v>26</v>
      </c>
      <c r="I2872" t="s">
        <v>40</v>
      </c>
      <c r="J2872" s="11">
        <v>45159</v>
      </c>
      <c r="K2872" t="str">
        <f>TEXT(Transactions_Clean[[#This Row],[Date]],"MMM-YYYY")</f>
        <v>Aug-2023</v>
      </c>
      <c r="L2872">
        <f>IF(Transactions_Clean[[#This Row],[Category]]="Revenue",Transactions_Clean[[#This Row],[Amount(₹)]],Transactions_Clean[[#This Row],[Amount(₹)]]/8)</f>
        <v>-4491.125</v>
      </c>
    </row>
    <row r="2873" spans="1:12">
      <c r="A2873" t="s">
        <v>4284</v>
      </c>
      <c r="B2873" t="s">
        <v>87</v>
      </c>
      <c r="C2873" t="s">
        <v>22</v>
      </c>
      <c r="D2873">
        <v>-213155</v>
      </c>
      <c r="E2873" t="s">
        <v>23</v>
      </c>
      <c r="F2873" t="s">
        <v>32</v>
      </c>
      <c r="G2873" t="s">
        <v>25</v>
      </c>
      <c r="H2873" t="s">
        <v>26</v>
      </c>
      <c r="I2873" t="s">
        <v>27</v>
      </c>
      <c r="J2873" s="11">
        <v>45349</v>
      </c>
      <c r="K2873" t="str">
        <f>TEXT(Transactions_Clean[[#This Row],[Date]],"MMM-YYYY")</f>
        <v>Feb-2024</v>
      </c>
      <c r="L2873">
        <f>IF(Transactions_Clean[[#This Row],[Category]]="Revenue",Transactions_Clean[[#This Row],[Amount(₹)]],Transactions_Clean[[#This Row],[Amount(₹)]]/8)</f>
        <v>-26644.375</v>
      </c>
    </row>
    <row r="2874" spans="1:12">
      <c r="A2874" t="s">
        <v>4285</v>
      </c>
      <c r="B2874" t="s">
        <v>72</v>
      </c>
      <c r="C2874" t="s">
        <v>73</v>
      </c>
      <c r="D2874">
        <v>-76848</v>
      </c>
      <c r="E2874" t="s">
        <v>74</v>
      </c>
      <c r="F2874" t="s">
        <v>24</v>
      </c>
      <c r="G2874" t="s">
        <v>25</v>
      </c>
      <c r="H2874" t="s">
        <v>45</v>
      </c>
      <c r="I2874" t="s">
        <v>40</v>
      </c>
      <c r="J2874" s="11">
        <v>45521</v>
      </c>
      <c r="K2874" t="str">
        <f>TEXT(Transactions_Clean[[#This Row],[Date]],"MMM-YYYY")</f>
        <v>Aug-2024</v>
      </c>
      <c r="L2874">
        <f>IF(Transactions_Clean[[#This Row],[Category]]="Revenue",Transactions_Clean[[#This Row],[Amount(₹)]],Transactions_Clean[[#This Row],[Amount(₹)]]/8)</f>
        <v>-9606</v>
      </c>
    </row>
    <row r="2875" spans="1:12">
      <c r="A2875" t="s">
        <v>4286</v>
      </c>
      <c r="B2875" t="s">
        <v>935</v>
      </c>
      <c r="C2875" t="s">
        <v>22</v>
      </c>
      <c r="D2875">
        <v>-199050</v>
      </c>
      <c r="E2875" t="s">
        <v>23</v>
      </c>
      <c r="F2875" t="s">
        <v>32</v>
      </c>
      <c r="G2875" t="s">
        <v>25</v>
      </c>
      <c r="H2875" t="s">
        <v>39</v>
      </c>
      <c r="I2875" t="s">
        <v>48</v>
      </c>
      <c r="J2875" s="11">
        <v>45978</v>
      </c>
      <c r="K2875" t="str">
        <f>TEXT(Transactions_Clean[[#This Row],[Date]],"MMM-YYYY")</f>
        <v>Nov-2025</v>
      </c>
      <c r="L2875">
        <f>IF(Transactions_Clean[[#This Row],[Category]]="Revenue",Transactions_Clean[[#This Row],[Amount(₹)]],Transactions_Clean[[#This Row],[Amount(₹)]]/8)</f>
        <v>-24881.25</v>
      </c>
    </row>
    <row r="2876" spans="1:12">
      <c r="A2876" t="s">
        <v>4287</v>
      </c>
      <c r="B2876" t="s">
        <v>106</v>
      </c>
      <c r="C2876" t="s">
        <v>31</v>
      </c>
      <c r="D2876">
        <v>-29480</v>
      </c>
      <c r="E2876" t="s">
        <v>23</v>
      </c>
      <c r="F2876" t="s">
        <v>32</v>
      </c>
      <c r="G2876" t="s">
        <v>33</v>
      </c>
      <c r="H2876" t="s">
        <v>45</v>
      </c>
      <c r="I2876" t="s">
        <v>48</v>
      </c>
      <c r="J2876" s="11">
        <v>45636</v>
      </c>
      <c r="K2876" t="str">
        <f>TEXT(Transactions_Clean[[#This Row],[Date]],"MMM-YYYY")</f>
        <v>Dec-2024</v>
      </c>
      <c r="L2876">
        <f>IF(Transactions_Clean[[#This Row],[Category]]="Revenue",Transactions_Clean[[#This Row],[Amount(₹)]],Transactions_Clean[[#This Row],[Amount(₹)]]/8)</f>
        <v>-3685</v>
      </c>
    </row>
    <row r="2877" spans="1:12">
      <c r="A2877" t="s">
        <v>4288</v>
      </c>
      <c r="B2877" t="s">
        <v>180</v>
      </c>
      <c r="C2877" t="s">
        <v>44</v>
      </c>
      <c r="D2877">
        <v>-133531</v>
      </c>
      <c r="E2877" t="s">
        <v>23</v>
      </c>
      <c r="F2877" t="s">
        <v>24</v>
      </c>
      <c r="G2877" t="s">
        <v>33</v>
      </c>
      <c r="H2877" t="s">
        <v>39</v>
      </c>
      <c r="I2877" t="s">
        <v>34</v>
      </c>
      <c r="J2877" s="11">
        <v>45805</v>
      </c>
      <c r="K2877" t="str">
        <f>TEXT(Transactions_Clean[[#This Row],[Date]],"MMM-YYYY")</f>
        <v>May-2025</v>
      </c>
      <c r="L2877">
        <f>IF(Transactions_Clean[[#This Row],[Category]]="Revenue",Transactions_Clean[[#This Row],[Amount(₹)]],Transactions_Clean[[#This Row],[Amount(₹)]]/8)</f>
        <v>-16691.375</v>
      </c>
    </row>
    <row r="2878" spans="1:12">
      <c r="A2878" t="s">
        <v>4290</v>
      </c>
      <c r="B2878" t="s">
        <v>161</v>
      </c>
      <c r="C2878" t="s">
        <v>22</v>
      </c>
      <c r="D2878">
        <v>-80759</v>
      </c>
      <c r="E2878" t="s">
        <v>23</v>
      </c>
      <c r="F2878" t="s">
        <v>32</v>
      </c>
      <c r="G2878" t="s">
        <v>25</v>
      </c>
      <c r="H2878" t="s">
        <v>39</v>
      </c>
      <c r="I2878" t="s">
        <v>48</v>
      </c>
      <c r="J2878" s="11">
        <v>46010</v>
      </c>
      <c r="K2878" t="str">
        <f>TEXT(Transactions_Clean[[#This Row],[Date]],"MMM-YYYY")</f>
        <v>Dec-2025</v>
      </c>
      <c r="L2878">
        <f>IF(Transactions_Clean[[#This Row],[Category]]="Revenue",Transactions_Clean[[#This Row],[Amount(₹)]],Transactions_Clean[[#This Row],[Amount(₹)]]/8)</f>
        <v>-10094.875</v>
      </c>
    </row>
    <row r="2879" spans="1:12">
      <c r="A2879" t="s">
        <v>4291</v>
      </c>
      <c r="B2879" t="s">
        <v>180</v>
      </c>
      <c r="C2879" t="s">
        <v>44</v>
      </c>
      <c r="D2879">
        <v>-161687</v>
      </c>
      <c r="E2879" t="s">
        <v>23</v>
      </c>
      <c r="F2879" t="s">
        <v>32</v>
      </c>
      <c r="G2879" t="s">
        <v>33</v>
      </c>
      <c r="H2879" t="s">
        <v>45</v>
      </c>
      <c r="I2879" t="s">
        <v>48</v>
      </c>
      <c r="J2879" s="11">
        <v>45653</v>
      </c>
      <c r="K2879" t="str">
        <f>TEXT(Transactions_Clean[[#This Row],[Date]],"MMM-YYYY")</f>
        <v>Dec-2024</v>
      </c>
      <c r="L2879">
        <f>IF(Transactions_Clean[[#This Row],[Category]]="Revenue",Transactions_Clean[[#This Row],[Amount(₹)]],Transactions_Clean[[#This Row],[Amount(₹)]]/8)</f>
        <v>-20210.875</v>
      </c>
    </row>
    <row r="2880" spans="1:12">
      <c r="A2880" t="s">
        <v>4292</v>
      </c>
      <c r="B2880" t="s">
        <v>215</v>
      </c>
      <c r="C2880" t="s">
        <v>61</v>
      </c>
      <c r="D2880">
        <v>-29010</v>
      </c>
      <c r="E2880" t="s">
        <v>62</v>
      </c>
      <c r="F2880" t="s">
        <v>32</v>
      </c>
      <c r="G2880" t="s">
        <v>63</v>
      </c>
      <c r="H2880" t="s">
        <v>39</v>
      </c>
      <c r="I2880" t="s">
        <v>27</v>
      </c>
      <c r="J2880" s="11">
        <v>46078</v>
      </c>
      <c r="K2880" t="str">
        <f>TEXT(Transactions_Clean[[#This Row],[Date]],"MMM-YYYY")</f>
        <v>Feb-2026</v>
      </c>
      <c r="L2880">
        <f>IF(Transactions_Clean[[#This Row],[Category]]="Revenue",Transactions_Clean[[#This Row],[Amount(₹)]],Transactions_Clean[[#This Row],[Amount(₹)]]/8)</f>
        <v>-3626.25</v>
      </c>
    </row>
    <row r="2881" spans="1:12">
      <c r="A2881" t="s">
        <v>4293</v>
      </c>
      <c r="B2881" t="s">
        <v>106</v>
      </c>
      <c r="C2881" t="s">
        <v>31</v>
      </c>
      <c r="D2881">
        <v>-16812</v>
      </c>
      <c r="E2881" t="s">
        <v>23</v>
      </c>
      <c r="F2881" t="s">
        <v>32</v>
      </c>
      <c r="G2881" t="s">
        <v>33</v>
      </c>
      <c r="H2881" t="s">
        <v>39</v>
      </c>
      <c r="I2881" t="s">
        <v>48</v>
      </c>
      <c r="J2881" s="11">
        <v>45937</v>
      </c>
      <c r="K2881" t="str">
        <f>TEXT(Transactions_Clean[[#This Row],[Date]],"MMM-YYYY")</f>
        <v>Oct-2025</v>
      </c>
      <c r="L2881">
        <f>IF(Transactions_Clean[[#This Row],[Category]]="Revenue",Transactions_Clean[[#This Row],[Amount(₹)]],Transactions_Clean[[#This Row],[Amount(₹)]]/8)</f>
        <v>-2101.5</v>
      </c>
    </row>
    <row r="2882" spans="1:12">
      <c r="A2882" t="s">
        <v>4294</v>
      </c>
      <c r="B2882" t="s">
        <v>4768</v>
      </c>
      <c r="C2882" t="s">
        <v>157</v>
      </c>
      <c r="D2882">
        <v>619362</v>
      </c>
      <c r="E2882" t="s">
        <v>62</v>
      </c>
      <c r="F2882" t="s">
        <v>32</v>
      </c>
      <c r="G2882" t="s">
        <v>25</v>
      </c>
      <c r="H2882" t="s">
        <v>26</v>
      </c>
      <c r="I2882" t="s">
        <v>48</v>
      </c>
      <c r="J2882" s="11">
        <v>45253</v>
      </c>
      <c r="K2882" t="str">
        <f>TEXT(Transactions_Clean[[#This Row],[Date]],"MMM-YYYY")</f>
        <v>Nov-2023</v>
      </c>
      <c r="L2882">
        <f>IF(Transactions_Clean[[#This Row],[Category]]="Revenue",Transactions_Clean[[#This Row],[Amount(₹)]],Transactions_Clean[[#This Row],[Amount(₹)]]/8)</f>
        <v>619362</v>
      </c>
    </row>
    <row r="2883" spans="1:12">
      <c r="A2883" t="s">
        <v>4295</v>
      </c>
      <c r="B2883" t="s">
        <v>4769</v>
      </c>
      <c r="C2883" t="s">
        <v>44</v>
      </c>
      <c r="D2883">
        <v>-122383</v>
      </c>
      <c r="E2883" t="s">
        <v>23</v>
      </c>
      <c r="F2883" t="s">
        <v>32</v>
      </c>
      <c r="G2883" t="s">
        <v>33</v>
      </c>
      <c r="H2883" t="s">
        <v>39</v>
      </c>
      <c r="I2883" t="s">
        <v>27</v>
      </c>
      <c r="J2883" s="11">
        <v>46078</v>
      </c>
      <c r="K2883" t="str">
        <f>TEXT(Transactions_Clean[[#This Row],[Date]],"MMM-YYYY")</f>
        <v>Feb-2026</v>
      </c>
      <c r="L2883">
        <f>IF(Transactions_Clean[[#This Row],[Category]]="Revenue",Transactions_Clean[[#This Row],[Amount(₹)]],Transactions_Clean[[#This Row],[Amount(₹)]]/8)</f>
        <v>-15297.875</v>
      </c>
    </row>
    <row r="2884" spans="1:12">
      <c r="A2884" t="s">
        <v>4296</v>
      </c>
      <c r="B2884" t="s">
        <v>4749</v>
      </c>
      <c r="C2884" t="s">
        <v>44</v>
      </c>
      <c r="D2884">
        <v>-99308</v>
      </c>
      <c r="E2884" t="s">
        <v>23</v>
      </c>
      <c r="F2884" t="s">
        <v>24</v>
      </c>
      <c r="G2884" t="s">
        <v>33</v>
      </c>
      <c r="H2884" t="s">
        <v>26</v>
      </c>
      <c r="I2884" t="s">
        <v>27</v>
      </c>
      <c r="J2884" s="11">
        <v>45378</v>
      </c>
      <c r="K2884" t="str">
        <f>TEXT(Transactions_Clean[[#This Row],[Date]],"MMM-YYYY")</f>
        <v>Mar-2024</v>
      </c>
      <c r="L2884">
        <f>IF(Transactions_Clean[[#This Row],[Category]]="Revenue",Transactions_Clean[[#This Row],[Amount(₹)]],Transactions_Clean[[#This Row],[Amount(₹)]]/8)</f>
        <v>-12413.5</v>
      </c>
    </row>
    <row r="2885" spans="1:12">
      <c r="A2885" t="s">
        <v>4297</v>
      </c>
      <c r="B2885" t="s">
        <v>4769</v>
      </c>
      <c r="C2885" t="s">
        <v>44</v>
      </c>
      <c r="D2885">
        <v>-64447</v>
      </c>
      <c r="E2885" t="s">
        <v>23</v>
      </c>
      <c r="F2885" t="s">
        <v>24</v>
      </c>
      <c r="G2885" t="s">
        <v>33</v>
      </c>
      <c r="H2885" t="s">
        <v>39</v>
      </c>
      <c r="I2885" t="s">
        <v>27</v>
      </c>
      <c r="J2885" s="11">
        <v>46105</v>
      </c>
      <c r="K2885" t="str">
        <f>TEXT(Transactions_Clean[[#This Row],[Date]],"MMM-YYYY")</f>
        <v>Mar-2026</v>
      </c>
      <c r="L2885">
        <f>IF(Transactions_Clean[[#This Row],[Category]]="Revenue",Transactions_Clean[[#This Row],[Amount(₹)]],Transactions_Clean[[#This Row],[Amount(₹)]]/8)</f>
        <v>-8055.875</v>
      </c>
    </row>
    <row r="2886" spans="1:12">
      <c r="A2886" t="s">
        <v>4298</v>
      </c>
      <c r="B2886" t="s">
        <v>215</v>
      </c>
      <c r="C2886" t="s">
        <v>61</v>
      </c>
      <c r="D2886">
        <v>-23917</v>
      </c>
      <c r="E2886" t="s">
        <v>62</v>
      </c>
      <c r="F2886" t="s">
        <v>24</v>
      </c>
      <c r="G2886" t="s">
        <v>63</v>
      </c>
      <c r="H2886" t="s">
        <v>26</v>
      </c>
      <c r="I2886" t="s">
        <v>34</v>
      </c>
      <c r="J2886" s="11">
        <v>45062</v>
      </c>
      <c r="K2886" t="str">
        <f>TEXT(Transactions_Clean[[#This Row],[Date]],"MMM-YYYY")</f>
        <v>May-2023</v>
      </c>
      <c r="L2886">
        <f>IF(Transactions_Clean[[#This Row],[Category]]="Revenue",Transactions_Clean[[#This Row],[Amount(₹)]],Transactions_Clean[[#This Row],[Amount(₹)]]/8)</f>
        <v>-2989.625</v>
      </c>
    </row>
    <row r="2887" spans="1:12">
      <c r="A2887" t="s">
        <v>4299</v>
      </c>
      <c r="B2887" t="s">
        <v>4767</v>
      </c>
      <c r="C2887" t="s">
        <v>157</v>
      </c>
      <c r="D2887">
        <v>565500</v>
      </c>
      <c r="E2887" t="s">
        <v>62</v>
      </c>
      <c r="F2887" t="s">
        <v>32</v>
      </c>
      <c r="G2887" t="s">
        <v>25</v>
      </c>
      <c r="H2887" t="s">
        <v>26</v>
      </c>
      <c r="I2887" t="s">
        <v>48</v>
      </c>
      <c r="J2887" s="11">
        <v>45228</v>
      </c>
      <c r="K2887" t="str">
        <f>TEXT(Transactions_Clean[[#This Row],[Date]],"MMM-YYYY")</f>
        <v>Oct-2023</v>
      </c>
      <c r="L2887">
        <f>IF(Transactions_Clean[[#This Row],[Category]]="Revenue",Transactions_Clean[[#This Row],[Amount(₹)]],Transactions_Clean[[#This Row],[Amount(₹)]]/8)</f>
        <v>565500</v>
      </c>
    </row>
    <row r="2888" spans="1:12">
      <c r="A2888" t="s">
        <v>4300</v>
      </c>
      <c r="B2888" t="s">
        <v>116</v>
      </c>
      <c r="C2888" t="s">
        <v>73</v>
      </c>
      <c r="D2888">
        <v>-14536</v>
      </c>
      <c r="E2888" t="s">
        <v>74</v>
      </c>
      <c r="F2888" t="s">
        <v>24</v>
      </c>
      <c r="G2888" t="s">
        <v>25</v>
      </c>
      <c r="H2888" t="s">
        <v>45</v>
      </c>
      <c r="I2888" t="s">
        <v>40</v>
      </c>
      <c r="J2888" s="11">
        <v>45525</v>
      </c>
      <c r="K2888" t="str">
        <f>TEXT(Transactions_Clean[[#This Row],[Date]],"MMM-YYYY")</f>
        <v>Aug-2024</v>
      </c>
      <c r="L2888">
        <f>IF(Transactions_Clean[[#This Row],[Category]]="Revenue",Transactions_Clean[[#This Row],[Amount(₹)]],Transactions_Clean[[#This Row],[Amount(₹)]]/8)</f>
        <v>-1817</v>
      </c>
    </row>
    <row r="2889" spans="1:12">
      <c r="A2889" t="s">
        <v>4301</v>
      </c>
      <c r="B2889" t="s">
        <v>116</v>
      </c>
      <c r="C2889" t="s">
        <v>73</v>
      </c>
      <c r="D2889">
        <v>-28152</v>
      </c>
      <c r="E2889" t="s">
        <v>74</v>
      </c>
      <c r="F2889" t="s">
        <v>24</v>
      </c>
      <c r="G2889" t="s">
        <v>25</v>
      </c>
      <c r="H2889" t="s">
        <v>26</v>
      </c>
      <c r="I2889" t="s">
        <v>48</v>
      </c>
      <c r="J2889" s="11">
        <v>44936</v>
      </c>
      <c r="K2889" t="str">
        <f>TEXT(Transactions_Clean[[#This Row],[Date]],"MMM-YYYY")</f>
        <v>Jan-2023</v>
      </c>
      <c r="L2889">
        <f>IF(Transactions_Clean[[#This Row],[Category]]="Revenue",Transactions_Clean[[#This Row],[Amount(₹)]],Transactions_Clean[[#This Row],[Amount(₹)]]/8)</f>
        <v>-3519</v>
      </c>
    </row>
    <row r="2890" spans="1:12">
      <c r="A2890" t="s">
        <v>4303</v>
      </c>
      <c r="B2890" t="s">
        <v>237</v>
      </c>
      <c r="C2890" t="s">
        <v>22</v>
      </c>
      <c r="D2890">
        <v>-141338</v>
      </c>
      <c r="E2890" t="s">
        <v>23</v>
      </c>
      <c r="F2890" t="s">
        <v>24</v>
      </c>
      <c r="G2890" t="s">
        <v>25</v>
      </c>
      <c r="H2890" t="s">
        <v>26</v>
      </c>
      <c r="I2890" t="s">
        <v>34</v>
      </c>
      <c r="J2890" s="11">
        <v>45063</v>
      </c>
      <c r="K2890" t="str">
        <f>TEXT(Transactions_Clean[[#This Row],[Date]],"MMM-YYYY")</f>
        <v>May-2023</v>
      </c>
      <c r="L2890">
        <f>IF(Transactions_Clean[[#This Row],[Category]]="Revenue",Transactions_Clean[[#This Row],[Amount(₹)]],Transactions_Clean[[#This Row],[Amount(₹)]]/8)</f>
        <v>-17667.25</v>
      </c>
    </row>
    <row r="2891" spans="1:12">
      <c r="A2891" t="s">
        <v>4304</v>
      </c>
      <c r="B2891" t="s">
        <v>177</v>
      </c>
      <c r="C2891" t="s">
        <v>78</v>
      </c>
      <c r="D2891">
        <v>-83406</v>
      </c>
      <c r="E2891" t="s">
        <v>23</v>
      </c>
      <c r="F2891" t="s">
        <v>24</v>
      </c>
      <c r="G2891" t="s">
        <v>79</v>
      </c>
      <c r="H2891" t="s">
        <v>39</v>
      </c>
      <c r="I2891" t="s">
        <v>40</v>
      </c>
      <c r="J2891" s="11">
        <v>45884</v>
      </c>
      <c r="K2891" t="str">
        <f>TEXT(Transactions_Clean[[#This Row],[Date]],"MMM-YYYY")</f>
        <v>Aug-2025</v>
      </c>
      <c r="L2891">
        <f>IF(Transactions_Clean[[#This Row],[Category]]="Revenue",Transactions_Clean[[#This Row],[Amount(₹)]],Transactions_Clean[[#This Row],[Amount(₹)]]/8)</f>
        <v>-10425.75</v>
      </c>
    </row>
    <row r="2892" spans="1:12">
      <c r="A2892" t="s">
        <v>4305</v>
      </c>
      <c r="B2892" t="s">
        <v>4757</v>
      </c>
      <c r="C2892" t="s">
        <v>73</v>
      </c>
      <c r="D2892">
        <v>-81695</v>
      </c>
      <c r="E2892" t="s">
        <v>74</v>
      </c>
      <c r="F2892" t="s">
        <v>24</v>
      </c>
      <c r="G2892" t="s">
        <v>25</v>
      </c>
      <c r="H2892" t="s">
        <v>26</v>
      </c>
      <c r="I2892" t="s">
        <v>27</v>
      </c>
      <c r="J2892" s="11">
        <v>45350</v>
      </c>
      <c r="K2892" t="str">
        <f>TEXT(Transactions_Clean[[#This Row],[Date]],"MMM-YYYY")</f>
        <v>Feb-2024</v>
      </c>
      <c r="L2892">
        <f>IF(Transactions_Clean[[#This Row],[Category]]="Revenue",Transactions_Clean[[#This Row],[Amount(₹)]],Transactions_Clean[[#This Row],[Amount(₹)]]/8)</f>
        <v>-10211.875</v>
      </c>
    </row>
    <row r="2893" spans="1:12">
      <c r="A2893" t="s">
        <v>4306</v>
      </c>
      <c r="B2893" t="s">
        <v>4752</v>
      </c>
      <c r="C2893" t="s">
        <v>44</v>
      </c>
      <c r="D2893">
        <v>-126075</v>
      </c>
      <c r="E2893" t="s">
        <v>23</v>
      </c>
      <c r="F2893" t="s">
        <v>32</v>
      </c>
      <c r="G2893" t="s">
        <v>33</v>
      </c>
      <c r="H2893" t="s">
        <v>26</v>
      </c>
      <c r="I2893" t="s">
        <v>34</v>
      </c>
      <c r="J2893" s="11">
        <v>45100</v>
      </c>
      <c r="K2893" t="str">
        <f>TEXT(Transactions_Clean[[#This Row],[Date]],"MMM-YYYY")</f>
        <v>Jun-2023</v>
      </c>
      <c r="L2893">
        <f>IF(Transactions_Clean[[#This Row],[Category]]="Revenue",Transactions_Clean[[#This Row],[Amount(₹)]],Transactions_Clean[[#This Row],[Amount(₹)]]/8)</f>
        <v>-15759.375</v>
      </c>
    </row>
    <row r="2894" spans="1:12">
      <c r="A2894" t="s">
        <v>4307</v>
      </c>
      <c r="B2894" t="s">
        <v>174</v>
      </c>
      <c r="C2894" t="s">
        <v>22</v>
      </c>
      <c r="D2894">
        <v>-43048</v>
      </c>
      <c r="E2894" t="s">
        <v>23</v>
      </c>
      <c r="F2894" t="s">
        <v>32</v>
      </c>
      <c r="G2894" t="s">
        <v>25</v>
      </c>
      <c r="H2894" t="s">
        <v>26</v>
      </c>
      <c r="I2894" t="s">
        <v>48</v>
      </c>
      <c r="J2894" s="11">
        <v>45233</v>
      </c>
      <c r="K2894" t="str">
        <f>TEXT(Transactions_Clean[[#This Row],[Date]],"MMM-YYYY")</f>
        <v>Nov-2023</v>
      </c>
      <c r="L2894">
        <f>IF(Transactions_Clean[[#This Row],[Category]]="Revenue",Transactions_Clean[[#This Row],[Amount(₹)]],Transactions_Clean[[#This Row],[Amount(₹)]]/8)</f>
        <v>-5381</v>
      </c>
    </row>
    <row r="2895" spans="1:12">
      <c r="A2895" t="s">
        <v>4308</v>
      </c>
      <c r="B2895" t="s">
        <v>4748</v>
      </c>
      <c r="C2895" t="s">
        <v>22</v>
      </c>
      <c r="D2895">
        <v>-96342</v>
      </c>
      <c r="E2895" t="s">
        <v>23</v>
      </c>
      <c r="F2895" t="s">
        <v>32</v>
      </c>
      <c r="G2895" t="s">
        <v>25</v>
      </c>
      <c r="H2895" t="s">
        <v>26</v>
      </c>
      <c r="I2895" t="s">
        <v>40</v>
      </c>
      <c r="J2895" s="11">
        <v>45172</v>
      </c>
      <c r="K2895" t="str">
        <f>TEXT(Transactions_Clean[[#This Row],[Date]],"MMM-YYYY")</f>
        <v>Sep-2023</v>
      </c>
      <c r="L2895">
        <f>IF(Transactions_Clean[[#This Row],[Category]]="Revenue",Transactions_Clean[[#This Row],[Amount(₹)]],Transactions_Clean[[#This Row],[Amount(₹)]]/8)</f>
        <v>-12042.75</v>
      </c>
    </row>
    <row r="2896" spans="1:12">
      <c r="A2896" t="s">
        <v>4310</v>
      </c>
      <c r="B2896" t="s">
        <v>143</v>
      </c>
      <c r="C2896" t="s">
        <v>78</v>
      </c>
      <c r="D2896">
        <v>-32782</v>
      </c>
      <c r="E2896" t="s">
        <v>23</v>
      </c>
      <c r="F2896" t="s">
        <v>32</v>
      </c>
      <c r="G2896" t="s">
        <v>79</v>
      </c>
      <c r="H2896" t="s">
        <v>39</v>
      </c>
      <c r="I2896" t="s">
        <v>34</v>
      </c>
      <c r="J2896" s="11">
        <v>45821</v>
      </c>
      <c r="K2896" t="str">
        <f>TEXT(Transactions_Clean[[#This Row],[Date]],"MMM-YYYY")</f>
        <v>Jun-2025</v>
      </c>
      <c r="L2896">
        <f>IF(Transactions_Clean[[#This Row],[Category]]="Revenue",Transactions_Clean[[#This Row],[Amount(₹)]],Transactions_Clean[[#This Row],[Amount(₹)]]/8)</f>
        <v>-4097.75</v>
      </c>
    </row>
    <row r="2897" spans="1:12">
      <c r="A2897" t="s">
        <v>4311</v>
      </c>
      <c r="B2897" t="s">
        <v>4759</v>
      </c>
      <c r="C2897" t="s">
        <v>31</v>
      </c>
      <c r="D2897">
        <v>-43785</v>
      </c>
      <c r="E2897" t="s">
        <v>23</v>
      </c>
      <c r="F2897" t="s">
        <v>24</v>
      </c>
      <c r="G2897" t="s">
        <v>33</v>
      </c>
      <c r="H2897" t="s">
        <v>26</v>
      </c>
      <c r="I2897" t="s">
        <v>34</v>
      </c>
      <c r="J2897" s="11">
        <v>45061</v>
      </c>
      <c r="K2897" t="str">
        <f>TEXT(Transactions_Clean[[#This Row],[Date]],"MMM-YYYY")</f>
        <v>May-2023</v>
      </c>
      <c r="L2897">
        <f>IF(Transactions_Clean[[#This Row],[Category]]="Revenue",Transactions_Clean[[#This Row],[Amount(₹)]],Transactions_Clean[[#This Row],[Amount(₹)]]/8)</f>
        <v>-5473.125</v>
      </c>
    </row>
    <row r="2898" spans="1:12">
      <c r="A2898" t="s">
        <v>4312</v>
      </c>
      <c r="B2898" t="s">
        <v>4766</v>
      </c>
      <c r="C2898" t="s">
        <v>73</v>
      </c>
      <c r="D2898">
        <v>-12940</v>
      </c>
      <c r="E2898" t="s">
        <v>74</v>
      </c>
      <c r="F2898" t="s">
        <v>24</v>
      </c>
      <c r="G2898" t="s">
        <v>25</v>
      </c>
      <c r="H2898" t="s">
        <v>39</v>
      </c>
      <c r="I2898" t="s">
        <v>34</v>
      </c>
      <c r="J2898" s="11">
        <v>45811</v>
      </c>
      <c r="K2898" t="str">
        <f>TEXT(Transactions_Clean[[#This Row],[Date]],"MMM-YYYY")</f>
        <v>Jun-2025</v>
      </c>
      <c r="L2898">
        <f>IF(Transactions_Clean[[#This Row],[Category]]="Revenue",Transactions_Clean[[#This Row],[Amount(₹)]],Transactions_Clean[[#This Row],[Amount(₹)]]/8)</f>
        <v>-1617.5</v>
      </c>
    </row>
    <row r="2899" spans="1:12">
      <c r="A2899" t="s">
        <v>4313</v>
      </c>
      <c r="B2899" t="s">
        <v>4755</v>
      </c>
      <c r="C2899" t="s">
        <v>78</v>
      </c>
      <c r="D2899">
        <v>-74996</v>
      </c>
      <c r="E2899" t="s">
        <v>23</v>
      </c>
      <c r="F2899" t="s">
        <v>32</v>
      </c>
      <c r="G2899" t="s">
        <v>79</v>
      </c>
      <c r="H2899" t="s">
        <v>26</v>
      </c>
      <c r="I2899" t="s">
        <v>27</v>
      </c>
      <c r="J2899" s="11">
        <v>45315</v>
      </c>
      <c r="K2899" t="str">
        <f>TEXT(Transactions_Clean[[#This Row],[Date]],"MMM-YYYY")</f>
        <v>Jan-2024</v>
      </c>
      <c r="L2899">
        <f>IF(Transactions_Clean[[#This Row],[Category]]="Revenue",Transactions_Clean[[#This Row],[Amount(₹)]],Transactions_Clean[[#This Row],[Amount(₹)]]/8)</f>
        <v>-9374.5</v>
      </c>
    </row>
    <row r="2900" spans="1:12">
      <c r="A2900" t="s">
        <v>4314</v>
      </c>
      <c r="B2900" t="s">
        <v>4756</v>
      </c>
      <c r="C2900" t="s">
        <v>73</v>
      </c>
      <c r="D2900">
        <v>-9025</v>
      </c>
      <c r="E2900" t="s">
        <v>74</v>
      </c>
      <c r="F2900" t="s">
        <v>32</v>
      </c>
      <c r="G2900" t="s">
        <v>25</v>
      </c>
      <c r="H2900" t="s">
        <v>26</v>
      </c>
      <c r="I2900" t="s">
        <v>34</v>
      </c>
      <c r="J2900" s="11">
        <v>45038</v>
      </c>
      <c r="K2900" t="str">
        <f>TEXT(Transactions_Clean[[#This Row],[Date]],"MMM-YYYY")</f>
        <v>Apr-2023</v>
      </c>
      <c r="L2900">
        <f>IF(Transactions_Clean[[#This Row],[Category]]="Revenue",Transactions_Clean[[#This Row],[Amount(₹)]],Transactions_Clean[[#This Row],[Amount(₹)]]/8)</f>
        <v>-1128.125</v>
      </c>
    </row>
    <row r="2901" spans="1:12">
      <c r="A2901" t="s">
        <v>4315</v>
      </c>
      <c r="B2901" t="s">
        <v>4766</v>
      </c>
      <c r="C2901" t="s">
        <v>73</v>
      </c>
      <c r="D2901">
        <v>-66079</v>
      </c>
      <c r="E2901" t="s">
        <v>74</v>
      </c>
      <c r="F2901" t="s">
        <v>32</v>
      </c>
      <c r="G2901" t="s">
        <v>25</v>
      </c>
      <c r="H2901" t="s">
        <v>26</v>
      </c>
      <c r="I2901" t="s">
        <v>40</v>
      </c>
      <c r="J2901" s="11">
        <v>45194</v>
      </c>
      <c r="K2901" t="str">
        <f>TEXT(Transactions_Clean[[#This Row],[Date]],"MMM-YYYY")</f>
        <v>Sep-2023</v>
      </c>
      <c r="L2901">
        <f>IF(Transactions_Clean[[#This Row],[Category]]="Revenue",Transactions_Clean[[#This Row],[Amount(₹)]],Transactions_Clean[[#This Row],[Amount(₹)]]/8)</f>
        <v>-8259.875</v>
      </c>
    </row>
    <row r="2902" spans="1:12">
      <c r="A2902" t="s">
        <v>4316</v>
      </c>
      <c r="B2902" t="s">
        <v>51</v>
      </c>
      <c r="C2902" t="s">
        <v>31</v>
      </c>
      <c r="D2902">
        <v>-8374</v>
      </c>
      <c r="E2902" t="s">
        <v>23</v>
      </c>
      <c r="F2902" t="s">
        <v>32</v>
      </c>
      <c r="G2902" t="s">
        <v>33</v>
      </c>
      <c r="H2902" t="s">
        <v>39</v>
      </c>
      <c r="I2902" t="s">
        <v>27</v>
      </c>
      <c r="J2902" s="11">
        <v>46069</v>
      </c>
      <c r="K2902" t="str">
        <f>TEXT(Transactions_Clean[[#This Row],[Date]],"MMM-YYYY")</f>
        <v>Feb-2026</v>
      </c>
      <c r="L2902">
        <f>IF(Transactions_Clean[[#This Row],[Category]]="Revenue",Transactions_Clean[[#This Row],[Amount(₹)]],Transactions_Clean[[#This Row],[Amount(₹)]]/8)</f>
        <v>-1046.75</v>
      </c>
    </row>
    <row r="2903" spans="1:12">
      <c r="A2903" t="s">
        <v>4318</v>
      </c>
      <c r="B2903" t="s">
        <v>4776</v>
      </c>
      <c r="C2903" t="s">
        <v>440</v>
      </c>
      <c r="D2903">
        <v>-138222</v>
      </c>
      <c r="E2903" t="s">
        <v>23</v>
      </c>
      <c r="F2903" t="s">
        <v>32</v>
      </c>
      <c r="G2903" t="s">
        <v>33</v>
      </c>
      <c r="H2903" t="s">
        <v>39</v>
      </c>
      <c r="I2903" t="s">
        <v>34</v>
      </c>
      <c r="J2903" s="11">
        <v>45764</v>
      </c>
      <c r="K2903" t="str">
        <f>TEXT(Transactions_Clean[[#This Row],[Date]],"MMM-YYYY")</f>
        <v>Apr-2025</v>
      </c>
      <c r="L2903">
        <f>IF(Transactions_Clean[[#This Row],[Category]]="Revenue",Transactions_Clean[[#This Row],[Amount(₹)]],Transactions_Clean[[#This Row],[Amount(₹)]]/8)</f>
        <v>-17277.75</v>
      </c>
    </row>
    <row r="2904" spans="1:12">
      <c r="A2904" t="s">
        <v>4319</v>
      </c>
      <c r="B2904" t="s">
        <v>4800</v>
      </c>
      <c r="C2904" t="s">
        <v>136</v>
      </c>
      <c r="D2904">
        <v>-10493197</v>
      </c>
      <c r="E2904" t="s">
        <v>62</v>
      </c>
      <c r="F2904" t="s">
        <v>32</v>
      </c>
      <c r="G2904" t="s">
        <v>63</v>
      </c>
      <c r="H2904" t="s">
        <v>39</v>
      </c>
      <c r="I2904" t="s">
        <v>40</v>
      </c>
      <c r="J2904" s="11">
        <v>45897</v>
      </c>
      <c r="K2904" t="str">
        <f>TEXT(Transactions_Clean[[#This Row],[Date]],"MMM-YYYY")</f>
        <v>Aug-2025</v>
      </c>
      <c r="L2904">
        <f>IF(Transactions_Clean[[#This Row],[Category]]="Revenue",Transactions_Clean[[#This Row],[Amount(₹)]],Transactions_Clean[[#This Row],[Amount(₹)]]/8)</f>
        <v>-1311649.625</v>
      </c>
    </row>
    <row r="2905" spans="1:12">
      <c r="A2905" t="s">
        <v>4321</v>
      </c>
      <c r="B2905" t="s">
        <v>4748</v>
      </c>
      <c r="C2905" t="s">
        <v>22</v>
      </c>
      <c r="D2905">
        <v>-209122</v>
      </c>
      <c r="E2905" t="s">
        <v>23</v>
      </c>
      <c r="F2905" t="s">
        <v>24</v>
      </c>
      <c r="G2905" t="s">
        <v>25</v>
      </c>
      <c r="H2905" t="s">
        <v>26</v>
      </c>
      <c r="I2905" t="s">
        <v>34</v>
      </c>
      <c r="J2905" s="11">
        <v>45018</v>
      </c>
      <c r="K2905" t="str">
        <f>TEXT(Transactions_Clean[[#This Row],[Date]],"MMM-YYYY")</f>
        <v>Apr-2023</v>
      </c>
      <c r="L2905">
        <f>IF(Transactions_Clean[[#This Row],[Category]]="Revenue",Transactions_Clean[[#This Row],[Amount(₹)]],Transactions_Clean[[#This Row],[Amount(₹)]]/8)</f>
        <v>-26140.25</v>
      </c>
    </row>
    <row r="2906" spans="1:12">
      <c r="A2906" t="s">
        <v>4322</v>
      </c>
      <c r="B2906" t="s">
        <v>177</v>
      </c>
      <c r="C2906" t="s">
        <v>78</v>
      </c>
      <c r="D2906">
        <v>-111667</v>
      </c>
      <c r="E2906" t="s">
        <v>23</v>
      </c>
      <c r="F2906" t="s">
        <v>32</v>
      </c>
      <c r="G2906" t="s">
        <v>79</v>
      </c>
      <c r="H2906" t="s">
        <v>26</v>
      </c>
      <c r="I2906" t="s">
        <v>27</v>
      </c>
      <c r="J2906" s="11">
        <v>45359</v>
      </c>
      <c r="K2906" t="str">
        <f>TEXT(Transactions_Clean[[#This Row],[Date]],"MMM-YYYY")</f>
        <v>Mar-2024</v>
      </c>
      <c r="L2906">
        <f>IF(Transactions_Clean[[#This Row],[Category]]="Revenue",Transactions_Clean[[#This Row],[Amount(₹)]],Transactions_Clean[[#This Row],[Amount(₹)]]/8)</f>
        <v>-13958.375</v>
      </c>
    </row>
    <row r="2907" spans="1:12">
      <c r="A2907" t="s">
        <v>4323</v>
      </c>
      <c r="B2907" t="s">
        <v>4748</v>
      </c>
      <c r="C2907" t="s">
        <v>22</v>
      </c>
      <c r="D2907">
        <v>-204854</v>
      </c>
      <c r="E2907" t="s">
        <v>23</v>
      </c>
      <c r="F2907" t="s">
        <v>24</v>
      </c>
      <c r="G2907" t="s">
        <v>25</v>
      </c>
      <c r="H2907" t="s">
        <v>45</v>
      </c>
      <c r="I2907" t="s">
        <v>48</v>
      </c>
      <c r="J2907" s="11">
        <v>45626</v>
      </c>
      <c r="K2907" t="str">
        <f>TEXT(Transactions_Clean[[#This Row],[Date]],"MMM-YYYY")</f>
        <v>Nov-2024</v>
      </c>
      <c r="L2907">
        <f>IF(Transactions_Clean[[#This Row],[Category]]="Revenue",Transactions_Clean[[#This Row],[Amount(₹)]],Transactions_Clean[[#This Row],[Amount(₹)]]/8)</f>
        <v>-25606.75</v>
      </c>
    </row>
    <row r="2908" spans="1:12">
      <c r="A2908" t="s">
        <v>4325</v>
      </c>
      <c r="B2908" t="s">
        <v>4766</v>
      </c>
      <c r="C2908" t="s">
        <v>73</v>
      </c>
      <c r="D2908">
        <v>-80608</v>
      </c>
      <c r="E2908" t="s">
        <v>74</v>
      </c>
      <c r="F2908" t="s">
        <v>24</v>
      </c>
      <c r="G2908" t="s">
        <v>25</v>
      </c>
      <c r="H2908" t="s">
        <v>39</v>
      </c>
      <c r="I2908" t="s">
        <v>40</v>
      </c>
      <c r="J2908" s="11">
        <v>45874</v>
      </c>
      <c r="K2908" t="str">
        <f>TEXT(Transactions_Clean[[#This Row],[Date]],"MMM-YYYY")</f>
        <v>Aug-2025</v>
      </c>
      <c r="L2908">
        <f>IF(Transactions_Clean[[#This Row],[Category]]="Revenue",Transactions_Clean[[#This Row],[Amount(₹)]],Transactions_Clean[[#This Row],[Amount(₹)]]/8)</f>
        <v>-10076</v>
      </c>
    </row>
    <row r="2909" spans="1:12">
      <c r="A2909" t="s">
        <v>4327</v>
      </c>
      <c r="B2909" t="s">
        <v>60</v>
      </c>
      <c r="C2909" t="s">
        <v>61</v>
      </c>
      <c r="D2909">
        <v>-38709</v>
      </c>
      <c r="E2909" t="s">
        <v>62</v>
      </c>
      <c r="F2909" t="s">
        <v>24</v>
      </c>
      <c r="G2909" t="s">
        <v>63</v>
      </c>
      <c r="H2909" t="s">
        <v>39</v>
      </c>
      <c r="I2909" t="s">
        <v>40</v>
      </c>
      <c r="J2909" s="11">
        <v>45916</v>
      </c>
      <c r="K2909" t="str">
        <f>TEXT(Transactions_Clean[[#This Row],[Date]],"MMM-YYYY")</f>
        <v>Sep-2025</v>
      </c>
      <c r="L2909">
        <f>IF(Transactions_Clean[[#This Row],[Category]]="Revenue",Transactions_Clean[[#This Row],[Amount(₹)]],Transactions_Clean[[#This Row],[Amount(₹)]]/8)</f>
        <v>-4838.625</v>
      </c>
    </row>
    <row r="2910" spans="1:12">
      <c r="A2910" t="s">
        <v>4328</v>
      </c>
      <c r="B2910" t="s">
        <v>106</v>
      </c>
      <c r="C2910" t="s">
        <v>31</v>
      </c>
      <c r="D2910">
        <v>-6409</v>
      </c>
      <c r="E2910" t="s">
        <v>23</v>
      </c>
      <c r="F2910" t="s">
        <v>32</v>
      </c>
      <c r="G2910" t="s">
        <v>33</v>
      </c>
      <c r="H2910" t="s">
        <v>26</v>
      </c>
      <c r="I2910" t="s">
        <v>40</v>
      </c>
      <c r="J2910" s="11">
        <v>45133</v>
      </c>
      <c r="K2910" t="str">
        <f>TEXT(Transactions_Clean[[#This Row],[Date]],"MMM-YYYY")</f>
        <v>Jul-2023</v>
      </c>
      <c r="L2910">
        <f>IF(Transactions_Clean[[#This Row],[Category]]="Revenue",Transactions_Clean[[#This Row],[Amount(₹)]],Transactions_Clean[[#This Row],[Amount(₹)]]/8)</f>
        <v>-801.125</v>
      </c>
    </row>
    <row r="2911" spans="1:12">
      <c r="A2911" t="s">
        <v>4329</v>
      </c>
      <c r="B2911" t="s">
        <v>305</v>
      </c>
      <c r="C2911" t="s">
        <v>38</v>
      </c>
      <c r="D2911">
        <v>-43516</v>
      </c>
      <c r="E2911" t="s">
        <v>23</v>
      </c>
      <c r="F2911" t="s">
        <v>32</v>
      </c>
      <c r="G2911" t="s">
        <v>33</v>
      </c>
      <c r="H2911" t="s">
        <v>39</v>
      </c>
      <c r="I2911" t="s">
        <v>40</v>
      </c>
      <c r="J2911" s="11">
        <v>45886</v>
      </c>
      <c r="K2911" t="str">
        <f>TEXT(Transactions_Clean[[#This Row],[Date]],"MMM-YYYY")</f>
        <v>Aug-2025</v>
      </c>
      <c r="L2911">
        <f>IF(Transactions_Clean[[#This Row],[Category]]="Revenue",Transactions_Clean[[#This Row],[Amount(₹)]],Transactions_Clean[[#This Row],[Amount(₹)]]/8)</f>
        <v>-5439.5</v>
      </c>
    </row>
    <row r="2912" spans="1:12">
      <c r="A2912" t="s">
        <v>4330</v>
      </c>
      <c r="B2912" t="s">
        <v>100</v>
      </c>
      <c r="C2912" t="s">
        <v>31</v>
      </c>
      <c r="D2912">
        <v>-33420</v>
      </c>
      <c r="E2912" t="s">
        <v>23</v>
      </c>
      <c r="F2912" t="s">
        <v>24</v>
      </c>
      <c r="G2912" t="s">
        <v>33</v>
      </c>
      <c r="H2912" t="s">
        <v>45</v>
      </c>
      <c r="I2912" t="s">
        <v>27</v>
      </c>
      <c r="J2912" s="11">
        <v>45721</v>
      </c>
      <c r="K2912" t="str">
        <f>TEXT(Transactions_Clean[[#This Row],[Date]],"MMM-YYYY")</f>
        <v>Mar-2025</v>
      </c>
      <c r="L2912">
        <f>IF(Transactions_Clean[[#This Row],[Category]]="Revenue",Transactions_Clean[[#This Row],[Amount(₹)]],Transactions_Clean[[#This Row],[Amount(₹)]]/8)</f>
        <v>-4177.5</v>
      </c>
    </row>
    <row r="2913" spans="1:12">
      <c r="A2913" t="s">
        <v>4332</v>
      </c>
      <c r="B2913" t="s">
        <v>177</v>
      </c>
      <c r="C2913" t="s">
        <v>78</v>
      </c>
      <c r="D2913">
        <v>-41433</v>
      </c>
      <c r="E2913" t="s">
        <v>23</v>
      </c>
      <c r="F2913" t="s">
        <v>32</v>
      </c>
      <c r="G2913" t="s">
        <v>79</v>
      </c>
      <c r="H2913" t="s">
        <v>26</v>
      </c>
      <c r="I2913" t="s">
        <v>40</v>
      </c>
      <c r="J2913" s="11">
        <v>45181</v>
      </c>
      <c r="K2913" t="str">
        <f>TEXT(Transactions_Clean[[#This Row],[Date]],"MMM-YYYY")</f>
        <v>Sep-2023</v>
      </c>
      <c r="L2913">
        <f>IF(Transactions_Clean[[#This Row],[Category]]="Revenue",Transactions_Clean[[#This Row],[Amount(₹)]],Transactions_Clean[[#This Row],[Amount(₹)]]/8)</f>
        <v>-5179.125</v>
      </c>
    </row>
    <row r="2914" spans="1:12">
      <c r="A2914" t="s">
        <v>4333</v>
      </c>
      <c r="B2914" t="s">
        <v>4773</v>
      </c>
      <c r="C2914" t="s">
        <v>157</v>
      </c>
      <c r="D2914">
        <v>519767</v>
      </c>
      <c r="E2914" t="s">
        <v>62</v>
      </c>
      <c r="F2914" t="s">
        <v>32</v>
      </c>
      <c r="G2914" t="s">
        <v>25</v>
      </c>
      <c r="H2914" t="s">
        <v>26</v>
      </c>
      <c r="I2914" t="s">
        <v>34</v>
      </c>
      <c r="J2914" s="11">
        <v>45087</v>
      </c>
      <c r="K2914" t="str">
        <f>TEXT(Transactions_Clean[[#This Row],[Date]],"MMM-YYYY")</f>
        <v>Jun-2023</v>
      </c>
      <c r="L2914">
        <f>IF(Transactions_Clean[[#This Row],[Category]]="Revenue",Transactions_Clean[[#This Row],[Amount(₹)]],Transactions_Clean[[#This Row],[Amount(₹)]]/8)</f>
        <v>519767</v>
      </c>
    </row>
    <row r="2915" spans="1:12">
      <c r="A2915" t="s">
        <v>4335</v>
      </c>
      <c r="B2915" t="s">
        <v>180</v>
      </c>
      <c r="C2915" t="s">
        <v>44</v>
      </c>
      <c r="D2915">
        <v>-128731</v>
      </c>
      <c r="E2915" t="s">
        <v>23</v>
      </c>
      <c r="F2915" t="s">
        <v>32</v>
      </c>
      <c r="G2915" t="s">
        <v>33</v>
      </c>
      <c r="H2915" t="s">
        <v>45</v>
      </c>
      <c r="I2915" t="s">
        <v>40</v>
      </c>
      <c r="J2915" s="11">
        <v>45519</v>
      </c>
      <c r="K2915" t="str">
        <f>TEXT(Transactions_Clean[[#This Row],[Date]],"MMM-YYYY")</f>
        <v>Aug-2024</v>
      </c>
      <c r="L2915">
        <f>IF(Transactions_Clean[[#This Row],[Category]]="Revenue",Transactions_Clean[[#This Row],[Amount(₹)]],Transactions_Clean[[#This Row],[Amount(₹)]]/8)</f>
        <v>-16091.375</v>
      </c>
    </row>
    <row r="2916" spans="1:12">
      <c r="A2916" t="s">
        <v>4336</v>
      </c>
      <c r="B2916" t="s">
        <v>4757</v>
      </c>
      <c r="C2916" t="s">
        <v>73</v>
      </c>
      <c r="D2916">
        <v>-80132</v>
      </c>
      <c r="E2916" t="s">
        <v>74</v>
      </c>
      <c r="F2916" t="s">
        <v>32</v>
      </c>
      <c r="G2916" t="s">
        <v>25</v>
      </c>
      <c r="H2916" t="s">
        <v>26</v>
      </c>
      <c r="I2916" t="s">
        <v>34</v>
      </c>
      <c r="J2916" s="11">
        <v>45020</v>
      </c>
      <c r="K2916" t="str">
        <f>TEXT(Transactions_Clean[[#This Row],[Date]],"MMM-YYYY")</f>
        <v>Apr-2023</v>
      </c>
      <c r="L2916">
        <f>IF(Transactions_Clean[[#This Row],[Category]]="Revenue",Transactions_Clean[[#This Row],[Amount(₹)]],Transactions_Clean[[#This Row],[Amount(₹)]]/8)</f>
        <v>-10016.5</v>
      </c>
    </row>
    <row r="2917" spans="1:12">
      <c r="A2917" t="s">
        <v>4337</v>
      </c>
      <c r="B2917" t="s">
        <v>72</v>
      </c>
      <c r="C2917" t="s">
        <v>73</v>
      </c>
      <c r="D2917">
        <v>-67777</v>
      </c>
      <c r="E2917" t="s">
        <v>74</v>
      </c>
      <c r="F2917" t="s">
        <v>32</v>
      </c>
      <c r="G2917" t="s">
        <v>25</v>
      </c>
      <c r="H2917" t="s">
        <v>45</v>
      </c>
      <c r="I2917" t="s">
        <v>48</v>
      </c>
      <c r="J2917" s="11">
        <v>45602</v>
      </c>
      <c r="K2917" t="str">
        <f>TEXT(Transactions_Clean[[#This Row],[Date]],"MMM-YYYY")</f>
        <v>Nov-2024</v>
      </c>
      <c r="L2917">
        <f>IF(Transactions_Clean[[#This Row],[Category]]="Revenue",Transactions_Clean[[#This Row],[Amount(₹)]],Transactions_Clean[[#This Row],[Amount(₹)]]/8)</f>
        <v>-8472.125</v>
      </c>
    </row>
    <row r="2918" spans="1:12">
      <c r="A2918" t="s">
        <v>4338</v>
      </c>
      <c r="B2918" t="s">
        <v>283</v>
      </c>
      <c r="C2918" t="s">
        <v>4750</v>
      </c>
      <c r="D2918">
        <v>-146871</v>
      </c>
      <c r="E2918" t="s">
        <v>23</v>
      </c>
      <c r="F2918" t="s">
        <v>32</v>
      </c>
      <c r="G2918" t="s">
        <v>33</v>
      </c>
      <c r="H2918" t="s">
        <v>39</v>
      </c>
      <c r="I2918" t="s">
        <v>27</v>
      </c>
      <c r="J2918" s="11">
        <v>46058</v>
      </c>
      <c r="K2918" t="str">
        <f>TEXT(Transactions_Clean[[#This Row],[Date]],"MMM-YYYY")</f>
        <v>Feb-2026</v>
      </c>
      <c r="L2918">
        <f>IF(Transactions_Clean[[#This Row],[Category]]="Revenue",Transactions_Clean[[#This Row],[Amount(₹)]],Transactions_Clean[[#This Row],[Amount(₹)]]/8)</f>
        <v>-18358.875</v>
      </c>
    </row>
    <row r="2919" spans="1:12">
      <c r="A2919" t="s">
        <v>4339</v>
      </c>
      <c r="B2919" t="s">
        <v>143</v>
      </c>
      <c r="C2919" t="s">
        <v>78</v>
      </c>
      <c r="D2919">
        <v>-28164</v>
      </c>
      <c r="E2919" t="s">
        <v>23</v>
      </c>
      <c r="F2919" t="s">
        <v>32</v>
      </c>
      <c r="G2919" t="s">
        <v>79</v>
      </c>
      <c r="H2919" t="s">
        <v>45</v>
      </c>
      <c r="I2919" t="s">
        <v>40</v>
      </c>
      <c r="J2919" s="11">
        <v>45565</v>
      </c>
      <c r="K2919" t="str">
        <f>TEXT(Transactions_Clean[[#This Row],[Date]],"MMM-YYYY")</f>
        <v>Sep-2024</v>
      </c>
      <c r="L2919">
        <f>IF(Transactions_Clean[[#This Row],[Category]]="Revenue",Transactions_Clean[[#This Row],[Amount(₹)]],Transactions_Clean[[#This Row],[Amount(₹)]]/8)</f>
        <v>-3520.5</v>
      </c>
    </row>
    <row r="2920" spans="1:12">
      <c r="A2920" t="s">
        <v>4340</v>
      </c>
      <c r="B2920" t="s">
        <v>4753</v>
      </c>
      <c r="C2920" t="s">
        <v>38</v>
      </c>
      <c r="D2920">
        <v>-16970</v>
      </c>
      <c r="E2920" t="s">
        <v>23</v>
      </c>
      <c r="F2920" t="s">
        <v>24</v>
      </c>
      <c r="G2920" t="s">
        <v>33</v>
      </c>
      <c r="H2920" t="s">
        <v>45</v>
      </c>
      <c r="I2920" t="s">
        <v>40</v>
      </c>
      <c r="J2920" s="11">
        <v>45554</v>
      </c>
      <c r="K2920" t="str">
        <f>TEXT(Transactions_Clean[[#This Row],[Date]],"MMM-YYYY")</f>
        <v>Sep-2024</v>
      </c>
      <c r="L2920">
        <f>IF(Transactions_Clean[[#This Row],[Category]]="Revenue",Transactions_Clean[[#This Row],[Amount(₹)]],Transactions_Clean[[#This Row],[Amount(₹)]]/8)</f>
        <v>-2121.25</v>
      </c>
    </row>
    <row r="2921" spans="1:12">
      <c r="A2921" t="s">
        <v>4341</v>
      </c>
      <c r="B2921" t="s">
        <v>169</v>
      </c>
      <c r="C2921" t="s">
        <v>73</v>
      </c>
      <c r="D2921">
        <v>-23615</v>
      </c>
      <c r="E2921" t="s">
        <v>74</v>
      </c>
      <c r="F2921" t="s">
        <v>32</v>
      </c>
      <c r="G2921" t="s">
        <v>25</v>
      </c>
      <c r="H2921" t="s">
        <v>26</v>
      </c>
      <c r="I2921" t="s">
        <v>27</v>
      </c>
      <c r="J2921" s="11">
        <v>45335</v>
      </c>
      <c r="K2921" t="str">
        <f>TEXT(Transactions_Clean[[#This Row],[Date]],"MMM-YYYY")</f>
        <v>Feb-2024</v>
      </c>
      <c r="L2921">
        <f>IF(Transactions_Clean[[#This Row],[Category]]="Revenue",Transactions_Clean[[#This Row],[Amount(₹)]],Transactions_Clean[[#This Row],[Amount(₹)]]/8)</f>
        <v>-2951.875</v>
      </c>
    </row>
    <row r="2922" spans="1:12">
      <c r="A2922" t="s">
        <v>4343</v>
      </c>
      <c r="B2922" t="s">
        <v>180</v>
      </c>
      <c r="C2922" t="s">
        <v>44</v>
      </c>
      <c r="D2922">
        <v>-108216</v>
      </c>
      <c r="E2922" t="s">
        <v>23</v>
      </c>
      <c r="F2922" t="s">
        <v>24</v>
      </c>
      <c r="G2922" t="s">
        <v>33</v>
      </c>
      <c r="H2922" t="s">
        <v>45</v>
      </c>
      <c r="I2922" t="s">
        <v>40</v>
      </c>
      <c r="J2922" s="11">
        <v>45560</v>
      </c>
      <c r="K2922" t="str">
        <f>TEXT(Transactions_Clean[[#This Row],[Date]],"MMM-YYYY")</f>
        <v>Sep-2024</v>
      </c>
      <c r="L2922">
        <f>IF(Transactions_Clean[[#This Row],[Category]]="Revenue",Transactions_Clean[[#This Row],[Amount(₹)]],Transactions_Clean[[#This Row],[Amount(₹)]]/8)</f>
        <v>-13527</v>
      </c>
    </row>
    <row r="2923" spans="1:12">
      <c r="A2923" t="s">
        <v>4344</v>
      </c>
      <c r="B2923" t="s">
        <v>305</v>
      </c>
      <c r="C2923" t="s">
        <v>38</v>
      </c>
      <c r="D2923">
        <v>-11752</v>
      </c>
      <c r="E2923" t="s">
        <v>23</v>
      </c>
      <c r="F2923" t="s">
        <v>24</v>
      </c>
      <c r="G2923" t="s">
        <v>33</v>
      </c>
      <c r="H2923" t="s">
        <v>45</v>
      </c>
      <c r="I2923" t="s">
        <v>34</v>
      </c>
      <c r="J2923" s="11">
        <v>45464</v>
      </c>
      <c r="K2923" t="str">
        <f>TEXT(Transactions_Clean[[#This Row],[Date]],"MMM-YYYY")</f>
        <v>Jun-2024</v>
      </c>
      <c r="L2923">
        <f>IF(Transactions_Clean[[#This Row],[Category]]="Revenue",Transactions_Clean[[#This Row],[Amount(₹)]],Transactions_Clean[[#This Row],[Amount(₹)]]/8)</f>
        <v>-1469</v>
      </c>
    </row>
    <row r="2924" spans="1:12">
      <c r="A2924" t="s">
        <v>4345</v>
      </c>
      <c r="B2924" t="s">
        <v>60</v>
      </c>
      <c r="C2924" t="s">
        <v>61</v>
      </c>
      <c r="D2924">
        <v>-54248</v>
      </c>
      <c r="E2924" t="s">
        <v>62</v>
      </c>
      <c r="F2924" t="s">
        <v>24</v>
      </c>
      <c r="G2924" t="s">
        <v>63</v>
      </c>
      <c r="H2924" t="s">
        <v>26</v>
      </c>
      <c r="I2924" t="s">
        <v>34</v>
      </c>
      <c r="J2924" s="11">
        <v>45105</v>
      </c>
      <c r="K2924" t="str">
        <f>TEXT(Transactions_Clean[[#This Row],[Date]],"MMM-YYYY")</f>
        <v>Jun-2023</v>
      </c>
      <c r="L2924">
        <f>IF(Transactions_Clean[[#This Row],[Category]]="Revenue",Transactions_Clean[[#This Row],[Amount(₹)]],Transactions_Clean[[#This Row],[Amount(₹)]]/8)</f>
        <v>-6781</v>
      </c>
    </row>
    <row r="2925" spans="1:12">
      <c r="A2925" t="s">
        <v>4346</v>
      </c>
      <c r="B2925" t="s">
        <v>4773</v>
      </c>
      <c r="C2925" t="s">
        <v>157</v>
      </c>
      <c r="D2925">
        <v>626320</v>
      </c>
      <c r="E2925" t="s">
        <v>62</v>
      </c>
      <c r="F2925" t="s">
        <v>32</v>
      </c>
      <c r="G2925" t="s">
        <v>25</v>
      </c>
      <c r="H2925" t="s">
        <v>45</v>
      </c>
      <c r="I2925" t="s">
        <v>48</v>
      </c>
      <c r="J2925" s="11">
        <v>45566</v>
      </c>
      <c r="K2925" t="str">
        <f>TEXT(Transactions_Clean[[#This Row],[Date]],"MMM-YYYY")</f>
        <v>Oct-2024</v>
      </c>
      <c r="L2925">
        <f>IF(Transactions_Clean[[#This Row],[Category]]="Revenue",Transactions_Clean[[#This Row],[Amount(₹)]],Transactions_Clean[[#This Row],[Amount(₹)]]/8)</f>
        <v>626320</v>
      </c>
    </row>
    <row r="2926" spans="1:12">
      <c r="A2926" t="s">
        <v>4347</v>
      </c>
      <c r="B2926" t="s">
        <v>60</v>
      </c>
      <c r="C2926" t="s">
        <v>61</v>
      </c>
      <c r="D2926">
        <v>-56126</v>
      </c>
      <c r="E2926" t="s">
        <v>62</v>
      </c>
      <c r="F2926" t="s">
        <v>32</v>
      </c>
      <c r="G2926" t="s">
        <v>63</v>
      </c>
      <c r="H2926" t="s">
        <v>45</v>
      </c>
      <c r="I2926" t="s">
        <v>27</v>
      </c>
      <c r="J2926" s="11">
        <v>45732</v>
      </c>
      <c r="K2926" t="str">
        <f>TEXT(Transactions_Clean[[#This Row],[Date]],"MMM-YYYY")</f>
        <v>Mar-2025</v>
      </c>
      <c r="L2926">
        <f>IF(Transactions_Clean[[#This Row],[Category]]="Revenue",Transactions_Clean[[#This Row],[Amount(₹)]],Transactions_Clean[[#This Row],[Amount(₹)]]/8)</f>
        <v>-7015.75</v>
      </c>
    </row>
    <row r="2927" spans="1:12">
      <c r="A2927" t="s">
        <v>4348</v>
      </c>
      <c r="B2927" t="s">
        <v>116</v>
      </c>
      <c r="C2927" t="s">
        <v>73</v>
      </c>
      <c r="D2927">
        <v>-93799</v>
      </c>
      <c r="E2927" t="s">
        <v>74</v>
      </c>
      <c r="F2927" t="s">
        <v>32</v>
      </c>
      <c r="G2927" t="s">
        <v>25</v>
      </c>
      <c r="H2927" t="s">
        <v>45</v>
      </c>
      <c r="I2927" t="s">
        <v>40</v>
      </c>
      <c r="J2927" s="11">
        <v>45537</v>
      </c>
      <c r="K2927" t="str">
        <f>TEXT(Transactions_Clean[[#This Row],[Date]],"MMM-YYYY")</f>
        <v>Sep-2024</v>
      </c>
      <c r="L2927">
        <f>IF(Transactions_Clean[[#This Row],[Category]]="Revenue",Transactions_Clean[[#This Row],[Amount(₹)]],Transactions_Clean[[#This Row],[Amount(₹)]]/8)</f>
        <v>-11724.875</v>
      </c>
    </row>
    <row r="2928" spans="1:12">
      <c r="A2928" t="s">
        <v>4349</v>
      </c>
      <c r="B2928" t="s">
        <v>143</v>
      </c>
      <c r="C2928" t="s">
        <v>78</v>
      </c>
      <c r="D2928">
        <v>-22122</v>
      </c>
      <c r="E2928" t="s">
        <v>23</v>
      </c>
      <c r="F2928" t="s">
        <v>24</v>
      </c>
      <c r="G2928" t="s">
        <v>79</v>
      </c>
      <c r="H2928" t="s">
        <v>26</v>
      </c>
      <c r="I2928" t="s">
        <v>27</v>
      </c>
      <c r="J2928" s="11">
        <v>45320</v>
      </c>
      <c r="K2928" t="str">
        <f>TEXT(Transactions_Clean[[#This Row],[Date]],"MMM-YYYY")</f>
        <v>Jan-2024</v>
      </c>
      <c r="L2928">
        <f>IF(Transactions_Clean[[#This Row],[Category]]="Revenue",Transactions_Clean[[#This Row],[Amount(₹)]],Transactions_Clean[[#This Row],[Amount(₹)]]/8)</f>
        <v>-2765.25</v>
      </c>
    </row>
    <row r="2929" spans="1:12">
      <c r="A2929" t="s">
        <v>4350</v>
      </c>
      <c r="B2929" t="s">
        <v>935</v>
      </c>
      <c r="C2929" t="s">
        <v>22</v>
      </c>
      <c r="D2929">
        <v>-102975</v>
      </c>
      <c r="E2929" t="s">
        <v>23</v>
      </c>
      <c r="F2929" t="s">
        <v>32</v>
      </c>
      <c r="G2929" t="s">
        <v>25</v>
      </c>
      <c r="H2929" t="s">
        <v>26</v>
      </c>
      <c r="I2929" t="s">
        <v>34</v>
      </c>
      <c r="J2929" s="11">
        <v>45032</v>
      </c>
      <c r="K2929" t="str">
        <f>TEXT(Transactions_Clean[[#This Row],[Date]],"MMM-YYYY")</f>
        <v>Apr-2023</v>
      </c>
      <c r="L2929">
        <f>IF(Transactions_Clean[[#This Row],[Category]]="Revenue",Transactions_Clean[[#This Row],[Amount(₹)]],Transactions_Clean[[#This Row],[Amount(₹)]]/8)</f>
        <v>-12871.875</v>
      </c>
    </row>
    <row r="2930" spans="1:12">
      <c r="A2930" t="s">
        <v>4351</v>
      </c>
      <c r="B2930" t="s">
        <v>60</v>
      </c>
      <c r="C2930" t="s">
        <v>61</v>
      </c>
      <c r="D2930">
        <v>-33160</v>
      </c>
      <c r="E2930" t="s">
        <v>62</v>
      </c>
      <c r="F2930" t="s">
        <v>32</v>
      </c>
      <c r="G2930" t="s">
        <v>63</v>
      </c>
      <c r="H2930" t="s">
        <v>45</v>
      </c>
      <c r="I2930" t="s">
        <v>48</v>
      </c>
      <c r="J2930" s="11">
        <v>45648</v>
      </c>
      <c r="K2930" t="str">
        <f>TEXT(Transactions_Clean[[#This Row],[Date]],"MMM-YYYY")</f>
        <v>Dec-2024</v>
      </c>
      <c r="L2930">
        <f>IF(Transactions_Clean[[#This Row],[Category]]="Revenue",Transactions_Clean[[#This Row],[Amount(₹)]],Transactions_Clean[[#This Row],[Amount(₹)]]/8)</f>
        <v>-4145</v>
      </c>
    </row>
    <row r="2931" spans="1:12">
      <c r="A2931" t="s">
        <v>4352</v>
      </c>
      <c r="B2931" t="s">
        <v>4801</v>
      </c>
      <c r="C2931" t="s">
        <v>136</v>
      </c>
      <c r="D2931">
        <v>-10351516</v>
      </c>
      <c r="E2931" t="s">
        <v>62</v>
      </c>
      <c r="F2931" t="s">
        <v>32</v>
      </c>
      <c r="G2931" t="s">
        <v>63</v>
      </c>
      <c r="H2931" t="s">
        <v>39</v>
      </c>
      <c r="I2931" t="s">
        <v>34</v>
      </c>
      <c r="J2931" s="11">
        <v>45805</v>
      </c>
      <c r="K2931" t="str">
        <f>TEXT(Transactions_Clean[[#This Row],[Date]],"MMM-YYYY")</f>
        <v>May-2025</v>
      </c>
      <c r="L2931">
        <f>IF(Transactions_Clean[[#This Row],[Category]]="Revenue",Transactions_Clean[[#This Row],[Amount(₹)]],Transactions_Clean[[#This Row],[Amount(₹)]]/8)</f>
        <v>-1293939.5</v>
      </c>
    </row>
    <row r="2932" spans="1:12">
      <c r="A2932" t="s">
        <v>4354</v>
      </c>
      <c r="B2932" t="s">
        <v>4755</v>
      </c>
      <c r="C2932" t="s">
        <v>78</v>
      </c>
      <c r="D2932">
        <v>-92717</v>
      </c>
      <c r="E2932" t="s">
        <v>23</v>
      </c>
      <c r="F2932" t="s">
        <v>24</v>
      </c>
      <c r="G2932" t="s">
        <v>79</v>
      </c>
      <c r="H2932" t="s">
        <v>45</v>
      </c>
      <c r="I2932" t="s">
        <v>27</v>
      </c>
      <c r="J2932" s="11">
        <v>45688</v>
      </c>
      <c r="K2932" t="str">
        <f>TEXT(Transactions_Clean[[#This Row],[Date]],"MMM-YYYY")</f>
        <v>Jan-2025</v>
      </c>
      <c r="L2932">
        <f>IF(Transactions_Clean[[#This Row],[Category]]="Revenue",Transactions_Clean[[#This Row],[Amount(₹)]],Transactions_Clean[[#This Row],[Amount(₹)]]/8)</f>
        <v>-11589.625</v>
      </c>
    </row>
    <row r="2933" spans="1:12">
      <c r="A2933" t="s">
        <v>4355</v>
      </c>
      <c r="B2933" t="s">
        <v>37</v>
      </c>
      <c r="C2933" t="s">
        <v>38</v>
      </c>
      <c r="D2933">
        <v>-27007</v>
      </c>
      <c r="E2933" t="s">
        <v>23</v>
      </c>
      <c r="F2933" t="s">
        <v>24</v>
      </c>
      <c r="G2933" t="s">
        <v>33</v>
      </c>
      <c r="H2933" t="s">
        <v>45</v>
      </c>
      <c r="I2933" t="s">
        <v>40</v>
      </c>
      <c r="J2933" s="11">
        <v>45514</v>
      </c>
      <c r="K2933" t="str">
        <f>TEXT(Transactions_Clean[[#This Row],[Date]],"MMM-YYYY")</f>
        <v>Aug-2024</v>
      </c>
      <c r="L2933">
        <f>IF(Transactions_Clean[[#This Row],[Category]]="Revenue",Transactions_Clean[[#This Row],[Amount(₹)]],Transactions_Clean[[#This Row],[Amount(₹)]]/8)</f>
        <v>-3375.875</v>
      </c>
    </row>
    <row r="2934" spans="1:12">
      <c r="A2934" t="s">
        <v>4356</v>
      </c>
      <c r="B2934" t="s">
        <v>4753</v>
      </c>
      <c r="C2934" t="s">
        <v>38</v>
      </c>
      <c r="D2934">
        <v>-13903</v>
      </c>
      <c r="E2934" t="s">
        <v>23</v>
      </c>
      <c r="F2934" t="s">
        <v>24</v>
      </c>
      <c r="G2934" t="s">
        <v>33</v>
      </c>
      <c r="H2934" t="s">
        <v>26</v>
      </c>
      <c r="I2934" t="s">
        <v>40</v>
      </c>
      <c r="J2934" s="11">
        <v>45194</v>
      </c>
      <c r="K2934" t="str">
        <f>TEXT(Transactions_Clean[[#This Row],[Date]],"MMM-YYYY")</f>
        <v>Sep-2023</v>
      </c>
      <c r="L2934">
        <f>IF(Transactions_Clean[[#This Row],[Category]]="Revenue",Transactions_Clean[[#This Row],[Amount(₹)]],Transactions_Clean[[#This Row],[Amount(₹)]]/8)</f>
        <v>-1737.875</v>
      </c>
    </row>
    <row r="2935" spans="1:12">
      <c r="A2935" t="s">
        <v>4357</v>
      </c>
      <c r="B2935" t="s">
        <v>4756</v>
      </c>
      <c r="C2935" t="s">
        <v>73</v>
      </c>
      <c r="D2935">
        <v>-87432</v>
      </c>
      <c r="E2935" t="s">
        <v>74</v>
      </c>
      <c r="F2935" t="s">
        <v>32</v>
      </c>
      <c r="G2935" t="s">
        <v>25</v>
      </c>
      <c r="H2935" t="s">
        <v>45</v>
      </c>
      <c r="I2935" t="s">
        <v>34</v>
      </c>
      <c r="J2935" s="11">
        <v>45428</v>
      </c>
      <c r="K2935" t="str">
        <f>TEXT(Transactions_Clean[[#This Row],[Date]],"MMM-YYYY")</f>
        <v>May-2024</v>
      </c>
      <c r="L2935">
        <f>IF(Transactions_Clean[[#This Row],[Category]]="Revenue",Transactions_Clean[[#This Row],[Amount(₹)]],Transactions_Clean[[#This Row],[Amount(₹)]]/8)</f>
        <v>-10929</v>
      </c>
    </row>
    <row r="2936" spans="1:12">
      <c r="A2936" t="s">
        <v>4358</v>
      </c>
      <c r="B2936" t="s">
        <v>4753</v>
      </c>
      <c r="C2936" t="s">
        <v>38</v>
      </c>
      <c r="D2936">
        <v>-16840</v>
      </c>
      <c r="E2936" t="s">
        <v>23</v>
      </c>
      <c r="F2936" t="s">
        <v>24</v>
      </c>
      <c r="G2936" t="s">
        <v>33</v>
      </c>
      <c r="H2936" t="s">
        <v>39</v>
      </c>
      <c r="I2936" t="s">
        <v>27</v>
      </c>
      <c r="J2936" s="11">
        <v>46105</v>
      </c>
      <c r="K2936" t="str">
        <f>TEXT(Transactions_Clean[[#This Row],[Date]],"MMM-YYYY")</f>
        <v>Mar-2026</v>
      </c>
      <c r="L2936">
        <f>IF(Transactions_Clean[[#This Row],[Category]]="Revenue",Transactions_Clean[[#This Row],[Amount(₹)]],Transactions_Clean[[#This Row],[Amount(₹)]]/8)</f>
        <v>-2105</v>
      </c>
    </row>
    <row r="2937" spans="1:12">
      <c r="A2937" t="s">
        <v>4359</v>
      </c>
      <c r="B2937" t="s">
        <v>935</v>
      </c>
      <c r="C2937" t="s">
        <v>22</v>
      </c>
      <c r="D2937">
        <v>-158682</v>
      </c>
      <c r="E2937" t="s">
        <v>23</v>
      </c>
      <c r="F2937" t="s">
        <v>24</v>
      </c>
      <c r="G2937" t="s">
        <v>25</v>
      </c>
      <c r="H2937" t="s">
        <v>26</v>
      </c>
      <c r="I2937" t="s">
        <v>40</v>
      </c>
      <c r="J2937" s="11">
        <v>45112</v>
      </c>
      <c r="K2937" t="str">
        <f>TEXT(Transactions_Clean[[#This Row],[Date]],"MMM-YYYY")</f>
        <v>Jul-2023</v>
      </c>
      <c r="L2937">
        <f>IF(Transactions_Clean[[#This Row],[Category]]="Revenue",Transactions_Clean[[#This Row],[Amount(₹)]],Transactions_Clean[[#This Row],[Amount(₹)]]/8)</f>
        <v>-19835.25</v>
      </c>
    </row>
    <row r="2938" spans="1:12">
      <c r="A2938" t="s">
        <v>4360</v>
      </c>
      <c r="B2938" t="s">
        <v>4763</v>
      </c>
      <c r="C2938" t="s">
        <v>22</v>
      </c>
      <c r="D2938">
        <v>-162547</v>
      </c>
      <c r="E2938" t="s">
        <v>23</v>
      </c>
      <c r="F2938" t="s">
        <v>32</v>
      </c>
      <c r="G2938" t="s">
        <v>25</v>
      </c>
      <c r="H2938" t="s">
        <v>45</v>
      </c>
      <c r="I2938" t="s">
        <v>40</v>
      </c>
      <c r="J2938" s="11">
        <v>45545</v>
      </c>
      <c r="K2938" t="str">
        <f>TEXT(Transactions_Clean[[#This Row],[Date]],"MMM-YYYY")</f>
        <v>Sep-2024</v>
      </c>
      <c r="L2938">
        <f>IF(Transactions_Clean[[#This Row],[Category]]="Revenue",Transactions_Clean[[#This Row],[Amount(₹)]],Transactions_Clean[[#This Row],[Amount(₹)]]/8)</f>
        <v>-20318.375</v>
      </c>
    </row>
    <row r="2939" spans="1:12">
      <c r="A2939" t="s">
        <v>4361</v>
      </c>
      <c r="B2939" t="s">
        <v>60</v>
      </c>
      <c r="C2939" t="s">
        <v>61</v>
      </c>
      <c r="D2939">
        <v>-25743</v>
      </c>
      <c r="E2939" t="s">
        <v>62</v>
      </c>
      <c r="F2939" t="s">
        <v>32</v>
      </c>
      <c r="G2939" t="s">
        <v>63</v>
      </c>
      <c r="H2939" t="s">
        <v>26</v>
      </c>
      <c r="I2939" t="s">
        <v>48</v>
      </c>
      <c r="J2939" s="11">
        <v>45219</v>
      </c>
      <c r="K2939" t="str">
        <f>TEXT(Transactions_Clean[[#This Row],[Date]],"MMM-YYYY")</f>
        <v>Oct-2023</v>
      </c>
      <c r="L2939">
        <f>IF(Transactions_Clean[[#This Row],[Category]]="Revenue",Transactions_Clean[[#This Row],[Amount(₹)]],Transactions_Clean[[#This Row],[Amount(₹)]]/8)</f>
        <v>-3217.875</v>
      </c>
    </row>
    <row r="2940" spans="1:12">
      <c r="A2940" t="s">
        <v>4362</v>
      </c>
      <c r="B2940" t="s">
        <v>687</v>
      </c>
      <c r="C2940" t="s">
        <v>44</v>
      </c>
      <c r="D2940">
        <v>-53198</v>
      </c>
      <c r="E2940" t="s">
        <v>23</v>
      </c>
      <c r="F2940" t="s">
        <v>24</v>
      </c>
      <c r="G2940" t="s">
        <v>33</v>
      </c>
      <c r="H2940" t="s">
        <v>26</v>
      </c>
      <c r="I2940" t="s">
        <v>34</v>
      </c>
      <c r="J2940" s="11">
        <v>45041</v>
      </c>
      <c r="K2940" t="str">
        <f>TEXT(Transactions_Clean[[#This Row],[Date]],"MMM-YYYY")</f>
        <v>Apr-2023</v>
      </c>
      <c r="L2940">
        <f>IF(Transactions_Clean[[#This Row],[Category]]="Revenue",Transactions_Clean[[#This Row],[Amount(₹)]],Transactions_Clean[[#This Row],[Amount(₹)]]/8)</f>
        <v>-6649.75</v>
      </c>
    </row>
    <row r="2941" spans="1:12">
      <c r="A2941" t="s">
        <v>4363</v>
      </c>
      <c r="B2941" t="s">
        <v>255</v>
      </c>
      <c r="C2941" t="s">
        <v>22</v>
      </c>
      <c r="D2941">
        <v>-20692</v>
      </c>
      <c r="E2941" t="s">
        <v>23</v>
      </c>
      <c r="F2941" t="s">
        <v>32</v>
      </c>
      <c r="G2941" t="s">
        <v>25</v>
      </c>
      <c r="H2941" t="s">
        <v>26</v>
      </c>
      <c r="I2941" t="s">
        <v>27</v>
      </c>
      <c r="J2941" s="11">
        <v>45347</v>
      </c>
      <c r="K2941" t="str">
        <f>TEXT(Transactions_Clean[[#This Row],[Date]],"MMM-YYYY")</f>
        <v>Feb-2024</v>
      </c>
      <c r="L2941">
        <f>IF(Transactions_Clean[[#This Row],[Category]]="Revenue",Transactions_Clean[[#This Row],[Amount(₹)]],Transactions_Clean[[#This Row],[Amount(₹)]]/8)</f>
        <v>-2586.5</v>
      </c>
    </row>
    <row r="2942" spans="1:12">
      <c r="A2942" t="s">
        <v>4364</v>
      </c>
      <c r="B2942" t="s">
        <v>202</v>
      </c>
      <c r="C2942" t="s">
        <v>22</v>
      </c>
      <c r="D2942">
        <v>-131737</v>
      </c>
      <c r="E2942" t="s">
        <v>23</v>
      </c>
      <c r="F2942" t="s">
        <v>24</v>
      </c>
      <c r="G2942" t="s">
        <v>25</v>
      </c>
      <c r="H2942" t="s">
        <v>39</v>
      </c>
      <c r="I2942" t="s">
        <v>27</v>
      </c>
      <c r="J2942" s="11">
        <v>46105</v>
      </c>
      <c r="K2942" t="str">
        <f>TEXT(Transactions_Clean[[#This Row],[Date]],"MMM-YYYY")</f>
        <v>Mar-2026</v>
      </c>
      <c r="L2942">
        <f>IF(Transactions_Clean[[#This Row],[Category]]="Revenue",Transactions_Clean[[#This Row],[Amount(₹)]],Transactions_Clean[[#This Row],[Amount(₹)]]/8)</f>
        <v>-16467.125</v>
      </c>
    </row>
    <row r="2943" spans="1:12">
      <c r="A2943" t="s">
        <v>4365</v>
      </c>
      <c r="B2943" t="s">
        <v>4762</v>
      </c>
      <c r="C2943" t="s">
        <v>157</v>
      </c>
      <c r="D2943">
        <v>671908</v>
      </c>
      <c r="E2943" t="s">
        <v>62</v>
      </c>
      <c r="F2943" t="s">
        <v>32</v>
      </c>
      <c r="G2943" t="s">
        <v>25</v>
      </c>
      <c r="H2943" t="s">
        <v>39</v>
      </c>
      <c r="I2943" t="s">
        <v>27</v>
      </c>
      <c r="J2943" s="11">
        <v>46096</v>
      </c>
      <c r="K2943" t="str">
        <f>TEXT(Transactions_Clean[[#This Row],[Date]],"MMM-YYYY")</f>
        <v>Mar-2026</v>
      </c>
      <c r="L2943">
        <f>IF(Transactions_Clean[[#This Row],[Category]]="Revenue",Transactions_Clean[[#This Row],[Amount(₹)]],Transactions_Clean[[#This Row],[Amount(₹)]]/8)</f>
        <v>671908</v>
      </c>
    </row>
    <row r="2944" spans="1:12">
      <c r="A2944" t="s">
        <v>4366</v>
      </c>
      <c r="B2944" t="s">
        <v>4751</v>
      </c>
      <c r="C2944" t="s">
        <v>38</v>
      </c>
      <c r="D2944">
        <v>-54432</v>
      </c>
      <c r="E2944" t="s">
        <v>23</v>
      </c>
      <c r="F2944" t="s">
        <v>24</v>
      </c>
      <c r="G2944" t="s">
        <v>33</v>
      </c>
      <c r="H2944" t="s">
        <v>45</v>
      </c>
      <c r="I2944" t="s">
        <v>40</v>
      </c>
      <c r="J2944" s="11">
        <v>45534</v>
      </c>
      <c r="K2944" t="str">
        <f>TEXT(Transactions_Clean[[#This Row],[Date]],"MMM-YYYY")</f>
        <v>Aug-2024</v>
      </c>
      <c r="L2944">
        <f>IF(Transactions_Clean[[#This Row],[Category]]="Revenue",Transactions_Clean[[#This Row],[Amount(₹)]],Transactions_Clean[[#This Row],[Amount(₹)]]/8)</f>
        <v>-6804</v>
      </c>
    </row>
    <row r="2945" spans="1:12">
      <c r="A2945" t="s">
        <v>4367</v>
      </c>
      <c r="B2945" t="s">
        <v>4768</v>
      </c>
      <c r="C2945" t="s">
        <v>157</v>
      </c>
      <c r="D2945">
        <v>688425</v>
      </c>
      <c r="E2945" t="s">
        <v>62</v>
      </c>
      <c r="F2945" t="s">
        <v>32</v>
      </c>
      <c r="G2945" t="s">
        <v>25</v>
      </c>
      <c r="H2945" t="s">
        <v>39</v>
      </c>
      <c r="I2945" t="s">
        <v>34</v>
      </c>
      <c r="J2945" s="11">
        <v>45818</v>
      </c>
      <c r="K2945" t="str">
        <f>TEXT(Transactions_Clean[[#This Row],[Date]],"MMM-YYYY")</f>
        <v>Jun-2025</v>
      </c>
      <c r="L2945">
        <f>IF(Transactions_Clean[[#This Row],[Category]]="Revenue",Transactions_Clean[[#This Row],[Amount(₹)]],Transactions_Clean[[#This Row],[Amount(₹)]]/8)</f>
        <v>688425</v>
      </c>
    </row>
    <row r="2946" spans="1:12">
      <c r="A2946" t="s">
        <v>4368</v>
      </c>
      <c r="B2946" t="s">
        <v>4770</v>
      </c>
      <c r="C2946" t="s">
        <v>4750</v>
      </c>
      <c r="D2946">
        <v>-157991</v>
      </c>
      <c r="E2946" t="s">
        <v>23</v>
      </c>
      <c r="F2946" t="s">
        <v>32</v>
      </c>
      <c r="G2946" t="s">
        <v>33</v>
      </c>
      <c r="H2946" t="s">
        <v>39</v>
      </c>
      <c r="I2946" t="s">
        <v>48</v>
      </c>
      <c r="J2946" s="11">
        <v>45976</v>
      </c>
      <c r="K2946" t="str">
        <f>TEXT(Transactions_Clean[[#This Row],[Date]],"MMM-YYYY")</f>
        <v>Nov-2025</v>
      </c>
      <c r="L2946">
        <f>IF(Transactions_Clean[[#This Row],[Category]]="Revenue",Transactions_Clean[[#This Row],[Amount(₹)]],Transactions_Clean[[#This Row],[Amount(₹)]]/8)</f>
        <v>-19748.875</v>
      </c>
    </row>
    <row r="2947" spans="1:12">
      <c r="A2947" t="s">
        <v>4369</v>
      </c>
      <c r="B2947" t="s">
        <v>687</v>
      </c>
      <c r="C2947" t="s">
        <v>44</v>
      </c>
      <c r="D2947">
        <v>-108546</v>
      </c>
      <c r="E2947" t="s">
        <v>23</v>
      </c>
      <c r="F2947" t="s">
        <v>32</v>
      </c>
      <c r="G2947" t="s">
        <v>33</v>
      </c>
      <c r="H2947" t="s">
        <v>45</v>
      </c>
      <c r="I2947" t="s">
        <v>34</v>
      </c>
      <c r="J2947" s="11">
        <v>45455</v>
      </c>
      <c r="K2947" t="str">
        <f>TEXT(Transactions_Clean[[#This Row],[Date]],"MMM-YYYY")</f>
        <v>Jun-2024</v>
      </c>
      <c r="L2947">
        <f>IF(Transactions_Clean[[#This Row],[Category]]="Revenue",Transactions_Clean[[#This Row],[Amount(₹)]],Transactions_Clean[[#This Row],[Amount(₹)]]/8)</f>
        <v>-13568.25</v>
      </c>
    </row>
    <row r="2948" spans="1:12">
      <c r="A2948" t="s">
        <v>4370</v>
      </c>
      <c r="B2948" t="s">
        <v>51</v>
      </c>
      <c r="C2948" t="s">
        <v>31</v>
      </c>
      <c r="D2948">
        <v>-31415</v>
      </c>
      <c r="E2948" t="s">
        <v>23</v>
      </c>
      <c r="F2948" t="s">
        <v>24</v>
      </c>
      <c r="G2948" t="s">
        <v>33</v>
      </c>
      <c r="H2948" t="s">
        <v>26</v>
      </c>
      <c r="I2948" t="s">
        <v>27</v>
      </c>
      <c r="J2948" s="11">
        <v>45328</v>
      </c>
      <c r="K2948" t="str">
        <f>TEXT(Transactions_Clean[[#This Row],[Date]],"MMM-YYYY")</f>
        <v>Feb-2024</v>
      </c>
      <c r="L2948">
        <f>IF(Transactions_Clean[[#This Row],[Category]]="Revenue",Transactions_Clean[[#This Row],[Amount(₹)]],Transactions_Clean[[#This Row],[Amount(₹)]]/8)</f>
        <v>-3926.875</v>
      </c>
    </row>
    <row r="2949" spans="1:12">
      <c r="A2949" t="s">
        <v>4371</v>
      </c>
      <c r="B2949" t="s">
        <v>4802</v>
      </c>
      <c r="C2949" t="s">
        <v>136</v>
      </c>
      <c r="D2949">
        <v>-10422415</v>
      </c>
      <c r="E2949" t="s">
        <v>62</v>
      </c>
      <c r="F2949" t="s">
        <v>32</v>
      </c>
      <c r="G2949" t="s">
        <v>63</v>
      </c>
      <c r="H2949" t="s">
        <v>26</v>
      </c>
      <c r="I2949" t="s">
        <v>48</v>
      </c>
      <c r="J2949" s="11">
        <v>45288</v>
      </c>
      <c r="K2949" t="str">
        <f>TEXT(Transactions_Clean[[#This Row],[Date]],"MMM-YYYY")</f>
        <v>Dec-2023</v>
      </c>
      <c r="L2949">
        <f>IF(Transactions_Clean[[#This Row],[Category]]="Revenue",Transactions_Clean[[#This Row],[Amount(₹)]],Transactions_Clean[[#This Row],[Amount(₹)]]/8)</f>
        <v>-1302801.875</v>
      </c>
    </row>
    <row r="2950" spans="1:12">
      <c r="A2950" t="s">
        <v>4373</v>
      </c>
      <c r="B2950" t="s">
        <v>345</v>
      </c>
      <c r="C2950" t="s">
        <v>22</v>
      </c>
      <c r="D2950">
        <v>-129716</v>
      </c>
      <c r="E2950" t="s">
        <v>23</v>
      </c>
      <c r="F2950" t="s">
        <v>32</v>
      </c>
      <c r="G2950" t="s">
        <v>25</v>
      </c>
      <c r="H2950" t="s">
        <v>45</v>
      </c>
      <c r="I2950" t="s">
        <v>48</v>
      </c>
      <c r="J2950" s="11">
        <v>45584</v>
      </c>
      <c r="K2950" t="str">
        <f>TEXT(Transactions_Clean[[#This Row],[Date]],"MMM-YYYY")</f>
        <v>Oct-2024</v>
      </c>
      <c r="L2950">
        <f>IF(Transactions_Clean[[#This Row],[Category]]="Revenue",Transactions_Clean[[#This Row],[Amount(₹)]],Transactions_Clean[[#This Row],[Amount(₹)]]/8)</f>
        <v>-16214.5</v>
      </c>
    </row>
    <row r="2951" spans="1:12">
      <c r="A2951" t="s">
        <v>4374</v>
      </c>
      <c r="B2951" t="s">
        <v>215</v>
      </c>
      <c r="C2951" t="s">
        <v>61</v>
      </c>
      <c r="D2951">
        <v>-24185</v>
      </c>
      <c r="E2951" t="s">
        <v>62</v>
      </c>
      <c r="F2951" t="s">
        <v>24</v>
      </c>
      <c r="G2951" t="s">
        <v>63</v>
      </c>
      <c r="H2951" t="s">
        <v>39</v>
      </c>
      <c r="I2951" t="s">
        <v>27</v>
      </c>
      <c r="J2951" s="11">
        <v>46071</v>
      </c>
      <c r="K2951" t="str">
        <f>TEXT(Transactions_Clean[[#This Row],[Date]],"MMM-YYYY")</f>
        <v>Feb-2026</v>
      </c>
      <c r="L2951">
        <f>IF(Transactions_Clean[[#This Row],[Category]]="Revenue",Transactions_Clean[[#This Row],[Amount(₹)]],Transactions_Clean[[#This Row],[Amount(₹)]]/8)</f>
        <v>-3023.125</v>
      </c>
    </row>
    <row r="2952" spans="1:12">
      <c r="A2952" t="s">
        <v>4376</v>
      </c>
      <c r="B2952" t="s">
        <v>616</v>
      </c>
      <c r="C2952" t="s">
        <v>22</v>
      </c>
      <c r="D2952">
        <v>-62066</v>
      </c>
      <c r="E2952" t="s">
        <v>23</v>
      </c>
      <c r="F2952" t="s">
        <v>32</v>
      </c>
      <c r="G2952" t="s">
        <v>25</v>
      </c>
      <c r="H2952" t="s">
        <v>45</v>
      </c>
      <c r="I2952" t="s">
        <v>48</v>
      </c>
      <c r="J2952" s="11">
        <v>45566</v>
      </c>
      <c r="K2952" t="str">
        <f>TEXT(Transactions_Clean[[#This Row],[Date]],"MMM-YYYY")</f>
        <v>Oct-2024</v>
      </c>
      <c r="L2952">
        <f>IF(Transactions_Clean[[#This Row],[Category]]="Revenue",Transactions_Clean[[#This Row],[Amount(₹)]],Transactions_Clean[[#This Row],[Amount(₹)]]/8)</f>
        <v>-7758.25</v>
      </c>
    </row>
    <row r="2953" spans="1:12">
      <c r="A2953" t="s">
        <v>4377</v>
      </c>
      <c r="B2953" t="s">
        <v>4757</v>
      </c>
      <c r="C2953" t="s">
        <v>73</v>
      </c>
      <c r="D2953">
        <v>-9162</v>
      </c>
      <c r="E2953" t="s">
        <v>74</v>
      </c>
      <c r="F2953" t="s">
        <v>32</v>
      </c>
      <c r="G2953" t="s">
        <v>25</v>
      </c>
      <c r="H2953" t="s">
        <v>45</v>
      </c>
      <c r="I2953" t="s">
        <v>40</v>
      </c>
      <c r="J2953" s="11">
        <v>45550</v>
      </c>
      <c r="K2953" t="str">
        <f>TEXT(Transactions_Clean[[#This Row],[Date]],"MMM-YYYY")</f>
        <v>Sep-2024</v>
      </c>
      <c r="L2953">
        <f>IF(Transactions_Clean[[#This Row],[Category]]="Revenue",Transactions_Clean[[#This Row],[Amount(₹)]],Transactions_Clean[[#This Row],[Amount(₹)]]/8)</f>
        <v>-1145.25</v>
      </c>
    </row>
    <row r="2954" spans="1:12">
      <c r="A2954" t="s">
        <v>4378</v>
      </c>
      <c r="B2954" t="s">
        <v>224</v>
      </c>
      <c r="C2954" t="s">
        <v>78</v>
      </c>
      <c r="D2954">
        <v>-64998</v>
      </c>
      <c r="E2954" t="s">
        <v>23</v>
      </c>
      <c r="F2954" t="s">
        <v>32</v>
      </c>
      <c r="G2954" t="s">
        <v>79</v>
      </c>
      <c r="H2954" t="s">
        <v>45</v>
      </c>
      <c r="I2954" t="s">
        <v>27</v>
      </c>
      <c r="J2954" s="11">
        <v>45685</v>
      </c>
      <c r="K2954" t="str">
        <f>TEXT(Transactions_Clean[[#This Row],[Date]],"MMM-YYYY")</f>
        <v>Jan-2025</v>
      </c>
      <c r="L2954">
        <f>IF(Transactions_Clean[[#This Row],[Category]]="Revenue",Transactions_Clean[[#This Row],[Amount(₹)]],Transactions_Clean[[#This Row],[Amount(₹)]]/8)</f>
        <v>-8124.75</v>
      </c>
    </row>
    <row r="2955" spans="1:12">
      <c r="A2955" t="s">
        <v>4379</v>
      </c>
      <c r="B2955" t="s">
        <v>51</v>
      </c>
      <c r="C2955" t="s">
        <v>31</v>
      </c>
      <c r="D2955">
        <v>-9508</v>
      </c>
      <c r="E2955" t="s">
        <v>23</v>
      </c>
      <c r="F2955" t="s">
        <v>24</v>
      </c>
      <c r="G2955" t="s">
        <v>33</v>
      </c>
      <c r="H2955" t="s">
        <v>45</v>
      </c>
      <c r="I2955" t="s">
        <v>48</v>
      </c>
      <c r="J2955" s="11">
        <v>45583</v>
      </c>
      <c r="K2955" t="str">
        <f>TEXT(Transactions_Clean[[#This Row],[Date]],"MMM-YYYY")</f>
        <v>Oct-2024</v>
      </c>
      <c r="L2955">
        <f>IF(Transactions_Clean[[#This Row],[Category]]="Revenue",Transactions_Clean[[#This Row],[Amount(₹)]],Transactions_Clean[[#This Row],[Amount(₹)]]/8)</f>
        <v>-1188.5</v>
      </c>
    </row>
    <row r="2956" spans="1:12">
      <c r="A2956" t="s">
        <v>4380</v>
      </c>
      <c r="B2956" t="s">
        <v>60</v>
      </c>
      <c r="C2956" t="s">
        <v>61</v>
      </c>
      <c r="D2956">
        <v>-15399</v>
      </c>
      <c r="E2956" t="s">
        <v>62</v>
      </c>
      <c r="F2956" t="s">
        <v>24</v>
      </c>
      <c r="G2956" t="s">
        <v>63</v>
      </c>
      <c r="H2956" t="s">
        <v>45</v>
      </c>
      <c r="I2956" t="s">
        <v>34</v>
      </c>
      <c r="J2956" s="11">
        <v>45389</v>
      </c>
      <c r="K2956" t="str">
        <f>TEXT(Transactions_Clean[[#This Row],[Date]],"MMM-YYYY")</f>
        <v>Apr-2024</v>
      </c>
      <c r="L2956">
        <f>IF(Transactions_Clean[[#This Row],[Category]]="Revenue",Transactions_Clean[[#This Row],[Amount(₹)]],Transactions_Clean[[#This Row],[Amount(₹)]]/8)</f>
        <v>-1924.875</v>
      </c>
    </row>
    <row r="2957" spans="1:12">
      <c r="A2957" t="s">
        <v>4381</v>
      </c>
      <c r="B2957" t="s">
        <v>4767</v>
      </c>
      <c r="C2957" t="s">
        <v>157</v>
      </c>
      <c r="D2957">
        <v>690756</v>
      </c>
      <c r="E2957" t="s">
        <v>62</v>
      </c>
      <c r="F2957" t="s">
        <v>32</v>
      </c>
      <c r="G2957" t="s">
        <v>25</v>
      </c>
      <c r="H2957" t="s">
        <v>39</v>
      </c>
      <c r="I2957" t="s">
        <v>34</v>
      </c>
      <c r="J2957" s="11">
        <v>45817</v>
      </c>
      <c r="K2957" t="str">
        <f>TEXT(Transactions_Clean[[#This Row],[Date]],"MMM-YYYY")</f>
        <v>Jun-2025</v>
      </c>
      <c r="L2957">
        <f>IF(Transactions_Clean[[#This Row],[Category]]="Revenue",Transactions_Clean[[#This Row],[Amount(₹)]],Transactions_Clean[[#This Row],[Amount(₹)]]/8)</f>
        <v>690756</v>
      </c>
    </row>
    <row r="2958" spans="1:12">
      <c r="A2958" t="s">
        <v>4382</v>
      </c>
      <c r="B2958" t="s">
        <v>37</v>
      </c>
      <c r="C2958" t="s">
        <v>38</v>
      </c>
      <c r="D2958">
        <v>-54902</v>
      </c>
      <c r="E2958" t="s">
        <v>23</v>
      </c>
      <c r="F2958" t="s">
        <v>32</v>
      </c>
      <c r="G2958" t="s">
        <v>33</v>
      </c>
      <c r="H2958" t="s">
        <v>26</v>
      </c>
      <c r="I2958" t="s">
        <v>27</v>
      </c>
      <c r="J2958" s="11">
        <v>45334</v>
      </c>
      <c r="K2958" t="str">
        <f>TEXT(Transactions_Clean[[#This Row],[Date]],"MMM-YYYY")</f>
        <v>Feb-2024</v>
      </c>
      <c r="L2958">
        <f>IF(Transactions_Clean[[#This Row],[Category]]="Revenue",Transactions_Clean[[#This Row],[Amount(₹)]],Transactions_Clean[[#This Row],[Amount(₹)]]/8)</f>
        <v>-6862.75</v>
      </c>
    </row>
    <row r="2959" spans="1:12">
      <c r="A2959" t="s">
        <v>4383</v>
      </c>
      <c r="B2959" t="s">
        <v>129</v>
      </c>
      <c r="C2959" t="s">
        <v>38</v>
      </c>
      <c r="D2959">
        <v>-17300</v>
      </c>
      <c r="E2959" t="s">
        <v>23</v>
      </c>
      <c r="F2959" t="s">
        <v>24</v>
      </c>
      <c r="G2959" t="s">
        <v>33</v>
      </c>
      <c r="H2959" t="s">
        <v>39</v>
      </c>
      <c r="I2959" t="s">
        <v>48</v>
      </c>
      <c r="J2959" s="11">
        <v>46022</v>
      </c>
      <c r="K2959" t="str">
        <f>TEXT(Transactions_Clean[[#This Row],[Date]],"MMM-YYYY")</f>
        <v>Dec-2025</v>
      </c>
      <c r="L2959">
        <f>IF(Transactions_Clean[[#This Row],[Category]]="Revenue",Transactions_Clean[[#This Row],[Amount(₹)]],Transactions_Clean[[#This Row],[Amount(₹)]]/8)</f>
        <v>-2162.5</v>
      </c>
    </row>
    <row r="2960" spans="1:12">
      <c r="A2960" t="s">
        <v>4384</v>
      </c>
      <c r="B2960" t="s">
        <v>616</v>
      </c>
      <c r="C2960" t="s">
        <v>22</v>
      </c>
      <c r="D2960">
        <v>-76874</v>
      </c>
      <c r="E2960" t="s">
        <v>23</v>
      </c>
      <c r="F2960" t="s">
        <v>32</v>
      </c>
      <c r="G2960" t="s">
        <v>25</v>
      </c>
      <c r="H2960" t="s">
        <v>45</v>
      </c>
      <c r="I2960" t="s">
        <v>40</v>
      </c>
      <c r="J2960" s="11">
        <v>45475</v>
      </c>
      <c r="K2960" t="str">
        <f>TEXT(Transactions_Clean[[#This Row],[Date]],"MMM-YYYY")</f>
        <v>Jul-2024</v>
      </c>
      <c r="L2960">
        <f>IF(Transactions_Clean[[#This Row],[Category]]="Revenue",Transactions_Clean[[#This Row],[Amount(₹)]],Transactions_Clean[[#This Row],[Amount(₹)]]/8)</f>
        <v>-9609.25</v>
      </c>
    </row>
    <row r="2961" spans="1:12">
      <c r="A2961" t="s">
        <v>4385</v>
      </c>
      <c r="B2961" t="s">
        <v>129</v>
      </c>
      <c r="C2961" t="s">
        <v>38</v>
      </c>
      <c r="D2961">
        <v>-33374</v>
      </c>
      <c r="E2961" t="s">
        <v>23</v>
      </c>
      <c r="F2961" t="s">
        <v>24</v>
      </c>
      <c r="G2961" t="s">
        <v>33</v>
      </c>
      <c r="H2961" t="s">
        <v>39</v>
      </c>
      <c r="I2961" t="s">
        <v>34</v>
      </c>
      <c r="J2961" s="11">
        <v>45794</v>
      </c>
      <c r="K2961" t="str">
        <f>TEXT(Transactions_Clean[[#This Row],[Date]],"MMM-YYYY")</f>
        <v>May-2025</v>
      </c>
      <c r="L2961">
        <f>IF(Transactions_Clean[[#This Row],[Category]]="Revenue",Transactions_Clean[[#This Row],[Amount(₹)]],Transactions_Clean[[#This Row],[Amount(₹)]]/8)</f>
        <v>-4171.75</v>
      </c>
    </row>
    <row r="2962" spans="1:12">
      <c r="A2962" t="s">
        <v>4386</v>
      </c>
      <c r="B2962" t="s">
        <v>224</v>
      </c>
      <c r="C2962" t="s">
        <v>78</v>
      </c>
      <c r="D2962">
        <v>-101495</v>
      </c>
      <c r="E2962" t="s">
        <v>23</v>
      </c>
      <c r="F2962" t="s">
        <v>24</v>
      </c>
      <c r="G2962" t="s">
        <v>79</v>
      </c>
      <c r="H2962" t="s">
        <v>39</v>
      </c>
      <c r="I2962" t="s">
        <v>40</v>
      </c>
      <c r="J2962" s="11">
        <v>45840</v>
      </c>
      <c r="K2962" t="str">
        <f>TEXT(Transactions_Clean[[#This Row],[Date]],"MMM-YYYY")</f>
        <v>Jul-2025</v>
      </c>
      <c r="L2962">
        <f>IF(Transactions_Clean[[#This Row],[Category]]="Revenue",Transactions_Clean[[#This Row],[Amount(₹)]],Transactions_Clean[[#This Row],[Amount(₹)]]/8)</f>
        <v>-12686.875</v>
      </c>
    </row>
    <row r="2963" spans="1:12">
      <c r="A2963" t="s">
        <v>4387</v>
      </c>
      <c r="B2963" t="s">
        <v>212</v>
      </c>
      <c r="C2963" t="s">
        <v>73</v>
      </c>
      <c r="D2963">
        <v>-12784</v>
      </c>
      <c r="E2963" t="s">
        <v>74</v>
      </c>
      <c r="F2963" t="s">
        <v>32</v>
      </c>
      <c r="G2963" t="s">
        <v>25</v>
      </c>
      <c r="H2963" t="s">
        <v>39</v>
      </c>
      <c r="I2963" t="s">
        <v>27</v>
      </c>
      <c r="J2963" s="11">
        <v>46089</v>
      </c>
      <c r="K2963" t="str">
        <f>TEXT(Transactions_Clean[[#This Row],[Date]],"MMM-YYYY")</f>
        <v>Mar-2026</v>
      </c>
      <c r="L2963">
        <f>IF(Transactions_Clean[[#This Row],[Category]]="Revenue",Transactions_Clean[[#This Row],[Amount(₹)]],Transactions_Clean[[#This Row],[Amount(₹)]]/8)</f>
        <v>-1598</v>
      </c>
    </row>
    <row r="2964" spans="1:12">
      <c r="A2964" t="s">
        <v>4389</v>
      </c>
      <c r="B2964" t="s">
        <v>72</v>
      </c>
      <c r="C2964" t="s">
        <v>73</v>
      </c>
      <c r="D2964">
        <v>-51081</v>
      </c>
      <c r="E2964" t="s">
        <v>74</v>
      </c>
      <c r="F2964" t="s">
        <v>32</v>
      </c>
      <c r="G2964" t="s">
        <v>25</v>
      </c>
      <c r="H2964" t="s">
        <v>45</v>
      </c>
      <c r="I2964" t="s">
        <v>40</v>
      </c>
      <c r="J2964" s="11">
        <v>45543</v>
      </c>
      <c r="K2964" t="str">
        <f>TEXT(Transactions_Clean[[#This Row],[Date]],"MMM-YYYY")</f>
        <v>Sep-2024</v>
      </c>
      <c r="L2964">
        <f>IF(Transactions_Clean[[#This Row],[Category]]="Revenue",Transactions_Clean[[#This Row],[Amount(₹)]],Transactions_Clean[[#This Row],[Amount(₹)]]/8)</f>
        <v>-6385.125</v>
      </c>
    </row>
    <row r="2965" spans="1:12">
      <c r="A2965" t="s">
        <v>4391</v>
      </c>
      <c r="B2965" t="s">
        <v>4759</v>
      </c>
      <c r="C2965" t="s">
        <v>31</v>
      </c>
      <c r="D2965">
        <v>-17382</v>
      </c>
      <c r="E2965" t="s">
        <v>23</v>
      </c>
      <c r="F2965" t="s">
        <v>24</v>
      </c>
      <c r="G2965" t="s">
        <v>33</v>
      </c>
      <c r="H2965" t="s">
        <v>45</v>
      </c>
      <c r="I2965" t="s">
        <v>34</v>
      </c>
      <c r="J2965" s="11">
        <v>45395</v>
      </c>
      <c r="K2965" t="str">
        <f>TEXT(Transactions_Clean[[#This Row],[Date]],"MMM-YYYY")</f>
        <v>Apr-2024</v>
      </c>
      <c r="L2965">
        <f>IF(Transactions_Clean[[#This Row],[Category]]="Revenue",Transactions_Clean[[#This Row],[Amount(₹)]],Transactions_Clean[[#This Row],[Amount(₹)]]/8)</f>
        <v>-2172.75</v>
      </c>
    </row>
    <row r="2966" spans="1:12">
      <c r="A2966" t="s">
        <v>4392</v>
      </c>
      <c r="B2966" t="s">
        <v>4751</v>
      </c>
      <c r="C2966" t="s">
        <v>38</v>
      </c>
      <c r="D2966">
        <v>-44819</v>
      </c>
      <c r="E2966" t="s">
        <v>23</v>
      </c>
      <c r="F2966" t="s">
        <v>24</v>
      </c>
      <c r="G2966" t="s">
        <v>33</v>
      </c>
      <c r="H2966" t="s">
        <v>26</v>
      </c>
      <c r="I2966" t="s">
        <v>34</v>
      </c>
      <c r="J2966" s="11">
        <v>45084</v>
      </c>
      <c r="K2966" t="str">
        <f>TEXT(Transactions_Clean[[#This Row],[Date]],"MMM-YYYY")</f>
        <v>Jun-2023</v>
      </c>
      <c r="L2966">
        <f>IF(Transactions_Clean[[#This Row],[Category]]="Revenue",Transactions_Clean[[#This Row],[Amount(₹)]],Transactions_Clean[[#This Row],[Amount(₹)]]/8)</f>
        <v>-5602.375</v>
      </c>
    </row>
    <row r="2967" spans="1:12">
      <c r="A2967" t="s">
        <v>4393</v>
      </c>
      <c r="B2967" t="s">
        <v>4759</v>
      </c>
      <c r="C2967" t="s">
        <v>31</v>
      </c>
      <c r="D2967">
        <v>-30160</v>
      </c>
      <c r="E2967" t="s">
        <v>23</v>
      </c>
      <c r="F2967" t="s">
        <v>32</v>
      </c>
      <c r="G2967" t="s">
        <v>33</v>
      </c>
      <c r="H2967" t="s">
        <v>45</v>
      </c>
      <c r="I2967" t="s">
        <v>48</v>
      </c>
      <c r="J2967" s="11">
        <v>45603</v>
      </c>
      <c r="K2967" t="str">
        <f>TEXT(Transactions_Clean[[#This Row],[Date]],"MMM-YYYY")</f>
        <v>Nov-2024</v>
      </c>
      <c r="L2967">
        <f>IF(Transactions_Clean[[#This Row],[Category]]="Revenue",Transactions_Clean[[#This Row],[Amount(₹)]],Transactions_Clean[[#This Row],[Amount(₹)]]/8)</f>
        <v>-3770</v>
      </c>
    </row>
    <row r="2968" spans="1:12">
      <c r="A2968" t="s">
        <v>4394</v>
      </c>
      <c r="B2968" t="s">
        <v>4770</v>
      </c>
      <c r="C2968" t="s">
        <v>440</v>
      </c>
      <c r="D2968">
        <v>-104172</v>
      </c>
      <c r="E2968" t="s">
        <v>23</v>
      </c>
      <c r="F2968" t="s">
        <v>32</v>
      </c>
      <c r="G2968" t="s">
        <v>33</v>
      </c>
      <c r="H2968" t="s">
        <v>26</v>
      </c>
      <c r="I2968" t="s">
        <v>40</v>
      </c>
      <c r="J2968" s="11">
        <v>45131</v>
      </c>
      <c r="K2968" t="str">
        <f>TEXT(Transactions_Clean[[#This Row],[Date]],"MMM-YYYY")</f>
        <v>Jul-2023</v>
      </c>
      <c r="L2968">
        <f>IF(Transactions_Clean[[#This Row],[Category]]="Revenue",Transactions_Clean[[#This Row],[Amount(₹)]],Transactions_Clean[[#This Row],[Amount(₹)]]/8)</f>
        <v>-13021.5</v>
      </c>
    </row>
    <row r="2969" spans="1:12">
      <c r="A2969" t="s">
        <v>4395</v>
      </c>
      <c r="B2969" t="s">
        <v>37</v>
      </c>
      <c r="C2969" t="s">
        <v>38</v>
      </c>
      <c r="D2969">
        <v>-28341</v>
      </c>
      <c r="E2969" t="s">
        <v>23</v>
      </c>
      <c r="F2969" t="s">
        <v>32</v>
      </c>
      <c r="G2969" t="s">
        <v>33</v>
      </c>
      <c r="H2969" t="s">
        <v>26</v>
      </c>
      <c r="I2969" t="s">
        <v>48</v>
      </c>
      <c r="J2969" s="11">
        <v>45282</v>
      </c>
      <c r="K2969" t="str">
        <f>TEXT(Transactions_Clean[[#This Row],[Date]],"MMM-YYYY")</f>
        <v>Dec-2023</v>
      </c>
      <c r="L2969">
        <f>IF(Transactions_Clean[[#This Row],[Category]]="Revenue",Transactions_Clean[[#This Row],[Amount(₹)]],Transactions_Clean[[#This Row],[Amount(₹)]]/8)</f>
        <v>-3542.625</v>
      </c>
    </row>
    <row r="2970" spans="1:12">
      <c r="A2970" t="s">
        <v>4396</v>
      </c>
      <c r="B2970" t="s">
        <v>37</v>
      </c>
      <c r="C2970" t="s">
        <v>38</v>
      </c>
      <c r="D2970">
        <v>-42730</v>
      </c>
      <c r="E2970" t="s">
        <v>23</v>
      </c>
      <c r="F2970" t="s">
        <v>32</v>
      </c>
      <c r="G2970" t="s">
        <v>33</v>
      </c>
      <c r="H2970" t="s">
        <v>39</v>
      </c>
      <c r="I2970" t="s">
        <v>40</v>
      </c>
      <c r="J2970" s="11">
        <v>45871</v>
      </c>
      <c r="K2970" t="str">
        <f>TEXT(Transactions_Clean[[#This Row],[Date]],"MMM-YYYY")</f>
        <v>Aug-2025</v>
      </c>
      <c r="L2970">
        <f>IF(Transactions_Clean[[#This Row],[Category]]="Revenue",Transactions_Clean[[#This Row],[Amount(₹)]],Transactions_Clean[[#This Row],[Amount(₹)]]/8)</f>
        <v>-5341.25</v>
      </c>
    </row>
    <row r="2971" spans="1:12">
      <c r="A2971" t="s">
        <v>4397</v>
      </c>
      <c r="B2971" t="s">
        <v>66</v>
      </c>
      <c r="C2971" t="s">
        <v>61</v>
      </c>
      <c r="D2971">
        <v>-47901</v>
      </c>
      <c r="E2971" t="s">
        <v>62</v>
      </c>
      <c r="F2971" t="s">
        <v>32</v>
      </c>
      <c r="G2971" t="s">
        <v>63</v>
      </c>
      <c r="H2971" t="s">
        <v>26</v>
      </c>
      <c r="I2971" t="s">
        <v>48</v>
      </c>
      <c r="J2971" s="11">
        <v>45227</v>
      </c>
      <c r="K2971" t="str">
        <f>TEXT(Transactions_Clean[[#This Row],[Date]],"MMM-YYYY")</f>
        <v>Oct-2023</v>
      </c>
      <c r="L2971">
        <f>IF(Transactions_Clean[[#This Row],[Category]]="Revenue",Transactions_Clean[[#This Row],[Amount(₹)]],Transactions_Clean[[#This Row],[Amount(₹)]]/8)</f>
        <v>-5987.625</v>
      </c>
    </row>
    <row r="2972" spans="1:12">
      <c r="A2972" t="s">
        <v>4398</v>
      </c>
      <c r="B2972" t="s">
        <v>66</v>
      </c>
      <c r="C2972" t="s">
        <v>61</v>
      </c>
      <c r="D2972">
        <v>-46150</v>
      </c>
      <c r="E2972" t="s">
        <v>62</v>
      </c>
      <c r="F2972" t="s">
        <v>24</v>
      </c>
      <c r="G2972" t="s">
        <v>63</v>
      </c>
      <c r="H2972" t="s">
        <v>39</v>
      </c>
      <c r="I2972" t="s">
        <v>27</v>
      </c>
      <c r="J2972" s="11">
        <v>46041</v>
      </c>
      <c r="K2972" t="str">
        <f>TEXT(Transactions_Clean[[#This Row],[Date]],"MMM-YYYY")</f>
        <v>Jan-2026</v>
      </c>
      <c r="L2972">
        <f>IF(Transactions_Clean[[#This Row],[Category]]="Revenue",Transactions_Clean[[#This Row],[Amount(₹)]],Transactions_Clean[[#This Row],[Amount(₹)]]/8)</f>
        <v>-5768.75</v>
      </c>
    </row>
    <row r="2973" spans="1:12">
      <c r="A2973" t="s">
        <v>4400</v>
      </c>
      <c r="B2973" t="s">
        <v>72</v>
      </c>
      <c r="C2973" t="s">
        <v>73</v>
      </c>
      <c r="D2973">
        <v>-45626</v>
      </c>
      <c r="E2973" t="s">
        <v>74</v>
      </c>
      <c r="F2973" t="s">
        <v>32</v>
      </c>
      <c r="G2973" t="s">
        <v>25</v>
      </c>
      <c r="H2973" t="s">
        <v>39</v>
      </c>
      <c r="I2973" t="s">
        <v>48</v>
      </c>
      <c r="J2973" s="11">
        <v>45951</v>
      </c>
      <c r="K2973" t="str">
        <f>TEXT(Transactions_Clean[[#This Row],[Date]],"MMM-YYYY")</f>
        <v>Oct-2025</v>
      </c>
      <c r="L2973">
        <f>IF(Transactions_Clean[[#This Row],[Category]]="Revenue",Transactions_Clean[[#This Row],[Amount(₹)]],Transactions_Clean[[#This Row],[Amount(₹)]]/8)</f>
        <v>-5703.25</v>
      </c>
    </row>
    <row r="2974" spans="1:12">
      <c r="A2974" t="s">
        <v>4401</v>
      </c>
      <c r="B2974" t="s">
        <v>4759</v>
      </c>
      <c r="C2974" t="s">
        <v>31</v>
      </c>
      <c r="D2974">
        <v>-30049</v>
      </c>
      <c r="E2974" t="s">
        <v>23</v>
      </c>
      <c r="F2974" t="s">
        <v>24</v>
      </c>
      <c r="G2974" t="s">
        <v>33</v>
      </c>
      <c r="H2974" t="s">
        <v>45</v>
      </c>
      <c r="I2974" t="s">
        <v>27</v>
      </c>
      <c r="J2974" s="11">
        <v>45742</v>
      </c>
      <c r="K2974" t="str">
        <f>TEXT(Transactions_Clean[[#This Row],[Date]],"MMM-YYYY")</f>
        <v>Mar-2025</v>
      </c>
      <c r="L2974">
        <f>IF(Transactions_Clean[[#This Row],[Category]]="Revenue",Transactions_Clean[[#This Row],[Amount(₹)]],Transactions_Clean[[#This Row],[Amount(₹)]]/8)</f>
        <v>-3756.125</v>
      </c>
    </row>
    <row r="2975" spans="1:12">
      <c r="A2975" t="s">
        <v>4402</v>
      </c>
      <c r="B2975" t="s">
        <v>4774</v>
      </c>
      <c r="C2975" t="s">
        <v>440</v>
      </c>
      <c r="D2975">
        <v>-142032</v>
      </c>
      <c r="E2975" t="s">
        <v>23</v>
      </c>
      <c r="F2975" t="s">
        <v>24</v>
      </c>
      <c r="G2975" t="s">
        <v>33</v>
      </c>
      <c r="H2975" t="s">
        <v>26</v>
      </c>
      <c r="I2975" t="s">
        <v>34</v>
      </c>
      <c r="J2975" s="11">
        <v>45091</v>
      </c>
      <c r="K2975" t="str">
        <f>TEXT(Transactions_Clean[[#This Row],[Date]],"MMM-YYYY")</f>
        <v>Jun-2023</v>
      </c>
      <c r="L2975">
        <f>IF(Transactions_Clean[[#This Row],[Category]]="Revenue",Transactions_Clean[[#This Row],[Amount(₹)]],Transactions_Clean[[#This Row],[Amount(₹)]]/8)</f>
        <v>-17754</v>
      </c>
    </row>
    <row r="2976" spans="1:12">
      <c r="A2976" t="s">
        <v>4403</v>
      </c>
      <c r="B2976" t="s">
        <v>4756</v>
      </c>
      <c r="C2976" t="s">
        <v>73</v>
      </c>
      <c r="D2976">
        <v>-60755</v>
      </c>
      <c r="E2976" t="s">
        <v>74</v>
      </c>
      <c r="F2976" t="s">
        <v>32</v>
      </c>
      <c r="G2976" t="s">
        <v>25</v>
      </c>
      <c r="H2976" t="s">
        <v>39</v>
      </c>
      <c r="I2976" t="s">
        <v>48</v>
      </c>
      <c r="J2976" s="11">
        <v>45967</v>
      </c>
      <c r="K2976" t="str">
        <f>TEXT(Transactions_Clean[[#This Row],[Date]],"MMM-YYYY")</f>
        <v>Nov-2025</v>
      </c>
      <c r="L2976">
        <f>IF(Transactions_Clean[[#This Row],[Category]]="Revenue",Transactions_Clean[[#This Row],[Amount(₹)]],Transactions_Clean[[#This Row],[Amount(₹)]]/8)</f>
        <v>-7594.375</v>
      </c>
    </row>
    <row r="2977" spans="1:12">
      <c r="A2977" t="s">
        <v>4404</v>
      </c>
      <c r="B2977" t="s">
        <v>4758</v>
      </c>
      <c r="C2977" t="s">
        <v>78</v>
      </c>
      <c r="D2977">
        <v>-34850</v>
      </c>
      <c r="E2977" t="s">
        <v>23</v>
      </c>
      <c r="F2977" t="s">
        <v>24</v>
      </c>
      <c r="G2977" t="s">
        <v>79</v>
      </c>
      <c r="H2977" t="s">
        <v>39</v>
      </c>
      <c r="I2977" t="s">
        <v>48</v>
      </c>
      <c r="J2977" s="11">
        <v>46016</v>
      </c>
      <c r="K2977" t="str">
        <f>TEXT(Transactions_Clean[[#This Row],[Date]],"MMM-YYYY")</f>
        <v>Dec-2025</v>
      </c>
      <c r="L2977">
        <f>IF(Transactions_Clean[[#This Row],[Category]]="Revenue",Transactions_Clean[[#This Row],[Amount(₹)]],Transactions_Clean[[#This Row],[Amount(₹)]]/8)</f>
        <v>-4356.25</v>
      </c>
    </row>
    <row r="2978" spans="1:12">
      <c r="A2978" t="s">
        <v>4405</v>
      </c>
      <c r="B2978" t="s">
        <v>4756</v>
      </c>
      <c r="C2978" t="s">
        <v>4750</v>
      </c>
      <c r="D2978">
        <v>-44732</v>
      </c>
      <c r="E2978" t="s">
        <v>74</v>
      </c>
      <c r="F2978" t="s">
        <v>32</v>
      </c>
      <c r="G2978" t="s">
        <v>25</v>
      </c>
      <c r="H2978" t="s">
        <v>45</v>
      </c>
      <c r="I2978" t="s">
        <v>27</v>
      </c>
      <c r="J2978" s="11">
        <v>45674</v>
      </c>
      <c r="K2978" t="str">
        <f>TEXT(Transactions_Clean[[#This Row],[Date]],"MMM-YYYY")</f>
        <v>Jan-2025</v>
      </c>
      <c r="L2978">
        <f>IF(Transactions_Clean[[#This Row],[Category]]="Revenue",Transactions_Clean[[#This Row],[Amount(₹)]],Transactions_Clean[[#This Row],[Amount(₹)]]/8)</f>
        <v>-5591.5</v>
      </c>
    </row>
    <row r="2979" spans="1:12">
      <c r="A2979" t="s">
        <v>4406</v>
      </c>
      <c r="B2979" t="s">
        <v>310</v>
      </c>
      <c r="C2979" t="s">
        <v>22</v>
      </c>
      <c r="D2979">
        <v>-61790</v>
      </c>
      <c r="E2979" t="s">
        <v>23</v>
      </c>
      <c r="F2979" t="s">
        <v>32</v>
      </c>
      <c r="G2979" t="s">
        <v>25</v>
      </c>
      <c r="H2979" t="s">
        <v>45</v>
      </c>
      <c r="I2979" t="s">
        <v>34</v>
      </c>
      <c r="J2979" s="11">
        <v>45414</v>
      </c>
      <c r="K2979" t="str">
        <f>TEXT(Transactions_Clean[[#This Row],[Date]],"MMM-YYYY")</f>
        <v>May-2024</v>
      </c>
      <c r="L2979">
        <f>IF(Transactions_Clean[[#This Row],[Category]]="Revenue",Transactions_Clean[[#This Row],[Amount(₹)]],Transactions_Clean[[#This Row],[Amount(₹)]]/8)</f>
        <v>-7723.75</v>
      </c>
    </row>
    <row r="2980" spans="1:12">
      <c r="A2980" t="s">
        <v>4407</v>
      </c>
      <c r="B2980" t="s">
        <v>72</v>
      </c>
      <c r="C2980" t="s">
        <v>73</v>
      </c>
      <c r="D2980">
        <v>-63550</v>
      </c>
      <c r="E2980" t="s">
        <v>74</v>
      </c>
      <c r="F2980" t="s">
        <v>32</v>
      </c>
      <c r="G2980" t="s">
        <v>25</v>
      </c>
      <c r="H2980" t="s">
        <v>45</v>
      </c>
      <c r="I2980" t="s">
        <v>34</v>
      </c>
      <c r="J2980" s="11">
        <v>45355</v>
      </c>
      <c r="K2980" t="str">
        <f>TEXT(Transactions_Clean[[#This Row],[Date]],"MMM-YYYY")</f>
        <v>Mar-2024</v>
      </c>
      <c r="L2980">
        <f>IF(Transactions_Clean[[#This Row],[Category]]="Revenue",Transactions_Clean[[#This Row],[Amount(₹)]],Transactions_Clean[[#This Row],[Amount(₹)]]/8)</f>
        <v>-7943.75</v>
      </c>
    </row>
    <row r="2981" spans="1:12">
      <c r="A2981" t="s">
        <v>4409</v>
      </c>
      <c r="B2981" t="s">
        <v>51</v>
      </c>
      <c r="C2981" t="s">
        <v>31</v>
      </c>
      <c r="D2981">
        <v>-24707</v>
      </c>
      <c r="E2981" t="s">
        <v>23</v>
      </c>
      <c r="F2981" t="s">
        <v>24</v>
      </c>
      <c r="G2981" t="s">
        <v>33</v>
      </c>
      <c r="H2981" t="s">
        <v>39</v>
      </c>
      <c r="I2981" t="s">
        <v>48</v>
      </c>
      <c r="J2981" s="11">
        <v>45983</v>
      </c>
      <c r="K2981" t="str">
        <f>TEXT(Transactions_Clean[[#This Row],[Date]],"MMM-YYYY")</f>
        <v>Nov-2025</v>
      </c>
      <c r="L2981">
        <f>IF(Transactions_Clean[[#This Row],[Category]]="Revenue",Transactions_Clean[[#This Row],[Amount(₹)]],Transactions_Clean[[#This Row],[Amount(₹)]]/8)</f>
        <v>-3088.375</v>
      </c>
    </row>
    <row r="2982" spans="1:12">
      <c r="A2982" t="s">
        <v>4410</v>
      </c>
      <c r="B2982" t="s">
        <v>161</v>
      </c>
      <c r="C2982" t="s">
        <v>22</v>
      </c>
      <c r="D2982">
        <v>-136602</v>
      </c>
      <c r="E2982" t="s">
        <v>23</v>
      </c>
      <c r="F2982" t="s">
        <v>24</v>
      </c>
      <c r="G2982" t="s">
        <v>25</v>
      </c>
      <c r="H2982" t="s">
        <v>45</v>
      </c>
      <c r="I2982" t="s">
        <v>40</v>
      </c>
      <c r="J2982" s="11">
        <v>45532</v>
      </c>
      <c r="K2982" t="str">
        <f>TEXT(Transactions_Clean[[#This Row],[Date]],"MMM-YYYY")</f>
        <v>Aug-2024</v>
      </c>
      <c r="L2982">
        <f>IF(Transactions_Clean[[#This Row],[Category]]="Revenue",Transactions_Clean[[#This Row],[Amount(₹)]],Transactions_Clean[[#This Row],[Amount(₹)]]/8)</f>
        <v>-17075.25</v>
      </c>
    </row>
    <row r="2983" spans="1:12">
      <c r="A2983" t="s">
        <v>4412</v>
      </c>
      <c r="B2983" t="s">
        <v>60</v>
      </c>
      <c r="C2983" t="s">
        <v>61</v>
      </c>
      <c r="D2983">
        <v>-29648</v>
      </c>
      <c r="E2983" t="s">
        <v>62</v>
      </c>
      <c r="F2983" t="s">
        <v>32</v>
      </c>
      <c r="G2983" t="s">
        <v>63</v>
      </c>
      <c r="H2983" t="s">
        <v>45</v>
      </c>
      <c r="I2983" t="s">
        <v>34</v>
      </c>
      <c r="J2983" s="11">
        <v>45326</v>
      </c>
      <c r="K2983" t="str">
        <f>TEXT(Transactions_Clean[[#This Row],[Date]],"MMM-YYYY")</f>
        <v>Feb-2024</v>
      </c>
      <c r="L2983">
        <f>IF(Transactions_Clean[[#This Row],[Category]]="Revenue",Transactions_Clean[[#This Row],[Amount(₹)]],Transactions_Clean[[#This Row],[Amount(₹)]]/8)</f>
        <v>-3706</v>
      </c>
    </row>
    <row r="2984" spans="1:12">
      <c r="A2984" t="s">
        <v>4414</v>
      </c>
      <c r="B2984" t="s">
        <v>255</v>
      </c>
      <c r="C2984" t="s">
        <v>22</v>
      </c>
      <c r="D2984">
        <v>-123349</v>
      </c>
      <c r="E2984" t="s">
        <v>23</v>
      </c>
      <c r="F2984" t="s">
        <v>32</v>
      </c>
      <c r="G2984" t="s">
        <v>25</v>
      </c>
      <c r="H2984" t="s">
        <v>45</v>
      </c>
      <c r="I2984" t="s">
        <v>27</v>
      </c>
      <c r="J2984" s="11">
        <v>45676</v>
      </c>
      <c r="K2984" t="str">
        <f>TEXT(Transactions_Clean[[#This Row],[Date]],"MMM-YYYY")</f>
        <v>Jan-2025</v>
      </c>
      <c r="L2984">
        <f>IF(Transactions_Clean[[#This Row],[Category]]="Revenue",Transactions_Clean[[#This Row],[Amount(₹)]],Transactions_Clean[[#This Row],[Amount(₹)]]/8)</f>
        <v>-15418.625</v>
      </c>
    </row>
    <row r="2985" spans="1:12">
      <c r="A2985" t="s">
        <v>4415</v>
      </c>
      <c r="B2985" t="s">
        <v>310</v>
      </c>
      <c r="C2985" t="s">
        <v>22</v>
      </c>
      <c r="D2985">
        <v>-136570</v>
      </c>
      <c r="E2985" t="s">
        <v>23</v>
      </c>
      <c r="F2985" t="s">
        <v>32</v>
      </c>
      <c r="G2985" t="s">
        <v>25</v>
      </c>
      <c r="H2985" t="s">
        <v>45</v>
      </c>
      <c r="I2985" t="s">
        <v>27</v>
      </c>
      <c r="J2985" s="11">
        <v>45672</v>
      </c>
      <c r="K2985" t="str">
        <f>TEXT(Transactions_Clean[[#This Row],[Date]],"MMM-YYYY")</f>
        <v>Jan-2025</v>
      </c>
      <c r="L2985">
        <f>IF(Transactions_Clean[[#This Row],[Category]]="Revenue",Transactions_Clean[[#This Row],[Amount(₹)]],Transactions_Clean[[#This Row],[Amount(₹)]]/8)</f>
        <v>-17071.25</v>
      </c>
    </row>
    <row r="2986" spans="1:12">
      <c r="A2986" t="s">
        <v>4416</v>
      </c>
      <c r="B2986" t="s">
        <v>4748</v>
      </c>
      <c r="C2986" t="s">
        <v>22</v>
      </c>
      <c r="D2986">
        <v>-153679</v>
      </c>
      <c r="E2986" t="s">
        <v>23</v>
      </c>
      <c r="F2986" t="s">
        <v>32</v>
      </c>
      <c r="G2986" t="s">
        <v>25</v>
      </c>
      <c r="H2986" t="s">
        <v>26</v>
      </c>
      <c r="I2986" t="s">
        <v>34</v>
      </c>
      <c r="J2986" s="11">
        <v>45031</v>
      </c>
      <c r="K2986" t="str">
        <f>TEXT(Transactions_Clean[[#This Row],[Date]],"MMM-YYYY")</f>
        <v>Apr-2023</v>
      </c>
      <c r="L2986">
        <f>IF(Transactions_Clean[[#This Row],[Category]]="Revenue",Transactions_Clean[[#This Row],[Amount(₹)]],Transactions_Clean[[#This Row],[Amount(₹)]]/8)</f>
        <v>-19209.875</v>
      </c>
    </row>
    <row r="2987" spans="1:12">
      <c r="A2987" t="s">
        <v>4417</v>
      </c>
      <c r="B2987" t="s">
        <v>4760</v>
      </c>
      <c r="C2987" t="s">
        <v>73</v>
      </c>
      <c r="D2987">
        <v>-87356</v>
      </c>
      <c r="E2987" t="s">
        <v>74</v>
      </c>
      <c r="F2987" t="s">
        <v>24</v>
      </c>
      <c r="G2987" t="s">
        <v>25</v>
      </c>
      <c r="H2987" t="s">
        <v>39</v>
      </c>
      <c r="I2987" t="s">
        <v>48</v>
      </c>
      <c r="J2987" s="11">
        <v>45954</v>
      </c>
      <c r="K2987" t="str">
        <f>TEXT(Transactions_Clean[[#This Row],[Date]],"MMM-YYYY")</f>
        <v>Oct-2025</v>
      </c>
      <c r="L2987">
        <f>IF(Transactions_Clean[[#This Row],[Category]]="Revenue",Transactions_Clean[[#This Row],[Amount(₹)]],Transactions_Clean[[#This Row],[Amount(₹)]]/8)</f>
        <v>-10919.5</v>
      </c>
    </row>
    <row r="2988" spans="1:12">
      <c r="A2988" t="s">
        <v>4418</v>
      </c>
      <c r="B2988" t="s">
        <v>177</v>
      </c>
      <c r="C2988" t="s">
        <v>78</v>
      </c>
      <c r="D2988">
        <v>-26799</v>
      </c>
      <c r="E2988" t="s">
        <v>23</v>
      </c>
      <c r="F2988" t="s">
        <v>32</v>
      </c>
      <c r="G2988" t="s">
        <v>79</v>
      </c>
      <c r="H2988" t="s">
        <v>39</v>
      </c>
      <c r="I2988" t="s">
        <v>27</v>
      </c>
      <c r="J2988" s="11">
        <v>46112</v>
      </c>
      <c r="K2988" t="str">
        <f>TEXT(Transactions_Clean[[#This Row],[Date]],"MMM-YYYY")</f>
        <v>Mar-2026</v>
      </c>
      <c r="L2988">
        <f>IF(Transactions_Clean[[#This Row],[Category]]="Revenue",Transactions_Clean[[#This Row],[Amount(₹)]],Transactions_Clean[[#This Row],[Amount(₹)]]/8)</f>
        <v>-3349.875</v>
      </c>
    </row>
    <row r="2989" spans="1:12">
      <c r="A2989" t="s">
        <v>4419</v>
      </c>
      <c r="B2989" t="s">
        <v>60</v>
      </c>
      <c r="C2989" t="s">
        <v>61</v>
      </c>
      <c r="D2989">
        <v>-21838</v>
      </c>
      <c r="E2989" t="s">
        <v>62</v>
      </c>
      <c r="F2989" t="s">
        <v>32</v>
      </c>
      <c r="G2989" t="s">
        <v>63</v>
      </c>
      <c r="H2989" t="s">
        <v>39</v>
      </c>
      <c r="I2989" t="s">
        <v>40</v>
      </c>
      <c r="J2989" s="11">
        <v>45858</v>
      </c>
      <c r="K2989" t="str">
        <f>TEXT(Transactions_Clean[[#This Row],[Date]],"MMM-YYYY")</f>
        <v>Jul-2025</v>
      </c>
      <c r="L2989">
        <f>IF(Transactions_Clean[[#This Row],[Category]]="Revenue",Transactions_Clean[[#This Row],[Amount(₹)]],Transactions_Clean[[#This Row],[Amount(₹)]]/8)</f>
        <v>-2729.75</v>
      </c>
    </row>
    <row r="2990" spans="1:12">
      <c r="A2990" t="s">
        <v>4420</v>
      </c>
      <c r="B2990" t="s">
        <v>4803</v>
      </c>
      <c r="C2990" t="s">
        <v>136</v>
      </c>
      <c r="D2990">
        <v>-10506791</v>
      </c>
      <c r="E2990" t="s">
        <v>62</v>
      </c>
      <c r="F2990" t="s">
        <v>32</v>
      </c>
      <c r="G2990" t="s">
        <v>63</v>
      </c>
      <c r="H2990" t="s">
        <v>26</v>
      </c>
      <c r="I2990" t="s">
        <v>27</v>
      </c>
      <c r="J2990" s="11">
        <v>45350</v>
      </c>
      <c r="K2990" t="str">
        <f>TEXT(Transactions_Clean[[#This Row],[Date]],"MMM-YYYY")</f>
        <v>Feb-2024</v>
      </c>
      <c r="L2990">
        <f>IF(Transactions_Clean[[#This Row],[Category]]="Revenue",Transactions_Clean[[#This Row],[Amount(₹)]],Transactions_Clean[[#This Row],[Amount(₹)]]/8)</f>
        <v>-1313348.875</v>
      </c>
    </row>
    <row r="2991" spans="1:12">
      <c r="A2991" t="s">
        <v>4422</v>
      </c>
      <c r="B2991" t="s">
        <v>4768</v>
      </c>
      <c r="C2991" t="s">
        <v>157</v>
      </c>
      <c r="D2991">
        <v>617781</v>
      </c>
      <c r="E2991" t="s">
        <v>62</v>
      </c>
      <c r="F2991" t="s">
        <v>32</v>
      </c>
      <c r="G2991" t="s">
        <v>25</v>
      </c>
      <c r="H2991" t="s">
        <v>45</v>
      </c>
      <c r="I2991" t="s">
        <v>34</v>
      </c>
      <c r="J2991" s="11">
        <v>45467</v>
      </c>
      <c r="K2991" t="str">
        <f>TEXT(Transactions_Clean[[#This Row],[Date]],"MMM-YYYY")</f>
        <v>Jun-2024</v>
      </c>
      <c r="L2991">
        <f>IF(Transactions_Clean[[#This Row],[Category]]="Revenue",Transactions_Clean[[#This Row],[Amount(₹)]],Transactions_Clean[[#This Row],[Amount(₹)]]/8)</f>
        <v>617781</v>
      </c>
    </row>
    <row r="2992" spans="1:12">
      <c r="A2992" t="s">
        <v>4423</v>
      </c>
      <c r="B2992" t="s">
        <v>4751</v>
      </c>
      <c r="C2992" t="s">
        <v>38</v>
      </c>
      <c r="D2992">
        <v>-53581</v>
      </c>
      <c r="E2992" t="s">
        <v>23</v>
      </c>
      <c r="F2992" t="s">
        <v>32</v>
      </c>
      <c r="G2992" t="s">
        <v>33</v>
      </c>
      <c r="H2992" t="s">
        <v>26</v>
      </c>
      <c r="I2992" t="s">
        <v>34</v>
      </c>
      <c r="J2992" s="11">
        <v>45017</v>
      </c>
      <c r="K2992" t="str">
        <f>TEXT(Transactions_Clean[[#This Row],[Date]],"MMM-YYYY")</f>
        <v>Apr-2023</v>
      </c>
      <c r="L2992">
        <f>IF(Transactions_Clean[[#This Row],[Category]]="Revenue",Transactions_Clean[[#This Row],[Amount(₹)]],Transactions_Clean[[#This Row],[Amount(₹)]]/8)</f>
        <v>-6697.625</v>
      </c>
    </row>
    <row r="2993" spans="1:12">
      <c r="A2993" t="s">
        <v>4425</v>
      </c>
      <c r="B2993" t="s">
        <v>4770</v>
      </c>
      <c r="C2993" t="s">
        <v>440</v>
      </c>
      <c r="D2993">
        <v>-112251</v>
      </c>
      <c r="E2993" t="s">
        <v>23</v>
      </c>
      <c r="F2993" t="s">
        <v>32</v>
      </c>
      <c r="G2993" t="s">
        <v>33</v>
      </c>
      <c r="H2993" t="s">
        <v>26</v>
      </c>
      <c r="I2993" t="s">
        <v>48</v>
      </c>
      <c r="J2993" s="11">
        <v>45223</v>
      </c>
      <c r="K2993" t="str">
        <f>TEXT(Transactions_Clean[[#This Row],[Date]],"MMM-YYYY")</f>
        <v>Oct-2023</v>
      </c>
      <c r="L2993">
        <f>IF(Transactions_Clean[[#This Row],[Category]]="Revenue",Transactions_Clean[[#This Row],[Amount(₹)]],Transactions_Clean[[#This Row],[Amount(₹)]]/8)</f>
        <v>-14031.375</v>
      </c>
    </row>
    <row r="2994" spans="1:12">
      <c r="A2994" t="s">
        <v>4427</v>
      </c>
      <c r="B2994" t="s">
        <v>60</v>
      </c>
      <c r="C2994" t="s">
        <v>61</v>
      </c>
      <c r="D2994">
        <v>-30827</v>
      </c>
      <c r="E2994" t="s">
        <v>62</v>
      </c>
      <c r="F2994" t="s">
        <v>32</v>
      </c>
      <c r="G2994" t="s">
        <v>63</v>
      </c>
      <c r="H2994" t="s">
        <v>26</v>
      </c>
      <c r="I2994" t="s">
        <v>48</v>
      </c>
      <c r="J2994" s="11">
        <v>45233</v>
      </c>
      <c r="K2994" t="str">
        <f>TEXT(Transactions_Clean[[#This Row],[Date]],"MMM-YYYY")</f>
        <v>Nov-2023</v>
      </c>
      <c r="L2994">
        <f>IF(Transactions_Clean[[#This Row],[Category]]="Revenue",Transactions_Clean[[#This Row],[Amount(₹)]],Transactions_Clean[[#This Row],[Amount(₹)]]/8)</f>
        <v>-3853.375</v>
      </c>
    </row>
    <row r="2995" spans="1:12">
      <c r="A2995" t="s">
        <v>4428</v>
      </c>
      <c r="B2995" t="s">
        <v>4763</v>
      </c>
      <c r="C2995" t="s">
        <v>22</v>
      </c>
      <c r="D2995">
        <v>-136190</v>
      </c>
      <c r="E2995" t="s">
        <v>23</v>
      </c>
      <c r="F2995" t="s">
        <v>32</v>
      </c>
      <c r="G2995" t="s">
        <v>25</v>
      </c>
      <c r="H2995" t="s">
        <v>39</v>
      </c>
      <c r="I2995" t="s">
        <v>48</v>
      </c>
      <c r="J2995" s="11">
        <v>45948</v>
      </c>
      <c r="K2995" t="str">
        <f>TEXT(Transactions_Clean[[#This Row],[Date]],"MMM-YYYY")</f>
        <v>Oct-2025</v>
      </c>
      <c r="L2995">
        <f>IF(Transactions_Clean[[#This Row],[Category]]="Revenue",Transactions_Clean[[#This Row],[Amount(₹)]],Transactions_Clean[[#This Row],[Amount(₹)]]/8)</f>
        <v>-17023.75</v>
      </c>
    </row>
    <row r="2996" spans="1:12">
      <c r="A2996" t="s">
        <v>4429</v>
      </c>
      <c r="B2996" t="s">
        <v>4755</v>
      </c>
      <c r="C2996" t="s">
        <v>78</v>
      </c>
      <c r="D2996">
        <v>-45255</v>
      </c>
      <c r="E2996" t="s">
        <v>23</v>
      </c>
      <c r="F2996" t="s">
        <v>32</v>
      </c>
      <c r="G2996" t="s">
        <v>79</v>
      </c>
      <c r="H2996" t="s">
        <v>39</v>
      </c>
      <c r="I2996" t="s">
        <v>48</v>
      </c>
      <c r="J2996" s="11">
        <v>45954</v>
      </c>
      <c r="K2996" t="str">
        <f>TEXT(Transactions_Clean[[#This Row],[Date]],"MMM-YYYY")</f>
        <v>Oct-2025</v>
      </c>
      <c r="L2996">
        <f>IF(Transactions_Clean[[#This Row],[Category]]="Revenue",Transactions_Clean[[#This Row],[Amount(₹)]],Transactions_Clean[[#This Row],[Amount(₹)]]/8)</f>
        <v>-5656.875</v>
      </c>
    </row>
    <row r="2997" spans="1:12">
      <c r="A2997" t="s">
        <v>4430</v>
      </c>
      <c r="B2997" t="s">
        <v>169</v>
      </c>
      <c r="C2997" t="s">
        <v>73</v>
      </c>
      <c r="D2997">
        <v>-84674</v>
      </c>
      <c r="E2997" t="s">
        <v>74</v>
      </c>
      <c r="F2997" t="s">
        <v>32</v>
      </c>
      <c r="G2997" t="s">
        <v>25</v>
      </c>
      <c r="H2997" t="s">
        <v>45</v>
      </c>
      <c r="I2997" t="s">
        <v>48</v>
      </c>
      <c r="J2997" s="11">
        <v>45632</v>
      </c>
      <c r="K2997" t="str">
        <f>TEXT(Transactions_Clean[[#This Row],[Date]],"MMM-YYYY")</f>
        <v>Dec-2024</v>
      </c>
      <c r="L2997">
        <f>IF(Transactions_Clean[[#This Row],[Category]]="Revenue",Transactions_Clean[[#This Row],[Amount(₹)]],Transactions_Clean[[#This Row],[Amount(₹)]]/8)</f>
        <v>-10584.25</v>
      </c>
    </row>
    <row r="2998" spans="1:12">
      <c r="A2998" t="s">
        <v>4431</v>
      </c>
      <c r="B2998" t="s">
        <v>66</v>
      </c>
      <c r="C2998" t="s">
        <v>61</v>
      </c>
      <c r="D2998">
        <v>-14257</v>
      </c>
      <c r="E2998" t="s">
        <v>62</v>
      </c>
      <c r="F2998" t="s">
        <v>32</v>
      </c>
      <c r="G2998" t="s">
        <v>63</v>
      </c>
      <c r="H2998" t="s">
        <v>45</v>
      </c>
      <c r="I2998" t="s">
        <v>34</v>
      </c>
      <c r="J2998" s="11">
        <v>45441</v>
      </c>
      <c r="K2998" t="str">
        <f>TEXT(Transactions_Clean[[#This Row],[Date]],"MMM-YYYY")</f>
        <v>May-2024</v>
      </c>
      <c r="L2998">
        <f>IF(Transactions_Clean[[#This Row],[Category]]="Revenue",Transactions_Clean[[#This Row],[Amount(₹)]],Transactions_Clean[[#This Row],[Amount(₹)]]/8)</f>
        <v>-1782.125</v>
      </c>
    </row>
    <row r="2999" spans="1:12">
      <c r="A2999" t="s">
        <v>4432</v>
      </c>
      <c r="B2999" t="s">
        <v>116</v>
      </c>
      <c r="C2999" t="s">
        <v>73</v>
      </c>
      <c r="D2999">
        <v>-65711</v>
      </c>
      <c r="E2999" t="s">
        <v>74</v>
      </c>
      <c r="F2999" t="s">
        <v>32</v>
      </c>
      <c r="G2999" t="s">
        <v>25</v>
      </c>
      <c r="H2999" t="s">
        <v>26</v>
      </c>
      <c r="I2999" t="s">
        <v>34</v>
      </c>
      <c r="J2999" s="11">
        <v>45050</v>
      </c>
      <c r="K2999" t="str">
        <f>TEXT(Transactions_Clean[[#This Row],[Date]],"MMM-YYYY")</f>
        <v>May-2023</v>
      </c>
      <c r="L2999">
        <f>IF(Transactions_Clean[[#This Row],[Category]]="Revenue",Transactions_Clean[[#This Row],[Amount(₹)]],Transactions_Clean[[#This Row],[Amount(₹)]]/8)</f>
        <v>-8213.875</v>
      </c>
    </row>
    <row r="3000" spans="1:12">
      <c r="A3000" t="s">
        <v>4433</v>
      </c>
      <c r="B3000" t="s">
        <v>215</v>
      </c>
      <c r="C3000" t="s">
        <v>61</v>
      </c>
      <c r="D3000">
        <v>-62541</v>
      </c>
      <c r="E3000" t="s">
        <v>62</v>
      </c>
      <c r="F3000" t="s">
        <v>24</v>
      </c>
      <c r="G3000" t="s">
        <v>63</v>
      </c>
      <c r="H3000" t="s">
        <v>45</v>
      </c>
      <c r="I3000" t="s">
        <v>48</v>
      </c>
      <c r="J3000" s="11">
        <v>45573</v>
      </c>
      <c r="K3000" t="str">
        <f>TEXT(Transactions_Clean[[#This Row],[Date]],"MMM-YYYY")</f>
        <v>Oct-2024</v>
      </c>
      <c r="L3000">
        <f>IF(Transactions_Clean[[#This Row],[Category]]="Revenue",Transactions_Clean[[#This Row],[Amount(₹)]],Transactions_Clean[[#This Row],[Amount(₹)]]/8)</f>
        <v>-7817.625</v>
      </c>
    </row>
    <row r="3001" spans="1:12">
      <c r="A3001" t="s">
        <v>4434</v>
      </c>
      <c r="B3001" t="s">
        <v>4765</v>
      </c>
      <c r="C3001" t="s">
        <v>73</v>
      </c>
      <c r="D3001">
        <v>-73678</v>
      </c>
      <c r="E3001" t="s">
        <v>74</v>
      </c>
      <c r="F3001" t="s">
        <v>24</v>
      </c>
      <c r="G3001" t="s">
        <v>25</v>
      </c>
      <c r="H3001" t="s">
        <v>39</v>
      </c>
      <c r="I3001" t="s">
        <v>40</v>
      </c>
      <c r="J3001" s="11">
        <v>45902</v>
      </c>
      <c r="K3001" t="str">
        <f>TEXT(Transactions_Clean[[#This Row],[Date]],"MMM-YYYY")</f>
        <v>Sep-2025</v>
      </c>
      <c r="L3001">
        <f>IF(Transactions_Clean[[#This Row],[Category]]="Revenue",Transactions_Clean[[#This Row],[Amount(₹)]],Transactions_Clean[[#This Row],[Amount(₹)]]/8)</f>
        <v>-9209.75</v>
      </c>
    </row>
    <row r="3002" spans="1:12">
      <c r="A3002" t="s">
        <v>4435</v>
      </c>
      <c r="B3002" t="s">
        <v>224</v>
      </c>
      <c r="C3002" t="s">
        <v>78</v>
      </c>
      <c r="D3002">
        <v>-87868</v>
      </c>
      <c r="E3002" t="s">
        <v>23</v>
      </c>
      <c r="F3002" t="s">
        <v>24</v>
      </c>
      <c r="G3002" t="s">
        <v>79</v>
      </c>
      <c r="H3002" t="s">
        <v>39</v>
      </c>
      <c r="I3002" t="s">
        <v>34</v>
      </c>
      <c r="J3002" s="11">
        <v>45818</v>
      </c>
      <c r="K3002" t="str">
        <f>TEXT(Transactions_Clean[[#This Row],[Date]],"MMM-YYYY")</f>
        <v>Jun-2025</v>
      </c>
      <c r="L3002">
        <f>IF(Transactions_Clean[[#This Row],[Category]]="Revenue",Transactions_Clean[[#This Row],[Amount(₹)]],Transactions_Clean[[#This Row],[Amount(₹)]]/8)</f>
        <v>-10983.5</v>
      </c>
    </row>
    <row r="3003" spans="1:12">
      <c r="A3003" t="s">
        <v>4436</v>
      </c>
      <c r="B3003" t="s">
        <v>30</v>
      </c>
      <c r="C3003" t="s">
        <v>31</v>
      </c>
      <c r="D3003">
        <v>-15630</v>
      </c>
      <c r="E3003" t="s">
        <v>23</v>
      </c>
      <c r="F3003" t="s">
        <v>32</v>
      </c>
      <c r="G3003" t="s">
        <v>33</v>
      </c>
      <c r="H3003" t="s">
        <v>26</v>
      </c>
      <c r="I3003" t="s">
        <v>40</v>
      </c>
      <c r="J3003" s="11">
        <v>45168</v>
      </c>
      <c r="K3003" t="str">
        <f>TEXT(Transactions_Clean[[#This Row],[Date]],"MMM-YYYY")</f>
        <v>Aug-2023</v>
      </c>
      <c r="L3003">
        <f>IF(Transactions_Clean[[#This Row],[Category]]="Revenue",Transactions_Clean[[#This Row],[Amount(₹)]],Transactions_Clean[[#This Row],[Amount(₹)]]/8)</f>
        <v>-1953.75</v>
      </c>
    </row>
    <row r="3004" spans="1:12">
      <c r="A3004" t="s">
        <v>4438</v>
      </c>
      <c r="B3004" t="s">
        <v>202</v>
      </c>
      <c r="C3004" t="s">
        <v>22</v>
      </c>
      <c r="D3004">
        <v>-138103</v>
      </c>
      <c r="E3004" t="s">
        <v>23</v>
      </c>
      <c r="F3004" t="s">
        <v>24</v>
      </c>
      <c r="G3004" t="s">
        <v>25</v>
      </c>
      <c r="H3004" t="s">
        <v>26</v>
      </c>
      <c r="I3004" t="s">
        <v>40</v>
      </c>
      <c r="J3004" s="11">
        <v>45199</v>
      </c>
      <c r="K3004" t="str">
        <f>TEXT(Transactions_Clean[[#This Row],[Date]],"MMM-YYYY")</f>
        <v>Sep-2023</v>
      </c>
      <c r="L3004">
        <f>IF(Transactions_Clean[[#This Row],[Category]]="Revenue",Transactions_Clean[[#This Row],[Amount(₹)]],Transactions_Clean[[#This Row],[Amount(₹)]]/8)</f>
        <v>-17262.875</v>
      </c>
    </row>
    <row r="3005" spans="1:12">
      <c r="A3005" t="s">
        <v>4439</v>
      </c>
      <c r="B3005" t="s">
        <v>180</v>
      </c>
      <c r="C3005" t="s">
        <v>44</v>
      </c>
      <c r="D3005">
        <v>-164234</v>
      </c>
      <c r="E3005" t="s">
        <v>23</v>
      </c>
      <c r="F3005" t="s">
        <v>32</v>
      </c>
      <c r="G3005" t="s">
        <v>33</v>
      </c>
      <c r="H3005" t="s">
        <v>39</v>
      </c>
      <c r="I3005" t="s">
        <v>40</v>
      </c>
      <c r="J3005" s="11">
        <v>45920</v>
      </c>
      <c r="K3005" t="str">
        <f>TEXT(Transactions_Clean[[#This Row],[Date]],"MMM-YYYY")</f>
        <v>Sep-2025</v>
      </c>
      <c r="L3005">
        <f>IF(Transactions_Clean[[#This Row],[Category]]="Revenue",Transactions_Clean[[#This Row],[Amount(₹)]],Transactions_Clean[[#This Row],[Amount(₹)]]/8)</f>
        <v>-20529.25</v>
      </c>
    </row>
    <row r="3006" spans="1:12">
      <c r="A3006" t="s">
        <v>4441</v>
      </c>
      <c r="B3006" t="s">
        <v>202</v>
      </c>
      <c r="C3006" t="s">
        <v>22</v>
      </c>
      <c r="D3006">
        <v>-46656</v>
      </c>
      <c r="E3006" t="s">
        <v>23</v>
      </c>
      <c r="F3006" t="s">
        <v>24</v>
      </c>
      <c r="G3006" t="s">
        <v>25</v>
      </c>
      <c r="H3006" t="s">
        <v>26</v>
      </c>
      <c r="I3006" t="s">
        <v>48</v>
      </c>
      <c r="J3006" s="11">
        <v>45275</v>
      </c>
      <c r="K3006" t="str">
        <f>TEXT(Transactions_Clean[[#This Row],[Date]],"MMM-YYYY")</f>
        <v>Dec-2023</v>
      </c>
      <c r="L3006">
        <f>IF(Transactions_Clean[[#This Row],[Category]]="Revenue",Transactions_Clean[[#This Row],[Amount(₹)]],Transactions_Clean[[#This Row],[Amount(₹)]]/8)</f>
        <v>-5832</v>
      </c>
    </row>
    <row r="3007" spans="1:12">
      <c r="A3007" t="s">
        <v>4442</v>
      </c>
      <c r="B3007" t="s">
        <v>224</v>
      </c>
      <c r="C3007" t="s">
        <v>78</v>
      </c>
      <c r="D3007">
        <v>-23444</v>
      </c>
      <c r="E3007" t="s">
        <v>23</v>
      </c>
      <c r="F3007" t="s">
        <v>24</v>
      </c>
      <c r="G3007" t="s">
        <v>79</v>
      </c>
      <c r="H3007" t="s">
        <v>26</v>
      </c>
      <c r="I3007" t="s">
        <v>27</v>
      </c>
      <c r="J3007" s="11">
        <v>45343</v>
      </c>
      <c r="K3007" t="str">
        <f>TEXT(Transactions_Clean[[#This Row],[Date]],"MMM-YYYY")</f>
        <v>Feb-2024</v>
      </c>
      <c r="L3007">
        <f>IF(Transactions_Clean[[#This Row],[Category]]="Revenue",Transactions_Clean[[#This Row],[Amount(₹)]],Transactions_Clean[[#This Row],[Amount(₹)]]/8)</f>
        <v>-2930.5</v>
      </c>
    </row>
    <row r="3008" spans="1:12">
      <c r="A3008" t="s">
        <v>4443</v>
      </c>
      <c r="B3008" t="s">
        <v>212</v>
      </c>
      <c r="C3008" t="s">
        <v>4750</v>
      </c>
      <c r="D3008">
        <v>-33221</v>
      </c>
      <c r="E3008" t="s">
        <v>74</v>
      </c>
      <c r="F3008" t="s">
        <v>32</v>
      </c>
      <c r="G3008" t="s">
        <v>25</v>
      </c>
      <c r="H3008" t="s">
        <v>39</v>
      </c>
      <c r="I3008" t="s">
        <v>27</v>
      </c>
      <c r="J3008" s="11">
        <v>46061</v>
      </c>
      <c r="K3008" t="str">
        <f>TEXT(Transactions_Clean[[#This Row],[Date]],"MMM-YYYY")</f>
        <v>Feb-2026</v>
      </c>
      <c r="L3008">
        <f>IF(Transactions_Clean[[#This Row],[Category]]="Revenue",Transactions_Clean[[#This Row],[Amount(₹)]],Transactions_Clean[[#This Row],[Amount(₹)]]/8)</f>
        <v>-4152.625</v>
      </c>
    </row>
    <row r="3009" spans="1:12">
      <c r="A3009" t="s">
        <v>4444</v>
      </c>
      <c r="B3009" t="s">
        <v>4748</v>
      </c>
      <c r="C3009" t="s">
        <v>22</v>
      </c>
      <c r="D3009">
        <v>-213190</v>
      </c>
      <c r="E3009" t="s">
        <v>23</v>
      </c>
      <c r="F3009" t="s">
        <v>24</v>
      </c>
      <c r="G3009" t="s">
        <v>25</v>
      </c>
      <c r="H3009" t="s">
        <v>26</v>
      </c>
      <c r="I3009" t="s">
        <v>48</v>
      </c>
      <c r="J3009" s="11">
        <v>45241</v>
      </c>
      <c r="K3009" t="str">
        <f>TEXT(Transactions_Clean[[#This Row],[Date]],"MMM-YYYY")</f>
        <v>Nov-2023</v>
      </c>
      <c r="L3009">
        <f>IF(Transactions_Clean[[#This Row],[Category]]="Revenue",Transactions_Clean[[#This Row],[Amount(₹)]],Transactions_Clean[[#This Row],[Amount(₹)]]/8)</f>
        <v>-26648.75</v>
      </c>
    </row>
    <row r="3010" spans="1:12">
      <c r="A3010" t="s">
        <v>4445</v>
      </c>
      <c r="B3010" t="s">
        <v>72</v>
      </c>
      <c r="C3010" t="s">
        <v>73</v>
      </c>
      <c r="D3010">
        <v>-36265</v>
      </c>
      <c r="E3010" t="s">
        <v>74</v>
      </c>
      <c r="F3010" t="s">
        <v>24</v>
      </c>
      <c r="G3010" t="s">
        <v>25</v>
      </c>
      <c r="H3010" t="s">
        <v>45</v>
      </c>
      <c r="I3010" t="s">
        <v>40</v>
      </c>
      <c r="J3010" s="11">
        <v>45499</v>
      </c>
      <c r="K3010" t="str">
        <f>TEXT(Transactions_Clean[[#This Row],[Date]],"MMM-YYYY")</f>
        <v>Jul-2024</v>
      </c>
      <c r="L3010">
        <f>IF(Transactions_Clean[[#This Row],[Category]]="Revenue",Transactions_Clean[[#This Row],[Amount(₹)]],Transactions_Clean[[#This Row],[Amount(₹)]]/8)</f>
        <v>-4533.125</v>
      </c>
    </row>
    <row r="3011" spans="1:12">
      <c r="A3011" t="s">
        <v>4446</v>
      </c>
      <c r="B3011" t="s">
        <v>4804</v>
      </c>
      <c r="C3011" t="s">
        <v>136</v>
      </c>
      <c r="D3011">
        <v>-10447524</v>
      </c>
      <c r="E3011" t="s">
        <v>62</v>
      </c>
      <c r="F3011" t="s">
        <v>32</v>
      </c>
      <c r="G3011" t="s">
        <v>63</v>
      </c>
      <c r="H3011" t="s">
        <v>39</v>
      </c>
      <c r="I3011" t="s">
        <v>27</v>
      </c>
      <c r="J3011" s="11">
        <v>46109</v>
      </c>
      <c r="K3011" t="str">
        <f>TEXT(Transactions_Clean[[#This Row],[Date]],"MMM-YYYY")</f>
        <v>Mar-2026</v>
      </c>
      <c r="L3011">
        <f>IF(Transactions_Clean[[#This Row],[Category]]="Revenue",Transactions_Clean[[#This Row],[Amount(₹)]],Transactions_Clean[[#This Row],[Amount(₹)]]/8)</f>
        <v>-1305940.5</v>
      </c>
    </row>
    <row r="3012" spans="1:12">
      <c r="A3012" t="s">
        <v>4448</v>
      </c>
      <c r="B3012" t="s">
        <v>616</v>
      </c>
      <c r="C3012" t="s">
        <v>22</v>
      </c>
      <c r="D3012">
        <v>-209167</v>
      </c>
      <c r="E3012" t="s">
        <v>23</v>
      </c>
      <c r="F3012" t="s">
        <v>24</v>
      </c>
      <c r="G3012" t="s">
        <v>25</v>
      </c>
      <c r="H3012" t="s">
        <v>39</v>
      </c>
      <c r="I3012" t="s">
        <v>34</v>
      </c>
      <c r="J3012" s="11">
        <v>45778</v>
      </c>
      <c r="K3012" t="str">
        <f>TEXT(Transactions_Clean[[#This Row],[Date]],"MMM-YYYY")</f>
        <v>May-2025</v>
      </c>
      <c r="L3012">
        <f>IF(Transactions_Clean[[#This Row],[Category]]="Revenue",Transactions_Clean[[#This Row],[Amount(₹)]],Transactions_Clean[[#This Row],[Amount(₹)]]/8)</f>
        <v>-26145.875</v>
      </c>
    </row>
    <row r="3013" spans="1:12">
      <c r="A3013" t="s">
        <v>4450</v>
      </c>
      <c r="B3013" t="s">
        <v>66</v>
      </c>
      <c r="C3013" t="s">
        <v>61</v>
      </c>
      <c r="D3013">
        <v>-43059</v>
      </c>
      <c r="E3013" t="s">
        <v>62</v>
      </c>
      <c r="F3013" t="s">
        <v>24</v>
      </c>
      <c r="G3013" t="s">
        <v>63</v>
      </c>
      <c r="H3013" t="s">
        <v>45</v>
      </c>
      <c r="I3013" t="s">
        <v>40</v>
      </c>
      <c r="J3013" s="11">
        <v>45504</v>
      </c>
      <c r="K3013" t="str">
        <f>TEXT(Transactions_Clean[[#This Row],[Date]],"MMM-YYYY")</f>
        <v>Jul-2024</v>
      </c>
      <c r="L3013">
        <f>IF(Transactions_Clean[[#This Row],[Category]]="Revenue",Transactions_Clean[[#This Row],[Amount(₹)]],Transactions_Clean[[#This Row],[Amount(₹)]]/8)</f>
        <v>-5382.375</v>
      </c>
    </row>
    <row r="3014" spans="1:12">
      <c r="A3014" t="s">
        <v>4451</v>
      </c>
      <c r="B3014" t="s">
        <v>106</v>
      </c>
      <c r="C3014" t="s">
        <v>31</v>
      </c>
      <c r="D3014">
        <v>-39229</v>
      </c>
      <c r="E3014" t="s">
        <v>23</v>
      </c>
      <c r="F3014" t="s">
        <v>32</v>
      </c>
      <c r="G3014" t="s">
        <v>33</v>
      </c>
      <c r="H3014" t="s">
        <v>39</v>
      </c>
      <c r="I3014" t="s">
        <v>34</v>
      </c>
      <c r="J3014" s="11">
        <v>45750</v>
      </c>
      <c r="K3014" t="str">
        <f>TEXT(Transactions_Clean[[#This Row],[Date]],"MMM-YYYY")</f>
        <v>Apr-2025</v>
      </c>
      <c r="L3014">
        <f>IF(Transactions_Clean[[#This Row],[Category]]="Revenue",Transactions_Clean[[#This Row],[Amount(₹)]],Transactions_Clean[[#This Row],[Amount(₹)]]/8)</f>
        <v>-4903.625</v>
      </c>
    </row>
    <row r="3015" spans="1:12">
      <c r="A3015" t="s">
        <v>4452</v>
      </c>
      <c r="B3015" t="s">
        <v>202</v>
      </c>
      <c r="C3015" t="s">
        <v>22</v>
      </c>
      <c r="D3015">
        <v>-39272</v>
      </c>
      <c r="E3015" t="s">
        <v>23</v>
      </c>
      <c r="F3015" t="s">
        <v>24</v>
      </c>
      <c r="G3015" t="s">
        <v>25</v>
      </c>
      <c r="H3015" t="s">
        <v>45</v>
      </c>
      <c r="I3015" t="s">
        <v>34</v>
      </c>
      <c r="J3015" s="11">
        <v>45408</v>
      </c>
      <c r="K3015" t="str">
        <f>TEXT(Transactions_Clean[[#This Row],[Date]],"MMM-YYYY")</f>
        <v>Apr-2024</v>
      </c>
      <c r="L3015">
        <f>IF(Transactions_Clean[[#This Row],[Category]]="Revenue",Transactions_Clean[[#This Row],[Amount(₹)]],Transactions_Clean[[#This Row],[Amount(₹)]]/8)</f>
        <v>-4909</v>
      </c>
    </row>
    <row r="3016" spans="1:12">
      <c r="A3016" t="s">
        <v>4453</v>
      </c>
      <c r="B3016" t="s">
        <v>215</v>
      </c>
      <c r="C3016" t="s">
        <v>61</v>
      </c>
      <c r="D3016">
        <v>-22607</v>
      </c>
      <c r="E3016" t="s">
        <v>62</v>
      </c>
      <c r="F3016" t="s">
        <v>24</v>
      </c>
      <c r="G3016" t="s">
        <v>63</v>
      </c>
      <c r="H3016" t="s">
        <v>39</v>
      </c>
      <c r="I3016" t="s">
        <v>34</v>
      </c>
      <c r="J3016" s="11">
        <v>45776</v>
      </c>
      <c r="K3016" t="str">
        <f>TEXT(Transactions_Clean[[#This Row],[Date]],"MMM-YYYY")</f>
        <v>Apr-2025</v>
      </c>
      <c r="L3016">
        <f>IF(Transactions_Clean[[#This Row],[Category]]="Revenue",Transactions_Clean[[#This Row],[Amount(₹)]],Transactions_Clean[[#This Row],[Amount(₹)]]/8)</f>
        <v>-2825.875</v>
      </c>
    </row>
    <row r="3017" spans="1:12">
      <c r="A3017" t="s">
        <v>4454</v>
      </c>
      <c r="B3017" t="s">
        <v>4805</v>
      </c>
      <c r="C3017" t="s">
        <v>136</v>
      </c>
      <c r="D3017">
        <v>-10557855</v>
      </c>
      <c r="E3017" t="s">
        <v>62</v>
      </c>
      <c r="F3017" t="s">
        <v>32</v>
      </c>
      <c r="G3017" t="s">
        <v>63</v>
      </c>
      <c r="H3017" t="s">
        <v>45</v>
      </c>
      <c r="I3017" t="s">
        <v>40</v>
      </c>
      <c r="J3017" s="11">
        <v>45501</v>
      </c>
      <c r="K3017" t="str">
        <f>TEXT(Transactions_Clean[[#This Row],[Date]],"MMM-YYYY")</f>
        <v>Jul-2024</v>
      </c>
      <c r="L3017">
        <f>IF(Transactions_Clean[[#This Row],[Category]]="Revenue",Transactions_Clean[[#This Row],[Amount(₹)]],Transactions_Clean[[#This Row],[Amount(₹)]]/8)</f>
        <v>-1319731.875</v>
      </c>
    </row>
    <row r="3018" spans="1:12">
      <c r="A3018" t="s">
        <v>4456</v>
      </c>
      <c r="B3018" t="s">
        <v>4757</v>
      </c>
      <c r="C3018" t="s">
        <v>73</v>
      </c>
      <c r="D3018">
        <v>-58578</v>
      </c>
      <c r="E3018" t="s">
        <v>74</v>
      </c>
      <c r="F3018" t="s">
        <v>32</v>
      </c>
      <c r="G3018" t="s">
        <v>25</v>
      </c>
      <c r="H3018" t="s">
        <v>26</v>
      </c>
      <c r="I3018" t="s">
        <v>40</v>
      </c>
      <c r="J3018" s="11">
        <v>45142</v>
      </c>
      <c r="K3018" t="str">
        <f>TEXT(Transactions_Clean[[#This Row],[Date]],"MMM-YYYY")</f>
        <v>Aug-2023</v>
      </c>
      <c r="L3018">
        <f>IF(Transactions_Clean[[#This Row],[Category]]="Revenue",Transactions_Clean[[#This Row],[Amount(₹)]],Transactions_Clean[[#This Row],[Amount(₹)]]/8)</f>
        <v>-7322.25</v>
      </c>
    </row>
    <row r="3019" spans="1:12">
      <c r="A3019" t="s">
        <v>4458</v>
      </c>
      <c r="B3019" t="s">
        <v>30</v>
      </c>
      <c r="C3019" t="s">
        <v>31</v>
      </c>
      <c r="D3019">
        <v>-44532</v>
      </c>
      <c r="E3019" t="s">
        <v>23</v>
      </c>
      <c r="F3019" t="s">
        <v>24</v>
      </c>
      <c r="G3019" t="s">
        <v>33</v>
      </c>
      <c r="H3019" t="s">
        <v>45</v>
      </c>
      <c r="I3019" t="s">
        <v>40</v>
      </c>
      <c r="J3019" s="11">
        <v>45533</v>
      </c>
      <c r="K3019" t="str">
        <f>TEXT(Transactions_Clean[[#This Row],[Date]],"MMM-YYYY")</f>
        <v>Aug-2024</v>
      </c>
      <c r="L3019">
        <f>IF(Transactions_Clean[[#This Row],[Category]]="Revenue",Transactions_Clean[[#This Row],[Amount(₹)]],Transactions_Clean[[#This Row],[Amount(₹)]]/8)</f>
        <v>-5566.5</v>
      </c>
    </row>
    <row r="3020" spans="1:12">
      <c r="A3020" t="s">
        <v>4460</v>
      </c>
      <c r="B3020" t="s">
        <v>72</v>
      </c>
      <c r="C3020" t="s">
        <v>73</v>
      </c>
      <c r="D3020">
        <v>-57655</v>
      </c>
      <c r="E3020" t="s">
        <v>74</v>
      </c>
      <c r="F3020" t="s">
        <v>32</v>
      </c>
      <c r="G3020" t="s">
        <v>25</v>
      </c>
      <c r="H3020" t="s">
        <v>45</v>
      </c>
      <c r="I3020" t="s">
        <v>40</v>
      </c>
      <c r="J3020" s="11">
        <v>45562</v>
      </c>
      <c r="K3020" t="str">
        <f>TEXT(Transactions_Clean[[#This Row],[Date]],"MMM-YYYY")</f>
        <v>Sep-2024</v>
      </c>
      <c r="L3020">
        <f>IF(Transactions_Clean[[#This Row],[Category]]="Revenue",Transactions_Clean[[#This Row],[Amount(₹)]],Transactions_Clean[[#This Row],[Amount(₹)]]/8)</f>
        <v>-7206.875</v>
      </c>
    </row>
    <row r="3021" spans="1:12">
      <c r="A3021" t="s">
        <v>4461</v>
      </c>
      <c r="B3021" t="s">
        <v>4760</v>
      </c>
      <c r="C3021" t="s">
        <v>73</v>
      </c>
      <c r="D3021">
        <v>-32116</v>
      </c>
      <c r="E3021" t="s">
        <v>74</v>
      </c>
      <c r="F3021" t="s">
        <v>32</v>
      </c>
      <c r="G3021" t="s">
        <v>25</v>
      </c>
      <c r="H3021" t="s">
        <v>26</v>
      </c>
      <c r="I3021" t="s">
        <v>48</v>
      </c>
      <c r="J3021" s="11">
        <v>45207</v>
      </c>
      <c r="K3021" t="str">
        <f>TEXT(Transactions_Clean[[#This Row],[Date]],"MMM-YYYY")</f>
        <v>Oct-2023</v>
      </c>
      <c r="L3021">
        <f>IF(Transactions_Clean[[#This Row],[Category]]="Revenue",Transactions_Clean[[#This Row],[Amount(₹)]],Transactions_Clean[[#This Row],[Amount(₹)]]/8)</f>
        <v>-4014.5</v>
      </c>
    </row>
    <row r="3022" spans="1:12">
      <c r="A3022" t="s">
        <v>4462</v>
      </c>
      <c r="B3022" t="s">
        <v>4752</v>
      </c>
      <c r="C3022" t="s">
        <v>44</v>
      </c>
      <c r="D3022">
        <v>-70581</v>
      </c>
      <c r="E3022" t="s">
        <v>23</v>
      </c>
      <c r="F3022" t="s">
        <v>24</v>
      </c>
      <c r="G3022" t="s">
        <v>33</v>
      </c>
      <c r="H3022" t="s">
        <v>39</v>
      </c>
      <c r="I3022" t="s">
        <v>48</v>
      </c>
      <c r="J3022" s="11">
        <v>45932</v>
      </c>
      <c r="K3022" t="str">
        <f>TEXT(Transactions_Clean[[#This Row],[Date]],"MMM-YYYY")</f>
        <v>Oct-2025</v>
      </c>
      <c r="L3022">
        <f>IF(Transactions_Clean[[#This Row],[Category]]="Revenue",Transactions_Clean[[#This Row],[Amount(₹)]],Transactions_Clean[[#This Row],[Amount(₹)]]/8)</f>
        <v>-8822.625</v>
      </c>
    </row>
    <row r="3023" spans="1:12">
      <c r="A3023" t="s">
        <v>4463</v>
      </c>
      <c r="B3023" t="s">
        <v>51</v>
      </c>
      <c r="C3023" t="s">
        <v>31</v>
      </c>
      <c r="D3023">
        <v>-24748</v>
      </c>
      <c r="E3023" t="s">
        <v>23</v>
      </c>
      <c r="F3023" t="s">
        <v>24</v>
      </c>
      <c r="G3023" t="s">
        <v>33</v>
      </c>
      <c r="H3023" t="s">
        <v>26</v>
      </c>
      <c r="I3023" t="s">
        <v>48</v>
      </c>
      <c r="J3023" s="11">
        <v>45270</v>
      </c>
      <c r="K3023" t="str">
        <f>TEXT(Transactions_Clean[[#This Row],[Date]],"MMM-YYYY")</f>
        <v>Dec-2023</v>
      </c>
      <c r="L3023">
        <f>IF(Transactions_Clean[[#This Row],[Category]]="Revenue",Transactions_Clean[[#This Row],[Amount(₹)]],Transactions_Clean[[#This Row],[Amount(₹)]]/8)</f>
        <v>-3093.5</v>
      </c>
    </row>
    <row r="3024" spans="1:12">
      <c r="A3024" t="s">
        <v>4464</v>
      </c>
      <c r="B3024" t="s">
        <v>66</v>
      </c>
      <c r="C3024" t="s">
        <v>61</v>
      </c>
      <c r="D3024">
        <v>-50677</v>
      </c>
      <c r="E3024" t="s">
        <v>62</v>
      </c>
      <c r="F3024" t="s">
        <v>32</v>
      </c>
      <c r="G3024" t="s">
        <v>63</v>
      </c>
      <c r="H3024" t="s">
        <v>26</v>
      </c>
      <c r="I3024" t="s">
        <v>40</v>
      </c>
      <c r="J3024" s="11">
        <v>45141</v>
      </c>
      <c r="K3024" t="str">
        <f>TEXT(Transactions_Clean[[#This Row],[Date]],"MMM-YYYY")</f>
        <v>Aug-2023</v>
      </c>
      <c r="L3024">
        <f>IF(Transactions_Clean[[#This Row],[Category]]="Revenue",Transactions_Clean[[#This Row],[Amount(₹)]],Transactions_Clean[[#This Row],[Amount(₹)]]/8)</f>
        <v>-6334.625</v>
      </c>
    </row>
    <row r="3025" spans="1:12">
      <c r="A3025" t="s">
        <v>4465</v>
      </c>
      <c r="B3025" t="s">
        <v>174</v>
      </c>
      <c r="C3025" t="s">
        <v>22</v>
      </c>
      <c r="D3025">
        <v>-120449</v>
      </c>
      <c r="E3025" t="s">
        <v>23</v>
      </c>
      <c r="F3025" t="s">
        <v>32</v>
      </c>
      <c r="G3025" t="s">
        <v>25</v>
      </c>
      <c r="H3025" t="s">
        <v>39</v>
      </c>
      <c r="I3025" t="s">
        <v>27</v>
      </c>
      <c r="J3025" s="11">
        <v>46105</v>
      </c>
      <c r="K3025" t="str">
        <f>TEXT(Transactions_Clean[[#This Row],[Date]],"MMM-YYYY")</f>
        <v>Mar-2026</v>
      </c>
      <c r="L3025">
        <f>IF(Transactions_Clean[[#This Row],[Category]]="Revenue",Transactions_Clean[[#This Row],[Amount(₹)]],Transactions_Clean[[#This Row],[Amount(₹)]]/8)</f>
        <v>-15056.125</v>
      </c>
    </row>
    <row r="3026" spans="1:12">
      <c r="A3026" t="s">
        <v>4467</v>
      </c>
      <c r="B3026" t="s">
        <v>106</v>
      </c>
      <c r="C3026" t="s">
        <v>31</v>
      </c>
      <c r="D3026">
        <v>-38744</v>
      </c>
      <c r="E3026" t="s">
        <v>23</v>
      </c>
      <c r="F3026" t="s">
        <v>24</v>
      </c>
      <c r="G3026" t="s">
        <v>33</v>
      </c>
      <c r="H3026" t="s">
        <v>26</v>
      </c>
      <c r="I3026" t="s">
        <v>27</v>
      </c>
      <c r="J3026" s="11">
        <v>45318</v>
      </c>
      <c r="K3026" t="str">
        <f>TEXT(Transactions_Clean[[#This Row],[Date]],"MMM-YYYY")</f>
        <v>Jan-2024</v>
      </c>
      <c r="L3026">
        <f>IF(Transactions_Clean[[#This Row],[Category]]="Revenue",Transactions_Clean[[#This Row],[Amount(₹)]],Transactions_Clean[[#This Row],[Amount(₹)]]/8)</f>
        <v>-4843</v>
      </c>
    </row>
    <row r="3027" spans="1:12">
      <c r="A3027" t="s">
        <v>4468</v>
      </c>
      <c r="B3027" t="s">
        <v>4770</v>
      </c>
      <c r="C3027" t="s">
        <v>440</v>
      </c>
      <c r="D3027">
        <v>-155290</v>
      </c>
      <c r="E3027" t="s">
        <v>23</v>
      </c>
      <c r="F3027" t="s">
        <v>32</v>
      </c>
      <c r="G3027" t="s">
        <v>33</v>
      </c>
      <c r="H3027" t="s">
        <v>45</v>
      </c>
      <c r="I3027" t="s">
        <v>34</v>
      </c>
      <c r="J3027" s="11">
        <v>45383</v>
      </c>
      <c r="K3027" t="str">
        <f>TEXT(Transactions_Clean[[#This Row],[Date]],"MMM-YYYY")</f>
        <v>Apr-2024</v>
      </c>
      <c r="L3027">
        <f>IF(Transactions_Clean[[#This Row],[Category]]="Revenue",Transactions_Clean[[#This Row],[Amount(₹)]],Transactions_Clean[[#This Row],[Amount(₹)]]/8)</f>
        <v>-19411.25</v>
      </c>
    </row>
    <row r="3028" spans="1:12">
      <c r="A3028" t="s">
        <v>4469</v>
      </c>
      <c r="B3028" t="s">
        <v>310</v>
      </c>
      <c r="C3028" t="s">
        <v>22</v>
      </c>
      <c r="D3028">
        <v>-84226</v>
      </c>
      <c r="E3028" t="s">
        <v>23</v>
      </c>
      <c r="F3028" t="s">
        <v>24</v>
      </c>
      <c r="G3028" t="s">
        <v>25</v>
      </c>
      <c r="H3028" t="s">
        <v>39</v>
      </c>
      <c r="I3028" t="s">
        <v>40</v>
      </c>
      <c r="J3028" s="11">
        <v>45875</v>
      </c>
      <c r="K3028" t="str">
        <f>TEXT(Transactions_Clean[[#This Row],[Date]],"MMM-YYYY")</f>
        <v>Aug-2025</v>
      </c>
      <c r="L3028">
        <f>IF(Transactions_Clean[[#This Row],[Category]]="Revenue",Transactions_Clean[[#This Row],[Amount(₹)]],Transactions_Clean[[#This Row],[Amount(₹)]]/8)</f>
        <v>-10528.25</v>
      </c>
    </row>
    <row r="3029" spans="1:12">
      <c r="A3029" t="s">
        <v>4470</v>
      </c>
      <c r="B3029" t="s">
        <v>60</v>
      </c>
      <c r="C3029" t="s">
        <v>61</v>
      </c>
      <c r="D3029">
        <v>-24748</v>
      </c>
      <c r="E3029" t="s">
        <v>62</v>
      </c>
      <c r="F3029" t="s">
        <v>32</v>
      </c>
      <c r="G3029" t="s">
        <v>63</v>
      </c>
      <c r="H3029" t="s">
        <v>39</v>
      </c>
      <c r="I3029" t="s">
        <v>48</v>
      </c>
      <c r="J3029" s="11">
        <v>45968</v>
      </c>
      <c r="K3029" t="str">
        <f>TEXT(Transactions_Clean[[#This Row],[Date]],"MMM-YYYY")</f>
        <v>Nov-2025</v>
      </c>
      <c r="L3029">
        <f>IF(Transactions_Clean[[#This Row],[Category]]="Revenue",Transactions_Clean[[#This Row],[Amount(₹)]],Transactions_Clean[[#This Row],[Amount(₹)]]/8)</f>
        <v>-3093.5</v>
      </c>
    </row>
    <row r="3030" spans="1:12">
      <c r="A3030" t="s">
        <v>4471</v>
      </c>
      <c r="B3030" t="s">
        <v>116</v>
      </c>
      <c r="C3030" t="s">
        <v>73</v>
      </c>
      <c r="D3030">
        <v>-58298</v>
      </c>
      <c r="E3030" t="s">
        <v>74</v>
      </c>
      <c r="F3030" t="s">
        <v>32</v>
      </c>
      <c r="G3030" t="s">
        <v>25</v>
      </c>
      <c r="H3030" t="s">
        <v>39</v>
      </c>
      <c r="I3030" t="s">
        <v>48</v>
      </c>
      <c r="J3030" s="11">
        <v>46018</v>
      </c>
      <c r="K3030" t="str">
        <f>TEXT(Transactions_Clean[[#This Row],[Date]],"MMM-YYYY")</f>
        <v>Dec-2025</v>
      </c>
      <c r="L3030">
        <f>IF(Transactions_Clean[[#This Row],[Category]]="Revenue",Transactions_Clean[[#This Row],[Amount(₹)]],Transactions_Clean[[#This Row],[Amount(₹)]]/8)</f>
        <v>-7287.25</v>
      </c>
    </row>
    <row r="3031" spans="1:12">
      <c r="A3031" t="s">
        <v>4472</v>
      </c>
      <c r="B3031" t="s">
        <v>4756</v>
      </c>
      <c r="C3031" t="s">
        <v>73</v>
      </c>
      <c r="D3031">
        <v>-55682</v>
      </c>
      <c r="E3031" t="s">
        <v>74</v>
      </c>
      <c r="F3031" t="s">
        <v>24</v>
      </c>
      <c r="G3031" t="s">
        <v>25</v>
      </c>
      <c r="H3031" t="s">
        <v>39</v>
      </c>
      <c r="I3031" t="s">
        <v>34</v>
      </c>
      <c r="J3031" s="11">
        <v>45720</v>
      </c>
      <c r="K3031" t="str">
        <f>TEXT(Transactions_Clean[[#This Row],[Date]],"MMM-YYYY")</f>
        <v>Mar-2025</v>
      </c>
      <c r="L3031">
        <f>IF(Transactions_Clean[[#This Row],[Category]]="Revenue",Transactions_Clean[[#This Row],[Amount(₹)]],Transactions_Clean[[#This Row],[Amount(₹)]]/8)</f>
        <v>-6960.25</v>
      </c>
    </row>
    <row r="3032" spans="1:12">
      <c r="A3032" t="s">
        <v>4474</v>
      </c>
      <c r="B3032" t="s">
        <v>66</v>
      </c>
      <c r="C3032" t="s">
        <v>61</v>
      </c>
      <c r="D3032">
        <v>-22935</v>
      </c>
      <c r="E3032" t="s">
        <v>62</v>
      </c>
      <c r="F3032" t="s">
        <v>32</v>
      </c>
      <c r="G3032" t="s">
        <v>63</v>
      </c>
      <c r="H3032" t="s">
        <v>26</v>
      </c>
      <c r="I3032" t="s">
        <v>40</v>
      </c>
      <c r="J3032" s="11">
        <v>45154</v>
      </c>
      <c r="K3032" t="str">
        <f>TEXT(Transactions_Clean[[#This Row],[Date]],"MMM-YYYY")</f>
        <v>Aug-2023</v>
      </c>
      <c r="L3032">
        <f>IF(Transactions_Clean[[#This Row],[Category]]="Revenue",Transactions_Clean[[#This Row],[Amount(₹)]],Transactions_Clean[[#This Row],[Amount(₹)]]/8)</f>
        <v>-2866.875</v>
      </c>
    </row>
    <row r="3033" spans="1:12">
      <c r="A3033" t="s">
        <v>4475</v>
      </c>
      <c r="B3033" t="s">
        <v>4754</v>
      </c>
      <c r="C3033" t="s">
        <v>78</v>
      </c>
      <c r="D3033">
        <v>-68396</v>
      </c>
      <c r="E3033" t="s">
        <v>23</v>
      </c>
      <c r="F3033" t="s">
        <v>32</v>
      </c>
      <c r="G3033" t="s">
        <v>79</v>
      </c>
      <c r="H3033" t="s">
        <v>39</v>
      </c>
      <c r="I3033" t="s">
        <v>40</v>
      </c>
      <c r="J3033" s="11">
        <v>45754</v>
      </c>
      <c r="K3033" t="str">
        <f>TEXT(Transactions_Clean[[#This Row],[Date]],"MMM-YYYY")</f>
        <v>Apr-2025</v>
      </c>
      <c r="L3033">
        <f>IF(Transactions_Clean[[#This Row],[Category]]="Revenue",Transactions_Clean[[#This Row],[Amount(₹)]],Transactions_Clean[[#This Row],[Amount(₹)]]/8)</f>
        <v>-8549.5</v>
      </c>
    </row>
    <row r="3034" spans="1:12">
      <c r="A3034" t="s">
        <v>4476</v>
      </c>
      <c r="B3034" t="s">
        <v>4765</v>
      </c>
      <c r="C3034" t="s">
        <v>73</v>
      </c>
      <c r="D3034">
        <v>-91205</v>
      </c>
      <c r="E3034" t="s">
        <v>74</v>
      </c>
      <c r="F3034" t="s">
        <v>32</v>
      </c>
      <c r="G3034" t="s">
        <v>25</v>
      </c>
      <c r="H3034" t="s">
        <v>39</v>
      </c>
      <c r="I3034" t="s">
        <v>48</v>
      </c>
      <c r="J3034" s="11">
        <v>45990</v>
      </c>
      <c r="K3034" t="str">
        <f>TEXT(Transactions_Clean[[#This Row],[Date]],"MMM-YYYY")</f>
        <v>Nov-2025</v>
      </c>
      <c r="L3034">
        <f>IF(Transactions_Clean[[#This Row],[Category]]="Revenue",Transactions_Clean[[#This Row],[Amount(₹)]],Transactions_Clean[[#This Row],[Amount(₹)]]/8)</f>
        <v>-11400.625</v>
      </c>
    </row>
    <row r="3035" spans="1:12">
      <c r="A3035" t="s">
        <v>4477</v>
      </c>
      <c r="B3035" t="s">
        <v>4762</v>
      </c>
      <c r="C3035" t="s">
        <v>157</v>
      </c>
      <c r="D3035">
        <v>681791</v>
      </c>
      <c r="E3035" t="s">
        <v>62</v>
      </c>
      <c r="F3035" t="s">
        <v>32</v>
      </c>
      <c r="G3035" t="s">
        <v>25</v>
      </c>
      <c r="H3035" t="s">
        <v>39</v>
      </c>
      <c r="I3035" t="s">
        <v>40</v>
      </c>
      <c r="J3035" s="11">
        <v>45843</v>
      </c>
      <c r="K3035" t="str">
        <f>TEXT(Transactions_Clean[[#This Row],[Date]],"MMM-YYYY")</f>
        <v>Jul-2025</v>
      </c>
      <c r="L3035">
        <f>IF(Transactions_Clean[[#This Row],[Category]]="Revenue",Transactions_Clean[[#This Row],[Amount(₹)]],Transactions_Clean[[#This Row],[Amount(₹)]]/8)</f>
        <v>681791</v>
      </c>
    </row>
    <row r="3036" spans="1:12">
      <c r="A3036" t="s">
        <v>4478</v>
      </c>
      <c r="B3036" t="s">
        <v>345</v>
      </c>
      <c r="C3036" t="s">
        <v>22</v>
      </c>
      <c r="D3036">
        <v>-133275</v>
      </c>
      <c r="E3036" t="s">
        <v>23</v>
      </c>
      <c r="F3036" t="s">
        <v>32</v>
      </c>
      <c r="G3036" t="s">
        <v>25</v>
      </c>
      <c r="H3036" t="s">
        <v>26</v>
      </c>
      <c r="I3036" t="s">
        <v>40</v>
      </c>
      <c r="J3036" s="11">
        <v>45184</v>
      </c>
      <c r="K3036" t="str">
        <f>TEXT(Transactions_Clean[[#This Row],[Date]],"MMM-YYYY")</f>
        <v>Sep-2023</v>
      </c>
      <c r="L3036">
        <f>IF(Transactions_Clean[[#This Row],[Category]]="Revenue",Transactions_Clean[[#This Row],[Amount(₹)]],Transactions_Clean[[#This Row],[Amount(₹)]]/8)</f>
        <v>-16659.375</v>
      </c>
    </row>
    <row r="3037" spans="1:12">
      <c r="A3037" t="s">
        <v>4479</v>
      </c>
      <c r="B3037" t="s">
        <v>215</v>
      </c>
      <c r="C3037" t="s">
        <v>61</v>
      </c>
      <c r="D3037">
        <v>-18480</v>
      </c>
      <c r="E3037" t="s">
        <v>62</v>
      </c>
      <c r="F3037" t="s">
        <v>32</v>
      </c>
      <c r="G3037" t="s">
        <v>63</v>
      </c>
      <c r="H3037" t="s">
        <v>39</v>
      </c>
      <c r="I3037" t="s">
        <v>48</v>
      </c>
      <c r="J3037" s="11">
        <v>46017</v>
      </c>
      <c r="K3037" t="str">
        <f>TEXT(Transactions_Clean[[#This Row],[Date]],"MMM-YYYY")</f>
        <v>Dec-2025</v>
      </c>
      <c r="L3037">
        <f>IF(Transactions_Clean[[#This Row],[Category]]="Revenue",Transactions_Clean[[#This Row],[Amount(₹)]],Transactions_Clean[[#This Row],[Amount(₹)]]/8)</f>
        <v>-2310</v>
      </c>
    </row>
    <row r="3038" spans="1:12">
      <c r="A3038" t="s">
        <v>4480</v>
      </c>
      <c r="B3038" t="s">
        <v>4770</v>
      </c>
      <c r="C3038" t="s">
        <v>440</v>
      </c>
      <c r="D3038">
        <v>-146038</v>
      </c>
      <c r="E3038" t="s">
        <v>23</v>
      </c>
      <c r="F3038" t="s">
        <v>24</v>
      </c>
      <c r="G3038" t="s">
        <v>33</v>
      </c>
      <c r="H3038" t="s">
        <v>39</v>
      </c>
      <c r="I3038" t="s">
        <v>48</v>
      </c>
      <c r="J3038" s="11">
        <v>45934</v>
      </c>
      <c r="K3038" t="str">
        <f>TEXT(Transactions_Clean[[#This Row],[Date]],"MMM-YYYY")</f>
        <v>Oct-2025</v>
      </c>
      <c r="L3038">
        <f>IF(Transactions_Clean[[#This Row],[Category]]="Revenue",Transactions_Clean[[#This Row],[Amount(₹)]],Transactions_Clean[[#This Row],[Amount(₹)]]/8)</f>
        <v>-18254.75</v>
      </c>
    </row>
    <row r="3039" spans="1:12">
      <c r="A3039" t="s">
        <v>4481</v>
      </c>
      <c r="B3039" t="s">
        <v>4753</v>
      </c>
      <c r="C3039" t="s">
        <v>38</v>
      </c>
      <c r="D3039">
        <v>-53011</v>
      </c>
      <c r="E3039" t="s">
        <v>23</v>
      </c>
      <c r="F3039" t="s">
        <v>24</v>
      </c>
      <c r="G3039" t="s">
        <v>33</v>
      </c>
      <c r="H3039" t="s">
        <v>26</v>
      </c>
      <c r="I3039" t="s">
        <v>34</v>
      </c>
      <c r="J3039" s="11">
        <v>45076</v>
      </c>
      <c r="K3039" t="str">
        <f>TEXT(Transactions_Clean[[#This Row],[Date]],"MMM-YYYY")</f>
        <v>May-2023</v>
      </c>
      <c r="L3039">
        <f>IF(Transactions_Clean[[#This Row],[Category]]="Revenue",Transactions_Clean[[#This Row],[Amount(₹)]],Transactions_Clean[[#This Row],[Amount(₹)]]/8)</f>
        <v>-6626.375</v>
      </c>
    </row>
    <row r="3040" spans="1:12">
      <c r="A3040" t="s">
        <v>4483</v>
      </c>
      <c r="B3040" t="s">
        <v>4757</v>
      </c>
      <c r="C3040" t="s">
        <v>73</v>
      </c>
      <c r="D3040">
        <v>-9075</v>
      </c>
      <c r="E3040" t="s">
        <v>74</v>
      </c>
      <c r="F3040" t="s">
        <v>24</v>
      </c>
      <c r="G3040" t="s">
        <v>25</v>
      </c>
      <c r="H3040" t="s">
        <v>26</v>
      </c>
      <c r="I3040" t="s">
        <v>48</v>
      </c>
      <c r="J3040" s="11">
        <v>45238</v>
      </c>
      <c r="K3040" t="str">
        <f>TEXT(Transactions_Clean[[#This Row],[Date]],"MMM-YYYY")</f>
        <v>Nov-2023</v>
      </c>
      <c r="L3040">
        <f>IF(Transactions_Clean[[#This Row],[Category]]="Revenue",Transactions_Clean[[#This Row],[Amount(₹)]],Transactions_Clean[[#This Row],[Amount(₹)]]/8)</f>
        <v>-1134.375</v>
      </c>
    </row>
    <row r="3041" spans="1:12">
      <c r="A3041" t="s">
        <v>4485</v>
      </c>
      <c r="B3041" t="s">
        <v>100</v>
      </c>
      <c r="C3041" t="s">
        <v>31</v>
      </c>
      <c r="D3041">
        <v>-17237</v>
      </c>
      <c r="E3041" t="s">
        <v>23</v>
      </c>
      <c r="F3041" t="s">
        <v>32</v>
      </c>
      <c r="G3041" t="s">
        <v>33</v>
      </c>
      <c r="H3041" t="s">
        <v>39</v>
      </c>
      <c r="I3041" t="s">
        <v>34</v>
      </c>
      <c r="J3041" s="11">
        <v>45809</v>
      </c>
      <c r="K3041" t="str">
        <f>TEXT(Transactions_Clean[[#This Row],[Date]],"MMM-YYYY")</f>
        <v>Jun-2025</v>
      </c>
      <c r="L3041">
        <f>IF(Transactions_Clean[[#This Row],[Category]]="Revenue",Transactions_Clean[[#This Row],[Amount(₹)]],Transactions_Clean[[#This Row],[Amount(₹)]]/8)</f>
        <v>-2154.625</v>
      </c>
    </row>
    <row r="3042" spans="1:12">
      <c r="A3042" t="s">
        <v>4486</v>
      </c>
      <c r="B3042" t="s">
        <v>4768</v>
      </c>
      <c r="C3042" t="s">
        <v>157</v>
      </c>
      <c r="D3042">
        <v>710783</v>
      </c>
      <c r="E3042" t="s">
        <v>62</v>
      </c>
      <c r="F3042" t="s">
        <v>32</v>
      </c>
      <c r="G3042" t="s">
        <v>25</v>
      </c>
      <c r="H3042" t="s">
        <v>39</v>
      </c>
      <c r="I3042" t="s">
        <v>27</v>
      </c>
      <c r="J3042" s="11">
        <v>46078</v>
      </c>
      <c r="K3042" t="str">
        <f>TEXT(Transactions_Clean[[#This Row],[Date]],"MMM-YYYY")</f>
        <v>Feb-2026</v>
      </c>
      <c r="L3042">
        <f>IF(Transactions_Clean[[#This Row],[Category]]="Revenue",Transactions_Clean[[#This Row],[Amount(₹)]],Transactions_Clean[[#This Row],[Amount(₹)]]/8)</f>
        <v>710783</v>
      </c>
    </row>
    <row r="3043" spans="1:12">
      <c r="A3043" t="s">
        <v>4488</v>
      </c>
      <c r="B3043" t="s">
        <v>687</v>
      </c>
      <c r="C3043" t="s">
        <v>44</v>
      </c>
      <c r="D3043">
        <v>-173761</v>
      </c>
      <c r="E3043" t="s">
        <v>23</v>
      </c>
      <c r="F3043" t="s">
        <v>32</v>
      </c>
      <c r="G3043" t="s">
        <v>33</v>
      </c>
      <c r="H3043" t="s">
        <v>45</v>
      </c>
      <c r="I3043" t="s">
        <v>27</v>
      </c>
      <c r="J3043" s="11">
        <v>45664</v>
      </c>
      <c r="K3043" t="str">
        <f>TEXT(Transactions_Clean[[#This Row],[Date]],"MMM-YYYY")</f>
        <v>Jan-2025</v>
      </c>
      <c r="L3043">
        <f>IF(Transactions_Clean[[#This Row],[Category]]="Revenue",Transactions_Clean[[#This Row],[Amount(₹)]],Transactions_Clean[[#This Row],[Amount(₹)]]/8)</f>
        <v>-21720.125</v>
      </c>
    </row>
    <row r="3044" spans="1:12">
      <c r="A3044" t="s">
        <v>4489</v>
      </c>
      <c r="B3044" t="s">
        <v>66</v>
      </c>
      <c r="C3044" t="s">
        <v>61</v>
      </c>
      <c r="D3044">
        <v>-63027</v>
      </c>
      <c r="E3044" t="s">
        <v>62</v>
      </c>
      <c r="F3044" t="s">
        <v>32</v>
      </c>
      <c r="G3044" t="s">
        <v>63</v>
      </c>
      <c r="H3044" t="s">
        <v>39</v>
      </c>
      <c r="I3044" t="s">
        <v>34</v>
      </c>
      <c r="J3044" s="11">
        <v>45798</v>
      </c>
      <c r="K3044" t="str">
        <f>TEXT(Transactions_Clean[[#This Row],[Date]],"MMM-YYYY")</f>
        <v>May-2025</v>
      </c>
      <c r="L3044">
        <f>IF(Transactions_Clean[[#This Row],[Category]]="Revenue",Transactions_Clean[[#This Row],[Amount(₹)]],Transactions_Clean[[#This Row],[Amount(₹)]]/8)</f>
        <v>-7878.375</v>
      </c>
    </row>
    <row r="3045" spans="1:12">
      <c r="A3045" t="s">
        <v>4490</v>
      </c>
      <c r="B3045" t="s">
        <v>72</v>
      </c>
      <c r="C3045" t="s">
        <v>73</v>
      </c>
      <c r="D3045">
        <v>-11545</v>
      </c>
      <c r="E3045" t="s">
        <v>74</v>
      </c>
      <c r="F3045" t="s">
        <v>24</v>
      </c>
      <c r="G3045" t="s">
        <v>25</v>
      </c>
      <c r="H3045" t="s">
        <v>39</v>
      </c>
      <c r="I3045" t="s">
        <v>27</v>
      </c>
      <c r="J3045" s="11">
        <v>46094</v>
      </c>
      <c r="K3045" t="str">
        <f>TEXT(Transactions_Clean[[#This Row],[Date]],"MMM-YYYY")</f>
        <v>Mar-2026</v>
      </c>
      <c r="L3045">
        <f>IF(Transactions_Clean[[#This Row],[Category]]="Revenue",Transactions_Clean[[#This Row],[Amount(₹)]],Transactions_Clean[[#This Row],[Amount(₹)]]/8)</f>
        <v>-1443.125</v>
      </c>
    </row>
    <row r="3046" spans="1:12">
      <c r="A3046" t="s">
        <v>4491</v>
      </c>
      <c r="B3046" t="s">
        <v>4766</v>
      </c>
      <c r="C3046" t="s">
        <v>73</v>
      </c>
      <c r="D3046">
        <v>-40256</v>
      </c>
      <c r="E3046" t="s">
        <v>74</v>
      </c>
      <c r="F3046" t="s">
        <v>32</v>
      </c>
      <c r="G3046" t="s">
        <v>25</v>
      </c>
      <c r="H3046" t="s">
        <v>39</v>
      </c>
      <c r="I3046" t="s">
        <v>48</v>
      </c>
      <c r="J3046" s="11">
        <v>46004</v>
      </c>
      <c r="K3046" t="str">
        <f>TEXT(Transactions_Clean[[#This Row],[Date]],"MMM-YYYY")</f>
        <v>Dec-2025</v>
      </c>
      <c r="L3046">
        <f>IF(Transactions_Clean[[#This Row],[Category]]="Revenue",Transactions_Clean[[#This Row],[Amount(₹)]],Transactions_Clean[[#This Row],[Amount(₹)]]/8)</f>
        <v>-5032</v>
      </c>
    </row>
    <row r="3047" spans="1:12">
      <c r="A3047" t="s">
        <v>4493</v>
      </c>
      <c r="B3047" t="s">
        <v>687</v>
      </c>
      <c r="C3047" t="s">
        <v>44</v>
      </c>
      <c r="D3047">
        <v>-121878</v>
      </c>
      <c r="E3047" t="s">
        <v>23</v>
      </c>
      <c r="F3047" t="s">
        <v>32</v>
      </c>
      <c r="G3047" t="s">
        <v>33</v>
      </c>
      <c r="H3047" t="s">
        <v>45</v>
      </c>
      <c r="I3047" t="s">
        <v>27</v>
      </c>
      <c r="J3047" s="11">
        <v>45702</v>
      </c>
      <c r="K3047" t="str">
        <f>TEXT(Transactions_Clean[[#This Row],[Date]],"MMM-YYYY")</f>
        <v>Feb-2025</v>
      </c>
      <c r="L3047">
        <f>IF(Transactions_Clean[[#This Row],[Category]]="Revenue",Transactions_Clean[[#This Row],[Amount(₹)]],Transactions_Clean[[#This Row],[Amount(₹)]]/8)</f>
        <v>-15234.75</v>
      </c>
    </row>
    <row r="3048" spans="1:12">
      <c r="A3048" t="s">
        <v>4494</v>
      </c>
      <c r="B3048" t="s">
        <v>106</v>
      </c>
      <c r="C3048" t="s">
        <v>31</v>
      </c>
      <c r="D3048">
        <v>-21527</v>
      </c>
      <c r="E3048" t="s">
        <v>23</v>
      </c>
      <c r="F3048" t="s">
        <v>24</v>
      </c>
      <c r="G3048" t="s">
        <v>33</v>
      </c>
      <c r="H3048" t="s">
        <v>26</v>
      </c>
      <c r="I3048" t="s">
        <v>34</v>
      </c>
      <c r="J3048" s="11">
        <v>45047</v>
      </c>
      <c r="K3048" t="str">
        <f>TEXT(Transactions_Clean[[#This Row],[Date]],"MMM-YYYY")</f>
        <v>May-2023</v>
      </c>
      <c r="L3048">
        <f>IF(Transactions_Clean[[#This Row],[Category]]="Revenue",Transactions_Clean[[#This Row],[Amount(₹)]],Transactions_Clean[[#This Row],[Amount(₹)]]/8)</f>
        <v>-2690.875</v>
      </c>
    </row>
    <row r="3049" spans="1:12">
      <c r="A3049" t="s">
        <v>4496</v>
      </c>
      <c r="B3049" t="s">
        <v>37</v>
      </c>
      <c r="C3049" t="s">
        <v>38</v>
      </c>
      <c r="D3049">
        <v>-8849</v>
      </c>
      <c r="E3049" t="s">
        <v>23</v>
      </c>
      <c r="F3049" t="s">
        <v>24</v>
      </c>
      <c r="G3049" t="s">
        <v>33</v>
      </c>
      <c r="H3049" t="s">
        <v>45</v>
      </c>
      <c r="I3049" t="s">
        <v>27</v>
      </c>
      <c r="J3049" s="11">
        <v>45688</v>
      </c>
      <c r="K3049" t="str">
        <f>TEXT(Transactions_Clean[[#This Row],[Date]],"MMM-YYYY")</f>
        <v>Jan-2025</v>
      </c>
      <c r="L3049">
        <f>IF(Transactions_Clean[[#This Row],[Category]]="Revenue",Transactions_Clean[[#This Row],[Amount(₹)]],Transactions_Clean[[#This Row],[Amount(₹)]]/8)</f>
        <v>-1106.125</v>
      </c>
    </row>
    <row r="3050" spans="1:12">
      <c r="A3050" t="s">
        <v>4497</v>
      </c>
      <c r="B3050" t="s">
        <v>169</v>
      </c>
      <c r="C3050" t="s">
        <v>73</v>
      </c>
      <c r="D3050">
        <v>-41725</v>
      </c>
      <c r="E3050" t="s">
        <v>74</v>
      </c>
      <c r="F3050" t="s">
        <v>32</v>
      </c>
      <c r="G3050" t="s">
        <v>25</v>
      </c>
      <c r="H3050" t="s">
        <v>45</v>
      </c>
      <c r="I3050" t="s">
        <v>48</v>
      </c>
      <c r="J3050" s="11">
        <v>45617</v>
      </c>
      <c r="K3050" t="str">
        <f>TEXT(Transactions_Clean[[#This Row],[Date]],"MMM-YYYY")</f>
        <v>Nov-2024</v>
      </c>
      <c r="L3050">
        <f>IF(Transactions_Clean[[#This Row],[Category]]="Revenue",Transactions_Clean[[#This Row],[Amount(₹)]],Transactions_Clean[[#This Row],[Amount(₹)]]/8)</f>
        <v>-5215.625</v>
      </c>
    </row>
    <row r="3051" spans="1:12">
      <c r="A3051" t="s">
        <v>4498</v>
      </c>
      <c r="B3051" t="s">
        <v>4757</v>
      </c>
      <c r="C3051" t="s">
        <v>4750</v>
      </c>
      <c r="D3051">
        <v>-88654</v>
      </c>
      <c r="E3051" t="s">
        <v>74</v>
      </c>
      <c r="F3051" t="s">
        <v>24</v>
      </c>
      <c r="G3051" t="s">
        <v>25</v>
      </c>
      <c r="H3051" t="s">
        <v>26</v>
      </c>
      <c r="I3051" t="s">
        <v>34</v>
      </c>
      <c r="J3051" s="11">
        <v>45078</v>
      </c>
      <c r="K3051" t="str">
        <f>TEXT(Transactions_Clean[[#This Row],[Date]],"MMM-YYYY")</f>
        <v>Jun-2023</v>
      </c>
      <c r="L3051">
        <f>IF(Transactions_Clean[[#This Row],[Category]]="Revenue",Transactions_Clean[[#This Row],[Amount(₹)]],Transactions_Clean[[#This Row],[Amount(₹)]]/8)</f>
        <v>-11081.75</v>
      </c>
    </row>
    <row r="3052" spans="1:12">
      <c r="A3052" t="s">
        <v>4499</v>
      </c>
      <c r="B3052" t="s">
        <v>177</v>
      </c>
      <c r="C3052" t="s">
        <v>78</v>
      </c>
      <c r="D3052">
        <v>-49472</v>
      </c>
      <c r="E3052" t="s">
        <v>23</v>
      </c>
      <c r="F3052" t="s">
        <v>32</v>
      </c>
      <c r="G3052" t="s">
        <v>79</v>
      </c>
      <c r="H3052" t="s">
        <v>45</v>
      </c>
      <c r="I3052" t="s">
        <v>27</v>
      </c>
      <c r="J3052" s="11">
        <v>45704</v>
      </c>
      <c r="K3052" t="str">
        <f>TEXT(Transactions_Clean[[#This Row],[Date]],"MMM-YYYY")</f>
        <v>Feb-2025</v>
      </c>
      <c r="L3052">
        <f>IF(Transactions_Clean[[#This Row],[Category]]="Revenue",Transactions_Clean[[#This Row],[Amount(₹)]],Transactions_Clean[[#This Row],[Amount(₹)]]/8)</f>
        <v>-6184</v>
      </c>
    </row>
    <row r="3053" spans="1:12">
      <c r="A3053" t="s">
        <v>4500</v>
      </c>
      <c r="B3053" t="s">
        <v>116</v>
      </c>
      <c r="C3053" t="s">
        <v>4750</v>
      </c>
      <c r="D3053">
        <v>-63301</v>
      </c>
      <c r="E3053" t="s">
        <v>74</v>
      </c>
      <c r="F3053" t="s">
        <v>24</v>
      </c>
      <c r="G3053" t="s">
        <v>25</v>
      </c>
      <c r="H3053" t="s">
        <v>45</v>
      </c>
      <c r="I3053" t="s">
        <v>27</v>
      </c>
      <c r="J3053" s="11">
        <v>45700</v>
      </c>
      <c r="K3053" t="str">
        <f>TEXT(Transactions_Clean[[#This Row],[Date]],"MMM-YYYY")</f>
        <v>Feb-2025</v>
      </c>
      <c r="L3053">
        <f>IF(Transactions_Clean[[#This Row],[Category]]="Revenue",Transactions_Clean[[#This Row],[Amount(₹)]],Transactions_Clean[[#This Row],[Amount(₹)]]/8)</f>
        <v>-7912.625</v>
      </c>
    </row>
    <row r="3054" spans="1:12">
      <c r="A3054" t="s">
        <v>4501</v>
      </c>
      <c r="B3054" t="s">
        <v>51</v>
      </c>
      <c r="C3054" t="s">
        <v>31</v>
      </c>
      <c r="D3054">
        <v>-24384</v>
      </c>
      <c r="E3054" t="s">
        <v>23</v>
      </c>
      <c r="F3054" t="s">
        <v>24</v>
      </c>
      <c r="G3054" t="s">
        <v>33</v>
      </c>
      <c r="H3054" t="s">
        <v>26</v>
      </c>
      <c r="I3054" t="s">
        <v>34</v>
      </c>
      <c r="J3054" s="11">
        <v>45020</v>
      </c>
      <c r="K3054" t="str">
        <f>TEXT(Transactions_Clean[[#This Row],[Date]],"MMM-YYYY")</f>
        <v>Apr-2023</v>
      </c>
      <c r="L3054">
        <f>IF(Transactions_Clean[[#This Row],[Category]]="Revenue",Transactions_Clean[[#This Row],[Amount(₹)]],Transactions_Clean[[#This Row],[Amount(₹)]]/8)</f>
        <v>-3048</v>
      </c>
    </row>
    <row r="3055" spans="1:12">
      <c r="A3055" t="s">
        <v>4502</v>
      </c>
      <c r="B3055" t="s">
        <v>180</v>
      </c>
      <c r="C3055" t="s">
        <v>44</v>
      </c>
      <c r="D3055">
        <v>-50154</v>
      </c>
      <c r="E3055" t="s">
        <v>23</v>
      </c>
      <c r="F3055" t="s">
        <v>24</v>
      </c>
      <c r="G3055" t="s">
        <v>33</v>
      </c>
      <c r="H3055" t="s">
        <v>26</v>
      </c>
      <c r="I3055" t="s">
        <v>27</v>
      </c>
      <c r="J3055" s="11">
        <v>45372</v>
      </c>
      <c r="K3055" t="str">
        <f>TEXT(Transactions_Clean[[#This Row],[Date]],"MMM-YYYY")</f>
        <v>Mar-2024</v>
      </c>
      <c r="L3055">
        <f>IF(Transactions_Clean[[#This Row],[Category]]="Revenue",Transactions_Clean[[#This Row],[Amount(₹)]],Transactions_Clean[[#This Row],[Amount(₹)]]/8)</f>
        <v>-6269.25</v>
      </c>
    </row>
    <row r="3056" spans="1:12">
      <c r="A3056" t="s">
        <v>4503</v>
      </c>
      <c r="B3056" t="s">
        <v>72</v>
      </c>
      <c r="C3056" t="s">
        <v>73</v>
      </c>
      <c r="D3056">
        <v>-74509</v>
      </c>
      <c r="E3056" t="s">
        <v>74</v>
      </c>
      <c r="F3056" t="s">
        <v>24</v>
      </c>
      <c r="G3056" t="s">
        <v>25</v>
      </c>
      <c r="H3056" t="s">
        <v>45</v>
      </c>
      <c r="I3056" t="s">
        <v>34</v>
      </c>
      <c r="J3056" s="11">
        <v>45415</v>
      </c>
      <c r="K3056" t="str">
        <f>TEXT(Transactions_Clean[[#This Row],[Date]],"MMM-YYYY")</f>
        <v>May-2024</v>
      </c>
      <c r="L3056">
        <f>IF(Transactions_Clean[[#This Row],[Category]]="Revenue",Transactions_Clean[[#This Row],[Amount(₹)]],Transactions_Clean[[#This Row],[Amount(₹)]]/8)</f>
        <v>-9313.625</v>
      </c>
    </row>
    <row r="3057" spans="1:12">
      <c r="A3057" t="s">
        <v>4504</v>
      </c>
      <c r="B3057" t="s">
        <v>106</v>
      </c>
      <c r="C3057" t="s">
        <v>31</v>
      </c>
      <c r="D3057">
        <v>-28302</v>
      </c>
      <c r="E3057" t="s">
        <v>23</v>
      </c>
      <c r="F3057" t="s">
        <v>32</v>
      </c>
      <c r="G3057" t="s">
        <v>33</v>
      </c>
      <c r="H3057" t="s">
        <v>45</v>
      </c>
      <c r="I3057" t="s">
        <v>48</v>
      </c>
      <c r="J3057" s="11">
        <v>45648</v>
      </c>
      <c r="K3057" t="str">
        <f>TEXT(Transactions_Clean[[#This Row],[Date]],"MMM-YYYY")</f>
        <v>Dec-2024</v>
      </c>
      <c r="L3057">
        <f>IF(Transactions_Clean[[#This Row],[Category]]="Revenue",Transactions_Clean[[#This Row],[Amount(₹)]],Transactions_Clean[[#This Row],[Amount(₹)]]/8)</f>
        <v>-3537.75</v>
      </c>
    </row>
    <row r="3058" spans="1:12">
      <c r="A3058" t="s">
        <v>4506</v>
      </c>
      <c r="B3058" t="s">
        <v>161</v>
      </c>
      <c r="C3058" t="s">
        <v>22</v>
      </c>
      <c r="D3058">
        <v>-90396</v>
      </c>
      <c r="E3058" t="s">
        <v>23</v>
      </c>
      <c r="F3058" t="s">
        <v>32</v>
      </c>
      <c r="G3058" t="s">
        <v>25</v>
      </c>
      <c r="H3058" t="s">
        <v>39</v>
      </c>
      <c r="I3058" t="s">
        <v>40</v>
      </c>
      <c r="J3058" s="11">
        <v>45863</v>
      </c>
      <c r="K3058" t="str">
        <f>TEXT(Transactions_Clean[[#This Row],[Date]],"MMM-YYYY")</f>
        <v>Jul-2025</v>
      </c>
      <c r="L3058">
        <f>IF(Transactions_Clean[[#This Row],[Category]]="Revenue",Transactions_Clean[[#This Row],[Amount(₹)]],Transactions_Clean[[#This Row],[Amount(₹)]]/8)</f>
        <v>-11299.5</v>
      </c>
    </row>
    <row r="3059" spans="1:12">
      <c r="A3059" t="s">
        <v>4508</v>
      </c>
      <c r="B3059" t="s">
        <v>4765</v>
      </c>
      <c r="C3059" t="s">
        <v>73</v>
      </c>
      <c r="D3059">
        <v>-49365</v>
      </c>
      <c r="E3059" t="s">
        <v>74</v>
      </c>
      <c r="F3059" t="s">
        <v>32</v>
      </c>
      <c r="G3059" t="s">
        <v>25</v>
      </c>
      <c r="H3059" t="s">
        <v>26</v>
      </c>
      <c r="I3059" t="s">
        <v>34</v>
      </c>
      <c r="J3059" s="11">
        <v>45107</v>
      </c>
      <c r="K3059" t="str">
        <f>TEXT(Transactions_Clean[[#This Row],[Date]],"MMM-YYYY")</f>
        <v>Jun-2023</v>
      </c>
      <c r="L3059">
        <f>IF(Transactions_Clean[[#This Row],[Category]]="Revenue",Transactions_Clean[[#This Row],[Amount(₹)]],Transactions_Clean[[#This Row],[Amount(₹)]]/8)</f>
        <v>-6170.625</v>
      </c>
    </row>
    <row r="3060" spans="1:12">
      <c r="A3060" t="s">
        <v>4509</v>
      </c>
      <c r="B3060" t="s">
        <v>30</v>
      </c>
      <c r="C3060" t="s">
        <v>31</v>
      </c>
      <c r="D3060">
        <v>-8090</v>
      </c>
      <c r="E3060" t="s">
        <v>23</v>
      </c>
      <c r="F3060" t="s">
        <v>24</v>
      </c>
      <c r="G3060" t="s">
        <v>33</v>
      </c>
      <c r="H3060" t="s">
        <v>26</v>
      </c>
      <c r="I3060" t="s">
        <v>48</v>
      </c>
      <c r="J3060" s="11">
        <v>45272</v>
      </c>
      <c r="K3060" t="str">
        <f>TEXT(Transactions_Clean[[#This Row],[Date]],"MMM-YYYY")</f>
        <v>Dec-2023</v>
      </c>
      <c r="L3060">
        <f>IF(Transactions_Clean[[#This Row],[Category]]="Revenue",Transactions_Clean[[#This Row],[Amount(₹)]],Transactions_Clean[[#This Row],[Amount(₹)]]/8)</f>
        <v>-1011.25</v>
      </c>
    </row>
    <row r="3061" spans="1:12">
      <c r="A3061" t="s">
        <v>4511</v>
      </c>
      <c r="B3061" t="s">
        <v>100</v>
      </c>
      <c r="C3061" t="s">
        <v>31</v>
      </c>
      <c r="D3061">
        <v>-38394</v>
      </c>
      <c r="E3061" t="s">
        <v>23</v>
      </c>
      <c r="F3061" t="s">
        <v>24</v>
      </c>
      <c r="G3061" t="s">
        <v>33</v>
      </c>
      <c r="H3061" t="s">
        <v>26</v>
      </c>
      <c r="I3061" t="s">
        <v>40</v>
      </c>
      <c r="J3061" s="11">
        <v>45194</v>
      </c>
      <c r="K3061" t="str">
        <f>TEXT(Transactions_Clean[[#This Row],[Date]],"MMM-YYYY")</f>
        <v>Sep-2023</v>
      </c>
      <c r="L3061">
        <f>IF(Transactions_Clean[[#This Row],[Category]]="Revenue",Transactions_Clean[[#This Row],[Amount(₹)]],Transactions_Clean[[#This Row],[Amount(₹)]]/8)</f>
        <v>-4799.25</v>
      </c>
    </row>
    <row r="3062" spans="1:12">
      <c r="A3062" t="s">
        <v>4512</v>
      </c>
      <c r="B3062" t="s">
        <v>177</v>
      </c>
      <c r="C3062" t="s">
        <v>78</v>
      </c>
      <c r="D3062">
        <v>-24392</v>
      </c>
      <c r="E3062" t="s">
        <v>23</v>
      </c>
      <c r="F3062" t="s">
        <v>32</v>
      </c>
      <c r="G3062" t="s">
        <v>79</v>
      </c>
      <c r="H3062" t="s">
        <v>45</v>
      </c>
      <c r="I3062" t="s">
        <v>48</v>
      </c>
      <c r="J3062" s="11">
        <v>45577</v>
      </c>
      <c r="K3062" t="str">
        <f>TEXT(Transactions_Clean[[#This Row],[Date]],"MMM-YYYY")</f>
        <v>Oct-2024</v>
      </c>
      <c r="L3062">
        <f>IF(Transactions_Clean[[#This Row],[Category]]="Revenue",Transactions_Clean[[#This Row],[Amount(₹)]],Transactions_Clean[[#This Row],[Amount(₹)]]/8)</f>
        <v>-3049</v>
      </c>
    </row>
    <row r="3063" spans="1:12">
      <c r="A3063" t="s">
        <v>4513</v>
      </c>
      <c r="B3063" t="s">
        <v>212</v>
      </c>
      <c r="C3063" t="s">
        <v>73</v>
      </c>
      <c r="D3063">
        <v>-91179</v>
      </c>
      <c r="E3063" t="s">
        <v>74</v>
      </c>
      <c r="F3063" t="s">
        <v>24</v>
      </c>
      <c r="G3063" t="s">
        <v>25</v>
      </c>
      <c r="H3063" t="s">
        <v>39</v>
      </c>
      <c r="I3063" t="s">
        <v>48</v>
      </c>
      <c r="J3063" s="11">
        <v>46020</v>
      </c>
      <c r="K3063" t="str">
        <f>TEXT(Transactions_Clean[[#This Row],[Date]],"MMM-YYYY")</f>
        <v>Dec-2025</v>
      </c>
      <c r="L3063">
        <f>IF(Transactions_Clean[[#This Row],[Category]]="Revenue",Transactions_Clean[[#This Row],[Amount(₹)]],Transactions_Clean[[#This Row],[Amount(₹)]]/8)</f>
        <v>-11397.375</v>
      </c>
    </row>
    <row r="3064" spans="1:12">
      <c r="A3064" t="s">
        <v>4515</v>
      </c>
      <c r="B3064" t="s">
        <v>4757</v>
      </c>
      <c r="C3064" t="s">
        <v>73</v>
      </c>
      <c r="D3064">
        <v>-84855</v>
      </c>
      <c r="E3064" t="s">
        <v>74</v>
      </c>
      <c r="F3064" t="s">
        <v>32</v>
      </c>
      <c r="G3064" t="s">
        <v>25</v>
      </c>
      <c r="H3064" t="s">
        <v>45</v>
      </c>
      <c r="I3064" t="s">
        <v>40</v>
      </c>
      <c r="J3064" s="11">
        <v>45501</v>
      </c>
      <c r="K3064" t="str">
        <f>TEXT(Transactions_Clean[[#This Row],[Date]],"MMM-YYYY")</f>
        <v>Jul-2024</v>
      </c>
      <c r="L3064">
        <f>IF(Transactions_Clean[[#This Row],[Category]]="Revenue",Transactions_Clean[[#This Row],[Amount(₹)]],Transactions_Clean[[#This Row],[Amount(₹)]]/8)</f>
        <v>-10606.875</v>
      </c>
    </row>
    <row r="3065" spans="1:12">
      <c r="A3065" t="s">
        <v>4516</v>
      </c>
      <c r="B3065" t="s">
        <v>4756</v>
      </c>
      <c r="C3065" t="s">
        <v>73</v>
      </c>
      <c r="D3065">
        <v>-94430</v>
      </c>
      <c r="E3065" t="s">
        <v>74</v>
      </c>
      <c r="F3065" t="s">
        <v>24</v>
      </c>
      <c r="G3065" t="s">
        <v>25</v>
      </c>
      <c r="H3065" t="s">
        <v>26</v>
      </c>
      <c r="I3065" t="s">
        <v>27</v>
      </c>
      <c r="J3065" s="11">
        <v>45350</v>
      </c>
      <c r="K3065" t="str">
        <f>TEXT(Transactions_Clean[[#This Row],[Date]],"MMM-YYYY")</f>
        <v>Feb-2024</v>
      </c>
      <c r="L3065">
        <f>IF(Transactions_Clean[[#This Row],[Category]]="Revenue",Transactions_Clean[[#This Row],[Amount(₹)]],Transactions_Clean[[#This Row],[Amount(₹)]]/8)</f>
        <v>-11803.75</v>
      </c>
    </row>
    <row r="3066" spans="1:12">
      <c r="A3066" t="s">
        <v>4517</v>
      </c>
      <c r="B3066" t="s">
        <v>66</v>
      </c>
      <c r="C3066" t="s">
        <v>61</v>
      </c>
      <c r="D3066">
        <v>-63021</v>
      </c>
      <c r="E3066" t="s">
        <v>62</v>
      </c>
      <c r="F3066" t="s">
        <v>24</v>
      </c>
      <c r="G3066" t="s">
        <v>63</v>
      </c>
      <c r="H3066" t="s">
        <v>26</v>
      </c>
      <c r="I3066" t="s">
        <v>27</v>
      </c>
      <c r="J3066" s="11">
        <v>45292</v>
      </c>
      <c r="K3066" t="str">
        <f>TEXT(Transactions_Clean[[#This Row],[Date]],"MMM-YYYY")</f>
        <v>Jan-2024</v>
      </c>
      <c r="L3066">
        <f>IF(Transactions_Clean[[#This Row],[Category]]="Revenue",Transactions_Clean[[#This Row],[Amount(₹)]],Transactions_Clean[[#This Row],[Amount(₹)]]/8)</f>
        <v>-7877.625</v>
      </c>
    </row>
    <row r="3067" spans="1:12">
      <c r="A3067" t="s">
        <v>4518</v>
      </c>
      <c r="B3067" t="s">
        <v>4748</v>
      </c>
      <c r="C3067" t="s">
        <v>22</v>
      </c>
      <c r="D3067">
        <v>-86845</v>
      </c>
      <c r="E3067" t="s">
        <v>23</v>
      </c>
      <c r="F3067" t="s">
        <v>24</v>
      </c>
      <c r="G3067" t="s">
        <v>25</v>
      </c>
      <c r="H3067" t="s">
        <v>26</v>
      </c>
      <c r="I3067" t="s">
        <v>27</v>
      </c>
      <c r="J3067" s="11">
        <v>45296</v>
      </c>
      <c r="K3067" t="str">
        <f>TEXT(Transactions_Clean[[#This Row],[Date]],"MMM-YYYY")</f>
        <v>Jan-2024</v>
      </c>
      <c r="L3067">
        <f>IF(Transactions_Clean[[#This Row],[Category]]="Revenue",Transactions_Clean[[#This Row],[Amount(₹)]],Transactions_Clean[[#This Row],[Amount(₹)]]/8)</f>
        <v>-10855.625</v>
      </c>
    </row>
    <row r="3068" spans="1:12">
      <c r="A3068" t="s">
        <v>4519</v>
      </c>
      <c r="B3068" t="s">
        <v>4762</v>
      </c>
      <c r="C3068" t="s">
        <v>157</v>
      </c>
      <c r="D3068">
        <v>684215</v>
      </c>
      <c r="E3068" t="s">
        <v>62</v>
      </c>
      <c r="F3068" t="s">
        <v>32</v>
      </c>
      <c r="G3068" t="s">
        <v>25</v>
      </c>
      <c r="H3068" t="s">
        <v>39</v>
      </c>
      <c r="I3068" t="s">
        <v>40</v>
      </c>
      <c r="J3068" s="11">
        <v>45868</v>
      </c>
      <c r="K3068" t="str">
        <f>TEXT(Transactions_Clean[[#This Row],[Date]],"MMM-YYYY")</f>
        <v>Jul-2025</v>
      </c>
      <c r="L3068">
        <f>IF(Transactions_Clean[[#This Row],[Category]]="Revenue",Transactions_Clean[[#This Row],[Amount(₹)]],Transactions_Clean[[#This Row],[Amount(₹)]]/8)</f>
        <v>684215</v>
      </c>
    </row>
    <row r="3069" spans="1:12">
      <c r="A3069" t="s">
        <v>4520</v>
      </c>
      <c r="B3069" t="s">
        <v>30</v>
      </c>
      <c r="C3069" t="s">
        <v>31</v>
      </c>
      <c r="D3069">
        <v>-18078</v>
      </c>
      <c r="E3069" t="s">
        <v>23</v>
      </c>
      <c r="F3069" t="s">
        <v>24</v>
      </c>
      <c r="G3069" t="s">
        <v>33</v>
      </c>
      <c r="H3069" t="s">
        <v>39</v>
      </c>
      <c r="I3069" t="s">
        <v>48</v>
      </c>
      <c r="J3069" s="11">
        <v>45973</v>
      </c>
      <c r="K3069" t="str">
        <f>TEXT(Transactions_Clean[[#This Row],[Date]],"MMM-YYYY")</f>
        <v>Nov-2025</v>
      </c>
      <c r="L3069">
        <f>IF(Transactions_Clean[[#This Row],[Category]]="Revenue",Transactions_Clean[[#This Row],[Amount(₹)]],Transactions_Clean[[#This Row],[Amount(₹)]]/8)</f>
        <v>-2259.75</v>
      </c>
    </row>
    <row r="3070" spans="1:12">
      <c r="A3070" t="s">
        <v>4521</v>
      </c>
      <c r="B3070" t="s">
        <v>4769</v>
      </c>
      <c r="C3070" t="s">
        <v>44</v>
      </c>
      <c r="D3070">
        <v>-138164</v>
      </c>
      <c r="E3070" t="s">
        <v>23</v>
      </c>
      <c r="F3070" t="s">
        <v>24</v>
      </c>
      <c r="G3070" t="s">
        <v>33</v>
      </c>
      <c r="H3070" t="s">
        <v>45</v>
      </c>
      <c r="I3070" t="s">
        <v>48</v>
      </c>
      <c r="J3070" s="11">
        <v>45621</v>
      </c>
      <c r="K3070" t="str">
        <f>TEXT(Transactions_Clean[[#This Row],[Date]],"MMM-YYYY")</f>
        <v>Nov-2024</v>
      </c>
      <c r="L3070">
        <f>IF(Transactions_Clean[[#This Row],[Category]]="Revenue",Transactions_Clean[[#This Row],[Amount(₹)]],Transactions_Clean[[#This Row],[Amount(₹)]]/8)</f>
        <v>-17270.5</v>
      </c>
    </row>
    <row r="3071" spans="1:12">
      <c r="A3071" t="s">
        <v>4522</v>
      </c>
      <c r="B3071" t="s">
        <v>215</v>
      </c>
      <c r="C3071" t="s">
        <v>61</v>
      </c>
      <c r="D3071">
        <v>-28014</v>
      </c>
      <c r="E3071" t="s">
        <v>62</v>
      </c>
      <c r="F3071" t="s">
        <v>32</v>
      </c>
      <c r="G3071" t="s">
        <v>63</v>
      </c>
      <c r="H3071" t="s">
        <v>39</v>
      </c>
      <c r="I3071" t="s">
        <v>48</v>
      </c>
      <c r="J3071" s="11">
        <v>45976</v>
      </c>
      <c r="K3071" t="str">
        <f>TEXT(Transactions_Clean[[#This Row],[Date]],"MMM-YYYY")</f>
        <v>Nov-2025</v>
      </c>
      <c r="L3071">
        <f>IF(Transactions_Clean[[#This Row],[Category]]="Revenue",Transactions_Clean[[#This Row],[Amount(₹)]],Transactions_Clean[[#This Row],[Amount(₹)]]/8)</f>
        <v>-3501.75</v>
      </c>
    </row>
    <row r="3072" spans="1:12">
      <c r="A3072" t="s">
        <v>4523</v>
      </c>
      <c r="B3072" t="s">
        <v>4770</v>
      </c>
      <c r="C3072" t="s">
        <v>440</v>
      </c>
      <c r="D3072">
        <v>-121234</v>
      </c>
      <c r="E3072" t="s">
        <v>23</v>
      </c>
      <c r="F3072" t="s">
        <v>24</v>
      </c>
      <c r="G3072" t="s">
        <v>33</v>
      </c>
      <c r="H3072" t="s">
        <v>45</v>
      </c>
      <c r="I3072" t="s">
        <v>34</v>
      </c>
      <c r="J3072" s="11">
        <v>45447</v>
      </c>
      <c r="K3072" t="str">
        <f>TEXT(Transactions_Clean[[#This Row],[Date]],"MMM-YYYY")</f>
        <v>Jun-2024</v>
      </c>
      <c r="L3072">
        <f>IF(Transactions_Clean[[#This Row],[Category]]="Revenue",Transactions_Clean[[#This Row],[Amount(₹)]],Transactions_Clean[[#This Row],[Amount(₹)]]/8)</f>
        <v>-15154.25</v>
      </c>
    </row>
    <row r="3073" spans="1:12">
      <c r="A3073" t="s">
        <v>4525</v>
      </c>
      <c r="B3073" t="s">
        <v>60</v>
      </c>
      <c r="C3073" t="s">
        <v>61</v>
      </c>
      <c r="D3073">
        <v>-62699</v>
      </c>
      <c r="E3073" t="s">
        <v>62</v>
      </c>
      <c r="F3073" t="s">
        <v>32</v>
      </c>
      <c r="G3073" t="s">
        <v>63</v>
      </c>
      <c r="H3073" t="s">
        <v>45</v>
      </c>
      <c r="I3073" t="s">
        <v>40</v>
      </c>
      <c r="J3073" s="11">
        <v>45561</v>
      </c>
      <c r="K3073" t="str">
        <f>TEXT(Transactions_Clean[[#This Row],[Date]],"MMM-YYYY")</f>
        <v>Sep-2024</v>
      </c>
      <c r="L3073">
        <f>IF(Transactions_Clean[[#This Row],[Category]]="Revenue",Transactions_Clean[[#This Row],[Amount(₹)]],Transactions_Clean[[#This Row],[Amount(₹)]]/8)</f>
        <v>-7837.375</v>
      </c>
    </row>
    <row r="3074" spans="1:12">
      <c r="A3074" t="s">
        <v>4526</v>
      </c>
      <c r="B3074" t="s">
        <v>4762</v>
      </c>
      <c r="C3074" t="s">
        <v>157</v>
      </c>
      <c r="D3074">
        <v>544168</v>
      </c>
      <c r="E3074" t="s">
        <v>62</v>
      </c>
      <c r="F3074" t="s">
        <v>32</v>
      </c>
      <c r="G3074" t="s">
        <v>25</v>
      </c>
      <c r="H3074" t="s">
        <v>26</v>
      </c>
      <c r="I3074" t="s">
        <v>40</v>
      </c>
      <c r="J3074" s="11">
        <v>45164</v>
      </c>
      <c r="K3074" t="str">
        <f>TEXT(Transactions_Clean[[#This Row],[Date]],"MMM-YYYY")</f>
        <v>Aug-2023</v>
      </c>
      <c r="L3074">
        <f>IF(Transactions_Clean[[#This Row],[Category]]="Revenue",Transactions_Clean[[#This Row],[Amount(₹)]],Transactions_Clean[[#This Row],[Amount(₹)]]/8)</f>
        <v>544168</v>
      </c>
    </row>
    <row r="3075" spans="1:12">
      <c r="A3075" t="s">
        <v>4527</v>
      </c>
      <c r="B3075" t="s">
        <v>215</v>
      </c>
      <c r="C3075" t="s">
        <v>61</v>
      </c>
      <c r="D3075">
        <v>-17479</v>
      </c>
      <c r="E3075" t="s">
        <v>62</v>
      </c>
      <c r="F3075" t="s">
        <v>32</v>
      </c>
      <c r="G3075" t="s">
        <v>63</v>
      </c>
      <c r="H3075" t="s">
        <v>45</v>
      </c>
      <c r="I3075" t="s">
        <v>40</v>
      </c>
      <c r="J3075" s="11">
        <v>45492</v>
      </c>
      <c r="K3075" t="str">
        <f>TEXT(Transactions_Clean[[#This Row],[Date]],"MMM-YYYY")</f>
        <v>Jul-2024</v>
      </c>
      <c r="L3075">
        <f>IF(Transactions_Clean[[#This Row],[Category]]="Revenue",Transactions_Clean[[#This Row],[Amount(₹)]],Transactions_Clean[[#This Row],[Amount(₹)]]/8)</f>
        <v>-2184.875</v>
      </c>
    </row>
    <row r="3076" spans="1:12">
      <c r="A3076" t="s">
        <v>4528</v>
      </c>
      <c r="B3076" t="s">
        <v>72</v>
      </c>
      <c r="C3076" t="s">
        <v>73</v>
      </c>
      <c r="D3076">
        <v>-36113</v>
      </c>
      <c r="E3076" t="s">
        <v>74</v>
      </c>
      <c r="F3076" t="s">
        <v>32</v>
      </c>
      <c r="G3076" t="s">
        <v>25</v>
      </c>
      <c r="H3076" t="s">
        <v>39</v>
      </c>
      <c r="I3076" t="s">
        <v>48</v>
      </c>
      <c r="J3076" s="11">
        <v>45988</v>
      </c>
      <c r="K3076" t="str">
        <f>TEXT(Transactions_Clean[[#This Row],[Date]],"MMM-YYYY")</f>
        <v>Nov-2025</v>
      </c>
      <c r="L3076">
        <f>IF(Transactions_Clean[[#This Row],[Category]]="Revenue",Transactions_Clean[[#This Row],[Amount(₹)]],Transactions_Clean[[#This Row],[Amount(₹)]]/8)</f>
        <v>-4514.125</v>
      </c>
    </row>
    <row r="3077" spans="1:12">
      <c r="A3077" t="s">
        <v>4529</v>
      </c>
      <c r="B3077" t="s">
        <v>4765</v>
      </c>
      <c r="C3077" t="s">
        <v>4750</v>
      </c>
      <c r="D3077">
        <v>-41491</v>
      </c>
      <c r="E3077" t="s">
        <v>74</v>
      </c>
      <c r="F3077" t="s">
        <v>24</v>
      </c>
      <c r="G3077" t="s">
        <v>25</v>
      </c>
      <c r="H3077" t="s">
        <v>39</v>
      </c>
      <c r="I3077" t="s">
        <v>40</v>
      </c>
      <c r="J3077" s="11">
        <v>45858</v>
      </c>
      <c r="K3077" t="str">
        <f>TEXT(Transactions_Clean[[#This Row],[Date]],"MMM-YYYY")</f>
        <v>Jul-2025</v>
      </c>
      <c r="L3077">
        <f>IF(Transactions_Clean[[#This Row],[Category]]="Revenue",Transactions_Clean[[#This Row],[Amount(₹)]],Transactions_Clean[[#This Row],[Amount(₹)]]/8)</f>
        <v>-5186.375</v>
      </c>
    </row>
    <row r="3078" spans="1:12">
      <c r="A3078" t="s">
        <v>4530</v>
      </c>
      <c r="B3078" t="s">
        <v>4759</v>
      </c>
      <c r="C3078" t="s">
        <v>31</v>
      </c>
      <c r="D3078">
        <v>-28712</v>
      </c>
      <c r="E3078" t="s">
        <v>23</v>
      </c>
      <c r="F3078" t="s">
        <v>24</v>
      </c>
      <c r="G3078" t="s">
        <v>33</v>
      </c>
      <c r="H3078" t="s">
        <v>26</v>
      </c>
      <c r="I3078" t="s">
        <v>48</v>
      </c>
      <c r="J3078" s="11">
        <v>45218</v>
      </c>
      <c r="K3078" t="str">
        <f>TEXT(Transactions_Clean[[#This Row],[Date]],"MMM-YYYY")</f>
        <v>Oct-2023</v>
      </c>
      <c r="L3078">
        <f>IF(Transactions_Clean[[#This Row],[Category]]="Revenue",Transactions_Clean[[#This Row],[Amount(₹)]],Transactions_Clean[[#This Row],[Amount(₹)]]/8)</f>
        <v>-3589</v>
      </c>
    </row>
    <row r="3079" spans="1:12">
      <c r="A3079" t="s">
        <v>4531</v>
      </c>
      <c r="B3079" t="s">
        <v>72</v>
      </c>
      <c r="C3079" t="s">
        <v>73</v>
      </c>
      <c r="D3079">
        <v>-8955</v>
      </c>
      <c r="E3079" t="s">
        <v>74</v>
      </c>
      <c r="F3079" t="s">
        <v>32</v>
      </c>
      <c r="G3079" t="s">
        <v>25</v>
      </c>
      <c r="H3079" t="s">
        <v>45</v>
      </c>
      <c r="I3079" t="s">
        <v>34</v>
      </c>
      <c r="J3079" s="11">
        <v>45466</v>
      </c>
      <c r="K3079" t="str">
        <f>TEXT(Transactions_Clean[[#This Row],[Date]],"MMM-YYYY")</f>
        <v>Jun-2024</v>
      </c>
      <c r="L3079">
        <f>IF(Transactions_Clean[[#This Row],[Category]]="Revenue",Transactions_Clean[[#This Row],[Amount(₹)]],Transactions_Clean[[#This Row],[Amount(₹)]]/8)</f>
        <v>-1119.375</v>
      </c>
    </row>
    <row r="3080" spans="1:12">
      <c r="A3080" t="s">
        <v>4532</v>
      </c>
      <c r="B3080" t="s">
        <v>4770</v>
      </c>
      <c r="C3080" t="s">
        <v>440</v>
      </c>
      <c r="D3080">
        <v>-153974</v>
      </c>
      <c r="E3080" t="s">
        <v>23</v>
      </c>
      <c r="F3080" t="s">
        <v>24</v>
      </c>
      <c r="G3080" t="s">
        <v>33</v>
      </c>
      <c r="H3080" t="s">
        <v>45</v>
      </c>
      <c r="I3080" t="s">
        <v>40</v>
      </c>
      <c r="J3080" s="11">
        <v>45541</v>
      </c>
      <c r="K3080" t="str">
        <f>TEXT(Transactions_Clean[[#This Row],[Date]],"MMM-YYYY")</f>
        <v>Sep-2024</v>
      </c>
      <c r="L3080">
        <f>IF(Transactions_Clean[[#This Row],[Category]]="Revenue",Transactions_Clean[[#This Row],[Amount(₹)]],Transactions_Clean[[#This Row],[Amount(₹)]]/8)</f>
        <v>-19246.75</v>
      </c>
    </row>
    <row r="3081" spans="1:12">
      <c r="A3081" t="s">
        <v>4533</v>
      </c>
      <c r="B3081" t="s">
        <v>4755</v>
      </c>
      <c r="C3081" t="s">
        <v>78</v>
      </c>
      <c r="D3081">
        <v>-64572</v>
      </c>
      <c r="E3081" t="s">
        <v>23</v>
      </c>
      <c r="F3081" t="s">
        <v>24</v>
      </c>
      <c r="G3081" t="s">
        <v>79</v>
      </c>
      <c r="H3081" t="s">
        <v>26</v>
      </c>
      <c r="I3081" t="s">
        <v>48</v>
      </c>
      <c r="J3081" s="11">
        <v>45212</v>
      </c>
      <c r="K3081" t="str">
        <f>TEXT(Transactions_Clean[[#This Row],[Date]],"MMM-YYYY")</f>
        <v>Oct-2023</v>
      </c>
      <c r="L3081">
        <f>IF(Transactions_Clean[[#This Row],[Category]]="Revenue",Transactions_Clean[[#This Row],[Amount(₹)]],Transactions_Clean[[#This Row],[Amount(₹)]]/8)</f>
        <v>-8071.5</v>
      </c>
    </row>
    <row r="3082" spans="1:12">
      <c r="A3082" t="s">
        <v>4534</v>
      </c>
      <c r="B3082" t="s">
        <v>4771</v>
      </c>
      <c r="C3082" t="s">
        <v>440</v>
      </c>
      <c r="D3082">
        <v>-108767</v>
      </c>
      <c r="E3082" t="s">
        <v>23</v>
      </c>
      <c r="F3082" t="s">
        <v>24</v>
      </c>
      <c r="G3082" t="s">
        <v>33</v>
      </c>
      <c r="H3082" t="s">
        <v>26</v>
      </c>
      <c r="I3082" t="s">
        <v>34</v>
      </c>
      <c r="J3082" s="11">
        <v>45038</v>
      </c>
      <c r="K3082" t="str">
        <f>TEXT(Transactions_Clean[[#This Row],[Date]],"MMM-YYYY")</f>
        <v>Apr-2023</v>
      </c>
      <c r="L3082">
        <f>IF(Transactions_Clean[[#This Row],[Category]]="Revenue",Transactions_Clean[[#This Row],[Amount(₹)]],Transactions_Clean[[#This Row],[Amount(₹)]]/8)</f>
        <v>-13595.875</v>
      </c>
    </row>
    <row r="3083" spans="1:12">
      <c r="A3083" t="s">
        <v>4535</v>
      </c>
      <c r="B3083" t="s">
        <v>72</v>
      </c>
      <c r="C3083" t="s">
        <v>73</v>
      </c>
      <c r="D3083">
        <v>-48902</v>
      </c>
      <c r="E3083" t="s">
        <v>74</v>
      </c>
      <c r="F3083" t="s">
        <v>24</v>
      </c>
      <c r="G3083" t="s">
        <v>25</v>
      </c>
      <c r="H3083" t="s">
        <v>39</v>
      </c>
      <c r="I3083" t="s">
        <v>34</v>
      </c>
      <c r="J3083" s="11">
        <v>45765</v>
      </c>
      <c r="K3083" t="str">
        <f>TEXT(Transactions_Clean[[#This Row],[Date]],"MMM-YYYY")</f>
        <v>Apr-2025</v>
      </c>
      <c r="L3083">
        <f>IF(Transactions_Clean[[#This Row],[Category]]="Revenue",Transactions_Clean[[#This Row],[Amount(₹)]],Transactions_Clean[[#This Row],[Amount(₹)]]/8)</f>
        <v>-6112.75</v>
      </c>
    </row>
    <row r="3084" spans="1:12">
      <c r="A3084" t="s">
        <v>4537</v>
      </c>
      <c r="B3084" t="s">
        <v>4767</v>
      </c>
      <c r="C3084" t="s">
        <v>157</v>
      </c>
      <c r="D3084">
        <v>667315</v>
      </c>
      <c r="E3084" t="s">
        <v>62</v>
      </c>
      <c r="F3084" t="s">
        <v>32</v>
      </c>
      <c r="G3084" t="s">
        <v>25</v>
      </c>
      <c r="H3084" t="s">
        <v>39</v>
      </c>
      <c r="I3084" t="s">
        <v>34</v>
      </c>
      <c r="J3084" s="11">
        <v>45771</v>
      </c>
      <c r="K3084" t="str">
        <f>TEXT(Transactions_Clean[[#This Row],[Date]],"MMM-YYYY")</f>
        <v>Apr-2025</v>
      </c>
      <c r="L3084">
        <f>IF(Transactions_Clean[[#This Row],[Category]]="Revenue",Transactions_Clean[[#This Row],[Amount(₹)]],Transactions_Clean[[#This Row],[Amount(₹)]]/8)</f>
        <v>667315</v>
      </c>
    </row>
    <row r="3085" spans="1:12">
      <c r="A3085" t="s">
        <v>4538</v>
      </c>
      <c r="B3085" t="s">
        <v>100</v>
      </c>
      <c r="C3085" t="s">
        <v>31</v>
      </c>
      <c r="D3085">
        <v>-4475</v>
      </c>
      <c r="E3085" t="s">
        <v>23</v>
      </c>
      <c r="F3085" t="s">
        <v>24</v>
      </c>
      <c r="G3085" t="s">
        <v>33</v>
      </c>
      <c r="H3085" t="s">
        <v>45</v>
      </c>
      <c r="I3085" t="s">
        <v>48</v>
      </c>
      <c r="J3085" s="11">
        <v>45609</v>
      </c>
      <c r="K3085" t="str">
        <f>TEXT(Transactions_Clean[[#This Row],[Date]],"MMM-YYYY")</f>
        <v>Nov-2024</v>
      </c>
      <c r="L3085">
        <f>IF(Transactions_Clean[[#This Row],[Category]]="Revenue",Transactions_Clean[[#This Row],[Amount(₹)]],Transactions_Clean[[#This Row],[Amount(₹)]]/8)</f>
        <v>-559.375</v>
      </c>
    </row>
    <row r="3086" spans="1:12">
      <c r="A3086" t="s">
        <v>4540</v>
      </c>
      <c r="B3086" t="s">
        <v>4754</v>
      </c>
      <c r="C3086" t="s">
        <v>78</v>
      </c>
      <c r="D3086">
        <v>-92941</v>
      </c>
      <c r="E3086" t="s">
        <v>23</v>
      </c>
      <c r="F3086" t="s">
        <v>24</v>
      </c>
      <c r="G3086" t="s">
        <v>79</v>
      </c>
      <c r="H3086" t="s">
        <v>39</v>
      </c>
      <c r="I3086" t="s">
        <v>40</v>
      </c>
      <c r="J3086" s="11">
        <v>45925</v>
      </c>
      <c r="K3086" t="str">
        <f>TEXT(Transactions_Clean[[#This Row],[Date]],"MMM-YYYY")</f>
        <v>Sep-2025</v>
      </c>
      <c r="L3086">
        <f>IF(Transactions_Clean[[#This Row],[Category]]="Revenue",Transactions_Clean[[#This Row],[Amount(₹)]],Transactions_Clean[[#This Row],[Amount(₹)]]/8)</f>
        <v>-11617.625</v>
      </c>
    </row>
    <row r="3087" spans="1:12">
      <c r="A3087" t="s">
        <v>4542</v>
      </c>
      <c r="B3087" t="s">
        <v>106</v>
      </c>
      <c r="C3087" t="s">
        <v>31</v>
      </c>
      <c r="D3087">
        <v>-11933</v>
      </c>
      <c r="E3087" t="s">
        <v>23</v>
      </c>
      <c r="F3087" t="s">
        <v>24</v>
      </c>
      <c r="G3087" t="s">
        <v>33</v>
      </c>
      <c r="H3087" t="s">
        <v>26</v>
      </c>
      <c r="I3087" t="s">
        <v>34</v>
      </c>
      <c r="J3087" s="11">
        <v>45042</v>
      </c>
      <c r="K3087" t="str">
        <f>TEXT(Transactions_Clean[[#This Row],[Date]],"MMM-YYYY")</f>
        <v>Apr-2023</v>
      </c>
      <c r="L3087">
        <f>IF(Transactions_Clean[[#This Row],[Category]]="Revenue",Transactions_Clean[[#This Row],[Amount(₹)]],Transactions_Clean[[#This Row],[Amount(₹)]]/8)</f>
        <v>-1491.625</v>
      </c>
    </row>
    <row r="3088" spans="1:12">
      <c r="A3088" t="s">
        <v>4543</v>
      </c>
      <c r="B3088" t="s">
        <v>4771</v>
      </c>
      <c r="C3088" t="s">
        <v>440</v>
      </c>
      <c r="D3088">
        <v>-137127</v>
      </c>
      <c r="E3088" t="s">
        <v>23</v>
      </c>
      <c r="F3088" t="s">
        <v>24</v>
      </c>
      <c r="G3088" t="s">
        <v>33</v>
      </c>
      <c r="H3088" t="s">
        <v>39</v>
      </c>
      <c r="I3088" t="s">
        <v>27</v>
      </c>
      <c r="J3088" s="11">
        <v>46049</v>
      </c>
      <c r="K3088" t="str">
        <f>TEXT(Transactions_Clean[[#This Row],[Date]],"MMM-YYYY")</f>
        <v>Jan-2026</v>
      </c>
      <c r="L3088">
        <f>IF(Transactions_Clean[[#This Row],[Category]]="Revenue",Transactions_Clean[[#This Row],[Amount(₹)]],Transactions_Clean[[#This Row],[Amount(₹)]]/8)</f>
        <v>-17140.875</v>
      </c>
    </row>
    <row r="3089" spans="1:12">
      <c r="A3089" t="s">
        <v>4544</v>
      </c>
      <c r="B3089" t="s">
        <v>60</v>
      </c>
      <c r="C3089" t="s">
        <v>61</v>
      </c>
      <c r="D3089">
        <v>-36386</v>
      </c>
      <c r="E3089" t="s">
        <v>62</v>
      </c>
      <c r="F3089" t="s">
        <v>24</v>
      </c>
      <c r="G3089" t="s">
        <v>63</v>
      </c>
      <c r="H3089" t="s">
        <v>39</v>
      </c>
      <c r="I3089" t="s">
        <v>48</v>
      </c>
      <c r="J3089" s="11">
        <v>45985</v>
      </c>
      <c r="K3089" t="str">
        <f>TEXT(Transactions_Clean[[#This Row],[Date]],"MMM-YYYY")</f>
        <v>Nov-2025</v>
      </c>
      <c r="L3089">
        <f>IF(Transactions_Clean[[#This Row],[Category]]="Revenue",Transactions_Clean[[#This Row],[Amount(₹)]],Transactions_Clean[[#This Row],[Amount(₹)]]/8)</f>
        <v>-4548.25</v>
      </c>
    </row>
    <row r="3090" spans="1:12">
      <c r="A3090" t="s">
        <v>4545</v>
      </c>
      <c r="B3090" t="s">
        <v>616</v>
      </c>
      <c r="C3090" t="s">
        <v>22</v>
      </c>
      <c r="D3090">
        <v>-186728</v>
      </c>
      <c r="E3090" t="s">
        <v>23</v>
      </c>
      <c r="F3090" t="s">
        <v>24</v>
      </c>
      <c r="G3090" t="s">
        <v>25</v>
      </c>
      <c r="H3090" t="s">
        <v>39</v>
      </c>
      <c r="I3090" t="s">
        <v>40</v>
      </c>
      <c r="J3090" s="11">
        <v>45889</v>
      </c>
      <c r="K3090" t="str">
        <f>TEXT(Transactions_Clean[[#This Row],[Date]],"MMM-YYYY")</f>
        <v>Aug-2025</v>
      </c>
      <c r="L3090">
        <f>IF(Transactions_Clean[[#This Row],[Category]]="Revenue",Transactions_Clean[[#This Row],[Amount(₹)]],Transactions_Clean[[#This Row],[Amount(₹)]]/8)</f>
        <v>-23341</v>
      </c>
    </row>
    <row r="3091" spans="1:12">
      <c r="A3091" t="s">
        <v>4546</v>
      </c>
      <c r="B3091" t="s">
        <v>4765</v>
      </c>
      <c r="C3091" t="s">
        <v>73</v>
      </c>
      <c r="D3091">
        <v>-70910</v>
      </c>
      <c r="E3091" t="s">
        <v>74</v>
      </c>
      <c r="F3091" t="s">
        <v>24</v>
      </c>
      <c r="G3091" t="s">
        <v>25</v>
      </c>
      <c r="H3091" t="s">
        <v>45</v>
      </c>
      <c r="I3091" t="s">
        <v>34</v>
      </c>
      <c r="J3091" s="11">
        <v>45396</v>
      </c>
      <c r="K3091" t="str">
        <f>TEXT(Transactions_Clean[[#This Row],[Date]],"MMM-YYYY")</f>
        <v>Apr-2024</v>
      </c>
      <c r="L3091">
        <f>IF(Transactions_Clean[[#This Row],[Category]]="Revenue",Transactions_Clean[[#This Row],[Amount(₹)]],Transactions_Clean[[#This Row],[Amount(₹)]]/8)</f>
        <v>-8863.75</v>
      </c>
    </row>
    <row r="3092" spans="1:12">
      <c r="A3092" t="s">
        <v>4547</v>
      </c>
      <c r="B3092" t="s">
        <v>4753</v>
      </c>
      <c r="C3092" t="s">
        <v>38</v>
      </c>
      <c r="D3092">
        <v>-51379</v>
      </c>
      <c r="E3092" t="s">
        <v>23</v>
      </c>
      <c r="F3092" t="s">
        <v>24</v>
      </c>
      <c r="G3092" t="s">
        <v>33</v>
      </c>
      <c r="H3092" t="s">
        <v>39</v>
      </c>
      <c r="I3092" t="s">
        <v>48</v>
      </c>
      <c r="J3092" s="11">
        <v>45956</v>
      </c>
      <c r="K3092" t="str">
        <f>TEXT(Transactions_Clean[[#This Row],[Date]],"MMM-YYYY")</f>
        <v>Oct-2025</v>
      </c>
      <c r="L3092">
        <f>IF(Transactions_Clean[[#This Row],[Category]]="Revenue",Transactions_Clean[[#This Row],[Amount(₹)]],Transactions_Clean[[#This Row],[Amount(₹)]]/8)</f>
        <v>-6422.375</v>
      </c>
    </row>
    <row r="3093" spans="1:12">
      <c r="A3093" t="s">
        <v>4548</v>
      </c>
      <c r="B3093" t="s">
        <v>100</v>
      </c>
      <c r="C3093" t="s">
        <v>31</v>
      </c>
      <c r="D3093">
        <v>-44193</v>
      </c>
      <c r="E3093" t="s">
        <v>23</v>
      </c>
      <c r="F3093" t="s">
        <v>32</v>
      </c>
      <c r="G3093" t="s">
        <v>33</v>
      </c>
      <c r="H3093" t="s">
        <v>45</v>
      </c>
      <c r="I3093" t="s">
        <v>40</v>
      </c>
      <c r="J3093" s="11">
        <v>45555</v>
      </c>
      <c r="K3093" t="str">
        <f>TEXT(Transactions_Clean[[#This Row],[Date]],"MMM-YYYY")</f>
        <v>Sep-2024</v>
      </c>
      <c r="L3093">
        <f>IF(Transactions_Clean[[#This Row],[Category]]="Revenue",Transactions_Clean[[#This Row],[Amount(₹)]],Transactions_Clean[[#This Row],[Amount(₹)]]/8)</f>
        <v>-5524.125</v>
      </c>
    </row>
    <row r="3094" spans="1:12">
      <c r="A3094" t="s">
        <v>4550</v>
      </c>
      <c r="B3094" t="s">
        <v>4767</v>
      </c>
      <c r="C3094" t="s">
        <v>157</v>
      </c>
      <c r="D3094">
        <v>651790</v>
      </c>
      <c r="E3094" t="s">
        <v>62</v>
      </c>
      <c r="F3094" t="s">
        <v>32</v>
      </c>
      <c r="G3094" t="s">
        <v>25</v>
      </c>
      <c r="H3094" t="s">
        <v>39</v>
      </c>
      <c r="I3094" t="s">
        <v>34</v>
      </c>
      <c r="J3094" s="11">
        <v>45802</v>
      </c>
      <c r="K3094" t="str">
        <f>TEXT(Transactions_Clean[[#This Row],[Date]],"MMM-YYYY")</f>
        <v>May-2025</v>
      </c>
      <c r="L3094">
        <f>IF(Transactions_Clean[[#This Row],[Category]]="Revenue",Transactions_Clean[[#This Row],[Amount(₹)]],Transactions_Clean[[#This Row],[Amount(₹)]]/8)</f>
        <v>651790</v>
      </c>
    </row>
    <row r="3095" spans="1:12">
      <c r="A3095" t="s">
        <v>4551</v>
      </c>
      <c r="B3095" t="s">
        <v>4760</v>
      </c>
      <c r="C3095" t="s">
        <v>73</v>
      </c>
      <c r="D3095">
        <v>-83578</v>
      </c>
      <c r="E3095" t="s">
        <v>74</v>
      </c>
      <c r="F3095" t="s">
        <v>32</v>
      </c>
      <c r="G3095" t="s">
        <v>25</v>
      </c>
      <c r="H3095" t="s">
        <v>39</v>
      </c>
      <c r="I3095" t="s">
        <v>34</v>
      </c>
      <c r="J3095" s="11">
        <v>45753</v>
      </c>
      <c r="K3095" t="str">
        <f>TEXT(Transactions_Clean[[#This Row],[Date]],"MMM-YYYY")</f>
        <v>Apr-2025</v>
      </c>
      <c r="L3095">
        <f>IF(Transactions_Clean[[#This Row],[Category]]="Revenue",Transactions_Clean[[#This Row],[Amount(₹)]],Transactions_Clean[[#This Row],[Amount(₹)]]/8)</f>
        <v>-10447.25</v>
      </c>
    </row>
    <row r="3096" spans="1:12">
      <c r="A3096" t="s">
        <v>4552</v>
      </c>
      <c r="B3096" t="s">
        <v>4754</v>
      </c>
      <c r="C3096" t="s">
        <v>78</v>
      </c>
      <c r="D3096">
        <v>-15780</v>
      </c>
      <c r="E3096" t="s">
        <v>23</v>
      </c>
      <c r="F3096" t="s">
        <v>32</v>
      </c>
      <c r="G3096" t="s">
        <v>79</v>
      </c>
      <c r="H3096" t="s">
        <v>45</v>
      </c>
      <c r="I3096" t="s">
        <v>40</v>
      </c>
      <c r="J3096" s="11">
        <v>45519</v>
      </c>
      <c r="K3096" t="str">
        <f>TEXT(Transactions_Clean[[#This Row],[Date]],"MMM-YYYY")</f>
        <v>Aug-2024</v>
      </c>
      <c r="L3096">
        <f>IF(Transactions_Clean[[#This Row],[Category]]="Revenue",Transactions_Clean[[#This Row],[Amount(₹)]],Transactions_Clean[[#This Row],[Amount(₹)]]/8)</f>
        <v>-1972.5</v>
      </c>
    </row>
    <row r="3097" spans="1:12">
      <c r="A3097" t="s">
        <v>4554</v>
      </c>
      <c r="B3097" t="s">
        <v>4806</v>
      </c>
      <c r="C3097" t="s">
        <v>136</v>
      </c>
      <c r="D3097">
        <v>-10629311</v>
      </c>
      <c r="E3097" t="s">
        <v>62</v>
      </c>
      <c r="F3097" t="s">
        <v>32</v>
      </c>
      <c r="G3097" t="s">
        <v>63</v>
      </c>
      <c r="H3097" t="s">
        <v>45</v>
      </c>
      <c r="I3097" t="s">
        <v>27</v>
      </c>
      <c r="J3097" s="11">
        <v>45744</v>
      </c>
      <c r="K3097" t="str">
        <f>TEXT(Transactions_Clean[[#This Row],[Date]],"MMM-YYYY")</f>
        <v>Mar-2025</v>
      </c>
      <c r="L3097">
        <f>IF(Transactions_Clean[[#This Row],[Category]]="Revenue",Transactions_Clean[[#This Row],[Amount(₹)]],Transactions_Clean[[#This Row],[Amount(₹)]]/8)</f>
        <v>-1328663.875</v>
      </c>
    </row>
    <row r="3098" spans="1:12">
      <c r="A3098" t="s">
        <v>4556</v>
      </c>
      <c r="B3098" t="s">
        <v>180</v>
      </c>
      <c r="C3098" t="s">
        <v>44</v>
      </c>
      <c r="D3098">
        <v>-145407</v>
      </c>
      <c r="E3098" t="s">
        <v>23</v>
      </c>
      <c r="F3098" t="s">
        <v>24</v>
      </c>
      <c r="G3098" t="s">
        <v>33</v>
      </c>
      <c r="H3098" t="s">
        <v>26</v>
      </c>
      <c r="I3098" t="s">
        <v>27</v>
      </c>
      <c r="J3098" s="11">
        <v>45331</v>
      </c>
      <c r="K3098" t="str">
        <f>TEXT(Transactions_Clean[[#This Row],[Date]],"MMM-YYYY")</f>
        <v>Feb-2024</v>
      </c>
      <c r="L3098">
        <f>IF(Transactions_Clean[[#This Row],[Category]]="Revenue",Transactions_Clean[[#This Row],[Amount(₹)]],Transactions_Clean[[#This Row],[Amount(₹)]]/8)</f>
        <v>-18175.875</v>
      </c>
    </row>
    <row r="3099" spans="1:12">
      <c r="A3099" t="s">
        <v>4557</v>
      </c>
      <c r="B3099" t="s">
        <v>129</v>
      </c>
      <c r="C3099" t="s">
        <v>38</v>
      </c>
      <c r="D3099">
        <v>-11986</v>
      </c>
      <c r="E3099" t="s">
        <v>23</v>
      </c>
      <c r="F3099" t="s">
        <v>24</v>
      </c>
      <c r="G3099" t="s">
        <v>33</v>
      </c>
      <c r="H3099" t="s">
        <v>26</v>
      </c>
      <c r="I3099" t="s">
        <v>34</v>
      </c>
      <c r="J3099" s="11">
        <v>45062</v>
      </c>
      <c r="K3099" t="str">
        <f>TEXT(Transactions_Clean[[#This Row],[Date]],"MMM-YYYY")</f>
        <v>May-2023</v>
      </c>
      <c r="L3099">
        <f>IF(Transactions_Clean[[#This Row],[Category]]="Revenue",Transactions_Clean[[#This Row],[Amount(₹)]],Transactions_Clean[[#This Row],[Amount(₹)]]/8)</f>
        <v>-1498.25</v>
      </c>
    </row>
    <row r="3100" spans="1:12">
      <c r="A3100" t="s">
        <v>4558</v>
      </c>
      <c r="B3100" t="s">
        <v>106</v>
      </c>
      <c r="C3100" t="s">
        <v>31</v>
      </c>
      <c r="D3100">
        <v>-38440</v>
      </c>
      <c r="E3100" t="s">
        <v>23</v>
      </c>
      <c r="F3100" t="s">
        <v>32</v>
      </c>
      <c r="G3100" t="s">
        <v>33</v>
      </c>
      <c r="H3100" t="s">
        <v>39</v>
      </c>
      <c r="I3100" t="s">
        <v>48</v>
      </c>
      <c r="J3100" s="11">
        <v>46000</v>
      </c>
      <c r="K3100" t="str">
        <f>TEXT(Transactions_Clean[[#This Row],[Date]],"MMM-YYYY")</f>
        <v>Dec-2025</v>
      </c>
      <c r="L3100">
        <f>IF(Transactions_Clean[[#This Row],[Category]]="Revenue",Transactions_Clean[[#This Row],[Amount(₹)]],Transactions_Clean[[#This Row],[Amount(₹)]]/8)</f>
        <v>-4805</v>
      </c>
    </row>
    <row r="3101" spans="1:12">
      <c r="A3101" t="s">
        <v>4559</v>
      </c>
      <c r="B3101" t="s">
        <v>4748</v>
      </c>
      <c r="C3101" t="s">
        <v>22</v>
      </c>
      <c r="D3101">
        <v>-86702</v>
      </c>
      <c r="E3101" t="s">
        <v>23</v>
      </c>
      <c r="F3101" t="s">
        <v>32</v>
      </c>
      <c r="G3101" t="s">
        <v>25</v>
      </c>
      <c r="H3101" t="s">
        <v>39</v>
      </c>
      <c r="I3101" t="s">
        <v>27</v>
      </c>
      <c r="J3101" s="11">
        <v>46045</v>
      </c>
      <c r="K3101" t="str">
        <f>TEXT(Transactions_Clean[[#This Row],[Date]],"MMM-YYYY")</f>
        <v>Jan-2026</v>
      </c>
      <c r="L3101">
        <f>IF(Transactions_Clean[[#This Row],[Category]]="Revenue",Transactions_Clean[[#This Row],[Amount(₹)]],Transactions_Clean[[#This Row],[Amount(₹)]]/8)</f>
        <v>-10837.75</v>
      </c>
    </row>
    <row r="3102" spans="1:12">
      <c r="A3102" t="s">
        <v>4560</v>
      </c>
      <c r="B3102" t="s">
        <v>215</v>
      </c>
      <c r="C3102" t="s">
        <v>61</v>
      </c>
      <c r="D3102">
        <v>-23984</v>
      </c>
      <c r="E3102" t="s">
        <v>62</v>
      </c>
      <c r="F3102" t="s">
        <v>32</v>
      </c>
      <c r="G3102" t="s">
        <v>63</v>
      </c>
      <c r="H3102" t="s">
        <v>26</v>
      </c>
      <c r="I3102" t="s">
        <v>48</v>
      </c>
      <c r="J3102" s="11">
        <v>45255</v>
      </c>
      <c r="K3102" t="str">
        <f>TEXT(Transactions_Clean[[#This Row],[Date]],"MMM-YYYY")</f>
        <v>Nov-2023</v>
      </c>
      <c r="L3102">
        <f>IF(Transactions_Clean[[#This Row],[Category]]="Revenue",Transactions_Clean[[#This Row],[Amount(₹)]],Transactions_Clean[[#This Row],[Amount(₹)]]/8)</f>
        <v>-2998</v>
      </c>
    </row>
    <row r="3103" spans="1:12">
      <c r="A3103" t="s">
        <v>4561</v>
      </c>
      <c r="B3103" t="s">
        <v>224</v>
      </c>
      <c r="C3103" t="s">
        <v>78</v>
      </c>
      <c r="D3103">
        <v>-65340</v>
      </c>
      <c r="E3103" t="s">
        <v>23</v>
      </c>
      <c r="F3103" t="s">
        <v>32</v>
      </c>
      <c r="G3103" t="s">
        <v>79</v>
      </c>
      <c r="H3103" t="s">
        <v>45</v>
      </c>
      <c r="I3103" t="s">
        <v>40</v>
      </c>
      <c r="J3103" s="11">
        <v>45546</v>
      </c>
      <c r="K3103" t="str">
        <f>TEXT(Transactions_Clean[[#This Row],[Date]],"MMM-YYYY")</f>
        <v>Sep-2024</v>
      </c>
      <c r="L3103">
        <f>IF(Transactions_Clean[[#This Row],[Category]]="Revenue",Transactions_Clean[[#This Row],[Amount(₹)]],Transactions_Clean[[#This Row],[Amount(₹)]]/8)</f>
        <v>-8167.5</v>
      </c>
    </row>
    <row r="3104" spans="1:12">
      <c r="A3104" t="s">
        <v>4562</v>
      </c>
      <c r="B3104" t="s">
        <v>66</v>
      </c>
      <c r="C3104" t="s">
        <v>61</v>
      </c>
      <c r="D3104">
        <v>-21028</v>
      </c>
      <c r="E3104" t="s">
        <v>62</v>
      </c>
      <c r="F3104" t="s">
        <v>24</v>
      </c>
      <c r="G3104" t="s">
        <v>63</v>
      </c>
      <c r="H3104" t="s">
        <v>45</v>
      </c>
      <c r="I3104" t="s">
        <v>40</v>
      </c>
      <c r="J3104" s="11">
        <v>45539</v>
      </c>
      <c r="K3104" t="str">
        <f>TEXT(Transactions_Clean[[#This Row],[Date]],"MMM-YYYY")</f>
        <v>Sep-2024</v>
      </c>
      <c r="L3104">
        <f>IF(Transactions_Clean[[#This Row],[Category]]="Revenue",Transactions_Clean[[#This Row],[Amount(₹)]],Transactions_Clean[[#This Row],[Amount(₹)]]/8)</f>
        <v>-2628.5</v>
      </c>
    </row>
    <row r="3105" spans="1:12">
      <c r="A3105" t="s">
        <v>4563</v>
      </c>
      <c r="B3105" t="s">
        <v>4757</v>
      </c>
      <c r="C3105" t="s">
        <v>73</v>
      </c>
      <c r="D3105">
        <v>-78636</v>
      </c>
      <c r="E3105" t="s">
        <v>74</v>
      </c>
      <c r="F3105" t="s">
        <v>24</v>
      </c>
      <c r="G3105" t="s">
        <v>25</v>
      </c>
      <c r="H3105" t="s">
        <v>39</v>
      </c>
      <c r="I3105" t="s">
        <v>34</v>
      </c>
      <c r="J3105" s="11">
        <v>45823</v>
      </c>
      <c r="K3105" t="str">
        <f>TEXT(Transactions_Clean[[#This Row],[Date]],"MMM-YYYY")</f>
        <v>Jun-2025</v>
      </c>
      <c r="L3105">
        <f>IF(Transactions_Clean[[#This Row],[Category]]="Revenue",Transactions_Clean[[#This Row],[Amount(₹)]],Transactions_Clean[[#This Row],[Amount(₹)]]/8)</f>
        <v>-9829.5</v>
      </c>
    </row>
    <row r="3106" spans="1:12">
      <c r="A3106" t="s">
        <v>4564</v>
      </c>
      <c r="B3106" t="s">
        <v>87</v>
      </c>
      <c r="C3106" t="s">
        <v>22</v>
      </c>
      <c r="D3106">
        <v>-118348</v>
      </c>
      <c r="E3106" t="s">
        <v>23</v>
      </c>
      <c r="F3106" t="s">
        <v>24</v>
      </c>
      <c r="G3106" t="s">
        <v>25</v>
      </c>
      <c r="H3106" t="s">
        <v>26</v>
      </c>
      <c r="I3106" t="s">
        <v>27</v>
      </c>
      <c r="J3106" s="11">
        <v>45304</v>
      </c>
      <c r="K3106" t="str">
        <f>TEXT(Transactions_Clean[[#This Row],[Date]],"MMM-YYYY")</f>
        <v>Jan-2024</v>
      </c>
      <c r="L3106">
        <f>IF(Transactions_Clean[[#This Row],[Category]]="Revenue",Transactions_Clean[[#This Row],[Amount(₹)]],Transactions_Clean[[#This Row],[Amount(₹)]]/8)</f>
        <v>-14793.5</v>
      </c>
    </row>
    <row r="3107" spans="1:12">
      <c r="A3107" t="s">
        <v>4565</v>
      </c>
      <c r="B3107" t="s">
        <v>283</v>
      </c>
      <c r="C3107" t="s">
        <v>44</v>
      </c>
      <c r="D3107">
        <v>-63254</v>
      </c>
      <c r="E3107" t="s">
        <v>23</v>
      </c>
      <c r="F3107" t="s">
        <v>24</v>
      </c>
      <c r="G3107" t="s">
        <v>33</v>
      </c>
      <c r="H3107" t="s">
        <v>39</v>
      </c>
      <c r="I3107" t="s">
        <v>48</v>
      </c>
      <c r="J3107" s="11">
        <v>45931</v>
      </c>
      <c r="K3107" t="str">
        <f>TEXT(Transactions_Clean[[#This Row],[Date]],"MMM-YYYY")</f>
        <v>Oct-2025</v>
      </c>
      <c r="L3107">
        <f>IF(Transactions_Clean[[#This Row],[Category]]="Revenue",Transactions_Clean[[#This Row],[Amount(₹)]],Transactions_Clean[[#This Row],[Amount(₹)]]/8)</f>
        <v>-7906.75</v>
      </c>
    </row>
    <row r="3108" spans="1:12">
      <c r="A3108" t="s">
        <v>4567</v>
      </c>
      <c r="B3108" t="s">
        <v>60</v>
      </c>
      <c r="C3108" t="s">
        <v>61</v>
      </c>
      <c r="D3108">
        <v>-31283</v>
      </c>
      <c r="E3108" t="s">
        <v>62</v>
      </c>
      <c r="F3108" t="s">
        <v>24</v>
      </c>
      <c r="G3108" t="s">
        <v>63</v>
      </c>
      <c r="H3108" t="s">
        <v>26</v>
      </c>
      <c r="I3108" t="s">
        <v>34</v>
      </c>
      <c r="J3108" s="11">
        <v>45054</v>
      </c>
      <c r="K3108" t="str">
        <f>TEXT(Transactions_Clean[[#This Row],[Date]],"MMM-YYYY")</f>
        <v>May-2023</v>
      </c>
      <c r="L3108">
        <f>IF(Transactions_Clean[[#This Row],[Category]]="Revenue",Transactions_Clean[[#This Row],[Amount(₹)]],Transactions_Clean[[#This Row],[Amount(₹)]]/8)</f>
        <v>-3910.375</v>
      </c>
    </row>
    <row r="3109" spans="1:12">
      <c r="A3109" t="s">
        <v>4568</v>
      </c>
      <c r="B3109" t="s">
        <v>305</v>
      </c>
      <c r="C3109" t="s">
        <v>38</v>
      </c>
      <c r="D3109">
        <v>-27997</v>
      </c>
      <c r="E3109" t="s">
        <v>23</v>
      </c>
      <c r="F3109" t="s">
        <v>24</v>
      </c>
      <c r="G3109" t="s">
        <v>33</v>
      </c>
      <c r="H3109" t="s">
        <v>39</v>
      </c>
      <c r="I3109" t="s">
        <v>27</v>
      </c>
      <c r="J3109" s="11">
        <v>46060</v>
      </c>
      <c r="K3109" t="str">
        <f>TEXT(Transactions_Clean[[#This Row],[Date]],"MMM-YYYY")</f>
        <v>Feb-2026</v>
      </c>
      <c r="L3109">
        <f>IF(Transactions_Clean[[#This Row],[Category]]="Revenue",Transactions_Clean[[#This Row],[Amount(₹)]],Transactions_Clean[[#This Row],[Amount(₹)]]/8)</f>
        <v>-3499.625</v>
      </c>
    </row>
    <row r="3110" spans="1:12">
      <c r="A3110" t="s">
        <v>4569</v>
      </c>
      <c r="B3110" t="s">
        <v>30</v>
      </c>
      <c r="C3110" t="s">
        <v>31</v>
      </c>
      <c r="D3110">
        <v>-9575</v>
      </c>
      <c r="E3110" t="s">
        <v>23</v>
      </c>
      <c r="F3110" t="s">
        <v>32</v>
      </c>
      <c r="G3110" t="s">
        <v>33</v>
      </c>
      <c r="H3110" t="s">
        <v>26</v>
      </c>
      <c r="I3110" t="s">
        <v>48</v>
      </c>
      <c r="J3110" s="11">
        <v>45243</v>
      </c>
      <c r="K3110" t="str">
        <f>TEXT(Transactions_Clean[[#This Row],[Date]],"MMM-YYYY")</f>
        <v>Nov-2023</v>
      </c>
      <c r="L3110">
        <f>IF(Transactions_Clean[[#This Row],[Category]]="Revenue",Transactions_Clean[[#This Row],[Amount(₹)]],Transactions_Clean[[#This Row],[Amount(₹)]]/8)</f>
        <v>-1196.875</v>
      </c>
    </row>
    <row r="3111" spans="1:12">
      <c r="A3111" t="s">
        <v>4570</v>
      </c>
      <c r="B3111" t="s">
        <v>4769</v>
      </c>
      <c r="C3111" t="s">
        <v>44</v>
      </c>
      <c r="D3111">
        <v>-161382</v>
      </c>
      <c r="E3111" t="s">
        <v>23</v>
      </c>
      <c r="F3111" t="s">
        <v>32</v>
      </c>
      <c r="G3111" t="s">
        <v>33</v>
      </c>
      <c r="H3111" t="s">
        <v>26</v>
      </c>
      <c r="I3111" t="s">
        <v>48</v>
      </c>
      <c r="J3111" s="11">
        <v>45228</v>
      </c>
      <c r="K3111" t="str">
        <f>TEXT(Transactions_Clean[[#This Row],[Date]],"MMM-YYYY")</f>
        <v>Oct-2023</v>
      </c>
      <c r="L3111">
        <f>IF(Transactions_Clean[[#This Row],[Category]]="Revenue",Transactions_Clean[[#This Row],[Amount(₹)]],Transactions_Clean[[#This Row],[Amount(₹)]]/8)</f>
        <v>-20172.75</v>
      </c>
    </row>
    <row r="3112" spans="1:12">
      <c r="A3112" t="s">
        <v>4571</v>
      </c>
      <c r="B3112" t="s">
        <v>283</v>
      </c>
      <c r="C3112" t="s">
        <v>44</v>
      </c>
      <c r="D3112">
        <v>-146713</v>
      </c>
      <c r="E3112" t="s">
        <v>23</v>
      </c>
      <c r="F3112" t="s">
        <v>32</v>
      </c>
      <c r="G3112" t="s">
        <v>33</v>
      </c>
      <c r="H3112" t="s">
        <v>39</v>
      </c>
      <c r="I3112" t="s">
        <v>34</v>
      </c>
      <c r="J3112" s="11">
        <v>45772</v>
      </c>
      <c r="K3112" t="str">
        <f>TEXT(Transactions_Clean[[#This Row],[Date]],"MMM-YYYY")</f>
        <v>Apr-2025</v>
      </c>
      <c r="L3112">
        <f>IF(Transactions_Clean[[#This Row],[Category]]="Revenue",Transactions_Clean[[#This Row],[Amount(₹)]],Transactions_Clean[[#This Row],[Amount(₹)]]/8)</f>
        <v>-18339.125</v>
      </c>
    </row>
    <row r="3113" spans="1:12">
      <c r="A3113" t="s">
        <v>4572</v>
      </c>
      <c r="B3113" t="s">
        <v>51</v>
      </c>
      <c r="C3113" t="s">
        <v>31</v>
      </c>
      <c r="D3113">
        <v>-23171</v>
      </c>
      <c r="E3113" t="s">
        <v>23</v>
      </c>
      <c r="F3113" t="s">
        <v>24</v>
      </c>
      <c r="G3113" t="s">
        <v>33</v>
      </c>
      <c r="H3113" t="s">
        <v>39</v>
      </c>
      <c r="I3113" t="s">
        <v>48</v>
      </c>
      <c r="J3113" s="11">
        <v>45970</v>
      </c>
      <c r="K3113" t="str">
        <f>TEXT(Transactions_Clean[[#This Row],[Date]],"MMM-YYYY")</f>
        <v>Nov-2025</v>
      </c>
      <c r="L3113">
        <f>IF(Transactions_Clean[[#This Row],[Category]]="Revenue",Transactions_Clean[[#This Row],[Amount(₹)]],Transactions_Clean[[#This Row],[Amount(₹)]]/8)</f>
        <v>-2896.375</v>
      </c>
    </row>
    <row r="3114" spans="1:12">
      <c r="A3114" t="s">
        <v>4573</v>
      </c>
      <c r="B3114" t="s">
        <v>215</v>
      </c>
      <c r="C3114" t="s">
        <v>61</v>
      </c>
      <c r="D3114">
        <v>-30680</v>
      </c>
      <c r="E3114" t="s">
        <v>62</v>
      </c>
      <c r="F3114" t="s">
        <v>32</v>
      </c>
      <c r="G3114" t="s">
        <v>63</v>
      </c>
      <c r="H3114" t="s">
        <v>39</v>
      </c>
      <c r="I3114" t="s">
        <v>40</v>
      </c>
      <c r="J3114" s="11">
        <v>45852</v>
      </c>
      <c r="K3114" t="str">
        <f>TEXT(Transactions_Clean[[#This Row],[Date]],"MMM-YYYY")</f>
        <v>Jul-2025</v>
      </c>
      <c r="L3114">
        <f>IF(Transactions_Clean[[#This Row],[Category]]="Revenue",Transactions_Clean[[#This Row],[Amount(₹)]],Transactions_Clean[[#This Row],[Amount(₹)]]/8)</f>
        <v>-3835</v>
      </c>
    </row>
    <row r="3115" spans="1:12">
      <c r="A3115" t="s">
        <v>4574</v>
      </c>
      <c r="B3115" t="s">
        <v>100</v>
      </c>
      <c r="C3115" t="s">
        <v>31</v>
      </c>
      <c r="D3115">
        <v>-4676</v>
      </c>
      <c r="E3115" t="s">
        <v>23</v>
      </c>
      <c r="F3115" t="s">
        <v>32</v>
      </c>
      <c r="G3115" t="s">
        <v>33</v>
      </c>
      <c r="H3115" t="s">
        <v>26</v>
      </c>
      <c r="I3115" t="s">
        <v>27</v>
      </c>
      <c r="J3115" s="11">
        <v>45338</v>
      </c>
      <c r="K3115" t="str">
        <f>TEXT(Transactions_Clean[[#This Row],[Date]],"MMM-YYYY")</f>
        <v>Feb-2024</v>
      </c>
      <c r="L3115">
        <f>IF(Transactions_Clean[[#This Row],[Category]]="Revenue",Transactions_Clean[[#This Row],[Amount(₹)]],Transactions_Clean[[#This Row],[Amount(₹)]]/8)</f>
        <v>-584.5</v>
      </c>
    </row>
    <row r="3116" spans="1:12">
      <c r="A3116" t="s">
        <v>4575</v>
      </c>
      <c r="B3116" t="s">
        <v>169</v>
      </c>
      <c r="C3116" t="s">
        <v>4750</v>
      </c>
      <c r="D3116">
        <v>-33430</v>
      </c>
      <c r="E3116" t="s">
        <v>74</v>
      </c>
      <c r="F3116" t="s">
        <v>32</v>
      </c>
      <c r="G3116" t="s">
        <v>25</v>
      </c>
      <c r="H3116" t="s">
        <v>39</v>
      </c>
      <c r="I3116" t="s">
        <v>27</v>
      </c>
      <c r="J3116" s="11">
        <v>46068</v>
      </c>
      <c r="K3116" t="str">
        <f>TEXT(Transactions_Clean[[#This Row],[Date]],"MMM-YYYY")</f>
        <v>Feb-2026</v>
      </c>
      <c r="L3116">
        <f>IF(Transactions_Clean[[#This Row],[Category]]="Revenue",Transactions_Clean[[#This Row],[Amount(₹)]],Transactions_Clean[[#This Row],[Amount(₹)]]/8)</f>
        <v>-4178.75</v>
      </c>
    </row>
    <row r="3117" spans="1:12">
      <c r="A3117" t="s">
        <v>4577</v>
      </c>
      <c r="B3117" t="s">
        <v>305</v>
      </c>
      <c r="C3117" t="s">
        <v>38</v>
      </c>
      <c r="D3117">
        <v>-27569</v>
      </c>
      <c r="E3117" t="s">
        <v>23</v>
      </c>
      <c r="F3117" t="s">
        <v>32</v>
      </c>
      <c r="G3117" t="s">
        <v>33</v>
      </c>
      <c r="H3117" t="s">
        <v>26</v>
      </c>
      <c r="I3117" t="s">
        <v>34</v>
      </c>
      <c r="J3117" s="11">
        <v>45041</v>
      </c>
      <c r="K3117" t="str">
        <f>TEXT(Transactions_Clean[[#This Row],[Date]],"MMM-YYYY")</f>
        <v>Apr-2023</v>
      </c>
      <c r="L3117">
        <f>IF(Transactions_Clean[[#This Row],[Category]]="Revenue",Transactions_Clean[[#This Row],[Amount(₹)]],Transactions_Clean[[#This Row],[Amount(₹)]]/8)</f>
        <v>-3446.125</v>
      </c>
    </row>
    <row r="3118" spans="1:12">
      <c r="A3118" t="s">
        <v>4578</v>
      </c>
      <c r="B3118" t="s">
        <v>174</v>
      </c>
      <c r="C3118" t="s">
        <v>22</v>
      </c>
      <c r="D3118">
        <v>-139292</v>
      </c>
      <c r="E3118" t="s">
        <v>23</v>
      </c>
      <c r="F3118" t="s">
        <v>24</v>
      </c>
      <c r="G3118" t="s">
        <v>25</v>
      </c>
      <c r="H3118" t="s">
        <v>45</v>
      </c>
      <c r="I3118" t="s">
        <v>34</v>
      </c>
      <c r="J3118" s="11">
        <v>45630</v>
      </c>
      <c r="K3118" t="str">
        <f>TEXT(Transactions_Clean[[#This Row],[Date]],"MMM-YYYY")</f>
        <v>Dec-2024</v>
      </c>
      <c r="L3118">
        <f>IF(Transactions_Clean[[#This Row],[Category]]="Revenue",Transactions_Clean[[#This Row],[Amount(₹)]],Transactions_Clean[[#This Row],[Amount(₹)]]/8)</f>
        <v>-17411.5</v>
      </c>
    </row>
    <row r="3119" spans="1:12">
      <c r="A3119" t="s">
        <v>4580</v>
      </c>
      <c r="B3119" t="s">
        <v>87</v>
      </c>
      <c r="C3119" t="s">
        <v>22</v>
      </c>
      <c r="D3119">
        <v>-192215</v>
      </c>
      <c r="E3119" t="s">
        <v>23</v>
      </c>
      <c r="F3119" t="s">
        <v>24</v>
      </c>
      <c r="G3119" t="s">
        <v>25</v>
      </c>
      <c r="H3119" t="s">
        <v>39</v>
      </c>
      <c r="I3119" t="s">
        <v>34</v>
      </c>
      <c r="J3119" s="11">
        <v>45777</v>
      </c>
      <c r="K3119" t="str">
        <f>TEXT(Transactions_Clean[[#This Row],[Date]],"MMM-YYYY")</f>
        <v>Apr-2025</v>
      </c>
      <c r="L3119">
        <f>IF(Transactions_Clean[[#This Row],[Category]]="Revenue",Transactions_Clean[[#This Row],[Amount(₹)]],Transactions_Clean[[#This Row],[Amount(₹)]]/8)</f>
        <v>-24026.875</v>
      </c>
    </row>
    <row r="3120" spans="1:12">
      <c r="A3120" t="s">
        <v>4582</v>
      </c>
      <c r="B3120" t="s">
        <v>106</v>
      </c>
      <c r="C3120" t="s">
        <v>31</v>
      </c>
      <c r="D3120">
        <v>-22549</v>
      </c>
      <c r="E3120" t="s">
        <v>23</v>
      </c>
      <c r="F3120" t="s">
        <v>24</v>
      </c>
      <c r="G3120" t="s">
        <v>33</v>
      </c>
      <c r="H3120" t="s">
        <v>45</v>
      </c>
      <c r="I3120" t="s">
        <v>34</v>
      </c>
      <c r="J3120" s="11">
        <v>45422</v>
      </c>
      <c r="K3120" t="str">
        <f>TEXT(Transactions_Clean[[#This Row],[Date]],"MMM-YYYY")</f>
        <v>May-2024</v>
      </c>
      <c r="L3120">
        <f>IF(Transactions_Clean[[#This Row],[Category]]="Revenue",Transactions_Clean[[#This Row],[Amount(₹)]],Transactions_Clean[[#This Row],[Amount(₹)]]/8)</f>
        <v>-2818.625</v>
      </c>
    </row>
    <row r="3121" spans="1:12">
      <c r="A3121" t="s">
        <v>4583</v>
      </c>
      <c r="B3121" t="s">
        <v>87</v>
      </c>
      <c r="C3121" t="s">
        <v>22</v>
      </c>
      <c r="D3121">
        <v>-43676</v>
      </c>
      <c r="E3121" t="s">
        <v>23</v>
      </c>
      <c r="F3121" t="s">
        <v>32</v>
      </c>
      <c r="G3121" t="s">
        <v>25</v>
      </c>
      <c r="H3121" t="s">
        <v>45</v>
      </c>
      <c r="I3121" t="s">
        <v>34</v>
      </c>
      <c r="J3121" s="11">
        <v>45456</v>
      </c>
      <c r="K3121" t="str">
        <f>TEXT(Transactions_Clean[[#This Row],[Date]],"MMM-YYYY")</f>
        <v>Jun-2024</v>
      </c>
      <c r="L3121">
        <f>IF(Transactions_Clean[[#This Row],[Category]]="Revenue",Transactions_Clean[[#This Row],[Amount(₹)]],Transactions_Clean[[#This Row],[Amount(₹)]]/8)</f>
        <v>-5459.5</v>
      </c>
    </row>
    <row r="3122" spans="1:12">
      <c r="A3122" t="s">
        <v>4584</v>
      </c>
      <c r="B3122" t="s">
        <v>30</v>
      </c>
      <c r="C3122" t="s">
        <v>31</v>
      </c>
      <c r="D3122">
        <v>-31684</v>
      </c>
      <c r="E3122" t="s">
        <v>23</v>
      </c>
      <c r="F3122" t="s">
        <v>32</v>
      </c>
      <c r="G3122" t="s">
        <v>33</v>
      </c>
      <c r="H3122" t="s">
        <v>45</v>
      </c>
      <c r="I3122" t="s">
        <v>34</v>
      </c>
      <c r="J3122" s="11">
        <v>45434</v>
      </c>
      <c r="K3122" t="str">
        <f>TEXT(Transactions_Clean[[#This Row],[Date]],"MMM-YYYY")</f>
        <v>May-2024</v>
      </c>
      <c r="L3122">
        <f>IF(Transactions_Clean[[#This Row],[Category]]="Revenue",Transactions_Clean[[#This Row],[Amount(₹)]],Transactions_Clean[[#This Row],[Amount(₹)]]/8)</f>
        <v>-3960.5</v>
      </c>
    </row>
    <row r="3123" spans="1:12">
      <c r="A3123" t="s">
        <v>4585</v>
      </c>
      <c r="B3123" t="s">
        <v>174</v>
      </c>
      <c r="C3123" t="s">
        <v>22</v>
      </c>
      <c r="D3123">
        <v>-134731</v>
      </c>
      <c r="E3123" t="s">
        <v>23</v>
      </c>
      <c r="F3123" t="s">
        <v>24</v>
      </c>
      <c r="G3123" t="s">
        <v>25</v>
      </c>
      <c r="H3123" t="s">
        <v>39</v>
      </c>
      <c r="I3123" t="s">
        <v>48</v>
      </c>
      <c r="J3123" s="11">
        <v>46006</v>
      </c>
      <c r="K3123" t="str">
        <f>TEXT(Transactions_Clean[[#This Row],[Date]],"MMM-YYYY")</f>
        <v>Dec-2025</v>
      </c>
      <c r="L3123">
        <f>IF(Transactions_Clean[[#This Row],[Category]]="Revenue",Transactions_Clean[[#This Row],[Amount(₹)]],Transactions_Clean[[#This Row],[Amount(₹)]]/8)</f>
        <v>-16841.375</v>
      </c>
    </row>
    <row r="3124" spans="1:12">
      <c r="A3124" t="s">
        <v>4586</v>
      </c>
      <c r="B3124" t="s">
        <v>51</v>
      </c>
      <c r="C3124" t="s">
        <v>31</v>
      </c>
      <c r="D3124">
        <v>-4201</v>
      </c>
      <c r="E3124" t="s">
        <v>23</v>
      </c>
      <c r="F3124" t="s">
        <v>32</v>
      </c>
      <c r="G3124" t="s">
        <v>33</v>
      </c>
      <c r="H3124" t="s">
        <v>26</v>
      </c>
      <c r="I3124" t="s">
        <v>27</v>
      </c>
      <c r="J3124" s="11">
        <v>45335</v>
      </c>
      <c r="K3124" t="str">
        <f>TEXT(Transactions_Clean[[#This Row],[Date]],"MMM-YYYY")</f>
        <v>Feb-2024</v>
      </c>
      <c r="L3124">
        <f>IF(Transactions_Clean[[#This Row],[Category]]="Revenue",Transactions_Clean[[#This Row],[Amount(₹)]],Transactions_Clean[[#This Row],[Amount(₹)]]/8)</f>
        <v>-525.125</v>
      </c>
    </row>
    <row r="3125" spans="1:12">
      <c r="A3125" t="s">
        <v>4587</v>
      </c>
      <c r="B3125" t="s">
        <v>4756</v>
      </c>
      <c r="C3125" t="s">
        <v>73</v>
      </c>
      <c r="D3125">
        <v>-69982</v>
      </c>
      <c r="E3125" t="s">
        <v>74</v>
      </c>
      <c r="F3125" t="s">
        <v>24</v>
      </c>
      <c r="G3125" t="s">
        <v>25</v>
      </c>
      <c r="H3125" t="s">
        <v>39</v>
      </c>
      <c r="I3125" t="s">
        <v>34</v>
      </c>
      <c r="J3125" s="11">
        <v>45826</v>
      </c>
      <c r="K3125" t="str">
        <f>TEXT(Transactions_Clean[[#This Row],[Date]],"MMM-YYYY")</f>
        <v>Jun-2025</v>
      </c>
      <c r="L3125">
        <f>IF(Transactions_Clean[[#This Row],[Category]]="Revenue",Transactions_Clean[[#This Row],[Amount(₹)]],Transactions_Clean[[#This Row],[Amount(₹)]]/8)</f>
        <v>-8747.75</v>
      </c>
    </row>
    <row r="3126" spans="1:12">
      <c r="A3126" t="s">
        <v>4588</v>
      </c>
      <c r="B3126" t="s">
        <v>72</v>
      </c>
      <c r="C3126" t="s">
        <v>73</v>
      </c>
      <c r="D3126">
        <v>-91130</v>
      </c>
      <c r="E3126" t="s">
        <v>74</v>
      </c>
      <c r="F3126" t="s">
        <v>32</v>
      </c>
      <c r="G3126" t="s">
        <v>25</v>
      </c>
      <c r="H3126" t="s">
        <v>26</v>
      </c>
      <c r="I3126" t="s">
        <v>34</v>
      </c>
      <c r="J3126" s="11">
        <v>45044</v>
      </c>
      <c r="K3126" t="str">
        <f>TEXT(Transactions_Clean[[#This Row],[Date]],"MMM-YYYY")</f>
        <v>Apr-2023</v>
      </c>
      <c r="L3126">
        <f>IF(Transactions_Clean[[#This Row],[Category]]="Revenue",Transactions_Clean[[#This Row],[Amount(₹)]],Transactions_Clean[[#This Row],[Amount(₹)]]/8)</f>
        <v>-11391.25</v>
      </c>
    </row>
    <row r="3127" spans="1:12">
      <c r="A3127" t="s">
        <v>4589</v>
      </c>
      <c r="B3127" t="s">
        <v>4755</v>
      </c>
      <c r="C3127" t="s">
        <v>78</v>
      </c>
      <c r="D3127">
        <v>-57182</v>
      </c>
      <c r="E3127" t="s">
        <v>23</v>
      </c>
      <c r="F3127" t="s">
        <v>24</v>
      </c>
      <c r="G3127" t="s">
        <v>79</v>
      </c>
      <c r="H3127" t="s">
        <v>45</v>
      </c>
      <c r="I3127" t="s">
        <v>34</v>
      </c>
      <c r="J3127" s="11">
        <v>45405</v>
      </c>
      <c r="K3127" t="str">
        <f>TEXT(Transactions_Clean[[#This Row],[Date]],"MMM-YYYY")</f>
        <v>Apr-2024</v>
      </c>
      <c r="L3127">
        <f>IF(Transactions_Clean[[#This Row],[Category]]="Revenue",Transactions_Clean[[#This Row],[Amount(₹)]],Transactions_Clean[[#This Row],[Amount(₹)]]/8)</f>
        <v>-7147.75</v>
      </c>
    </row>
    <row r="3128" spans="1:12">
      <c r="A3128" t="s">
        <v>4590</v>
      </c>
      <c r="B3128" t="s">
        <v>202</v>
      </c>
      <c r="C3128" t="s">
        <v>22</v>
      </c>
      <c r="D3128">
        <v>-112851</v>
      </c>
      <c r="E3128" t="s">
        <v>23</v>
      </c>
      <c r="F3128" t="s">
        <v>24</v>
      </c>
      <c r="G3128" t="s">
        <v>25</v>
      </c>
      <c r="H3128" t="s">
        <v>26</v>
      </c>
      <c r="I3128" t="s">
        <v>34</v>
      </c>
      <c r="J3128" s="11">
        <v>45078</v>
      </c>
      <c r="K3128" t="str">
        <f>TEXT(Transactions_Clean[[#This Row],[Date]],"MMM-YYYY")</f>
        <v>Jun-2023</v>
      </c>
      <c r="L3128">
        <f>IF(Transactions_Clean[[#This Row],[Category]]="Revenue",Transactions_Clean[[#This Row],[Amount(₹)]],Transactions_Clean[[#This Row],[Amount(₹)]]/8)</f>
        <v>-14106.375</v>
      </c>
    </row>
    <row r="3129" spans="1:12">
      <c r="A3129" t="s">
        <v>4591</v>
      </c>
      <c r="B3129" t="s">
        <v>215</v>
      </c>
      <c r="C3129" t="s">
        <v>61</v>
      </c>
      <c r="D3129">
        <v>-30217</v>
      </c>
      <c r="E3129" t="s">
        <v>62</v>
      </c>
      <c r="F3129" t="s">
        <v>32</v>
      </c>
      <c r="G3129" t="s">
        <v>63</v>
      </c>
      <c r="H3129" t="s">
        <v>26</v>
      </c>
      <c r="I3129" t="s">
        <v>34</v>
      </c>
      <c r="J3129" s="11">
        <v>45031</v>
      </c>
      <c r="K3129" t="str">
        <f>TEXT(Transactions_Clean[[#This Row],[Date]],"MMM-YYYY")</f>
        <v>Apr-2023</v>
      </c>
      <c r="L3129">
        <f>IF(Transactions_Clean[[#This Row],[Category]]="Revenue",Transactions_Clean[[#This Row],[Amount(₹)]],Transactions_Clean[[#This Row],[Amount(₹)]]/8)</f>
        <v>-3777.125</v>
      </c>
    </row>
    <row r="3130" spans="1:12">
      <c r="A3130" t="s">
        <v>4592</v>
      </c>
      <c r="B3130" t="s">
        <v>60</v>
      </c>
      <c r="C3130" t="s">
        <v>4750</v>
      </c>
      <c r="D3130">
        <v>-59507</v>
      </c>
      <c r="E3130" t="s">
        <v>62</v>
      </c>
      <c r="F3130" t="s">
        <v>24</v>
      </c>
      <c r="G3130" t="s">
        <v>63</v>
      </c>
      <c r="H3130" t="s">
        <v>45</v>
      </c>
      <c r="I3130" t="s">
        <v>27</v>
      </c>
      <c r="J3130" s="11">
        <v>45668</v>
      </c>
      <c r="K3130" t="str">
        <f>TEXT(Transactions_Clean[[#This Row],[Date]],"MMM-YYYY")</f>
        <v>Jan-2025</v>
      </c>
      <c r="L3130">
        <f>IF(Transactions_Clean[[#This Row],[Category]]="Revenue",Transactions_Clean[[#This Row],[Amount(₹)]],Transactions_Clean[[#This Row],[Amount(₹)]]/8)</f>
        <v>-7438.375</v>
      </c>
    </row>
    <row r="3131" spans="1:12">
      <c r="A3131" t="s">
        <v>4594</v>
      </c>
      <c r="B3131" t="s">
        <v>4768</v>
      </c>
      <c r="C3131" t="s">
        <v>157</v>
      </c>
      <c r="D3131">
        <v>638435</v>
      </c>
      <c r="E3131" t="s">
        <v>62</v>
      </c>
      <c r="F3131" t="s">
        <v>32</v>
      </c>
      <c r="G3131" t="s">
        <v>25</v>
      </c>
      <c r="H3131" t="s">
        <v>45</v>
      </c>
      <c r="I3131" t="s">
        <v>27</v>
      </c>
      <c r="J3131" s="11">
        <v>45693</v>
      </c>
      <c r="K3131" t="str">
        <f>TEXT(Transactions_Clean[[#This Row],[Date]],"MMM-YYYY")</f>
        <v>Feb-2025</v>
      </c>
      <c r="L3131">
        <f>IF(Transactions_Clean[[#This Row],[Category]]="Revenue",Transactions_Clean[[#This Row],[Amount(₹)]],Transactions_Clean[[#This Row],[Amount(₹)]]/8)</f>
        <v>638435</v>
      </c>
    </row>
    <row r="3132" spans="1:12">
      <c r="A3132" t="s">
        <v>4595</v>
      </c>
      <c r="B3132" t="s">
        <v>66</v>
      </c>
      <c r="C3132" t="s">
        <v>61</v>
      </c>
      <c r="D3132">
        <v>-52409</v>
      </c>
      <c r="E3132" t="s">
        <v>62</v>
      </c>
      <c r="F3132" t="s">
        <v>32</v>
      </c>
      <c r="G3132" t="s">
        <v>63</v>
      </c>
      <c r="H3132" t="s">
        <v>39</v>
      </c>
      <c r="I3132" t="s">
        <v>40</v>
      </c>
      <c r="J3132" s="11">
        <v>45929</v>
      </c>
      <c r="K3132" t="str">
        <f>TEXT(Transactions_Clean[[#This Row],[Date]],"MMM-YYYY")</f>
        <v>Sep-2025</v>
      </c>
      <c r="L3132">
        <f>IF(Transactions_Clean[[#This Row],[Category]]="Revenue",Transactions_Clean[[#This Row],[Amount(₹)]],Transactions_Clean[[#This Row],[Amount(₹)]]/8)</f>
        <v>-6551.125</v>
      </c>
    </row>
    <row r="3133" spans="1:12">
      <c r="A3133" t="s">
        <v>4596</v>
      </c>
      <c r="B3133" t="s">
        <v>66</v>
      </c>
      <c r="C3133" t="s">
        <v>61</v>
      </c>
      <c r="D3133">
        <v>-45420</v>
      </c>
      <c r="E3133" t="s">
        <v>62</v>
      </c>
      <c r="F3133" t="s">
        <v>32</v>
      </c>
      <c r="G3133" t="s">
        <v>63</v>
      </c>
      <c r="H3133" t="s">
        <v>26</v>
      </c>
      <c r="I3133" t="s">
        <v>34</v>
      </c>
      <c r="J3133" s="11">
        <v>45084</v>
      </c>
      <c r="K3133" t="str">
        <f>TEXT(Transactions_Clean[[#This Row],[Date]],"MMM-YYYY")</f>
        <v>Jun-2023</v>
      </c>
      <c r="L3133">
        <f>IF(Transactions_Clean[[#This Row],[Category]]="Revenue",Transactions_Clean[[#This Row],[Amount(₹)]],Transactions_Clean[[#This Row],[Amount(₹)]]/8)</f>
        <v>-5677.5</v>
      </c>
    </row>
    <row r="3134" spans="1:12">
      <c r="A3134" t="s">
        <v>4597</v>
      </c>
      <c r="B3134" t="s">
        <v>106</v>
      </c>
      <c r="C3134" t="s">
        <v>31</v>
      </c>
      <c r="D3134">
        <v>-31001</v>
      </c>
      <c r="E3134" t="s">
        <v>23</v>
      </c>
      <c r="F3134" t="s">
        <v>24</v>
      </c>
      <c r="G3134" t="s">
        <v>33</v>
      </c>
      <c r="H3134" t="s">
        <v>45</v>
      </c>
      <c r="I3134" t="s">
        <v>40</v>
      </c>
      <c r="J3134" s="11">
        <v>45557</v>
      </c>
      <c r="K3134" t="str">
        <f>TEXT(Transactions_Clean[[#This Row],[Date]],"MMM-YYYY")</f>
        <v>Sep-2024</v>
      </c>
      <c r="L3134">
        <f>IF(Transactions_Clean[[#This Row],[Category]]="Revenue",Transactions_Clean[[#This Row],[Amount(₹)]],Transactions_Clean[[#This Row],[Amount(₹)]]/8)</f>
        <v>-3875.125</v>
      </c>
    </row>
    <row r="3135" spans="1:12">
      <c r="A3135" t="s">
        <v>4598</v>
      </c>
      <c r="B3135" t="s">
        <v>4759</v>
      </c>
      <c r="C3135" t="s">
        <v>31</v>
      </c>
      <c r="D3135">
        <v>-18552</v>
      </c>
      <c r="E3135" t="s">
        <v>23</v>
      </c>
      <c r="F3135" t="s">
        <v>32</v>
      </c>
      <c r="G3135" t="s">
        <v>33</v>
      </c>
      <c r="H3135" t="s">
        <v>39</v>
      </c>
      <c r="I3135" t="s">
        <v>40</v>
      </c>
      <c r="J3135" s="11">
        <v>45926</v>
      </c>
      <c r="K3135" t="str">
        <f>TEXT(Transactions_Clean[[#This Row],[Date]],"MMM-YYYY")</f>
        <v>Sep-2025</v>
      </c>
      <c r="L3135">
        <f>IF(Transactions_Clean[[#This Row],[Category]]="Revenue",Transactions_Clean[[#This Row],[Amount(₹)]],Transactions_Clean[[#This Row],[Amount(₹)]]/8)</f>
        <v>-2319</v>
      </c>
    </row>
    <row r="3136" spans="1:12">
      <c r="A3136" t="s">
        <v>4599</v>
      </c>
      <c r="B3136" t="s">
        <v>60</v>
      </c>
      <c r="C3136" t="s">
        <v>61</v>
      </c>
      <c r="D3136">
        <v>-43578</v>
      </c>
      <c r="E3136" t="s">
        <v>62</v>
      </c>
      <c r="F3136" t="s">
        <v>24</v>
      </c>
      <c r="G3136" t="s">
        <v>63</v>
      </c>
      <c r="H3136" t="s">
        <v>39</v>
      </c>
      <c r="I3136" t="s">
        <v>40</v>
      </c>
      <c r="J3136" s="11">
        <v>45868</v>
      </c>
      <c r="K3136" t="str">
        <f>TEXT(Transactions_Clean[[#This Row],[Date]],"MMM-YYYY")</f>
        <v>Jul-2025</v>
      </c>
      <c r="L3136">
        <f>IF(Transactions_Clean[[#This Row],[Category]]="Revenue",Transactions_Clean[[#This Row],[Amount(₹)]],Transactions_Clean[[#This Row],[Amount(₹)]]/8)</f>
        <v>-5447.25</v>
      </c>
    </row>
    <row r="3137" spans="1:12">
      <c r="A3137" t="s">
        <v>4600</v>
      </c>
      <c r="B3137" t="s">
        <v>4773</v>
      </c>
      <c r="C3137" t="s">
        <v>157</v>
      </c>
      <c r="D3137">
        <v>558929</v>
      </c>
      <c r="E3137" t="s">
        <v>62</v>
      </c>
      <c r="F3137" t="s">
        <v>32</v>
      </c>
      <c r="G3137" t="s">
        <v>25</v>
      </c>
      <c r="H3137" t="s">
        <v>26</v>
      </c>
      <c r="I3137" t="s">
        <v>27</v>
      </c>
      <c r="J3137" s="11">
        <v>45365</v>
      </c>
      <c r="K3137" t="str">
        <f>TEXT(Transactions_Clean[[#This Row],[Date]],"MMM-YYYY")</f>
        <v>Mar-2024</v>
      </c>
      <c r="L3137">
        <f>IF(Transactions_Clean[[#This Row],[Category]]="Revenue",Transactions_Clean[[#This Row],[Amount(₹)]],Transactions_Clean[[#This Row],[Amount(₹)]]/8)</f>
        <v>558929</v>
      </c>
    </row>
    <row r="3138" spans="1:12">
      <c r="A3138" t="s">
        <v>4601</v>
      </c>
      <c r="B3138" t="s">
        <v>4766</v>
      </c>
      <c r="C3138" t="s">
        <v>73</v>
      </c>
      <c r="D3138">
        <v>-39276</v>
      </c>
      <c r="E3138" t="s">
        <v>74</v>
      </c>
      <c r="F3138" t="s">
        <v>32</v>
      </c>
      <c r="G3138" t="s">
        <v>25</v>
      </c>
      <c r="H3138" t="s">
        <v>45</v>
      </c>
      <c r="I3138" t="s">
        <v>40</v>
      </c>
      <c r="J3138" s="11">
        <v>45510</v>
      </c>
      <c r="K3138" t="str">
        <f>TEXT(Transactions_Clean[[#This Row],[Date]],"MMM-YYYY")</f>
        <v>Aug-2024</v>
      </c>
      <c r="L3138">
        <f>IF(Transactions_Clean[[#This Row],[Category]]="Revenue",Transactions_Clean[[#This Row],[Amount(₹)]],Transactions_Clean[[#This Row],[Amount(₹)]]/8)</f>
        <v>-4909.5</v>
      </c>
    </row>
    <row r="3139" spans="1:12">
      <c r="A3139" t="s">
        <v>4602</v>
      </c>
      <c r="B3139" t="s">
        <v>66</v>
      </c>
      <c r="C3139" t="s">
        <v>61</v>
      </c>
      <c r="D3139">
        <v>-18955</v>
      </c>
      <c r="E3139" t="s">
        <v>62</v>
      </c>
      <c r="F3139" t="s">
        <v>32</v>
      </c>
      <c r="G3139" t="s">
        <v>63</v>
      </c>
      <c r="H3139" t="s">
        <v>39</v>
      </c>
      <c r="I3139" t="s">
        <v>48</v>
      </c>
      <c r="J3139" s="11">
        <v>45955</v>
      </c>
      <c r="K3139" t="str">
        <f>TEXT(Transactions_Clean[[#This Row],[Date]],"MMM-YYYY")</f>
        <v>Oct-2025</v>
      </c>
      <c r="L3139">
        <f>IF(Transactions_Clean[[#This Row],[Category]]="Revenue",Transactions_Clean[[#This Row],[Amount(₹)]],Transactions_Clean[[#This Row],[Amount(₹)]]/8)</f>
        <v>-2369.375</v>
      </c>
    </row>
    <row r="3140" spans="1:12">
      <c r="A3140" t="s">
        <v>4603</v>
      </c>
      <c r="B3140" t="s">
        <v>4752</v>
      </c>
      <c r="C3140" t="s">
        <v>44</v>
      </c>
      <c r="D3140">
        <v>-98290</v>
      </c>
      <c r="E3140" t="s">
        <v>23</v>
      </c>
      <c r="F3140" t="s">
        <v>32</v>
      </c>
      <c r="G3140" t="s">
        <v>33</v>
      </c>
      <c r="H3140" t="s">
        <v>45</v>
      </c>
      <c r="I3140" t="s">
        <v>40</v>
      </c>
      <c r="J3140" s="11">
        <v>45558</v>
      </c>
      <c r="K3140" t="str">
        <f>TEXT(Transactions_Clean[[#This Row],[Date]],"MMM-YYYY")</f>
        <v>Sep-2024</v>
      </c>
      <c r="L3140">
        <f>IF(Transactions_Clean[[#This Row],[Category]]="Revenue",Transactions_Clean[[#This Row],[Amount(₹)]],Transactions_Clean[[#This Row],[Amount(₹)]]/8)</f>
        <v>-12286.25</v>
      </c>
    </row>
    <row r="3141" spans="1:12">
      <c r="A3141" t="s">
        <v>4604</v>
      </c>
      <c r="B3141" t="s">
        <v>305</v>
      </c>
      <c r="C3141" t="s">
        <v>38</v>
      </c>
      <c r="D3141">
        <v>-44487</v>
      </c>
      <c r="E3141" t="s">
        <v>23</v>
      </c>
      <c r="F3141" t="s">
        <v>24</v>
      </c>
      <c r="G3141" t="s">
        <v>33</v>
      </c>
      <c r="H3141" t="s">
        <v>39</v>
      </c>
      <c r="I3141" t="s">
        <v>40</v>
      </c>
      <c r="J3141" s="11">
        <v>45858</v>
      </c>
      <c r="K3141" t="str">
        <f>TEXT(Transactions_Clean[[#This Row],[Date]],"MMM-YYYY")</f>
        <v>Jul-2025</v>
      </c>
      <c r="L3141">
        <f>IF(Transactions_Clean[[#This Row],[Category]]="Revenue",Transactions_Clean[[#This Row],[Amount(₹)]],Transactions_Clean[[#This Row],[Amount(₹)]]/8)</f>
        <v>-5560.875</v>
      </c>
    </row>
    <row r="3142" spans="1:12">
      <c r="A3142" t="s">
        <v>4605</v>
      </c>
      <c r="B3142" t="s">
        <v>345</v>
      </c>
      <c r="C3142" t="s">
        <v>22</v>
      </c>
      <c r="D3142">
        <v>-103915</v>
      </c>
      <c r="E3142" t="s">
        <v>23</v>
      </c>
      <c r="F3142" t="s">
        <v>32</v>
      </c>
      <c r="G3142" t="s">
        <v>25</v>
      </c>
      <c r="H3142" t="s">
        <v>39</v>
      </c>
      <c r="I3142" t="s">
        <v>48</v>
      </c>
      <c r="J3142" s="11">
        <v>45993</v>
      </c>
      <c r="K3142" t="str">
        <f>TEXT(Transactions_Clean[[#This Row],[Date]],"MMM-YYYY")</f>
        <v>Dec-2025</v>
      </c>
      <c r="L3142">
        <f>IF(Transactions_Clean[[#This Row],[Category]]="Revenue",Transactions_Clean[[#This Row],[Amount(₹)]],Transactions_Clean[[#This Row],[Amount(₹)]]/8)</f>
        <v>-12989.375</v>
      </c>
    </row>
    <row r="3143" spans="1:12">
      <c r="A3143" t="s">
        <v>4606</v>
      </c>
      <c r="B3143" t="s">
        <v>4767</v>
      </c>
      <c r="C3143" t="s">
        <v>157</v>
      </c>
      <c r="D3143">
        <v>572607</v>
      </c>
      <c r="E3143" t="s">
        <v>62</v>
      </c>
      <c r="F3143" t="s">
        <v>32</v>
      </c>
      <c r="G3143" t="s">
        <v>25</v>
      </c>
      <c r="H3143" t="s">
        <v>45</v>
      </c>
      <c r="I3143" t="s">
        <v>34</v>
      </c>
      <c r="J3143" s="11">
        <v>45392</v>
      </c>
      <c r="K3143" t="str">
        <f>TEXT(Transactions_Clean[[#This Row],[Date]],"MMM-YYYY")</f>
        <v>Apr-2024</v>
      </c>
      <c r="L3143">
        <f>IF(Transactions_Clean[[#This Row],[Category]]="Revenue",Transactions_Clean[[#This Row],[Amount(₹)]],Transactions_Clean[[#This Row],[Amount(₹)]]/8)</f>
        <v>572607</v>
      </c>
    </row>
    <row r="3144" spans="1:12">
      <c r="A3144" t="s">
        <v>4607</v>
      </c>
      <c r="B3144" t="s">
        <v>4756</v>
      </c>
      <c r="C3144" t="s">
        <v>73</v>
      </c>
      <c r="D3144">
        <v>-12190</v>
      </c>
      <c r="E3144" t="s">
        <v>74</v>
      </c>
      <c r="F3144" t="s">
        <v>24</v>
      </c>
      <c r="G3144" t="s">
        <v>25</v>
      </c>
      <c r="H3144" t="s">
        <v>26</v>
      </c>
      <c r="I3144" t="s">
        <v>27</v>
      </c>
      <c r="J3144" s="11">
        <v>45377</v>
      </c>
      <c r="K3144" t="str">
        <f>TEXT(Transactions_Clean[[#This Row],[Date]],"MMM-YYYY")</f>
        <v>Mar-2024</v>
      </c>
      <c r="L3144">
        <f>IF(Transactions_Clean[[#This Row],[Category]]="Revenue",Transactions_Clean[[#This Row],[Amount(₹)]],Transactions_Clean[[#This Row],[Amount(₹)]]/8)</f>
        <v>-1523.75</v>
      </c>
    </row>
    <row r="3145" spans="1:12">
      <c r="A3145" t="s">
        <v>4608</v>
      </c>
      <c r="B3145" t="s">
        <v>161</v>
      </c>
      <c r="C3145" t="s">
        <v>22</v>
      </c>
      <c r="D3145">
        <v>-151930</v>
      </c>
      <c r="E3145" t="s">
        <v>23</v>
      </c>
      <c r="F3145" t="s">
        <v>32</v>
      </c>
      <c r="G3145" t="s">
        <v>25</v>
      </c>
      <c r="H3145" t="s">
        <v>45</v>
      </c>
      <c r="I3145" t="s">
        <v>48</v>
      </c>
      <c r="J3145" s="11">
        <v>45633</v>
      </c>
      <c r="K3145" t="str">
        <f>TEXT(Transactions_Clean[[#This Row],[Date]],"MMM-YYYY")</f>
        <v>Dec-2024</v>
      </c>
      <c r="L3145">
        <f>IF(Transactions_Clean[[#This Row],[Category]]="Revenue",Transactions_Clean[[#This Row],[Amount(₹)]],Transactions_Clean[[#This Row],[Amount(₹)]]/8)</f>
        <v>-18991.25</v>
      </c>
    </row>
    <row r="3146" spans="1:12">
      <c r="A3146" t="s">
        <v>4609</v>
      </c>
      <c r="B3146" t="s">
        <v>116</v>
      </c>
      <c r="C3146" t="s">
        <v>73</v>
      </c>
      <c r="D3146">
        <v>-18052</v>
      </c>
      <c r="E3146" t="s">
        <v>74</v>
      </c>
      <c r="F3146" t="s">
        <v>24</v>
      </c>
      <c r="G3146" t="s">
        <v>25</v>
      </c>
      <c r="H3146" t="s">
        <v>45</v>
      </c>
      <c r="I3146" t="s">
        <v>34</v>
      </c>
      <c r="J3146" s="11">
        <v>45467</v>
      </c>
      <c r="K3146" t="str">
        <f>TEXT(Transactions_Clean[[#This Row],[Date]],"MMM-YYYY")</f>
        <v>Jun-2024</v>
      </c>
      <c r="L3146">
        <f>IF(Transactions_Clean[[#This Row],[Category]]="Revenue",Transactions_Clean[[#This Row],[Amount(₹)]],Transactions_Clean[[#This Row],[Amount(₹)]]/8)</f>
        <v>-2256.5</v>
      </c>
    </row>
    <row r="3147" spans="1:12">
      <c r="A3147" t="s">
        <v>4610</v>
      </c>
      <c r="B3147" t="s">
        <v>66</v>
      </c>
      <c r="C3147" t="s">
        <v>61</v>
      </c>
      <c r="D3147">
        <v>-29520</v>
      </c>
      <c r="E3147" t="s">
        <v>62</v>
      </c>
      <c r="F3147" t="s">
        <v>32</v>
      </c>
      <c r="G3147" t="s">
        <v>63</v>
      </c>
      <c r="H3147" t="s">
        <v>26</v>
      </c>
      <c r="I3147" t="s">
        <v>40</v>
      </c>
      <c r="J3147" s="11">
        <v>45169</v>
      </c>
      <c r="K3147" t="str">
        <f>TEXT(Transactions_Clean[[#This Row],[Date]],"MMM-YYYY")</f>
        <v>Aug-2023</v>
      </c>
      <c r="L3147">
        <f>IF(Transactions_Clean[[#This Row],[Category]]="Revenue",Transactions_Clean[[#This Row],[Amount(₹)]],Transactions_Clean[[#This Row],[Amount(₹)]]/8)</f>
        <v>-3690</v>
      </c>
    </row>
    <row r="3148" spans="1:12">
      <c r="A3148" t="s">
        <v>4611</v>
      </c>
      <c r="B3148" t="s">
        <v>66</v>
      </c>
      <c r="C3148" t="s">
        <v>61</v>
      </c>
      <c r="D3148">
        <v>-28982</v>
      </c>
      <c r="E3148" t="s">
        <v>62</v>
      </c>
      <c r="F3148" t="s">
        <v>24</v>
      </c>
      <c r="G3148" t="s">
        <v>63</v>
      </c>
      <c r="H3148" t="s">
        <v>39</v>
      </c>
      <c r="I3148" t="s">
        <v>27</v>
      </c>
      <c r="J3148" s="11">
        <v>46033</v>
      </c>
      <c r="K3148" t="str">
        <f>TEXT(Transactions_Clean[[#This Row],[Date]],"MMM-YYYY")</f>
        <v>Jan-2026</v>
      </c>
      <c r="L3148">
        <f>IF(Transactions_Clean[[#This Row],[Category]]="Revenue",Transactions_Clean[[#This Row],[Amount(₹)]],Transactions_Clean[[#This Row],[Amount(₹)]]/8)</f>
        <v>-3622.75</v>
      </c>
    </row>
    <row r="3149" spans="1:12">
      <c r="A3149" t="s">
        <v>4613</v>
      </c>
      <c r="B3149" t="s">
        <v>129</v>
      </c>
      <c r="C3149" t="s">
        <v>4750</v>
      </c>
      <c r="D3149">
        <v>-50463</v>
      </c>
      <c r="E3149" t="s">
        <v>23</v>
      </c>
      <c r="F3149" t="s">
        <v>24</v>
      </c>
      <c r="G3149" t="s">
        <v>33</v>
      </c>
      <c r="H3149" t="s">
        <v>39</v>
      </c>
      <c r="I3149" t="s">
        <v>48</v>
      </c>
      <c r="J3149" s="11">
        <v>46004</v>
      </c>
      <c r="K3149" t="str">
        <f>TEXT(Transactions_Clean[[#This Row],[Date]],"MMM-YYYY")</f>
        <v>Dec-2025</v>
      </c>
      <c r="L3149">
        <f>IF(Transactions_Clean[[#This Row],[Category]]="Revenue",Transactions_Clean[[#This Row],[Amount(₹)]],Transactions_Clean[[#This Row],[Amount(₹)]]/8)</f>
        <v>-6307.875</v>
      </c>
    </row>
    <row r="3150" spans="1:12">
      <c r="A3150" t="s">
        <v>4614</v>
      </c>
      <c r="B3150" t="s">
        <v>72</v>
      </c>
      <c r="C3150" t="s">
        <v>73</v>
      </c>
      <c r="D3150">
        <v>-56589</v>
      </c>
      <c r="E3150" t="s">
        <v>74</v>
      </c>
      <c r="F3150" t="s">
        <v>24</v>
      </c>
      <c r="G3150" t="s">
        <v>25</v>
      </c>
      <c r="H3150" t="s">
        <v>26</v>
      </c>
      <c r="I3150" t="s">
        <v>40</v>
      </c>
      <c r="J3150" s="11">
        <v>45118</v>
      </c>
      <c r="K3150" t="str">
        <f>TEXT(Transactions_Clean[[#This Row],[Date]],"MMM-YYYY")</f>
        <v>Jul-2023</v>
      </c>
      <c r="L3150">
        <f>IF(Transactions_Clean[[#This Row],[Category]]="Revenue",Transactions_Clean[[#This Row],[Amount(₹)]],Transactions_Clean[[#This Row],[Amount(₹)]]/8)</f>
        <v>-7073.625</v>
      </c>
    </row>
    <row r="3151" spans="1:12">
      <c r="A3151" t="s">
        <v>4615</v>
      </c>
      <c r="B3151" t="s">
        <v>212</v>
      </c>
      <c r="C3151" t="s">
        <v>73</v>
      </c>
      <c r="D3151">
        <v>-60453</v>
      </c>
      <c r="E3151" t="s">
        <v>74</v>
      </c>
      <c r="F3151" t="s">
        <v>24</v>
      </c>
      <c r="G3151" t="s">
        <v>25</v>
      </c>
      <c r="H3151" t="s">
        <v>39</v>
      </c>
      <c r="I3151" t="s">
        <v>27</v>
      </c>
      <c r="J3151" s="11">
        <v>46053</v>
      </c>
      <c r="K3151" t="str">
        <f>TEXT(Transactions_Clean[[#This Row],[Date]],"MMM-YYYY")</f>
        <v>Jan-2026</v>
      </c>
      <c r="L3151">
        <f>IF(Transactions_Clean[[#This Row],[Category]]="Revenue",Transactions_Clean[[#This Row],[Amount(₹)]],Transactions_Clean[[#This Row],[Amount(₹)]]/8)</f>
        <v>-7556.625</v>
      </c>
    </row>
    <row r="3152" spans="1:12">
      <c r="A3152" t="s">
        <v>4616</v>
      </c>
      <c r="B3152" t="s">
        <v>4765</v>
      </c>
      <c r="C3152" t="s">
        <v>73</v>
      </c>
      <c r="D3152">
        <v>-93439</v>
      </c>
      <c r="E3152" t="s">
        <v>74</v>
      </c>
      <c r="F3152" t="s">
        <v>32</v>
      </c>
      <c r="G3152" t="s">
        <v>25</v>
      </c>
      <c r="H3152" t="s">
        <v>39</v>
      </c>
      <c r="I3152" t="s">
        <v>34</v>
      </c>
      <c r="J3152" s="11">
        <v>45754</v>
      </c>
      <c r="K3152" t="str">
        <f>TEXT(Transactions_Clean[[#This Row],[Date]],"MMM-YYYY")</f>
        <v>Apr-2025</v>
      </c>
      <c r="L3152">
        <f>IF(Transactions_Clean[[#This Row],[Category]]="Revenue",Transactions_Clean[[#This Row],[Amount(₹)]],Transactions_Clean[[#This Row],[Amount(₹)]]/8)</f>
        <v>-11679.875</v>
      </c>
    </row>
    <row r="3153" spans="1:12">
      <c r="A3153" t="s">
        <v>4617</v>
      </c>
      <c r="B3153" t="s">
        <v>4771</v>
      </c>
      <c r="C3153" t="s">
        <v>440</v>
      </c>
      <c r="D3153">
        <v>-132237</v>
      </c>
      <c r="E3153" t="s">
        <v>23</v>
      </c>
      <c r="F3153" t="s">
        <v>24</v>
      </c>
      <c r="G3153" t="s">
        <v>33</v>
      </c>
      <c r="H3153" t="s">
        <v>45</v>
      </c>
      <c r="I3153" t="s">
        <v>40</v>
      </c>
      <c r="J3153" s="11">
        <v>45329</v>
      </c>
      <c r="K3153" t="str">
        <f>TEXT(Transactions_Clean[[#This Row],[Date]],"MMM-YYYY")</f>
        <v>Feb-2024</v>
      </c>
      <c r="L3153">
        <f>IF(Transactions_Clean[[#This Row],[Category]]="Revenue",Transactions_Clean[[#This Row],[Amount(₹)]],Transactions_Clean[[#This Row],[Amount(₹)]]/8)</f>
        <v>-16529.625</v>
      </c>
    </row>
    <row r="3154" spans="1:12">
      <c r="A3154" t="s">
        <v>4619</v>
      </c>
      <c r="B3154" t="s">
        <v>4757</v>
      </c>
      <c r="C3154" t="s">
        <v>73</v>
      </c>
      <c r="D3154">
        <v>-93235</v>
      </c>
      <c r="E3154" t="s">
        <v>74</v>
      </c>
      <c r="F3154" t="s">
        <v>24</v>
      </c>
      <c r="G3154" t="s">
        <v>25</v>
      </c>
      <c r="H3154" t="s">
        <v>45</v>
      </c>
      <c r="I3154" t="s">
        <v>40</v>
      </c>
      <c r="J3154" s="11">
        <v>45503</v>
      </c>
      <c r="K3154" t="str">
        <f>TEXT(Transactions_Clean[[#This Row],[Date]],"MMM-YYYY")</f>
        <v>Jul-2024</v>
      </c>
      <c r="L3154">
        <f>IF(Transactions_Clean[[#This Row],[Category]]="Revenue",Transactions_Clean[[#This Row],[Amount(₹)]],Transactions_Clean[[#This Row],[Amount(₹)]]/8)</f>
        <v>-11654.375</v>
      </c>
    </row>
    <row r="3155" spans="1:12">
      <c r="A3155" t="s">
        <v>4620</v>
      </c>
      <c r="B3155" t="s">
        <v>60</v>
      </c>
      <c r="C3155" t="s">
        <v>61</v>
      </c>
      <c r="D3155">
        <v>-58925</v>
      </c>
      <c r="E3155" t="s">
        <v>62</v>
      </c>
      <c r="F3155" t="s">
        <v>24</v>
      </c>
      <c r="G3155" t="s">
        <v>63</v>
      </c>
      <c r="H3155" t="s">
        <v>26</v>
      </c>
      <c r="I3155" t="s">
        <v>34</v>
      </c>
      <c r="J3155" s="11">
        <v>45037</v>
      </c>
      <c r="K3155" t="str">
        <f>TEXT(Transactions_Clean[[#This Row],[Date]],"MMM-YYYY")</f>
        <v>Apr-2023</v>
      </c>
      <c r="L3155">
        <f>IF(Transactions_Clean[[#This Row],[Category]]="Revenue",Transactions_Clean[[#This Row],[Amount(₹)]],Transactions_Clean[[#This Row],[Amount(₹)]]/8)</f>
        <v>-7365.625</v>
      </c>
    </row>
    <row r="3156" spans="1:12">
      <c r="A3156" t="s">
        <v>4621</v>
      </c>
      <c r="B3156" t="s">
        <v>129</v>
      </c>
      <c r="C3156" t="s">
        <v>38</v>
      </c>
      <c r="D3156">
        <v>-20622</v>
      </c>
      <c r="E3156" t="s">
        <v>23</v>
      </c>
      <c r="F3156" t="s">
        <v>32</v>
      </c>
      <c r="G3156" t="s">
        <v>33</v>
      </c>
      <c r="H3156" t="s">
        <v>45</v>
      </c>
      <c r="I3156" t="s">
        <v>27</v>
      </c>
      <c r="J3156" s="11">
        <v>45710</v>
      </c>
      <c r="K3156" t="str">
        <f>TEXT(Transactions_Clean[[#This Row],[Date]],"MMM-YYYY")</f>
        <v>Feb-2025</v>
      </c>
      <c r="L3156">
        <f>IF(Transactions_Clean[[#This Row],[Category]]="Revenue",Transactions_Clean[[#This Row],[Amount(₹)]],Transactions_Clean[[#This Row],[Amount(₹)]]/8)</f>
        <v>-2577.75</v>
      </c>
    </row>
    <row r="3157" spans="1:12">
      <c r="A3157" t="s">
        <v>4622</v>
      </c>
      <c r="B3157" t="s">
        <v>4759</v>
      </c>
      <c r="C3157" t="s">
        <v>31</v>
      </c>
      <c r="D3157">
        <v>-10597</v>
      </c>
      <c r="E3157" t="s">
        <v>23</v>
      </c>
      <c r="F3157" t="s">
        <v>32</v>
      </c>
      <c r="G3157" t="s">
        <v>33</v>
      </c>
      <c r="H3157" t="s">
        <v>45</v>
      </c>
      <c r="I3157" t="s">
        <v>40</v>
      </c>
      <c r="J3157" s="11">
        <v>45489</v>
      </c>
      <c r="K3157" t="str">
        <f>TEXT(Transactions_Clean[[#This Row],[Date]],"MMM-YYYY")</f>
        <v>Jul-2024</v>
      </c>
      <c r="L3157">
        <f>IF(Transactions_Clean[[#This Row],[Category]]="Revenue",Transactions_Clean[[#This Row],[Amount(₹)]],Transactions_Clean[[#This Row],[Amount(₹)]]/8)</f>
        <v>-1324.625</v>
      </c>
    </row>
    <row r="3158" spans="1:12">
      <c r="A3158" t="s">
        <v>4623</v>
      </c>
      <c r="B3158" t="s">
        <v>60</v>
      </c>
      <c r="C3158" t="s">
        <v>61</v>
      </c>
      <c r="D3158">
        <v>-38881</v>
      </c>
      <c r="E3158" t="s">
        <v>62</v>
      </c>
      <c r="F3158" t="s">
        <v>32</v>
      </c>
      <c r="G3158" t="s">
        <v>63</v>
      </c>
      <c r="H3158" t="s">
        <v>39</v>
      </c>
      <c r="I3158" t="s">
        <v>34</v>
      </c>
      <c r="J3158" s="11">
        <v>45797</v>
      </c>
      <c r="K3158" t="str">
        <f>TEXT(Transactions_Clean[[#This Row],[Date]],"MMM-YYYY")</f>
        <v>May-2025</v>
      </c>
      <c r="L3158">
        <f>IF(Transactions_Clean[[#This Row],[Category]]="Revenue",Transactions_Clean[[#This Row],[Amount(₹)]],Transactions_Clean[[#This Row],[Amount(₹)]]/8)</f>
        <v>-4860.125</v>
      </c>
    </row>
    <row r="3159" spans="1:12">
      <c r="A3159" t="s">
        <v>4624</v>
      </c>
      <c r="B3159" t="s">
        <v>202</v>
      </c>
      <c r="C3159" t="s">
        <v>22</v>
      </c>
      <c r="D3159">
        <v>-43540</v>
      </c>
      <c r="E3159" t="s">
        <v>23</v>
      </c>
      <c r="F3159" t="s">
        <v>32</v>
      </c>
      <c r="G3159" t="s">
        <v>25</v>
      </c>
      <c r="H3159" t="s">
        <v>39</v>
      </c>
      <c r="I3159" t="s">
        <v>40</v>
      </c>
      <c r="J3159" s="11">
        <v>45864</v>
      </c>
      <c r="K3159" t="str">
        <f>TEXT(Transactions_Clean[[#This Row],[Date]],"MMM-YYYY")</f>
        <v>Jul-2025</v>
      </c>
      <c r="L3159">
        <f>IF(Transactions_Clean[[#This Row],[Category]]="Revenue",Transactions_Clean[[#This Row],[Amount(₹)]],Transactions_Clean[[#This Row],[Amount(₹)]]/8)</f>
        <v>-5442.5</v>
      </c>
    </row>
    <row r="3160" spans="1:12">
      <c r="A3160" t="s">
        <v>4625</v>
      </c>
      <c r="B3160" t="s">
        <v>180</v>
      </c>
      <c r="C3160" t="s">
        <v>44</v>
      </c>
      <c r="D3160">
        <v>-93030</v>
      </c>
      <c r="E3160" t="s">
        <v>23</v>
      </c>
      <c r="F3160" t="s">
        <v>32</v>
      </c>
      <c r="G3160" t="s">
        <v>33</v>
      </c>
      <c r="H3160" t="s">
        <v>26</v>
      </c>
      <c r="I3160" t="s">
        <v>34</v>
      </c>
      <c r="J3160" s="11">
        <v>45067</v>
      </c>
      <c r="K3160" t="str">
        <f>TEXT(Transactions_Clean[[#This Row],[Date]],"MMM-YYYY")</f>
        <v>May-2023</v>
      </c>
      <c r="L3160">
        <f>IF(Transactions_Clean[[#This Row],[Category]]="Revenue",Transactions_Clean[[#This Row],[Amount(₹)]],Transactions_Clean[[#This Row],[Amount(₹)]]/8)</f>
        <v>-11628.75</v>
      </c>
    </row>
    <row r="3161" spans="1:12">
      <c r="A3161" t="s">
        <v>4627</v>
      </c>
      <c r="B3161" t="s">
        <v>345</v>
      </c>
      <c r="C3161" t="s">
        <v>22</v>
      </c>
      <c r="D3161">
        <v>-56956</v>
      </c>
      <c r="E3161" t="s">
        <v>23</v>
      </c>
      <c r="F3161" t="s">
        <v>32</v>
      </c>
      <c r="G3161" t="s">
        <v>25</v>
      </c>
      <c r="H3161" t="s">
        <v>26</v>
      </c>
      <c r="I3161" t="s">
        <v>27</v>
      </c>
      <c r="J3161" s="11">
        <v>45356</v>
      </c>
      <c r="K3161" t="str">
        <f>TEXT(Transactions_Clean[[#This Row],[Date]],"MMM-YYYY")</f>
        <v>Mar-2024</v>
      </c>
      <c r="L3161">
        <f>IF(Transactions_Clean[[#This Row],[Category]]="Revenue",Transactions_Clean[[#This Row],[Amount(₹)]],Transactions_Clean[[#This Row],[Amount(₹)]]/8)</f>
        <v>-7119.5</v>
      </c>
    </row>
    <row r="3162" spans="1:12">
      <c r="A3162" t="s">
        <v>4628</v>
      </c>
      <c r="B3162" t="s">
        <v>283</v>
      </c>
      <c r="C3162" t="s">
        <v>44</v>
      </c>
      <c r="D3162">
        <v>-155748</v>
      </c>
      <c r="E3162" t="s">
        <v>23</v>
      </c>
      <c r="F3162" t="s">
        <v>32</v>
      </c>
      <c r="G3162" t="s">
        <v>33</v>
      </c>
      <c r="H3162" t="s">
        <v>26</v>
      </c>
      <c r="I3162" t="s">
        <v>48</v>
      </c>
      <c r="J3162" s="11">
        <v>45289</v>
      </c>
      <c r="K3162" t="str">
        <f>TEXT(Transactions_Clean[[#This Row],[Date]],"MMM-YYYY")</f>
        <v>Dec-2023</v>
      </c>
      <c r="L3162">
        <f>IF(Transactions_Clean[[#This Row],[Category]]="Revenue",Transactions_Clean[[#This Row],[Amount(₹)]],Transactions_Clean[[#This Row],[Amount(₹)]]/8)</f>
        <v>-19468.5</v>
      </c>
    </row>
    <row r="3163" spans="1:12">
      <c r="A3163" t="s">
        <v>4630</v>
      </c>
      <c r="B3163" t="s">
        <v>60</v>
      </c>
      <c r="C3163" t="s">
        <v>61</v>
      </c>
      <c r="D3163">
        <v>-59174</v>
      </c>
      <c r="E3163" t="s">
        <v>62</v>
      </c>
      <c r="F3163" t="s">
        <v>32</v>
      </c>
      <c r="G3163" t="s">
        <v>63</v>
      </c>
      <c r="H3163" t="s">
        <v>45</v>
      </c>
      <c r="I3163" t="s">
        <v>40</v>
      </c>
      <c r="J3163" s="11">
        <v>45543</v>
      </c>
      <c r="K3163" t="str">
        <f>TEXT(Transactions_Clean[[#This Row],[Date]],"MMM-YYYY")</f>
        <v>Sep-2024</v>
      </c>
      <c r="L3163">
        <f>IF(Transactions_Clean[[#This Row],[Category]]="Revenue",Transactions_Clean[[#This Row],[Amount(₹)]],Transactions_Clean[[#This Row],[Amount(₹)]]/8)</f>
        <v>-7396.75</v>
      </c>
    </row>
    <row r="3164" spans="1:12">
      <c r="A3164" t="s">
        <v>4631</v>
      </c>
      <c r="B3164" t="s">
        <v>4753</v>
      </c>
      <c r="C3164" t="s">
        <v>38</v>
      </c>
      <c r="D3164">
        <v>-48387</v>
      </c>
      <c r="E3164" t="s">
        <v>23</v>
      </c>
      <c r="F3164" t="s">
        <v>24</v>
      </c>
      <c r="G3164" t="s">
        <v>33</v>
      </c>
      <c r="H3164" t="s">
        <v>45</v>
      </c>
      <c r="I3164" t="s">
        <v>40</v>
      </c>
      <c r="J3164" s="11">
        <v>45494</v>
      </c>
      <c r="K3164" t="str">
        <f>TEXT(Transactions_Clean[[#This Row],[Date]],"MMM-YYYY")</f>
        <v>Jul-2024</v>
      </c>
      <c r="L3164">
        <f>IF(Transactions_Clean[[#This Row],[Category]]="Revenue",Transactions_Clean[[#This Row],[Amount(₹)]],Transactions_Clean[[#This Row],[Amount(₹)]]/8)</f>
        <v>-6048.375</v>
      </c>
    </row>
    <row r="3165" spans="1:12">
      <c r="A3165" t="s">
        <v>4632</v>
      </c>
      <c r="B3165" t="s">
        <v>4753</v>
      </c>
      <c r="C3165" t="s">
        <v>4750</v>
      </c>
      <c r="D3165">
        <v>-46641</v>
      </c>
      <c r="E3165" t="s">
        <v>23</v>
      </c>
      <c r="F3165" t="s">
        <v>32</v>
      </c>
      <c r="G3165" t="s">
        <v>33</v>
      </c>
      <c r="H3165" t="s">
        <v>26</v>
      </c>
      <c r="I3165" t="s">
        <v>27</v>
      </c>
      <c r="J3165" s="11">
        <v>45365</v>
      </c>
      <c r="K3165" t="str">
        <f>TEXT(Transactions_Clean[[#This Row],[Date]],"MMM-YYYY")</f>
        <v>Mar-2024</v>
      </c>
      <c r="L3165">
        <f>IF(Transactions_Clean[[#This Row],[Category]]="Revenue",Transactions_Clean[[#This Row],[Amount(₹)]],Transactions_Clean[[#This Row],[Amount(₹)]]/8)</f>
        <v>-5830.125</v>
      </c>
    </row>
    <row r="3166" spans="1:12">
      <c r="A3166" t="s">
        <v>4633</v>
      </c>
      <c r="B3166" t="s">
        <v>180</v>
      </c>
      <c r="C3166" t="s">
        <v>44</v>
      </c>
      <c r="D3166">
        <v>-91126</v>
      </c>
      <c r="E3166" t="s">
        <v>23</v>
      </c>
      <c r="F3166" t="s">
        <v>24</v>
      </c>
      <c r="G3166" t="s">
        <v>33</v>
      </c>
      <c r="H3166" t="s">
        <v>45</v>
      </c>
      <c r="I3166" t="s">
        <v>40</v>
      </c>
      <c r="J3166" s="11">
        <v>45495</v>
      </c>
      <c r="K3166" t="str">
        <f>TEXT(Transactions_Clean[[#This Row],[Date]],"MMM-YYYY")</f>
        <v>Jul-2024</v>
      </c>
      <c r="L3166">
        <f>IF(Transactions_Clean[[#This Row],[Category]]="Revenue",Transactions_Clean[[#This Row],[Amount(₹)]],Transactions_Clean[[#This Row],[Amount(₹)]]/8)</f>
        <v>-11390.75</v>
      </c>
    </row>
    <row r="3167" spans="1:12">
      <c r="A3167" t="s">
        <v>4634</v>
      </c>
      <c r="B3167" t="s">
        <v>4758</v>
      </c>
      <c r="C3167" t="s">
        <v>78</v>
      </c>
      <c r="D3167">
        <v>-74921</v>
      </c>
      <c r="E3167" t="s">
        <v>23</v>
      </c>
      <c r="F3167" t="s">
        <v>32</v>
      </c>
      <c r="G3167" t="s">
        <v>79</v>
      </c>
      <c r="H3167" t="s">
        <v>39</v>
      </c>
      <c r="I3167" t="s">
        <v>34</v>
      </c>
      <c r="J3167" s="11">
        <v>45830</v>
      </c>
      <c r="K3167" t="str">
        <f>TEXT(Transactions_Clean[[#This Row],[Date]],"MMM-YYYY")</f>
        <v>Jun-2025</v>
      </c>
      <c r="L3167">
        <f>IF(Transactions_Clean[[#This Row],[Category]]="Revenue",Transactions_Clean[[#This Row],[Amount(₹)]],Transactions_Clean[[#This Row],[Amount(₹)]]/8)</f>
        <v>-9365.125</v>
      </c>
    </row>
    <row r="3168" spans="1:12">
      <c r="A3168" t="s">
        <v>4635</v>
      </c>
      <c r="B3168" t="s">
        <v>255</v>
      </c>
      <c r="C3168" t="s">
        <v>22</v>
      </c>
      <c r="D3168">
        <v>-179052</v>
      </c>
      <c r="E3168" t="s">
        <v>23</v>
      </c>
      <c r="F3168" t="s">
        <v>32</v>
      </c>
      <c r="G3168" t="s">
        <v>25</v>
      </c>
      <c r="H3168" t="s">
        <v>39</v>
      </c>
      <c r="I3168" t="s">
        <v>34</v>
      </c>
      <c r="J3168" s="11">
        <v>45756</v>
      </c>
      <c r="K3168" t="str">
        <f>TEXT(Transactions_Clean[[#This Row],[Date]],"MMM-YYYY")</f>
        <v>Apr-2025</v>
      </c>
      <c r="L3168">
        <f>IF(Transactions_Clean[[#This Row],[Category]]="Revenue",Transactions_Clean[[#This Row],[Amount(₹)]],Transactions_Clean[[#This Row],[Amount(₹)]]/8)</f>
        <v>-22381.5</v>
      </c>
    </row>
    <row r="3169" spans="1:12">
      <c r="A3169" t="s">
        <v>4636</v>
      </c>
      <c r="B3169" t="s">
        <v>4766</v>
      </c>
      <c r="C3169" t="s">
        <v>73</v>
      </c>
      <c r="D3169">
        <v>-9383</v>
      </c>
      <c r="E3169" t="s">
        <v>74</v>
      </c>
      <c r="F3169" t="s">
        <v>32</v>
      </c>
      <c r="G3169" t="s">
        <v>25</v>
      </c>
      <c r="H3169" t="s">
        <v>26</v>
      </c>
      <c r="I3169" t="s">
        <v>48</v>
      </c>
      <c r="J3169" s="11">
        <v>45231</v>
      </c>
      <c r="K3169" t="str">
        <f>TEXT(Transactions_Clean[[#This Row],[Date]],"MMM-YYYY")</f>
        <v>Nov-2023</v>
      </c>
      <c r="L3169">
        <f>IF(Transactions_Clean[[#This Row],[Category]]="Revenue",Transactions_Clean[[#This Row],[Amount(₹)]],Transactions_Clean[[#This Row],[Amount(₹)]]/8)</f>
        <v>-1172.875</v>
      </c>
    </row>
    <row r="3170" spans="1:12">
      <c r="A3170" t="s">
        <v>4637</v>
      </c>
      <c r="B3170" t="s">
        <v>4769</v>
      </c>
      <c r="C3170" t="s">
        <v>44</v>
      </c>
      <c r="D3170">
        <v>-78850</v>
      </c>
      <c r="E3170" t="s">
        <v>23</v>
      </c>
      <c r="F3170" t="s">
        <v>32</v>
      </c>
      <c r="G3170" t="s">
        <v>33</v>
      </c>
      <c r="H3170" t="s">
        <v>39</v>
      </c>
      <c r="I3170" t="s">
        <v>40</v>
      </c>
      <c r="J3170" s="11">
        <v>45915</v>
      </c>
      <c r="K3170" t="str">
        <f>TEXT(Transactions_Clean[[#This Row],[Date]],"MMM-YYYY")</f>
        <v>Sep-2025</v>
      </c>
      <c r="L3170">
        <f>IF(Transactions_Clean[[#This Row],[Category]]="Revenue",Transactions_Clean[[#This Row],[Amount(₹)]],Transactions_Clean[[#This Row],[Amount(₹)]]/8)</f>
        <v>-9856.25</v>
      </c>
    </row>
    <row r="3171" spans="1:12">
      <c r="A3171" t="s">
        <v>4638</v>
      </c>
      <c r="B3171" t="s">
        <v>687</v>
      </c>
      <c r="C3171" t="s">
        <v>44</v>
      </c>
      <c r="D3171">
        <v>-60618</v>
      </c>
      <c r="E3171" t="s">
        <v>23</v>
      </c>
      <c r="F3171" t="s">
        <v>24</v>
      </c>
      <c r="G3171" t="s">
        <v>33</v>
      </c>
      <c r="H3171" t="s">
        <v>26</v>
      </c>
      <c r="I3171" t="s">
        <v>27</v>
      </c>
      <c r="J3171" s="11">
        <v>45348</v>
      </c>
      <c r="K3171" t="str">
        <f>TEXT(Transactions_Clean[[#This Row],[Date]],"MMM-YYYY")</f>
        <v>Feb-2024</v>
      </c>
      <c r="L3171">
        <f>IF(Transactions_Clean[[#This Row],[Category]]="Revenue",Transactions_Clean[[#This Row],[Amount(₹)]],Transactions_Clean[[#This Row],[Amount(₹)]]/8)</f>
        <v>-7577.25</v>
      </c>
    </row>
    <row r="3172" spans="1:12">
      <c r="A3172" t="s">
        <v>4639</v>
      </c>
      <c r="B3172" t="s">
        <v>174</v>
      </c>
      <c r="C3172" t="s">
        <v>22</v>
      </c>
      <c r="D3172">
        <v>-178042</v>
      </c>
      <c r="E3172" t="s">
        <v>23</v>
      </c>
      <c r="F3172" t="s">
        <v>32</v>
      </c>
      <c r="G3172" t="s">
        <v>25</v>
      </c>
      <c r="H3172" t="s">
        <v>39</v>
      </c>
      <c r="I3172" t="s">
        <v>48</v>
      </c>
      <c r="J3172" s="11">
        <v>45788</v>
      </c>
      <c r="K3172" t="str">
        <f>TEXT(Transactions_Clean[[#This Row],[Date]],"MMM-YYYY")</f>
        <v>May-2025</v>
      </c>
      <c r="L3172">
        <f>IF(Transactions_Clean[[#This Row],[Category]]="Revenue",Transactions_Clean[[#This Row],[Amount(₹)]],Transactions_Clean[[#This Row],[Amount(₹)]]/8)</f>
        <v>-22255.25</v>
      </c>
    </row>
    <row r="3173" spans="1:12">
      <c r="A3173" t="s">
        <v>4641</v>
      </c>
      <c r="B3173" t="s">
        <v>4769</v>
      </c>
      <c r="C3173" t="s">
        <v>44</v>
      </c>
      <c r="D3173">
        <v>-110514</v>
      </c>
      <c r="E3173" t="s">
        <v>23</v>
      </c>
      <c r="F3173" t="s">
        <v>32</v>
      </c>
      <c r="G3173" t="s">
        <v>33</v>
      </c>
      <c r="H3173" t="s">
        <v>45</v>
      </c>
      <c r="I3173" t="s">
        <v>27</v>
      </c>
      <c r="J3173" s="11">
        <v>45681</v>
      </c>
      <c r="K3173" t="str">
        <f>TEXT(Transactions_Clean[[#This Row],[Date]],"MMM-YYYY")</f>
        <v>Jan-2025</v>
      </c>
      <c r="L3173">
        <f>IF(Transactions_Clean[[#This Row],[Category]]="Revenue",Transactions_Clean[[#This Row],[Amount(₹)]],Transactions_Clean[[#This Row],[Amount(₹)]]/8)</f>
        <v>-13814.25</v>
      </c>
    </row>
    <row r="3174" spans="1:12">
      <c r="A3174" t="s">
        <v>4642</v>
      </c>
      <c r="B3174" t="s">
        <v>106</v>
      </c>
      <c r="C3174" t="s">
        <v>31</v>
      </c>
      <c r="D3174">
        <v>-15432</v>
      </c>
      <c r="E3174" t="s">
        <v>23</v>
      </c>
      <c r="F3174" t="s">
        <v>32</v>
      </c>
      <c r="G3174" t="s">
        <v>33</v>
      </c>
      <c r="H3174" t="s">
        <v>26</v>
      </c>
      <c r="I3174" t="s">
        <v>40</v>
      </c>
      <c r="J3174" s="11">
        <v>45125</v>
      </c>
      <c r="K3174" t="str">
        <f>TEXT(Transactions_Clean[[#This Row],[Date]],"MMM-YYYY")</f>
        <v>Jul-2023</v>
      </c>
      <c r="L3174">
        <f>IF(Transactions_Clean[[#This Row],[Category]]="Revenue",Transactions_Clean[[#This Row],[Amount(₹)]],Transactions_Clean[[#This Row],[Amount(₹)]]/8)</f>
        <v>-1929</v>
      </c>
    </row>
    <row r="3175" spans="1:12">
      <c r="A3175" t="s">
        <v>4643</v>
      </c>
      <c r="B3175" t="s">
        <v>4807</v>
      </c>
      <c r="C3175" t="s">
        <v>136</v>
      </c>
      <c r="D3175">
        <v>-10631716</v>
      </c>
      <c r="E3175" t="s">
        <v>62</v>
      </c>
      <c r="F3175" t="s">
        <v>32</v>
      </c>
      <c r="G3175" t="s">
        <v>63</v>
      </c>
      <c r="H3175" t="s">
        <v>45</v>
      </c>
      <c r="I3175" t="s">
        <v>40</v>
      </c>
      <c r="J3175" s="11">
        <v>45532</v>
      </c>
      <c r="K3175" t="str">
        <f>TEXT(Transactions_Clean[[#This Row],[Date]],"MMM-YYYY")</f>
        <v>Aug-2024</v>
      </c>
      <c r="L3175">
        <f>IF(Transactions_Clean[[#This Row],[Category]]="Revenue",Transactions_Clean[[#This Row],[Amount(₹)]],Transactions_Clean[[#This Row],[Amount(₹)]]/8)</f>
        <v>-1328964.5</v>
      </c>
    </row>
    <row r="3176" spans="1:12">
      <c r="A3176" t="s">
        <v>4645</v>
      </c>
      <c r="B3176" t="s">
        <v>4748</v>
      </c>
      <c r="C3176" t="s">
        <v>22</v>
      </c>
      <c r="D3176">
        <v>-200394</v>
      </c>
      <c r="E3176" t="s">
        <v>23</v>
      </c>
      <c r="F3176" t="s">
        <v>32</v>
      </c>
      <c r="G3176" t="s">
        <v>25</v>
      </c>
      <c r="H3176" t="s">
        <v>39</v>
      </c>
      <c r="I3176" t="s">
        <v>27</v>
      </c>
      <c r="J3176" s="11">
        <v>46087</v>
      </c>
      <c r="K3176" t="str">
        <f>TEXT(Transactions_Clean[[#This Row],[Date]],"MMM-YYYY")</f>
        <v>Mar-2026</v>
      </c>
      <c r="L3176">
        <f>IF(Transactions_Clean[[#This Row],[Category]]="Revenue",Transactions_Clean[[#This Row],[Amount(₹)]],Transactions_Clean[[#This Row],[Amount(₹)]]/8)</f>
        <v>-25049.25</v>
      </c>
    </row>
    <row r="3177" spans="1:12">
      <c r="A3177" t="s">
        <v>4646</v>
      </c>
      <c r="B3177" t="s">
        <v>215</v>
      </c>
      <c r="C3177" t="s">
        <v>61</v>
      </c>
      <c r="D3177">
        <v>-34632</v>
      </c>
      <c r="E3177" t="s">
        <v>62</v>
      </c>
      <c r="F3177" t="s">
        <v>32</v>
      </c>
      <c r="G3177" t="s">
        <v>63</v>
      </c>
      <c r="H3177" t="s">
        <v>39</v>
      </c>
      <c r="I3177" t="s">
        <v>34</v>
      </c>
      <c r="J3177" s="11">
        <v>45798</v>
      </c>
      <c r="K3177" t="str">
        <f>TEXT(Transactions_Clean[[#This Row],[Date]],"MMM-YYYY")</f>
        <v>May-2025</v>
      </c>
      <c r="L3177">
        <f>IF(Transactions_Clean[[#This Row],[Category]]="Revenue",Transactions_Clean[[#This Row],[Amount(₹)]],Transactions_Clean[[#This Row],[Amount(₹)]]/8)</f>
        <v>-4329</v>
      </c>
    </row>
    <row r="3178" spans="1:12">
      <c r="A3178" t="s">
        <v>4647</v>
      </c>
      <c r="B3178" t="s">
        <v>51</v>
      </c>
      <c r="C3178" t="s">
        <v>31</v>
      </c>
      <c r="D3178">
        <v>-13459</v>
      </c>
      <c r="E3178" t="s">
        <v>23</v>
      </c>
      <c r="F3178" t="s">
        <v>24</v>
      </c>
      <c r="G3178" t="s">
        <v>33</v>
      </c>
      <c r="H3178" t="s">
        <v>39</v>
      </c>
      <c r="I3178" t="s">
        <v>48</v>
      </c>
      <c r="J3178" s="11">
        <v>45934</v>
      </c>
      <c r="K3178" t="str">
        <f>TEXT(Transactions_Clean[[#This Row],[Date]],"MMM-YYYY")</f>
        <v>Oct-2025</v>
      </c>
      <c r="L3178">
        <f>IF(Transactions_Clean[[#This Row],[Category]]="Revenue",Transactions_Clean[[#This Row],[Amount(₹)]],Transactions_Clean[[#This Row],[Amount(₹)]]/8)</f>
        <v>-1682.375</v>
      </c>
    </row>
    <row r="3179" spans="1:12">
      <c r="A3179" t="s">
        <v>4648</v>
      </c>
      <c r="B3179" t="s">
        <v>4757</v>
      </c>
      <c r="C3179" t="s">
        <v>73</v>
      </c>
      <c r="D3179">
        <v>-91611</v>
      </c>
      <c r="E3179" t="s">
        <v>74</v>
      </c>
      <c r="F3179" t="s">
        <v>24</v>
      </c>
      <c r="G3179" t="s">
        <v>25</v>
      </c>
      <c r="H3179" t="s">
        <v>26</v>
      </c>
      <c r="I3179" t="s">
        <v>34</v>
      </c>
      <c r="J3179" s="11">
        <v>45055</v>
      </c>
      <c r="K3179" t="str">
        <f>TEXT(Transactions_Clean[[#This Row],[Date]],"MMM-YYYY")</f>
        <v>May-2023</v>
      </c>
      <c r="L3179">
        <f>IF(Transactions_Clean[[#This Row],[Category]]="Revenue",Transactions_Clean[[#This Row],[Amount(₹)]],Transactions_Clean[[#This Row],[Amount(₹)]]/8)</f>
        <v>-11451.375</v>
      </c>
    </row>
    <row r="3180" spans="1:12">
      <c r="A3180" t="s">
        <v>4649</v>
      </c>
      <c r="B3180" t="s">
        <v>87</v>
      </c>
      <c r="C3180" t="s">
        <v>22</v>
      </c>
      <c r="D3180">
        <v>-120733</v>
      </c>
      <c r="E3180" t="s">
        <v>23</v>
      </c>
      <c r="F3180" t="s">
        <v>32</v>
      </c>
      <c r="G3180" t="s">
        <v>25</v>
      </c>
      <c r="H3180" t="s">
        <v>39</v>
      </c>
      <c r="I3180" t="s">
        <v>40</v>
      </c>
      <c r="J3180" s="11">
        <v>45899</v>
      </c>
      <c r="K3180" t="str">
        <f>TEXT(Transactions_Clean[[#This Row],[Date]],"MMM-YYYY")</f>
        <v>Aug-2025</v>
      </c>
      <c r="L3180">
        <f>IF(Transactions_Clean[[#This Row],[Category]]="Revenue",Transactions_Clean[[#This Row],[Amount(₹)]],Transactions_Clean[[#This Row],[Amount(₹)]]/8)</f>
        <v>-15091.625</v>
      </c>
    </row>
    <row r="3181" spans="1:12">
      <c r="A3181" t="s">
        <v>4651</v>
      </c>
      <c r="B3181" t="s">
        <v>66</v>
      </c>
      <c r="C3181" t="s">
        <v>61</v>
      </c>
      <c r="D3181">
        <v>-33455</v>
      </c>
      <c r="E3181" t="s">
        <v>62</v>
      </c>
      <c r="F3181" t="s">
        <v>24</v>
      </c>
      <c r="G3181" t="s">
        <v>63</v>
      </c>
      <c r="H3181" t="s">
        <v>45</v>
      </c>
      <c r="I3181" t="s">
        <v>27</v>
      </c>
      <c r="J3181" s="11">
        <v>45663</v>
      </c>
      <c r="K3181" t="str">
        <f>TEXT(Transactions_Clean[[#This Row],[Date]],"MMM-YYYY")</f>
        <v>Jan-2025</v>
      </c>
      <c r="L3181">
        <f>IF(Transactions_Clean[[#This Row],[Category]]="Revenue",Transactions_Clean[[#This Row],[Amount(₹)]],Transactions_Clean[[#This Row],[Amount(₹)]]/8)</f>
        <v>-4181.875</v>
      </c>
    </row>
    <row r="3182" spans="1:12">
      <c r="A3182" t="s">
        <v>4652</v>
      </c>
      <c r="B3182" t="s">
        <v>4752</v>
      </c>
      <c r="C3182" t="s">
        <v>44</v>
      </c>
      <c r="D3182">
        <v>-173334</v>
      </c>
      <c r="E3182" t="s">
        <v>23</v>
      </c>
      <c r="F3182" t="s">
        <v>24</v>
      </c>
      <c r="G3182" t="s">
        <v>33</v>
      </c>
      <c r="H3182" t="s">
        <v>39</v>
      </c>
      <c r="I3182" t="s">
        <v>27</v>
      </c>
      <c r="J3182" s="11">
        <v>46100</v>
      </c>
      <c r="K3182" t="str">
        <f>TEXT(Transactions_Clean[[#This Row],[Date]],"MMM-YYYY")</f>
        <v>Mar-2026</v>
      </c>
      <c r="L3182">
        <f>IF(Transactions_Clean[[#This Row],[Category]]="Revenue",Transactions_Clean[[#This Row],[Amount(₹)]],Transactions_Clean[[#This Row],[Amount(₹)]]/8)</f>
        <v>-21666.75</v>
      </c>
    </row>
    <row r="3183" spans="1:12">
      <c r="A3183" t="s">
        <v>4654</v>
      </c>
      <c r="B3183" t="s">
        <v>169</v>
      </c>
      <c r="C3183" t="s">
        <v>73</v>
      </c>
      <c r="D3183">
        <v>-87443</v>
      </c>
      <c r="E3183" t="s">
        <v>74</v>
      </c>
      <c r="F3183" t="s">
        <v>24</v>
      </c>
      <c r="G3183" t="s">
        <v>25</v>
      </c>
      <c r="H3183" t="s">
        <v>39</v>
      </c>
      <c r="I3183" t="s">
        <v>40</v>
      </c>
      <c r="J3183" s="11">
        <v>45855</v>
      </c>
      <c r="K3183" t="str">
        <f>TEXT(Transactions_Clean[[#This Row],[Date]],"MMM-YYYY")</f>
        <v>Jul-2025</v>
      </c>
      <c r="L3183">
        <f>IF(Transactions_Clean[[#This Row],[Category]]="Revenue",Transactions_Clean[[#This Row],[Amount(₹)]],Transactions_Clean[[#This Row],[Amount(₹)]]/8)</f>
        <v>-10930.375</v>
      </c>
    </row>
    <row r="3184" spans="1:12">
      <c r="A3184" t="s">
        <v>4655</v>
      </c>
      <c r="B3184" t="s">
        <v>60</v>
      </c>
      <c r="C3184" t="s">
        <v>61</v>
      </c>
      <c r="D3184">
        <v>-43341</v>
      </c>
      <c r="E3184" t="s">
        <v>62</v>
      </c>
      <c r="F3184" t="s">
        <v>32</v>
      </c>
      <c r="G3184" t="s">
        <v>63</v>
      </c>
      <c r="H3184" t="s">
        <v>39</v>
      </c>
      <c r="I3184" t="s">
        <v>27</v>
      </c>
      <c r="J3184" s="11">
        <v>46056</v>
      </c>
      <c r="K3184" t="str">
        <f>TEXT(Transactions_Clean[[#This Row],[Date]],"MMM-YYYY")</f>
        <v>Feb-2026</v>
      </c>
      <c r="L3184">
        <f>IF(Transactions_Clean[[#This Row],[Category]]="Revenue",Transactions_Clean[[#This Row],[Amount(₹)]],Transactions_Clean[[#This Row],[Amount(₹)]]/8)</f>
        <v>-5417.625</v>
      </c>
    </row>
    <row r="3185" spans="1:12">
      <c r="A3185" t="s">
        <v>4656</v>
      </c>
      <c r="B3185" t="s">
        <v>60</v>
      </c>
      <c r="C3185" t="s">
        <v>61</v>
      </c>
      <c r="D3185">
        <v>-17671</v>
      </c>
      <c r="E3185" t="s">
        <v>62</v>
      </c>
      <c r="F3185" t="s">
        <v>32</v>
      </c>
      <c r="G3185" t="s">
        <v>63</v>
      </c>
      <c r="H3185" t="s">
        <v>39</v>
      </c>
      <c r="I3185" t="s">
        <v>27</v>
      </c>
      <c r="J3185" s="11">
        <v>46108</v>
      </c>
      <c r="K3185" t="str">
        <f>TEXT(Transactions_Clean[[#This Row],[Date]],"MMM-YYYY")</f>
        <v>Mar-2026</v>
      </c>
      <c r="L3185">
        <f>IF(Transactions_Clean[[#This Row],[Category]]="Revenue",Transactions_Clean[[#This Row],[Amount(₹)]],Transactions_Clean[[#This Row],[Amount(₹)]]/8)</f>
        <v>-2208.875</v>
      </c>
    </row>
    <row r="3186" spans="1:12">
      <c r="A3186" t="s">
        <v>4657</v>
      </c>
      <c r="B3186" t="s">
        <v>4756</v>
      </c>
      <c r="C3186" t="s">
        <v>73</v>
      </c>
      <c r="D3186">
        <v>-45914</v>
      </c>
      <c r="E3186" t="s">
        <v>74</v>
      </c>
      <c r="F3186" t="s">
        <v>24</v>
      </c>
      <c r="G3186" t="s">
        <v>25</v>
      </c>
      <c r="H3186" t="s">
        <v>26</v>
      </c>
      <c r="I3186" t="s">
        <v>40</v>
      </c>
      <c r="J3186" s="11">
        <v>45115</v>
      </c>
      <c r="K3186" t="str">
        <f>TEXT(Transactions_Clean[[#This Row],[Date]],"MMM-YYYY")</f>
        <v>Jul-2023</v>
      </c>
      <c r="L3186">
        <f>IF(Transactions_Clean[[#This Row],[Category]]="Revenue",Transactions_Clean[[#This Row],[Amount(₹)]],Transactions_Clean[[#This Row],[Amount(₹)]]/8)</f>
        <v>-5739.25</v>
      </c>
    </row>
    <row r="3187" spans="1:12">
      <c r="A3187" t="s">
        <v>4658</v>
      </c>
      <c r="B3187" t="s">
        <v>4757</v>
      </c>
      <c r="C3187" t="s">
        <v>73</v>
      </c>
      <c r="D3187">
        <v>-73248</v>
      </c>
      <c r="E3187" t="s">
        <v>74</v>
      </c>
      <c r="F3187" t="s">
        <v>32</v>
      </c>
      <c r="G3187" t="s">
        <v>25</v>
      </c>
      <c r="H3187" t="s">
        <v>45</v>
      </c>
      <c r="I3187" t="s">
        <v>34</v>
      </c>
      <c r="J3187" s="11">
        <v>45460</v>
      </c>
      <c r="K3187" t="str">
        <f>TEXT(Transactions_Clean[[#This Row],[Date]],"MMM-YYYY")</f>
        <v>Jun-2024</v>
      </c>
      <c r="L3187">
        <f>IF(Transactions_Clean[[#This Row],[Category]]="Revenue",Transactions_Clean[[#This Row],[Amount(₹)]],Transactions_Clean[[#This Row],[Amount(₹)]]/8)</f>
        <v>-9156</v>
      </c>
    </row>
    <row r="3188" spans="1:12">
      <c r="A3188" t="s">
        <v>4659</v>
      </c>
      <c r="B3188" t="s">
        <v>116</v>
      </c>
      <c r="C3188" t="s">
        <v>73</v>
      </c>
      <c r="D3188">
        <v>-72210</v>
      </c>
      <c r="E3188" t="s">
        <v>74</v>
      </c>
      <c r="F3188" t="s">
        <v>32</v>
      </c>
      <c r="G3188" t="s">
        <v>25</v>
      </c>
      <c r="H3188" t="s">
        <v>45</v>
      </c>
      <c r="I3188" t="s">
        <v>48</v>
      </c>
      <c r="J3188" s="11">
        <v>45577</v>
      </c>
      <c r="K3188" t="str">
        <f>TEXT(Transactions_Clean[[#This Row],[Date]],"MMM-YYYY")</f>
        <v>Oct-2024</v>
      </c>
      <c r="L3188">
        <f>IF(Transactions_Clean[[#This Row],[Category]]="Revenue",Transactions_Clean[[#This Row],[Amount(₹)]],Transactions_Clean[[#This Row],[Amount(₹)]]/8)</f>
        <v>-9026.25</v>
      </c>
    </row>
    <row r="3189" spans="1:12">
      <c r="A3189" t="s">
        <v>4660</v>
      </c>
      <c r="B3189" t="s">
        <v>4773</v>
      </c>
      <c r="C3189" t="s">
        <v>157</v>
      </c>
      <c r="D3189">
        <v>622739</v>
      </c>
      <c r="E3189" t="s">
        <v>62</v>
      </c>
      <c r="F3189" t="s">
        <v>32</v>
      </c>
      <c r="G3189" t="s">
        <v>25</v>
      </c>
      <c r="H3189" t="s">
        <v>45</v>
      </c>
      <c r="I3189" t="s">
        <v>27</v>
      </c>
      <c r="J3189" s="11">
        <v>45680</v>
      </c>
      <c r="K3189" t="str">
        <f>TEXT(Transactions_Clean[[#This Row],[Date]],"MMM-YYYY")</f>
        <v>Jan-2025</v>
      </c>
      <c r="L3189">
        <f>IF(Transactions_Clean[[#This Row],[Category]]="Revenue",Transactions_Clean[[#This Row],[Amount(₹)]],Transactions_Clean[[#This Row],[Amount(₹)]]/8)</f>
        <v>622739</v>
      </c>
    </row>
    <row r="3190" spans="1:12">
      <c r="A3190" t="s">
        <v>4661</v>
      </c>
      <c r="B3190" t="s">
        <v>60</v>
      </c>
      <c r="C3190" t="s">
        <v>61</v>
      </c>
      <c r="D3190">
        <v>-50758</v>
      </c>
      <c r="E3190" t="s">
        <v>62</v>
      </c>
      <c r="F3190" t="s">
        <v>32</v>
      </c>
      <c r="G3190" t="s">
        <v>63</v>
      </c>
      <c r="H3190" t="s">
        <v>39</v>
      </c>
      <c r="I3190" t="s">
        <v>48</v>
      </c>
      <c r="J3190" s="11">
        <v>45972</v>
      </c>
      <c r="K3190" t="str">
        <f>TEXT(Transactions_Clean[[#This Row],[Date]],"MMM-YYYY")</f>
        <v>Nov-2025</v>
      </c>
      <c r="L3190">
        <f>IF(Transactions_Clean[[#This Row],[Category]]="Revenue",Transactions_Clean[[#This Row],[Amount(₹)]],Transactions_Clean[[#This Row],[Amount(₹)]]/8)</f>
        <v>-6344.75</v>
      </c>
    </row>
    <row r="3191" spans="1:12">
      <c r="A3191" t="s">
        <v>4662</v>
      </c>
      <c r="B3191" t="s">
        <v>66</v>
      </c>
      <c r="C3191" t="s">
        <v>61</v>
      </c>
      <c r="D3191">
        <v>-47190</v>
      </c>
      <c r="E3191" t="s">
        <v>62</v>
      </c>
      <c r="F3191" t="s">
        <v>24</v>
      </c>
      <c r="G3191" t="s">
        <v>63</v>
      </c>
      <c r="H3191" t="s">
        <v>26</v>
      </c>
      <c r="I3191" t="s">
        <v>34</v>
      </c>
      <c r="J3191" s="11">
        <v>45041</v>
      </c>
      <c r="K3191" t="str">
        <f>TEXT(Transactions_Clean[[#This Row],[Date]],"MMM-YYYY")</f>
        <v>Apr-2023</v>
      </c>
      <c r="L3191">
        <f>IF(Transactions_Clean[[#This Row],[Category]]="Revenue",Transactions_Clean[[#This Row],[Amount(₹)]],Transactions_Clean[[#This Row],[Amount(₹)]]/8)</f>
        <v>-5898.75</v>
      </c>
    </row>
    <row r="3192" spans="1:12">
      <c r="A3192" t="s">
        <v>4663</v>
      </c>
      <c r="B3192" t="s">
        <v>60</v>
      </c>
      <c r="C3192" t="s">
        <v>61</v>
      </c>
      <c r="D3192">
        <v>-58777</v>
      </c>
      <c r="E3192" t="s">
        <v>62</v>
      </c>
      <c r="F3192" t="s">
        <v>32</v>
      </c>
      <c r="G3192" t="s">
        <v>63</v>
      </c>
      <c r="H3192" t="s">
        <v>45</v>
      </c>
      <c r="I3192" t="s">
        <v>34</v>
      </c>
      <c r="J3192" s="11">
        <v>45473</v>
      </c>
      <c r="K3192" t="str">
        <f>TEXT(Transactions_Clean[[#This Row],[Date]],"MMM-YYYY")</f>
        <v>Jun-2024</v>
      </c>
      <c r="L3192">
        <f>IF(Transactions_Clean[[#This Row],[Category]]="Revenue",Transactions_Clean[[#This Row],[Amount(₹)]],Transactions_Clean[[#This Row],[Amount(₹)]]/8)</f>
        <v>-7347.125</v>
      </c>
    </row>
    <row r="3193" spans="1:12">
      <c r="A3193" t="s">
        <v>4664</v>
      </c>
      <c r="B3193" t="s">
        <v>4767</v>
      </c>
      <c r="C3193" t="s">
        <v>157</v>
      </c>
      <c r="D3193">
        <v>707397</v>
      </c>
      <c r="E3193" t="s">
        <v>62</v>
      </c>
      <c r="F3193" t="s">
        <v>32</v>
      </c>
      <c r="G3193" t="s">
        <v>25</v>
      </c>
      <c r="H3193" t="s">
        <v>39</v>
      </c>
      <c r="I3193" t="s">
        <v>27</v>
      </c>
      <c r="J3193" s="11">
        <v>46105</v>
      </c>
      <c r="K3193" t="str">
        <f>TEXT(Transactions_Clean[[#This Row],[Date]],"MMM-YYYY")</f>
        <v>Mar-2026</v>
      </c>
      <c r="L3193">
        <f>IF(Transactions_Clean[[#This Row],[Category]]="Revenue",Transactions_Clean[[#This Row],[Amount(₹)]],Transactions_Clean[[#This Row],[Amount(₹)]]/8)</f>
        <v>707397</v>
      </c>
    </row>
    <row r="3194" spans="1:12">
      <c r="A3194" t="s">
        <v>4665</v>
      </c>
      <c r="B3194" t="s">
        <v>4754</v>
      </c>
      <c r="C3194" t="s">
        <v>78</v>
      </c>
      <c r="D3194">
        <v>-28235</v>
      </c>
      <c r="E3194" t="s">
        <v>23</v>
      </c>
      <c r="F3194" t="s">
        <v>32</v>
      </c>
      <c r="G3194" t="s">
        <v>79</v>
      </c>
      <c r="H3194" t="s">
        <v>26</v>
      </c>
      <c r="I3194" t="s">
        <v>40</v>
      </c>
      <c r="J3194" s="11">
        <v>45191</v>
      </c>
      <c r="K3194" t="str">
        <f>TEXT(Transactions_Clean[[#This Row],[Date]],"MMM-YYYY")</f>
        <v>Sep-2023</v>
      </c>
      <c r="L3194">
        <f>IF(Transactions_Clean[[#This Row],[Category]]="Revenue",Transactions_Clean[[#This Row],[Amount(₹)]],Transactions_Clean[[#This Row],[Amount(₹)]]/8)</f>
        <v>-3529.375</v>
      </c>
    </row>
    <row r="3195" spans="1:12">
      <c r="A3195" t="s">
        <v>4666</v>
      </c>
      <c r="B3195" t="s">
        <v>180</v>
      </c>
      <c r="C3195" t="s">
        <v>44</v>
      </c>
      <c r="D3195">
        <v>-78616</v>
      </c>
      <c r="E3195" t="s">
        <v>23</v>
      </c>
      <c r="F3195" t="s">
        <v>32</v>
      </c>
      <c r="G3195" t="s">
        <v>33</v>
      </c>
      <c r="H3195" t="s">
        <v>45</v>
      </c>
      <c r="I3195" t="s">
        <v>48</v>
      </c>
      <c r="J3195" s="11">
        <v>45595</v>
      </c>
      <c r="K3195" t="str">
        <f>TEXT(Transactions_Clean[[#This Row],[Date]],"MMM-YYYY")</f>
        <v>Oct-2024</v>
      </c>
      <c r="L3195">
        <f>IF(Transactions_Clean[[#This Row],[Category]]="Revenue",Transactions_Clean[[#This Row],[Amount(₹)]],Transactions_Clean[[#This Row],[Amount(₹)]]/8)</f>
        <v>-9827</v>
      </c>
    </row>
    <row r="3196" spans="1:12">
      <c r="A3196" t="s">
        <v>4667</v>
      </c>
      <c r="B3196" t="s">
        <v>4808</v>
      </c>
      <c r="C3196" t="s">
        <v>136</v>
      </c>
      <c r="D3196">
        <v>-10474381</v>
      </c>
      <c r="E3196" t="s">
        <v>62</v>
      </c>
      <c r="F3196" t="s">
        <v>32</v>
      </c>
      <c r="G3196" t="s">
        <v>63</v>
      </c>
      <c r="H3196" t="s">
        <v>39</v>
      </c>
      <c r="I3196" t="s">
        <v>34</v>
      </c>
      <c r="J3196" s="11">
        <v>45775</v>
      </c>
      <c r="K3196" t="str">
        <f>TEXT(Transactions_Clean[[#This Row],[Date]],"MMM-YYYY")</f>
        <v>Apr-2025</v>
      </c>
      <c r="L3196">
        <f>IF(Transactions_Clean[[#This Row],[Category]]="Revenue",Transactions_Clean[[#This Row],[Amount(₹)]],Transactions_Clean[[#This Row],[Amount(₹)]]/8)</f>
        <v>-1309297.625</v>
      </c>
    </row>
    <row r="3197" spans="1:12">
      <c r="A3197" t="s">
        <v>4669</v>
      </c>
      <c r="B3197" t="s">
        <v>37</v>
      </c>
      <c r="C3197" t="s">
        <v>4750</v>
      </c>
      <c r="D3197">
        <v>-51671</v>
      </c>
      <c r="E3197" t="s">
        <v>23</v>
      </c>
      <c r="F3197" t="s">
        <v>24</v>
      </c>
      <c r="G3197" t="s">
        <v>33</v>
      </c>
      <c r="H3197" t="s">
        <v>39</v>
      </c>
      <c r="I3197" t="s">
        <v>27</v>
      </c>
      <c r="J3197" s="11">
        <v>46038</v>
      </c>
      <c r="K3197" t="str">
        <f>TEXT(Transactions_Clean[[#This Row],[Date]],"MMM-YYYY")</f>
        <v>Jan-2026</v>
      </c>
      <c r="L3197">
        <f>IF(Transactions_Clean[[#This Row],[Category]]="Revenue",Transactions_Clean[[#This Row],[Amount(₹)]],Transactions_Clean[[#This Row],[Amount(₹)]]/8)</f>
        <v>-6458.875</v>
      </c>
    </row>
    <row r="3198" spans="1:12">
      <c r="A3198" t="s">
        <v>4670</v>
      </c>
      <c r="B3198" t="s">
        <v>51</v>
      </c>
      <c r="C3198" t="s">
        <v>31</v>
      </c>
      <c r="D3198">
        <v>-37207</v>
      </c>
      <c r="E3198" t="s">
        <v>23</v>
      </c>
      <c r="F3198" t="s">
        <v>32</v>
      </c>
      <c r="G3198" t="s">
        <v>33</v>
      </c>
      <c r="H3198" t="s">
        <v>45</v>
      </c>
      <c r="I3198" t="s">
        <v>48</v>
      </c>
      <c r="J3198" s="11">
        <v>45626</v>
      </c>
      <c r="K3198" t="str">
        <f>TEXT(Transactions_Clean[[#This Row],[Date]],"MMM-YYYY")</f>
        <v>Nov-2024</v>
      </c>
      <c r="L3198">
        <f>IF(Transactions_Clean[[#This Row],[Category]]="Revenue",Transactions_Clean[[#This Row],[Amount(₹)]],Transactions_Clean[[#This Row],[Amount(₹)]]/8)</f>
        <v>-4650.875</v>
      </c>
    </row>
    <row r="3199" spans="1:12">
      <c r="A3199" t="s">
        <v>4671</v>
      </c>
      <c r="B3199" t="s">
        <v>60</v>
      </c>
      <c r="C3199" t="s">
        <v>61</v>
      </c>
      <c r="D3199">
        <v>-12803</v>
      </c>
      <c r="E3199" t="s">
        <v>62</v>
      </c>
      <c r="F3199" t="s">
        <v>32</v>
      </c>
      <c r="G3199" t="s">
        <v>63</v>
      </c>
      <c r="H3199" t="s">
        <v>26</v>
      </c>
      <c r="I3199" t="s">
        <v>34</v>
      </c>
      <c r="J3199" s="11">
        <v>45065</v>
      </c>
      <c r="K3199" t="str">
        <f>TEXT(Transactions_Clean[[#This Row],[Date]],"MMM-YYYY")</f>
        <v>May-2023</v>
      </c>
      <c r="L3199">
        <f>IF(Transactions_Clean[[#This Row],[Category]]="Revenue",Transactions_Clean[[#This Row],[Amount(₹)]],Transactions_Clean[[#This Row],[Amount(₹)]]/8)</f>
        <v>-1600.375</v>
      </c>
    </row>
    <row r="3200" spans="1:12">
      <c r="A3200" t="s">
        <v>4672</v>
      </c>
      <c r="B3200" t="s">
        <v>4748</v>
      </c>
      <c r="C3200" t="s">
        <v>22</v>
      </c>
      <c r="D3200">
        <v>-201385</v>
      </c>
      <c r="E3200" t="s">
        <v>23</v>
      </c>
      <c r="F3200" t="s">
        <v>24</v>
      </c>
      <c r="G3200" t="s">
        <v>25</v>
      </c>
      <c r="H3200" t="s">
        <v>45</v>
      </c>
      <c r="I3200" t="s">
        <v>48</v>
      </c>
      <c r="J3200" s="11">
        <v>45605</v>
      </c>
      <c r="K3200" t="str">
        <f>TEXT(Transactions_Clean[[#This Row],[Date]],"MMM-YYYY")</f>
        <v>Nov-2024</v>
      </c>
      <c r="L3200">
        <f>IF(Transactions_Clean[[#This Row],[Category]]="Revenue",Transactions_Clean[[#This Row],[Amount(₹)]],Transactions_Clean[[#This Row],[Amount(₹)]]/8)</f>
        <v>-25173.125</v>
      </c>
    </row>
    <row r="3201" spans="1:12">
      <c r="A3201" t="s">
        <v>4674</v>
      </c>
      <c r="B3201" t="s">
        <v>60</v>
      </c>
      <c r="C3201" t="s">
        <v>61</v>
      </c>
      <c r="D3201">
        <v>-46260</v>
      </c>
      <c r="E3201" t="s">
        <v>62</v>
      </c>
      <c r="F3201" t="s">
        <v>24</v>
      </c>
      <c r="G3201" t="s">
        <v>63</v>
      </c>
      <c r="H3201" t="s">
        <v>45</v>
      </c>
      <c r="I3201" t="s">
        <v>27</v>
      </c>
      <c r="J3201" s="11">
        <v>45694</v>
      </c>
      <c r="K3201" t="str">
        <f>TEXT(Transactions_Clean[[#This Row],[Date]],"MMM-YYYY")</f>
        <v>Feb-2025</v>
      </c>
      <c r="L3201">
        <f>IF(Transactions_Clean[[#This Row],[Category]]="Revenue",Transactions_Clean[[#This Row],[Amount(₹)]],Transactions_Clean[[#This Row],[Amount(₹)]]/8)</f>
        <v>-5782.5</v>
      </c>
    </row>
    <row r="3202" spans="1:12">
      <c r="A3202" t="s">
        <v>4675</v>
      </c>
      <c r="B3202" t="s">
        <v>4767</v>
      </c>
      <c r="C3202" t="s">
        <v>157</v>
      </c>
      <c r="D3202">
        <v>570013</v>
      </c>
      <c r="E3202" t="s">
        <v>62</v>
      </c>
      <c r="F3202" t="s">
        <v>32</v>
      </c>
      <c r="G3202" t="s">
        <v>25</v>
      </c>
      <c r="H3202" t="s">
        <v>45</v>
      </c>
      <c r="I3202" t="s">
        <v>34</v>
      </c>
      <c r="J3202" s="11">
        <v>45386</v>
      </c>
      <c r="K3202" t="str">
        <f>TEXT(Transactions_Clean[[#This Row],[Date]],"MMM-YYYY")</f>
        <v>Apr-2024</v>
      </c>
      <c r="L3202">
        <f>IF(Transactions_Clean[[#This Row],[Category]]="Revenue",Transactions_Clean[[#This Row],[Amount(₹)]],Transactions_Clean[[#This Row],[Amount(₹)]]/8)</f>
        <v>570013</v>
      </c>
    </row>
    <row r="3203" spans="1:12">
      <c r="A3203" t="s">
        <v>4676</v>
      </c>
      <c r="B3203" t="s">
        <v>935</v>
      </c>
      <c r="C3203" t="s">
        <v>22</v>
      </c>
      <c r="D3203">
        <v>-75769</v>
      </c>
      <c r="E3203" t="s">
        <v>23</v>
      </c>
      <c r="F3203" t="s">
        <v>24</v>
      </c>
      <c r="G3203" t="s">
        <v>25</v>
      </c>
      <c r="H3203" t="s">
        <v>39</v>
      </c>
      <c r="I3203" t="s">
        <v>27</v>
      </c>
      <c r="J3203" s="11">
        <v>46097</v>
      </c>
      <c r="K3203" t="str">
        <f>TEXT(Transactions_Clean[[#This Row],[Date]],"MMM-YYYY")</f>
        <v>Mar-2026</v>
      </c>
      <c r="L3203">
        <f>IF(Transactions_Clean[[#This Row],[Category]]="Revenue",Transactions_Clean[[#This Row],[Amount(₹)]],Transactions_Clean[[#This Row],[Amount(₹)]]/8)</f>
        <v>-9471.125</v>
      </c>
    </row>
    <row r="3204" spans="1:12">
      <c r="A3204" t="s">
        <v>4677</v>
      </c>
      <c r="B3204" t="s">
        <v>4767</v>
      </c>
      <c r="C3204" t="s">
        <v>157</v>
      </c>
      <c r="D3204">
        <v>489139</v>
      </c>
      <c r="E3204" t="s">
        <v>62</v>
      </c>
      <c r="F3204" t="s">
        <v>32</v>
      </c>
      <c r="G3204" t="s">
        <v>25</v>
      </c>
      <c r="H3204" t="s">
        <v>26</v>
      </c>
      <c r="I3204" t="s">
        <v>34</v>
      </c>
      <c r="J3204" s="11">
        <v>45040</v>
      </c>
      <c r="K3204" t="str">
        <f>TEXT(Transactions_Clean[[#This Row],[Date]],"MMM-YYYY")</f>
        <v>Apr-2023</v>
      </c>
      <c r="L3204">
        <f>IF(Transactions_Clean[[#This Row],[Category]]="Revenue",Transactions_Clean[[#This Row],[Amount(₹)]],Transactions_Clean[[#This Row],[Amount(₹)]]/8)</f>
        <v>489139</v>
      </c>
    </row>
    <row r="3205" spans="1:12">
      <c r="A3205" t="s">
        <v>4678</v>
      </c>
      <c r="B3205" t="s">
        <v>4760</v>
      </c>
      <c r="C3205" t="s">
        <v>73</v>
      </c>
      <c r="D3205">
        <v>-50247</v>
      </c>
      <c r="E3205" t="s">
        <v>74</v>
      </c>
      <c r="F3205" t="s">
        <v>24</v>
      </c>
      <c r="G3205" t="s">
        <v>25</v>
      </c>
      <c r="H3205" t="s">
        <v>39</v>
      </c>
      <c r="I3205" t="s">
        <v>40</v>
      </c>
      <c r="J3205" s="11">
        <v>45852</v>
      </c>
      <c r="K3205" t="str">
        <f>TEXT(Transactions_Clean[[#This Row],[Date]],"MMM-YYYY")</f>
        <v>Jul-2025</v>
      </c>
      <c r="L3205">
        <f>IF(Transactions_Clean[[#This Row],[Category]]="Revenue",Transactions_Clean[[#This Row],[Amount(₹)]],Transactions_Clean[[#This Row],[Amount(₹)]]/8)</f>
        <v>-6280.875</v>
      </c>
    </row>
    <row r="3206" spans="1:12">
      <c r="A3206" t="s">
        <v>4679</v>
      </c>
      <c r="B3206" t="s">
        <v>37</v>
      </c>
      <c r="C3206" t="s">
        <v>38</v>
      </c>
      <c r="D3206">
        <v>-53637</v>
      </c>
      <c r="E3206" t="s">
        <v>23</v>
      </c>
      <c r="F3206" t="s">
        <v>32</v>
      </c>
      <c r="G3206" t="s">
        <v>33</v>
      </c>
      <c r="H3206" t="s">
        <v>39</v>
      </c>
      <c r="I3206" t="s">
        <v>34</v>
      </c>
      <c r="J3206" s="11">
        <v>45759</v>
      </c>
      <c r="K3206" t="str">
        <f>TEXT(Transactions_Clean[[#This Row],[Date]],"MMM-YYYY")</f>
        <v>Apr-2025</v>
      </c>
      <c r="L3206">
        <f>IF(Transactions_Clean[[#This Row],[Category]]="Revenue",Transactions_Clean[[#This Row],[Amount(₹)]],Transactions_Clean[[#This Row],[Amount(₹)]]/8)</f>
        <v>-6704.625</v>
      </c>
    </row>
    <row r="3207" spans="1:12">
      <c r="A3207" t="s">
        <v>4680</v>
      </c>
      <c r="B3207" t="s">
        <v>224</v>
      </c>
      <c r="C3207" t="s">
        <v>78</v>
      </c>
      <c r="D3207">
        <v>-80767</v>
      </c>
      <c r="E3207" t="s">
        <v>23</v>
      </c>
      <c r="F3207" t="s">
        <v>32</v>
      </c>
      <c r="G3207" t="s">
        <v>79</v>
      </c>
      <c r="H3207" t="s">
        <v>45</v>
      </c>
      <c r="I3207" t="s">
        <v>34</v>
      </c>
      <c r="J3207" s="11">
        <v>45399</v>
      </c>
      <c r="K3207" t="str">
        <f>TEXT(Transactions_Clean[[#This Row],[Date]],"MMM-YYYY")</f>
        <v>Apr-2024</v>
      </c>
      <c r="L3207">
        <f>IF(Transactions_Clean[[#This Row],[Category]]="Revenue",Transactions_Clean[[#This Row],[Amount(₹)]],Transactions_Clean[[#This Row],[Amount(₹)]]/8)</f>
        <v>-10095.875</v>
      </c>
    </row>
    <row r="3208" spans="1:12">
      <c r="A3208" t="s">
        <v>4681</v>
      </c>
      <c r="B3208" t="s">
        <v>215</v>
      </c>
      <c r="C3208" t="s">
        <v>61</v>
      </c>
      <c r="D3208">
        <v>-44296</v>
      </c>
      <c r="E3208" t="s">
        <v>62</v>
      </c>
      <c r="F3208" t="s">
        <v>32</v>
      </c>
      <c r="G3208" t="s">
        <v>63</v>
      </c>
      <c r="H3208" t="s">
        <v>45</v>
      </c>
      <c r="I3208" t="s">
        <v>48</v>
      </c>
      <c r="J3208" s="11">
        <v>45650</v>
      </c>
      <c r="K3208" t="str">
        <f>TEXT(Transactions_Clean[[#This Row],[Date]],"MMM-YYYY")</f>
        <v>Dec-2024</v>
      </c>
      <c r="L3208">
        <f>IF(Transactions_Clean[[#This Row],[Category]]="Revenue",Transactions_Clean[[#This Row],[Amount(₹)]],Transactions_Clean[[#This Row],[Amount(₹)]]/8)</f>
        <v>-5537</v>
      </c>
    </row>
    <row r="3209" spans="1:12">
      <c r="A3209" t="s">
        <v>4682</v>
      </c>
      <c r="B3209" t="s">
        <v>66</v>
      </c>
      <c r="C3209" t="s">
        <v>61</v>
      </c>
      <c r="D3209">
        <v>-29128</v>
      </c>
      <c r="E3209" t="s">
        <v>62</v>
      </c>
      <c r="F3209" t="s">
        <v>24</v>
      </c>
      <c r="G3209" t="s">
        <v>63</v>
      </c>
      <c r="H3209" t="s">
        <v>45</v>
      </c>
      <c r="I3209" t="s">
        <v>34</v>
      </c>
      <c r="J3209" s="11">
        <v>45407</v>
      </c>
      <c r="K3209" t="str">
        <f>TEXT(Transactions_Clean[[#This Row],[Date]],"MMM-YYYY")</f>
        <v>Apr-2024</v>
      </c>
      <c r="L3209">
        <f>IF(Transactions_Clean[[#This Row],[Category]]="Revenue",Transactions_Clean[[#This Row],[Amount(₹)]],Transactions_Clean[[#This Row],[Amount(₹)]]/8)</f>
        <v>-3641</v>
      </c>
    </row>
    <row r="3210" spans="1:12">
      <c r="A3210" t="s">
        <v>4683</v>
      </c>
      <c r="B3210" t="s">
        <v>4751</v>
      </c>
      <c r="C3210" t="s">
        <v>38</v>
      </c>
      <c r="D3210">
        <v>-28980</v>
      </c>
      <c r="E3210" t="s">
        <v>23</v>
      </c>
      <c r="F3210" t="s">
        <v>24</v>
      </c>
      <c r="G3210" t="s">
        <v>33</v>
      </c>
      <c r="H3210" t="s">
        <v>45</v>
      </c>
      <c r="I3210" t="s">
        <v>34</v>
      </c>
      <c r="J3210" s="11">
        <v>45422</v>
      </c>
      <c r="K3210" t="str">
        <f>TEXT(Transactions_Clean[[#This Row],[Date]],"MMM-YYYY")</f>
        <v>May-2024</v>
      </c>
      <c r="L3210">
        <f>IF(Transactions_Clean[[#This Row],[Category]]="Revenue",Transactions_Clean[[#This Row],[Amount(₹)]],Transactions_Clean[[#This Row],[Amount(₹)]]/8)</f>
        <v>-3622.5</v>
      </c>
    </row>
    <row r="3211" spans="1:12">
      <c r="A3211" t="s">
        <v>4684</v>
      </c>
      <c r="B3211" t="s">
        <v>215</v>
      </c>
      <c r="C3211" t="s">
        <v>61</v>
      </c>
      <c r="D3211">
        <v>-13750</v>
      </c>
      <c r="E3211" t="s">
        <v>62</v>
      </c>
      <c r="F3211" t="s">
        <v>24</v>
      </c>
      <c r="G3211" t="s">
        <v>63</v>
      </c>
      <c r="H3211" t="s">
        <v>45</v>
      </c>
      <c r="I3211" t="s">
        <v>34</v>
      </c>
      <c r="J3211" s="11">
        <v>45415</v>
      </c>
      <c r="K3211" t="str">
        <f>TEXT(Transactions_Clean[[#This Row],[Date]],"MMM-YYYY")</f>
        <v>May-2024</v>
      </c>
      <c r="L3211">
        <f>IF(Transactions_Clean[[#This Row],[Category]]="Revenue",Transactions_Clean[[#This Row],[Amount(₹)]],Transactions_Clean[[#This Row],[Amount(₹)]]/8)</f>
        <v>-1718.75</v>
      </c>
    </row>
    <row r="3212" spans="1:12">
      <c r="A3212" t="s">
        <v>4685</v>
      </c>
      <c r="B3212" t="s">
        <v>237</v>
      </c>
      <c r="C3212" t="s">
        <v>22</v>
      </c>
      <c r="D3212">
        <v>-99002</v>
      </c>
      <c r="E3212" t="s">
        <v>23</v>
      </c>
      <c r="F3212" t="s">
        <v>32</v>
      </c>
      <c r="G3212" t="s">
        <v>25</v>
      </c>
      <c r="H3212" t="s">
        <v>26</v>
      </c>
      <c r="I3212" t="s">
        <v>48</v>
      </c>
      <c r="J3212" s="11">
        <v>45283</v>
      </c>
      <c r="K3212" t="str">
        <f>TEXT(Transactions_Clean[[#This Row],[Date]],"MMM-YYYY")</f>
        <v>Dec-2023</v>
      </c>
      <c r="L3212">
        <f>IF(Transactions_Clean[[#This Row],[Category]]="Revenue",Transactions_Clean[[#This Row],[Amount(₹)]],Transactions_Clean[[#This Row],[Amount(₹)]]/8)</f>
        <v>-12375.25</v>
      </c>
    </row>
    <row r="3213" spans="1:12">
      <c r="A3213" t="s">
        <v>4686</v>
      </c>
      <c r="B3213" t="s">
        <v>106</v>
      </c>
      <c r="C3213" t="s">
        <v>31</v>
      </c>
      <c r="D3213">
        <v>-41175</v>
      </c>
      <c r="E3213" t="s">
        <v>23</v>
      </c>
      <c r="F3213" t="s">
        <v>32</v>
      </c>
      <c r="G3213" t="s">
        <v>33</v>
      </c>
      <c r="H3213" t="s">
        <v>39</v>
      </c>
      <c r="I3213" t="s">
        <v>48</v>
      </c>
      <c r="J3213" s="11">
        <v>45789</v>
      </c>
      <c r="K3213" t="str">
        <f>TEXT(Transactions_Clean[[#This Row],[Date]],"MMM-YYYY")</f>
        <v>May-2025</v>
      </c>
      <c r="L3213">
        <f>IF(Transactions_Clean[[#This Row],[Category]]="Revenue",Transactions_Clean[[#This Row],[Amount(₹)]],Transactions_Clean[[#This Row],[Amount(₹)]]/8)</f>
        <v>-5146.875</v>
      </c>
    </row>
    <row r="3214" spans="1:12">
      <c r="A3214" t="s">
        <v>4687</v>
      </c>
      <c r="B3214" t="s">
        <v>616</v>
      </c>
      <c r="C3214" t="s">
        <v>22</v>
      </c>
      <c r="D3214">
        <v>-23560</v>
      </c>
      <c r="E3214" t="s">
        <v>23</v>
      </c>
      <c r="F3214" t="s">
        <v>32</v>
      </c>
      <c r="G3214" t="s">
        <v>25</v>
      </c>
      <c r="H3214" t="s">
        <v>45</v>
      </c>
      <c r="I3214" t="s">
        <v>34</v>
      </c>
      <c r="J3214" s="11">
        <v>45432</v>
      </c>
      <c r="K3214" t="str">
        <f>TEXT(Transactions_Clean[[#This Row],[Date]],"MMM-YYYY")</f>
        <v>May-2024</v>
      </c>
      <c r="L3214">
        <f>IF(Transactions_Clean[[#This Row],[Category]]="Revenue",Transactions_Clean[[#This Row],[Amount(₹)]],Transactions_Clean[[#This Row],[Amount(₹)]]/8)</f>
        <v>-2945</v>
      </c>
    </row>
    <row r="3215" spans="1:12">
      <c r="A3215" t="s">
        <v>4689</v>
      </c>
      <c r="B3215" t="s">
        <v>4757</v>
      </c>
      <c r="C3215" t="s">
        <v>73</v>
      </c>
      <c r="D3215">
        <v>-83886</v>
      </c>
      <c r="E3215" t="s">
        <v>74</v>
      </c>
      <c r="F3215" t="s">
        <v>24</v>
      </c>
      <c r="G3215" t="s">
        <v>25</v>
      </c>
      <c r="H3215" t="s">
        <v>26</v>
      </c>
      <c r="I3215" t="s">
        <v>48</v>
      </c>
      <c r="J3215" s="11">
        <v>45272</v>
      </c>
      <c r="K3215" t="str">
        <f>TEXT(Transactions_Clean[[#This Row],[Date]],"MMM-YYYY")</f>
        <v>Dec-2023</v>
      </c>
      <c r="L3215">
        <f>IF(Transactions_Clean[[#This Row],[Category]]="Revenue",Transactions_Clean[[#This Row],[Amount(₹)]],Transactions_Clean[[#This Row],[Amount(₹)]]/8)</f>
        <v>-10485.75</v>
      </c>
    </row>
    <row r="3216" spans="1:12">
      <c r="A3216" t="s">
        <v>4690</v>
      </c>
      <c r="B3216" t="s">
        <v>37</v>
      </c>
      <c r="C3216" t="s">
        <v>38</v>
      </c>
      <c r="D3216">
        <v>-47150</v>
      </c>
      <c r="E3216" t="s">
        <v>23</v>
      </c>
      <c r="F3216" t="s">
        <v>32</v>
      </c>
      <c r="G3216" t="s">
        <v>33</v>
      </c>
      <c r="H3216" t="s">
        <v>26</v>
      </c>
      <c r="I3216" t="s">
        <v>34</v>
      </c>
      <c r="J3216" s="11">
        <v>45063</v>
      </c>
      <c r="K3216" t="str">
        <f>TEXT(Transactions_Clean[[#This Row],[Date]],"MMM-YYYY")</f>
        <v>May-2023</v>
      </c>
      <c r="L3216">
        <f>IF(Transactions_Clean[[#This Row],[Category]]="Revenue",Transactions_Clean[[#This Row],[Amount(₹)]],Transactions_Clean[[#This Row],[Amount(₹)]]/8)</f>
        <v>-5893.75</v>
      </c>
    </row>
    <row r="3217" spans="1:12">
      <c r="A3217" t="s">
        <v>4691</v>
      </c>
      <c r="B3217" t="s">
        <v>283</v>
      </c>
      <c r="C3217" t="s">
        <v>44</v>
      </c>
      <c r="D3217">
        <v>-178651</v>
      </c>
      <c r="E3217" t="s">
        <v>23</v>
      </c>
      <c r="F3217" t="s">
        <v>32</v>
      </c>
      <c r="G3217" t="s">
        <v>33</v>
      </c>
      <c r="H3217" t="s">
        <v>45</v>
      </c>
      <c r="I3217" t="s">
        <v>48</v>
      </c>
      <c r="J3217" s="11">
        <v>45631</v>
      </c>
      <c r="K3217" t="str">
        <f>TEXT(Transactions_Clean[[#This Row],[Date]],"MMM-YYYY")</f>
        <v>Dec-2024</v>
      </c>
      <c r="L3217">
        <f>IF(Transactions_Clean[[#This Row],[Category]]="Revenue",Transactions_Clean[[#This Row],[Amount(₹)]],Transactions_Clean[[#This Row],[Amount(₹)]]/8)</f>
        <v>-22331.375</v>
      </c>
    </row>
    <row r="3218" spans="1:12">
      <c r="A3218" t="s">
        <v>4692</v>
      </c>
      <c r="B3218" t="s">
        <v>212</v>
      </c>
      <c r="C3218" t="s">
        <v>73</v>
      </c>
      <c r="D3218">
        <v>-59292</v>
      </c>
      <c r="E3218" t="s">
        <v>74</v>
      </c>
      <c r="F3218" t="s">
        <v>32</v>
      </c>
      <c r="G3218" t="s">
        <v>25</v>
      </c>
      <c r="H3218" t="s">
        <v>26</v>
      </c>
      <c r="I3218" t="s">
        <v>27</v>
      </c>
      <c r="J3218" s="11">
        <v>45310</v>
      </c>
      <c r="K3218" t="str">
        <f>TEXT(Transactions_Clean[[#This Row],[Date]],"MMM-YYYY")</f>
        <v>Jan-2024</v>
      </c>
      <c r="L3218">
        <f>IF(Transactions_Clean[[#This Row],[Category]]="Revenue",Transactions_Clean[[#This Row],[Amount(₹)]],Transactions_Clean[[#This Row],[Amount(₹)]]/8)</f>
        <v>-7411.5</v>
      </c>
    </row>
    <row r="3219" spans="1:12">
      <c r="A3219" t="s">
        <v>4693</v>
      </c>
      <c r="B3219" t="s">
        <v>4754</v>
      </c>
      <c r="C3219" t="s">
        <v>78</v>
      </c>
      <c r="D3219">
        <v>-19145</v>
      </c>
      <c r="E3219" t="s">
        <v>23</v>
      </c>
      <c r="F3219" t="s">
        <v>24</v>
      </c>
      <c r="G3219" t="s">
        <v>79</v>
      </c>
      <c r="H3219" t="s">
        <v>26</v>
      </c>
      <c r="I3219" t="s">
        <v>48</v>
      </c>
      <c r="J3219" s="11">
        <v>45269</v>
      </c>
      <c r="K3219" t="str">
        <f>TEXT(Transactions_Clean[[#This Row],[Date]],"MMM-YYYY")</f>
        <v>Dec-2023</v>
      </c>
      <c r="L3219">
        <f>IF(Transactions_Clean[[#This Row],[Category]]="Revenue",Transactions_Clean[[#This Row],[Amount(₹)]],Transactions_Clean[[#This Row],[Amount(₹)]]/8)</f>
        <v>-2393.125</v>
      </c>
    </row>
    <row r="3220" spans="1:12">
      <c r="A3220" t="s">
        <v>4694</v>
      </c>
      <c r="B3220" t="s">
        <v>180</v>
      </c>
      <c r="C3220" t="s">
        <v>44</v>
      </c>
      <c r="D3220">
        <v>-36830</v>
      </c>
      <c r="E3220" t="s">
        <v>23</v>
      </c>
      <c r="F3220" t="s">
        <v>32</v>
      </c>
      <c r="G3220" t="s">
        <v>33</v>
      </c>
      <c r="H3220" t="s">
        <v>45</v>
      </c>
      <c r="I3220" t="s">
        <v>27</v>
      </c>
      <c r="J3220" s="11">
        <v>45678</v>
      </c>
      <c r="K3220" t="str">
        <f>TEXT(Transactions_Clean[[#This Row],[Date]],"MMM-YYYY")</f>
        <v>Jan-2025</v>
      </c>
      <c r="L3220">
        <f>IF(Transactions_Clean[[#This Row],[Category]]="Revenue",Transactions_Clean[[#This Row],[Amount(₹)]],Transactions_Clean[[#This Row],[Amount(₹)]]/8)</f>
        <v>-4603.75</v>
      </c>
    </row>
    <row r="3221" spans="1:12">
      <c r="A3221" t="s">
        <v>4695</v>
      </c>
      <c r="B3221" t="s">
        <v>60</v>
      </c>
      <c r="C3221" t="s">
        <v>61</v>
      </c>
      <c r="D3221">
        <v>-49436</v>
      </c>
      <c r="E3221" t="s">
        <v>62</v>
      </c>
      <c r="F3221" t="s">
        <v>32</v>
      </c>
      <c r="G3221" t="s">
        <v>63</v>
      </c>
      <c r="H3221" t="s">
        <v>45</v>
      </c>
      <c r="I3221" t="s">
        <v>27</v>
      </c>
      <c r="J3221" s="11">
        <v>45740</v>
      </c>
      <c r="K3221" t="str">
        <f>TEXT(Transactions_Clean[[#This Row],[Date]],"MMM-YYYY")</f>
        <v>Mar-2025</v>
      </c>
      <c r="L3221">
        <f>IF(Transactions_Clean[[#This Row],[Category]]="Revenue",Transactions_Clean[[#This Row],[Amount(₹)]],Transactions_Clean[[#This Row],[Amount(₹)]]/8)</f>
        <v>-6179.5</v>
      </c>
    </row>
    <row r="3222" spans="1:12">
      <c r="A3222" t="s">
        <v>4697</v>
      </c>
      <c r="B3222" t="s">
        <v>4751</v>
      </c>
      <c r="C3222" t="s">
        <v>38</v>
      </c>
      <c r="D3222">
        <v>-30426</v>
      </c>
      <c r="E3222" t="s">
        <v>23</v>
      </c>
      <c r="F3222" t="s">
        <v>24</v>
      </c>
      <c r="G3222" t="s">
        <v>33</v>
      </c>
      <c r="H3222" t="s">
        <v>26</v>
      </c>
      <c r="I3222" t="s">
        <v>48</v>
      </c>
      <c r="J3222" s="11">
        <v>45278</v>
      </c>
      <c r="K3222" t="str">
        <f>TEXT(Transactions_Clean[[#This Row],[Date]],"MMM-YYYY")</f>
        <v>Dec-2023</v>
      </c>
      <c r="L3222">
        <f>IF(Transactions_Clean[[#This Row],[Category]]="Revenue",Transactions_Clean[[#This Row],[Amount(₹)]],Transactions_Clean[[#This Row],[Amount(₹)]]/8)</f>
        <v>-3803.25</v>
      </c>
    </row>
    <row r="3223" spans="1:12">
      <c r="A3223" t="s">
        <v>4698</v>
      </c>
      <c r="B3223" t="s">
        <v>4752</v>
      </c>
      <c r="C3223" t="s">
        <v>44</v>
      </c>
      <c r="D3223">
        <v>-150622</v>
      </c>
      <c r="E3223" t="s">
        <v>23</v>
      </c>
      <c r="F3223" t="s">
        <v>24</v>
      </c>
      <c r="G3223" t="s">
        <v>33</v>
      </c>
      <c r="H3223" t="s">
        <v>39</v>
      </c>
      <c r="I3223" t="s">
        <v>34</v>
      </c>
      <c r="J3223" s="11">
        <v>45832</v>
      </c>
      <c r="K3223" t="str">
        <f>TEXT(Transactions_Clean[[#This Row],[Date]],"MMM-YYYY")</f>
        <v>Jun-2025</v>
      </c>
      <c r="L3223">
        <f>IF(Transactions_Clean[[#This Row],[Category]]="Revenue",Transactions_Clean[[#This Row],[Amount(₹)]],Transactions_Clean[[#This Row],[Amount(₹)]]/8)</f>
        <v>-18827.75</v>
      </c>
    </row>
    <row r="3224" spans="1:12">
      <c r="A3224" t="s">
        <v>4699</v>
      </c>
      <c r="B3224" t="s">
        <v>215</v>
      </c>
      <c r="C3224" t="s">
        <v>61</v>
      </c>
      <c r="D3224">
        <v>-24636</v>
      </c>
      <c r="E3224" t="s">
        <v>62</v>
      </c>
      <c r="F3224" t="s">
        <v>24</v>
      </c>
      <c r="G3224" t="s">
        <v>63</v>
      </c>
      <c r="H3224" t="s">
        <v>26</v>
      </c>
      <c r="I3224" t="s">
        <v>40</v>
      </c>
      <c r="J3224" s="11">
        <v>45133</v>
      </c>
      <c r="K3224" t="str">
        <f>TEXT(Transactions_Clean[[#This Row],[Date]],"MMM-YYYY")</f>
        <v>Jul-2023</v>
      </c>
      <c r="L3224">
        <f>IF(Transactions_Clean[[#This Row],[Category]]="Revenue",Transactions_Clean[[#This Row],[Amount(₹)]],Transactions_Clean[[#This Row],[Amount(₹)]]/8)</f>
        <v>-3079.5</v>
      </c>
    </row>
    <row r="3225" spans="1:12">
      <c r="A3225" t="s">
        <v>4700</v>
      </c>
      <c r="B3225" t="s">
        <v>212</v>
      </c>
      <c r="C3225" t="s">
        <v>73</v>
      </c>
      <c r="D3225">
        <v>-53954</v>
      </c>
      <c r="E3225" t="s">
        <v>74</v>
      </c>
      <c r="F3225" t="s">
        <v>24</v>
      </c>
      <c r="G3225" t="s">
        <v>25</v>
      </c>
      <c r="H3225" t="s">
        <v>39</v>
      </c>
      <c r="I3225" t="s">
        <v>48</v>
      </c>
      <c r="J3225" s="11">
        <v>45995</v>
      </c>
      <c r="K3225" t="str">
        <f>TEXT(Transactions_Clean[[#This Row],[Date]],"MMM-YYYY")</f>
        <v>Dec-2025</v>
      </c>
      <c r="L3225">
        <f>IF(Transactions_Clean[[#This Row],[Category]]="Revenue",Transactions_Clean[[#This Row],[Amount(₹)]],Transactions_Clean[[#This Row],[Amount(₹)]]/8)</f>
        <v>-6744.25</v>
      </c>
    </row>
    <row r="3226" spans="1:12">
      <c r="A3226" t="s">
        <v>4701</v>
      </c>
      <c r="B3226" t="s">
        <v>100</v>
      </c>
      <c r="C3226" t="s">
        <v>31</v>
      </c>
      <c r="D3226">
        <v>-44113</v>
      </c>
      <c r="E3226" t="s">
        <v>23</v>
      </c>
      <c r="F3226" t="s">
        <v>24</v>
      </c>
      <c r="G3226" t="s">
        <v>33</v>
      </c>
      <c r="H3226" t="s">
        <v>39</v>
      </c>
      <c r="I3226" t="s">
        <v>34</v>
      </c>
      <c r="J3226" s="11">
        <v>45835</v>
      </c>
      <c r="K3226" t="str">
        <f>TEXT(Transactions_Clean[[#This Row],[Date]],"MMM-YYYY")</f>
        <v>Jun-2025</v>
      </c>
      <c r="L3226">
        <f>IF(Transactions_Clean[[#This Row],[Category]]="Revenue",Transactions_Clean[[#This Row],[Amount(₹)]],Transactions_Clean[[#This Row],[Amount(₹)]]/8)</f>
        <v>-5514.125</v>
      </c>
    </row>
    <row r="3227" spans="1:12">
      <c r="A3227" t="s">
        <v>4702</v>
      </c>
      <c r="B3227" t="s">
        <v>255</v>
      </c>
      <c r="C3227" t="s">
        <v>22</v>
      </c>
      <c r="D3227">
        <v>-137704</v>
      </c>
      <c r="E3227" t="s">
        <v>23</v>
      </c>
      <c r="F3227" t="s">
        <v>24</v>
      </c>
      <c r="G3227" t="s">
        <v>25</v>
      </c>
      <c r="H3227" t="s">
        <v>39</v>
      </c>
      <c r="I3227" t="s">
        <v>34</v>
      </c>
      <c r="J3227" s="11">
        <v>45827</v>
      </c>
      <c r="K3227" t="str">
        <f>TEXT(Transactions_Clean[[#This Row],[Date]],"MMM-YYYY")</f>
        <v>Jun-2025</v>
      </c>
      <c r="L3227">
        <f>IF(Transactions_Clean[[#This Row],[Category]]="Revenue",Transactions_Clean[[#This Row],[Amount(₹)]],Transactions_Clean[[#This Row],[Amount(₹)]]/8)</f>
        <v>-17213</v>
      </c>
    </row>
    <row r="3228" spans="1:12">
      <c r="A3228" t="s">
        <v>4703</v>
      </c>
      <c r="B3228" t="s">
        <v>687</v>
      </c>
      <c r="C3228" t="s">
        <v>44</v>
      </c>
      <c r="D3228">
        <v>-94073</v>
      </c>
      <c r="E3228" t="s">
        <v>23</v>
      </c>
      <c r="F3228" t="s">
        <v>32</v>
      </c>
      <c r="G3228" t="s">
        <v>33</v>
      </c>
      <c r="H3228" t="s">
        <v>39</v>
      </c>
      <c r="I3228" t="s">
        <v>27</v>
      </c>
      <c r="J3228" s="11">
        <v>46033</v>
      </c>
      <c r="K3228" t="str">
        <f>TEXT(Transactions_Clean[[#This Row],[Date]],"MMM-YYYY")</f>
        <v>Jan-2026</v>
      </c>
      <c r="L3228">
        <f>IF(Transactions_Clean[[#This Row],[Category]]="Revenue",Transactions_Clean[[#This Row],[Amount(₹)]],Transactions_Clean[[#This Row],[Amount(₹)]]/8)</f>
        <v>-11759.125</v>
      </c>
    </row>
    <row r="3229" spans="1:12">
      <c r="A3229" t="s">
        <v>4704</v>
      </c>
      <c r="B3229" t="s">
        <v>106</v>
      </c>
      <c r="C3229" t="s">
        <v>31</v>
      </c>
      <c r="D3229">
        <v>-4983</v>
      </c>
      <c r="E3229" t="s">
        <v>23</v>
      </c>
      <c r="F3229" t="s">
        <v>24</v>
      </c>
      <c r="G3229" t="s">
        <v>33</v>
      </c>
      <c r="H3229" t="s">
        <v>39</v>
      </c>
      <c r="I3229" t="s">
        <v>40</v>
      </c>
      <c r="J3229" s="11">
        <v>45842</v>
      </c>
      <c r="K3229" t="str">
        <f>TEXT(Transactions_Clean[[#This Row],[Date]],"MMM-YYYY")</f>
        <v>Jul-2025</v>
      </c>
      <c r="L3229">
        <f>IF(Transactions_Clean[[#This Row],[Category]]="Revenue",Transactions_Clean[[#This Row],[Amount(₹)]],Transactions_Clean[[#This Row],[Amount(₹)]]/8)</f>
        <v>-622.875</v>
      </c>
    </row>
    <row r="3230" spans="1:12">
      <c r="A3230" t="s">
        <v>4705</v>
      </c>
      <c r="B3230" t="s">
        <v>51</v>
      </c>
      <c r="C3230" t="s">
        <v>31</v>
      </c>
      <c r="D3230">
        <v>-35485</v>
      </c>
      <c r="E3230" t="s">
        <v>23</v>
      </c>
      <c r="F3230" t="s">
        <v>24</v>
      </c>
      <c r="G3230" t="s">
        <v>33</v>
      </c>
      <c r="H3230" t="s">
        <v>45</v>
      </c>
      <c r="I3230" t="s">
        <v>34</v>
      </c>
      <c r="J3230" s="11">
        <v>45468</v>
      </c>
      <c r="K3230" t="str">
        <f>TEXT(Transactions_Clean[[#This Row],[Date]],"MMM-YYYY")</f>
        <v>Jun-2024</v>
      </c>
      <c r="L3230">
        <f>IF(Transactions_Clean[[#This Row],[Category]]="Revenue",Transactions_Clean[[#This Row],[Amount(₹)]],Transactions_Clean[[#This Row],[Amount(₹)]]/8)</f>
        <v>-4435.625</v>
      </c>
    </row>
    <row r="3231" spans="1:12">
      <c r="A3231" t="s">
        <v>4706</v>
      </c>
      <c r="B3231" t="s">
        <v>310</v>
      </c>
      <c r="C3231" t="s">
        <v>22</v>
      </c>
      <c r="D3231">
        <v>-99472</v>
      </c>
      <c r="E3231" t="s">
        <v>23</v>
      </c>
      <c r="F3231" t="s">
        <v>32</v>
      </c>
      <c r="G3231" t="s">
        <v>25</v>
      </c>
      <c r="H3231" t="s">
        <v>39</v>
      </c>
      <c r="I3231" t="s">
        <v>48</v>
      </c>
      <c r="J3231" s="11">
        <v>45986</v>
      </c>
      <c r="K3231" t="str">
        <f>TEXT(Transactions_Clean[[#This Row],[Date]],"MMM-YYYY")</f>
        <v>Nov-2025</v>
      </c>
      <c r="L3231">
        <f>IF(Transactions_Clean[[#This Row],[Category]]="Revenue",Transactions_Clean[[#This Row],[Amount(₹)]],Transactions_Clean[[#This Row],[Amount(₹)]]/8)</f>
        <v>-12434</v>
      </c>
    </row>
    <row r="3232" spans="1:12">
      <c r="A3232" t="s">
        <v>4708</v>
      </c>
      <c r="B3232" t="s">
        <v>4757</v>
      </c>
      <c r="C3232" t="s">
        <v>73</v>
      </c>
      <c r="D3232">
        <v>-80308</v>
      </c>
      <c r="E3232" t="s">
        <v>74</v>
      </c>
      <c r="F3232" t="s">
        <v>32</v>
      </c>
      <c r="G3232" t="s">
        <v>25</v>
      </c>
      <c r="H3232" t="s">
        <v>26</v>
      </c>
      <c r="I3232" t="s">
        <v>48</v>
      </c>
      <c r="J3232" s="11">
        <v>45203</v>
      </c>
      <c r="K3232" t="str">
        <f>TEXT(Transactions_Clean[[#This Row],[Date]],"MMM-YYYY")</f>
        <v>Oct-2023</v>
      </c>
      <c r="L3232">
        <f>IF(Transactions_Clean[[#This Row],[Category]]="Revenue",Transactions_Clean[[#This Row],[Amount(₹)]],Transactions_Clean[[#This Row],[Amount(₹)]]/8)</f>
        <v>-10038.5</v>
      </c>
    </row>
    <row r="3233" spans="1:12">
      <c r="A3233" t="s">
        <v>4709</v>
      </c>
      <c r="B3233" t="s">
        <v>4809</v>
      </c>
      <c r="C3233" t="s">
        <v>136</v>
      </c>
      <c r="D3233">
        <v>-10371950</v>
      </c>
      <c r="E3233" t="s">
        <v>62</v>
      </c>
      <c r="F3233" t="s">
        <v>32</v>
      </c>
      <c r="G3233" t="s">
        <v>63</v>
      </c>
      <c r="H3233" t="s">
        <v>26</v>
      </c>
      <c r="I3233" t="s">
        <v>34</v>
      </c>
      <c r="J3233" s="11">
        <v>45105</v>
      </c>
      <c r="K3233" t="str">
        <f>TEXT(Transactions_Clean[[#This Row],[Date]],"MMM-YYYY")</f>
        <v>Jun-2023</v>
      </c>
      <c r="L3233">
        <f>IF(Transactions_Clean[[#This Row],[Category]]="Revenue",Transactions_Clean[[#This Row],[Amount(₹)]],Transactions_Clean[[#This Row],[Amount(₹)]]/8)</f>
        <v>-1296493.75</v>
      </c>
    </row>
    <row r="3234" spans="1:12">
      <c r="A3234" t="s">
        <v>4711</v>
      </c>
      <c r="B3234" t="s">
        <v>4767</v>
      </c>
      <c r="C3234" t="s">
        <v>157</v>
      </c>
      <c r="D3234">
        <v>619976</v>
      </c>
      <c r="E3234" t="s">
        <v>62</v>
      </c>
      <c r="F3234" t="s">
        <v>32</v>
      </c>
      <c r="G3234" t="s">
        <v>25</v>
      </c>
      <c r="H3234" t="s">
        <v>26</v>
      </c>
      <c r="I3234" t="s">
        <v>48</v>
      </c>
      <c r="J3234" s="11">
        <v>45266</v>
      </c>
      <c r="K3234" t="str">
        <f>TEXT(Transactions_Clean[[#This Row],[Date]],"MMM-YYYY")</f>
        <v>Dec-2023</v>
      </c>
      <c r="L3234">
        <f>IF(Transactions_Clean[[#This Row],[Category]]="Revenue",Transactions_Clean[[#This Row],[Amount(₹)]],Transactions_Clean[[#This Row],[Amount(₹)]]/8)</f>
        <v>619976</v>
      </c>
    </row>
    <row r="3235" spans="1:12">
      <c r="A3235" t="s">
        <v>4712</v>
      </c>
      <c r="B3235" t="s">
        <v>4751</v>
      </c>
      <c r="C3235" t="s">
        <v>38</v>
      </c>
      <c r="D3235">
        <v>-34930</v>
      </c>
      <c r="E3235" t="s">
        <v>23</v>
      </c>
      <c r="F3235" t="s">
        <v>24</v>
      </c>
      <c r="G3235" t="s">
        <v>33</v>
      </c>
      <c r="H3235" t="s">
        <v>39</v>
      </c>
      <c r="I3235" t="s">
        <v>40</v>
      </c>
      <c r="J3235" s="11">
        <v>45926</v>
      </c>
      <c r="K3235" t="str">
        <f>TEXT(Transactions_Clean[[#This Row],[Date]],"MMM-YYYY")</f>
        <v>Sep-2025</v>
      </c>
      <c r="L3235">
        <f>IF(Transactions_Clean[[#This Row],[Category]]="Revenue",Transactions_Clean[[#This Row],[Amount(₹)]],Transactions_Clean[[#This Row],[Amount(₹)]]/8)</f>
        <v>-4366.25</v>
      </c>
    </row>
    <row r="3236" spans="1:12">
      <c r="A3236" t="s">
        <v>4713</v>
      </c>
      <c r="B3236" t="s">
        <v>169</v>
      </c>
      <c r="C3236" t="s">
        <v>73</v>
      </c>
      <c r="D3236">
        <v>-39675</v>
      </c>
      <c r="E3236" t="s">
        <v>74</v>
      </c>
      <c r="F3236" t="s">
        <v>24</v>
      </c>
      <c r="G3236" t="s">
        <v>25</v>
      </c>
      <c r="H3236" t="s">
        <v>39</v>
      </c>
      <c r="I3236" t="s">
        <v>27</v>
      </c>
      <c r="J3236" s="11">
        <v>46071</v>
      </c>
      <c r="K3236" t="str">
        <f>TEXT(Transactions_Clean[[#This Row],[Date]],"MMM-YYYY")</f>
        <v>Feb-2026</v>
      </c>
      <c r="L3236">
        <f>IF(Transactions_Clean[[#This Row],[Category]]="Revenue",Transactions_Clean[[#This Row],[Amount(₹)]],Transactions_Clean[[#This Row],[Amount(₹)]]/8)</f>
        <v>-4959.375</v>
      </c>
    </row>
    <row r="3237" spans="1:12">
      <c r="A3237" t="s">
        <v>4714</v>
      </c>
      <c r="B3237" t="s">
        <v>106</v>
      </c>
      <c r="C3237" t="s">
        <v>31</v>
      </c>
      <c r="D3237">
        <v>-24824</v>
      </c>
      <c r="E3237" t="s">
        <v>23</v>
      </c>
      <c r="F3237" t="s">
        <v>24</v>
      </c>
      <c r="G3237" t="s">
        <v>33</v>
      </c>
      <c r="H3237" t="s">
        <v>39</v>
      </c>
      <c r="I3237" t="s">
        <v>34</v>
      </c>
      <c r="J3237" s="11">
        <v>45782</v>
      </c>
      <c r="K3237" t="str">
        <f>TEXT(Transactions_Clean[[#This Row],[Date]],"MMM-YYYY")</f>
        <v>May-2025</v>
      </c>
      <c r="L3237">
        <f>IF(Transactions_Clean[[#This Row],[Category]]="Revenue",Transactions_Clean[[#This Row],[Amount(₹)]],Transactions_Clean[[#This Row],[Amount(₹)]]/8)</f>
        <v>-3103</v>
      </c>
    </row>
    <row r="3238" spans="1:12">
      <c r="A3238" t="s">
        <v>4715</v>
      </c>
      <c r="B3238" t="s">
        <v>345</v>
      </c>
      <c r="C3238" t="s">
        <v>22</v>
      </c>
      <c r="D3238">
        <v>-153531</v>
      </c>
      <c r="E3238" t="s">
        <v>23</v>
      </c>
      <c r="F3238" t="s">
        <v>24</v>
      </c>
      <c r="G3238" t="s">
        <v>25</v>
      </c>
      <c r="H3238" t="s">
        <v>39</v>
      </c>
      <c r="I3238" t="s">
        <v>27</v>
      </c>
      <c r="J3238" s="11">
        <v>46070</v>
      </c>
      <c r="K3238" t="str">
        <f>TEXT(Transactions_Clean[[#This Row],[Date]],"MMM-YYYY")</f>
        <v>Feb-2026</v>
      </c>
      <c r="L3238">
        <f>IF(Transactions_Clean[[#This Row],[Category]]="Revenue",Transactions_Clean[[#This Row],[Amount(₹)]],Transactions_Clean[[#This Row],[Amount(₹)]]/8)</f>
        <v>-19191.375</v>
      </c>
    </row>
    <row r="3239" spans="1:12">
      <c r="A3239" t="s">
        <v>4716</v>
      </c>
      <c r="B3239" t="s">
        <v>305</v>
      </c>
      <c r="C3239" t="s">
        <v>38</v>
      </c>
      <c r="D3239">
        <v>-29015</v>
      </c>
      <c r="E3239" t="s">
        <v>23</v>
      </c>
      <c r="F3239" t="s">
        <v>24</v>
      </c>
      <c r="G3239" t="s">
        <v>33</v>
      </c>
      <c r="H3239" t="s">
        <v>26</v>
      </c>
      <c r="I3239" t="s">
        <v>40</v>
      </c>
      <c r="J3239" s="11">
        <v>45127</v>
      </c>
      <c r="K3239" t="str">
        <f>TEXT(Transactions_Clean[[#This Row],[Date]],"MMM-YYYY")</f>
        <v>Jul-2023</v>
      </c>
      <c r="L3239">
        <f>IF(Transactions_Clean[[#This Row],[Category]]="Revenue",Transactions_Clean[[#This Row],[Amount(₹)]],Transactions_Clean[[#This Row],[Amount(₹)]]/8)</f>
        <v>-3626.875</v>
      </c>
    </row>
    <row r="3240" spans="1:12">
      <c r="A3240" t="s">
        <v>4717</v>
      </c>
      <c r="B3240" t="s">
        <v>129</v>
      </c>
      <c r="C3240" t="s">
        <v>38</v>
      </c>
      <c r="D3240">
        <v>-39859</v>
      </c>
      <c r="E3240" t="s">
        <v>23</v>
      </c>
      <c r="F3240" t="s">
        <v>24</v>
      </c>
      <c r="G3240" t="s">
        <v>33</v>
      </c>
      <c r="H3240" t="s">
        <v>45</v>
      </c>
      <c r="I3240" t="s">
        <v>48</v>
      </c>
      <c r="J3240" s="11">
        <v>45586</v>
      </c>
      <c r="K3240" t="str">
        <f>TEXT(Transactions_Clean[[#This Row],[Date]],"MMM-YYYY")</f>
        <v>Oct-2024</v>
      </c>
      <c r="L3240">
        <f>IF(Transactions_Clean[[#This Row],[Category]]="Revenue",Transactions_Clean[[#This Row],[Amount(₹)]],Transactions_Clean[[#This Row],[Amount(₹)]]/8)</f>
        <v>-4982.375</v>
      </c>
    </row>
    <row r="3241" spans="1:12">
      <c r="A3241" t="s">
        <v>4718</v>
      </c>
      <c r="B3241" t="s">
        <v>4773</v>
      </c>
      <c r="C3241" t="s">
        <v>157</v>
      </c>
      <c r="D3241">
        <v>569372</v>
      </c>
      <c r="E3241" t="s">
        <v>62</v>
      </c>
      <c r="F3241" t="s">
        <v>32</v>
      </c>
      <c r="G3241" t="s">
        <v>25</v>
      </c>
      <c r="H3241" t="s">
        <v>26</v>
      </c>
      <c r="I3241" t="s">
        <v>27</v>
      </c>
      <c r="J3241" s="11">
        <v>45344</v>
      </c>
      <c r="K3241" t="str">
        <f>TEXT(Transactions_Clean[[#This Row],[Date]],"MMM-YYYY")</f>
        <v>Feb-2024</v>
      </c>
      <c r="L3241">
        <f>IF(Transactions_Clean[[#This Row],[Category]]="Revenue",Transactions_Clean[[#This Row],[Amount(₹)]],Transactions_Clean[[#This Row],[Amount(₹)]]/8)</f>
        <v>569372</v>
      </c>
    </row>
    <row r="3242" spans="1:12">
      <c r="A3242" t="s">
        <v>4719</v>
      </c>
      <c r="B3242" t="s">
        <v>37</v>
      </c>
      <c r="C3242" t="s">
        <v>38</v>
      </c>
      <c r="D3242">
        <v>-24247</v>
      </c>
      <c r="E3242" t="s">
        <v>23</v>
      </c>
      <c r="F3242" t="s">
        <v>24</v>
      </c>
      <c r="G3242" t="s">
        <v>33</v>
      </c>
      <c r="H3242" t="s">
        <v>26</v>
      </c>
      <c r="I3242" t="s">
        <v>34</v>
      </c>
      <c r="J3242" s="11">
        <v>45082</v>
      </c>
      <c r="K3242" t="str">
        <f>TEXT(Transactions_Clean[[#This Row],[Date]],"MMM-YYYY")</f>
        <v>Jun-2023</v>
      </c>
      <c r="L3242">
        <f>IF(Transactions_Clean[[#This Row],[Category]]="Revenue",Transactions_Clean[[#This Row],[Amount(₹)]],Transactions_Clean[[#This Row],[Amount(₹)]]/8)</f>
        <v>-3030.875</v>
      </c>
    </row>
    <row r="3243" spans="1:12">
      <c r="A3243" t="s">
        <v>4720</v>
      </c>
      <c r="B3243" t="s">
        <v>4754</v>
      </c>
      <c r="C3243" t="s">
        <v>78</v>
      </c>
      <c r="D3243">
        <v>-105249</v>
      </c>
      <c r="E3243" t="s">
        <v>23</v>
      </c>
      <c r="F3243" t="s">
        <v>32</v>
      </c>
      <c r="G3243" t="s">
        <v>79</v>
      </c>
      <c r="H3243" t="s">
        <v>45</v>
      </c>
      <c r="I3243" t="s">
        <v>40</v>
      </c>
      <c r="J3243" s="11">
        <v>45495</v>
      </c>
      <c r="K3243" t="str">
        <f>TEXT(Transactions_Clean[[#This Row],[Date]],"MMM-YYYY")</f>
        <v>Jul-2024</v>
      </c>
      <c r="L3243">
        <f>IF(Transactions_Clean[[#This Row],[Category]]="Revenue",Transactions_Clean[[#This Row],[Amount(₹)]],Transactions_Clean[[#This Row],[Amount(₹)]]/8)</f>
        <v>-13156.125</v>
      </c>
    </row>
    <row r="3244" spans="1:12">
      <c r="A3244" t="s">
        <v>4721</v>
      </c>
      <c r="B3244" t="s">
        <v>202</v>
      </c>
      <c r="C3244" t="s">
        <v>22</v>
      </c>
      <c r="D3244">
        <v>-135112</v>
      </c>
      <c r="E3244" t="s">
        <v>23</v>
      </c>
      <c r="F3244" t="s">
        <v>32</v>
      </c>
      <c r="G3244" t="s">
        <v>25</v>
      </c>
      <c r="H3244" t="s">
        <v>26</v>
      </c>
      <c r="I3244" t="s">
        <v>40</v>
      </c>
      <c r="J3244" s="11">
        <v>45124</v>
      </c>
      <c r="K3244" t="str">
        <f>TEXT(Transactions_Clean[[#This Row],[Date]],"MMM-YYYY")</f>
        <v>Jul-2023</v>
      </c>
      <c r="L3244">
        <f>IF(Transactions_Clean[[#This Row],[Category]]="Revenue",Transactions_Clean[[#This Row],[Amount(₹)]],Transactions_Clean[[#This Row],[Amount(₹)]]/8)</f>
        <v>-16889</v>
      </c>
    </row>
    <row r="3245" spans="1:12">
      <c r="A3245" t="s">
        <v>4723</v>
      </c>
      <c r="B3245" t="s">
        <v>4769</v>
      </c>
      <c r="C3245" t="s">
        <v>44</v>
      </c>
      <c r="D3245">
        <v>-113332</v>
      </c>
      <c r="E3245" t="s">
        <v>23</v>
      </c>
      <c r="F3245" t="s">
        <v>32</v>
      </c>
      <c r="G3245" t="s">
        <v>33</v>
      </c>
      <c r="H3245" t="s">
        <v>26</v>
      </c>
      <c r="I3245" t="s">
        <v>48</v>
      </c>
      <c r="J3245" s="11">
        <v>45237</v>
      </c>
      <c r="K3245" t="str">
        <f>TEXT(Transactions_Clean[[#This Row],[Date]],"MMM-YYYY")</f>
        <v>Nov-2023</v>
      </c>
      <c r="L3245">
        <f>IF(Transactions_Clean[[#This Row],[Category]]="Revenue",Transactions_Clean[[#This Row],[Amount(₹)]],Transactions_Clean[[#This Row],[Amount(₹)]]/8)</f>
        <v>-14166.5</v>
      </c>
    </row>
    <row r="3246" spans="1:12">
      <c r="A3246" t="s">
        <v>4724</v>
      </c>
      <c r="B3246" t="s">
        <v>51</v>
      </c>
      <c r="C3246" t="s">
        <v>31</v>
      </c>
      <c r="D3246">
        <v>-10535</v>
      </c>
      <c r="E3246" t="s">
        <v>23</v>
      </c>
      <c r="F3246" t="s">
        <v>24</v>
      </c>
      <c r="G3246" t="s">
        <v>33</v>
      </c>
      <c r="H3246" t="s">
        <v>39</v>
      </c>
      <c r="I3246" t="s">
        <v>40</v>
      </c>
      <c r="J3246" s="11">
        <v>45900</v>
      </c>
      <c r="K3246" t="str">
        <f>TEXT(Transactions_Clean[[#This Row],[Date]],"MMM-YYYY")</f>
        <v>Aug-2025</v>
      </c>
      <c r="L3246">
        <f>IF(Transactions_Clean[[#This Row],[Category]]="Revenue",Transactions_Clean[[#This Row],[Amount(₹)]],Transactions_Clean[[#This Row],[Amount(₹)]]/8)</f>
        <v>-1316.875</v>
      </c>
    </row>
    <row r="3247" spans="1:12">
      <c r="A3247" t="s">
        <v>4725</v>
      </c>
      <c r="B3247" t="s">
        <v>37</v>
      </c>
      <c r="C3247" t="s">
        <v>38</v>
      </c>
      <c r="D3247">
        <v>-45210</v>
      </c>
      <c r="E3247" t="s">
        <v>23</v>
      </c>
      <c r="F3247" t="s">
        <v>32</v>
      </c>
      <c r="G3247" t="s">
        <v>33</v>
      </c>
      <c r="H3247" t="s">
        <v>26</v>
      </c>
      <c r="I3247" t="s">
        <v>48</v>
      </c>
      <c r="J3247" s="11">
        <v>45265</v>
      </c>
      <c r="K3247" t="str">
        <f>TEXT(Transactions_Clean[[#This Row],[Date]],"MMM-YYYY")</f>
        <v>Dec-2023</v>
      </c>
      <c r="L3247">
        <f>IF(Transactions_Clean[[#This Row],[Category]]="Revenue",Transactions_Clean[[#This Row],[Amount(₹)]],Transactions_Clean[[#This Row],[Amount(₹)]]/8)</f>
        <v>-5651.25</v>
      </c>
    </row>
    <row r="3248" spans="1:12">
      <c r="A3248" t="s">
        <v>4726</v>
      </c>
      <c r="B3248" t="s">
        <v>616</v>
      </c>
      <c r="C3248" t="s">
        <v>22</v>
      </c>
      <c r="D3248">
        <v>-103736</v>
      </c>
      <c r="E3248" t="s">
        <v>23</v>
      </c>
      <c r="F3248" t="s">
        <v>24</v>
      </c>
      <c r="G3248" t="s">
        <v>25</v>
      </c>
      <c r="H3248" t="s">
        <v>45</v>
      </c>
      <c r="I3248" t="s">
        <v>27</v>
      </c>
      <c r="J3248" s="11">
        <v>45697</v>
      </c>
      <c r="K3248" t="str">
        <f>TEXT(Transactions_Clean[[#This Row],[Date]],"MMM-YYYY")</f>
        <v>Feb-2025</v>
      </c>
      <c r="L3248">
        <f>IF(Transactions_Clean[[#This Row],[Category]]="Revenue",Transactions_Clean[[#This Row],[Amount(₹)]],Transactions_Clean[[#This Row],[Amount(₹)]]/8)</f>
        <v>-12967</v>
      </c>
    </row>
    <row r="3249" spans="1:12">
      <c r="A3249" t="s">
        <v>4727</v>
      </c>
      <c r="B3249" t="s">
        <v>51</v>
      </c>
      <c r="C3249" t="s">
        <v>31</v>
      </c>
      <c r="D3249">
        <v>-43163</v>
      </c>
      <c r="E3249" t="s">
        <v>23</v>
      </c>
      <c r="F3249" t="s">
        <v>32</v>
      </c>
      <c r="G3249" t="s">
        <v>33</v>
      </c>
      <c r="H3249" t="s">
        <v>45</v>
      </c>
      <c r="I3249" t="s">
        <v>27</v>
      </c>
      <c r="J3249" s="11">
        <v>45677</v>
      </c>
      <c r="K3249" t="str">
        <f>TEXT(Transactions_Clean[[#This Row],[Date]],"MMM-YYYY")</f>
        <v>Jan-2025</v>
      </c>
      <c r="L3249">
        <f>IF(Transactions_Clean[[#This Row],[Category]]="Revenue",Transactions_Clean[[#This Row],[Amount(₹)]],Transactions_Clean[[#This Row],[Amount(₹)]]/8)</f>
        <v>-5395.375</v>
      </c>
    </row>
    <row r="3250" spans="1:12">
      <c r="A3250" t="s">
        <v>4728</v>
      </c>
      <c r="B3250" t="s">
        <v>616</v>
      </c>
      <c r="C3250" t="s">
        <v>22</v>
      </c>
      <c r="D3250">
        <v>-66452</v>
      </c>
      <c r="E3250" t="s">
        <v>23</v>
      </c>
      <c r="F3250" t="s">
        <v>24</v>
      </c>
      <c r="G3250" t="s">
        <v>25</v>
      </c>
      <c r="H3250" t="s">
        <v>45</v>
      </c>
      <c r="I3250" t="s">
        <v>27</v>
      </c>
      <c r="J3250" s="11">
        <v>45692</v>
      </c>
      <c r="K3250" t="str">
        <f>TEXT(Transactions_Clean[[#This Row],[Date]],"MMM-YYYY")</f>
        <v>Feb-2025</v>
      </c>
      <c r="L3250">
        <f>IF(Transactions_Clean[[#This Row],[Category]]="Revenue",Transactions_Clean[[#This Row],[Amount(₹)]],Transactions_Clean[[#This Row],[Amount(₹)]]/8)</f>
        <v>-8306.5</v>
      </c>
    </row>
    <row r="3251" spans="1:12">
      <c r="A3251" t="s">
        <v>4730</v>
      </c>
      <c r="B3251" t="s">
        <v>4757</v>
      </c>
      <c r="C3251" t="s">
        <v>73</v>
      </c>
      <c r="D3251">
        <v>-68513</v>
      </c>
      <c r="E3251" t="s">
        <v>74</v>
      </c>
      <c r="F3251" t="s">
        <v>32</v>
      </c>
      <c r="G3251" t="s">
        <v>25</v>
      </c>
      <c r="H3251" t="s">
        <v>26</v>
      </c>
      <c r="I3251" t="s">
        <v>34</v>
      </c>
      <c r="J3251" s="11">
        <v>45102</v>
      </c>
      <c r="K3251" t="str">
        <f>TEXT(Transactions_Clean[[#This Row],[Date]],"MMM-YYYY")</f>
        <v>Jun-2023</v>
      </c>
      <c r="L3251">
        <f>IF(Transactions_Clean[[#This Row],[Category]]="Revenue",Transactions_Clean[[#This Row],[Amount(₹)]],Transactions_Clean[[#This Row],[Amount(₹)]]/8)</f>
        <v>-8564.125</v>
      </c>
    </row>
    <row r="3252" spans="1:12">
      <c r="A3252" t="s">
        <v>4731</v>
      </c>
      <c r="B3252" t="s">
        <v>4776</v>
      </c>
      <c r="C3252" t="s">
        <v>440</v>
      </c>
      <c r="D3252">
        <v>-96624</v>
      </c>
      <c r="E3252" t="s">
        <v>23</v>
      </c>
      <c r="F3252" t="s">
        <v>32</v>
      </c>
      <c r="G3252" t="s">
        <v>33</v>
      </c>
      <c r="H3252" t="s">
        <v>26</v>
      </c>
      <c r="I3252" t="s">
        <v>34</v>
      </c>
      <c r="J3252" s="11">
        <v>45022</v>
      </c>
      <c r="K3252" t="str">
        <f>TEXT(Transactions_Clean[[#This Row],[Date]],"MMM-YYYY")</f>
        <v>Apr-2023</v>
      </c>
      <c r="L3252">
        <f>IF(Transactions_Clean[[#This Row],[Category]]="Revenue",Transactions_Clean[[#This Row],[Amount(₹)]],Transactions_Clean[[#This Row],[Amount(₹)]]/8)</f>
        <v>-12078</v>
      </c>
    </row>
    <row r="3253" spans="1:12">
      <c r="A3253" t="s">
        <v>4733</v>
      </c>
      <c r="B3253" t="s">
        <v>4763</v>
      </c>
      <c r="C3253" t="s">
        <v>22</v>
      </c>
      <c r="D3253">
        <v>-161474</v>
      </c>
      <c r="E3253" t="s">
        <v>23</v>
      </c>
      <c r="F3253" t="s">
        <v>32</v>
      </c>
      <c r="G3253" t="s">
        <v>25</v>
      </c>
      <c r="H3253" t="s">
        <v>26</v>
      </c>
      <c r="I3253" t="s">
        <v>40</v>
      </c>
      <c r="J3253" s="11">
        <v>45157</v>
      </c>
      <c r="K3253" t="str">
        <f>TEXT(Transactions_Clean[[#This Row],[Date]],"MMM-YYYY")</f>
        <v>Aug-2023</v>
      </c>
      <c r="L3253">
        <f>IF(Transactions_Clean[[#This Row],[Category]]="Revenue",Transactions_Clean[[#This Row],[Amount(₹)]],Transactions_Clean[[#This Row],[Amount(₹)]]/8)</f>
        <v>-20184.25</v>
      </c>
    </row>
    <row r="3254" spans="1:12">
      <c r="A3254" t="s">
        <v>4734</v>
      </c>
      <c r="B3254" t="s">
        <v>215</v>
      </c>
      <c r="C3254" t="s">
        <v>61</v>
      </c>
      <c r="D3254">
        <v>-58456</v>
      </c>
      <c r="E3254" t="s">
        <v>62</v>
      </c>
      <c r="F3254" t="s">
        <v>32</v>
      </c>
      <c r="G3254" t="s">
        <v>63</v>
      </c>
      <c r="H3254" t="s">
        <v>45</v>
      </c>
      <c r="I3254" t="s">
        <v>48</v>
      </c>
      <c r="J3254" s="11">
        <v>45581</v>
      </c>
      <c r="K3254" t="str">
        <f>TEXT(Transactions_Clean[[#This Row],[Date]],"MMM-YYYY")</f>
        <v>Oct-2024</v>
      </c>
      <c r="L3254">
        <f>IF(Transactions_Clean[[#This Row],[Category]]="Revenue",Transactions_Clean[[#This Row],[Amount(₹)]],Transactions_Clean[[#This Row],[Amount(₹)]]/8)</f>
        <v>-7307</v>
      </c>
    </row>
    <row r="3255" spans="1:12">
      <c r="A3255" t="s">
        <v>4735</v>
      </c>
      <c r="B3255" t="s">
        <v>60</v>
      </c>
      <c r="C3255" t="s">
        <v>61</v>
      </c>
      <c r="D3255">
        <v>-55160</v>
      </c>
      <c r="E3255" t="s">
        <v>62</v>
      </c>
      <c r="F3255" t="s">
        <v>32</v>
      </c>
      <c r="G3255" t="s">
        <v>63</v>
      </c>
      <c r="H3255" t="s">
        <v>45</v>
      </c>
      <c r="I3255" t="s">
        <v>34</v>
      </c>
      <c r="J3255" s="11">
        <v>45472</v>
      </c>
      <c r="K3255" t="str">
        <f>TEXT(Transactions_Clean[[#This Row],[Date]],"MMM-YYYY")</f>
        <v>Jun-2024</v>
      </c>
      <c r="L3255">
        <f>IF(Transactions_Clean[[#This Row],[Category]]="Revenue",Transactions_Clean[[#This Row],[Amount(₹)]],Transactions_Clean[[#This Row],[Amount(₹)]]/8)</f>
        <v>-6895</v>
      </c>
    </row>
    <row r="3256" spans="1:12">
      <c r="A3256" t="s">
        <v>4736</v>
      </c>
      <c r="B3256" t="s">
        <v>129</v>
      </c>
      <c r="C3256" t="s">
        <v>38</v>
      </c>
      <c r="D3256">
        <v>-9623</v>
      </c>
      <c r="E3256" t="s">
        <v>23</v>
      </c>
      <c r="F3256" t="s">
        <v>24</v>
      </c>
      <c r="G3256" t="s">
        <v>33</v>
      </c>
      <c r="H3256" t="s">
        <v>39</v>
      </c>
      <c r="I3256" t="s">
        <v>40</v>
      </c>
      <c r="J3256" s="11">
        <v>45858</v>
      </c>
      <c r="K3256" t="str">
        <f>TEXT(Transactions_Clean[[#This Row],[Date]],"MMM-YYYY")</f>
        <v>Jul-2025</v>
      </c>
      <c r="L3256">
        <f>IF(Transactions_Clean[[#This Row],[Category]]="Revenue",Transactions_Clean[[#This Row],[Amount(₹)]],Transactions_Clean[[#This Row],[Amount(₹)]]/8)</f>
        <v>-1202.875</v>
      </c>
    </row>
    <row r="3257" spans="1:12">
      <c r="A3257" t="s">
        <v>4737</v>
      </c>
      <c r="B3257" t="s">
        <v>177</v>
      </c>
      <c r="C3257" t="s">
        <v>78</v>
      </c>
      <c r="D3257">
        <v>-55153</v>
      </c>
      <c r="E3257" t="s">
        <v>23</v>
      </c>
      <c r="F3257" t="s">
        <v>24</v>
      </c>
      <c r="G3257" t="s">
        <v>79</v>
      </c>
      <c r="H3257" t="s">
        <v>39</v>
      </c>
      <c r="I3257" t="s">
        <v>40</v>
      </c>
      <c r="J3257" s="11">
        <v>45917</v>
      </c>
      <c r="K3257" t="str">
        <f>TEXT(Transactions_Clean[[#This Row],[Date]],"MMM-YYYY")</f>
        <v>Sep-2025</v>
      </c>
      <c r="L3257">
        <f>IF(Transactions_Clean[[#This Row],[Category]]="Revenue",Transactions_Clean[[#This Row],[Amount(₹)]],Transactions_Clean[[#This Row],[Amount(₹)]]/8)</f>
        <v>-6894.125</v>
      </c>
    </row>
    <row r="3258" spans="1:12">
      <c r="A3258" t="s">
        <v>4738</v>
      </c>
      <c r="B3258" t="s">
        <v>116</v>
      </c>
      <c r="C3258" t="s">
        <v>73</v>
      </c>
      <c r="D3258">
        <v>-17884</v>
      </c>
      <c r="E3258" t="s">
        <v>74</v>
      </c>
      <c r="F3258" t="s">
        <v>32</v>
      </c>
      <c r="G3258" t="s">
        <v>25</v>
      </c>
      <c r="H3258" t="s">
        <v>45</v>
      </c>
      <c r="I3258" t="s">
        <v>27</v>
      </c>
      <c r="J3258" s="11">
        <v>45658</v>
      </c>
      <c r="K3258" t="str">
        <f>TEXT(Transactions_Clean[[#This Row],[Date]],"MMM-YYYY")</f>
        <v>Jan-2025</v>
      </c>
      <c r="L3258">
        <f>IF(Transactions_Clean[[#This Row],[Category]]="Revenue",Transactions_Clean[[#This Row],[Amount(₹)]],Transactions_Clean[[#This Row],[Amount(₹)]]/8)</f>
        <v>-2235.5</v>
      </c>
    </row>
    <row r="3259" spans="1:12">
      <c r="A3259" t="s">
        <v>4739</v>
      </c>
      <c r="B3259" t="s">
        <v>4754</v>
      </c>
      <c r="C3259" t="s">
        <v>78</v>
      </c>
      <c r="D3259">
        <v>-83632</v>
      </c>
      <c r="E3259" t="s">
        <v>23</v>
      </c>
      <c r="F3259" t="s">
        <v>32</v>
      </c>
      <c r="G3259" t="s">
        <v>79</v>
      </c>
      <c r="H3259" t="s">
        <v>26</v>
      </c>
      <c r="I3259" t="s">
        <v>48</v>
      </c>
      <c r="J3259" s="11">
        <v>45270</v>
      </c>
      <c r="K3259" t="str">
        <f>TEXT(Transactions_Clean[[#This Row],[Date]],"MMM-YYYY")</f>
        <v>Dec-2023</v>
      </c>
      <c r="L3259">
        <f>IF(Transactions_Clean[[#This Row],[Category]]="Revenue",Transactions_Clean[[#This Row],[Amount(₹)]],Transactions_Clean[[#This Row],[Amount(₹)]]/8)</f>
        <v>-10454</v>
      </c>
    </row>
    <row r="3260" spans="1:12">
      <c r="A3260" t="s">
        <v>4740</v>
      </c>
      <c r="B3260" t="s">
        <v>4771</v>
      </c>
      <c r="C3260" t="s">
        <v>440</v>
      </c>
      <c r="D3260">
        <v>-118702</v>
      </c>
      <c r="E3260" t="s">
        <v>23</v>
      </c>
      <c r="F3260" t="s">
        <v>24</v>
      </c>
      <c r="G3260" t="s">
        <v>33</v>
      </c>
      <c r="H3260" t="s">
        <v>39</v>
      </c>
      <c r="I3260" t="s">
        <v>40</v>
      </c>
      <c r="J3260" s="11">
        <v>45902</v>
      </c>
      <c r="K3260" t="str">
        <f>TEXT(Transactions_Clean[[#This Row],[Date]],"MMM-YYYY")</f>
        <v>Sep-2025</v>
      </c>
      <c r="L3260">
        <f>IF(Transactions_Clean[[#This Row],[Category]]="Revenue",Transactions_Clean[[#This Row],[Amount(₹)]],Transactions_Clean[[#This Row],[Amount(₹)]]/8)</f>
        <v>-14837.75</v>
      </c>
    </row>
    <row r="3261" spans="1:12">
      <c r="A3261" t="s">
        <v>4741</v>
      </c>
      <c r="B3261" t="s">
        <v>310</v>
      </c>
      <c r="C3261" t="s">
        <v>22</v>
      </c>
      <c r="D3261">
        <v>-48779</v>
      </c>
      <c r="E3261" t="s">
        <v>23</v>
      </c>
      <c r="F3261" t="s">
        <v>32</v>
      </c>
      <c r="G3261" t="s">
        <v>25</v>
      </c>
      <c r="H3261" t="s">
        <v>26</v>
      </c>
      <c r="I3261" t="s">
        <v>40</v>
      </c>
      <c r="J3261" s="11">
        <v>45128</v>
      </c>
      <c r="K3261" t="str">
        <f>TEXT(Transactions_Clean[[#This Row],[Date]],"MMM-YYYY")</f>
        <v>Jul-2023</v>
      </c>
      <c r="L3261">
        <f>IF(Transactions_Clean[[#This Row],[Category]]="Revenue",Transactions_Clean[[#This Row],[Amount(₹)]],Transactions_Clean[[#This Row],[Amount(₹)]]/8)</f>
        <v>-6097.375</v>
      </c>
    </row>
    <row r="3262" spans="1:12">
      <c r="A3262" t="s">
        <v>4742</v>
      </c>
      <c r="B3262" t="s">
        <v>4764</v>
      </c>
      <c r="C3262" t="s">
        <v>157</v>
      </c>
      <c r="D3262">
        <v>537826</v>
      </c>
      <c r="E3262" t="s">
        <v>62</v>
      </c>
      <c r="F3262" t="s">
        <v>32</v>
      </c>
      <c r="G3262" t="s">
        <v>25</v>
      </c>
      <c r="H3262" t="s">
        <v>26</v>
      </c>
      <c r="I3262" t="s">
        <v>27</v>
      </c>
      <c r="J3262" s="11">
        <v>45293</v>
      </c>
      <c r="K3262" t="str">
        <f>TEXT(Transactions_Clean[[#This Row],[Date]],"MMM-YYYY")</f>
        <v>Jan-2024</v>
      </c>
      <c r="L3262">
        <f>IF(Transactions_Clean[[#This Row],[Category]]="Revenue",Transactions_Clean[[#This Row],[Amount(₹)]],Transactions_Clean[[#This Row],[Amount(₹)]]/8)</f>
        <v>537826</v>
      </c>
    </row>
    <row r="3263" spans="1:12">
      <c r="C3263" t="s">
        <v>4750</v>
      </c>
      <c r="J3263" s="11"/>
      <c r="K3263" t="str">
        <f>TEXT(Transactions_Clean[[#This Row],[Date]],"MMM-YYYY")</f>
        <v>Jan-1900</v>
      </c>
      <c r="L3263">
        <f>IF(Transactions_Clean[[#This Row],[Category]]="Revenue",Transactions_Clean[[#This Row],[Amount(₹)]],Transactions_Clean[[#This Row],[Amount(₹)]]/8)</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8F39C-54B8-4AF2-BB02-0761F9740F2E}">
  <dimension ref="A1:J3313"/>
  <sheetViews>
    <sheetView zoomScale="96" zoomScaleNormal="62" workbookViewId="0">
      <pane ySplit="1" topLeftCell="A2771" activePane="bottomLeft" state="frozen"/>
      <selection pane="bottomLeft" activeCell="D2788" sqref="D2788"/>
    </sheetView>
  </sheetViews>
  <sheetFormatPr defaultRowHeight="14.4"/>
  <cols>
    <col min="1" max="1" width="8" bestFit="1" customWidth="1"/>
    <col min="2" max="2" width="10.33203125" bestFit="1" customWidth="1"/>
    <col min="3" max="3" width="25.77734375" bestFit="1" customWidth="1"/>
    <col min="4" max="4" width="21.109375" bestFit="1" customWidth="1"/>
    <col min="5" max="5" width="12.109375" customWidth="1"/>
    <col min="6" max="6" width="12.44140625" customWidth="1"/>
    <col min="7" max="7" width="15.33203125" bestFit="1" customWidth="1"/>
    <col min="8" max="8" width="13" customWidth="1"/>
    <col min="9" max="9" width="6.88671875" bestFit="1" customWidth="1"/>
    <col min="10" max="10" width="9.33203125" customWidth="1"/>
  </cols>
  <sheetData>
    <row r="1" spans="1:10">
      <c r="A1" s="8" t="s">
        <v>9</v>
      </c>
      <c r="B1" s="9" t="s">
        <v>10</v>
      </c>
      <c r="C1" s="8" t="s">
        <v>11</v>
      </c>
      <c r="D1" s="8" t="s">
        <v>12</v>
      </c>
      <c r="E1" s="10" t="s">
        <v>13</v>
      </c>
      <c r="F1" s="8" t="s">
        <v>18</v>
      </c>
      <c r="G1" s="8" t="s">
        <v>14</v>
      </c>
      <c r="H1" s="8" t="s">
        <v>15</v>
      </c>
      <c r="I1" s="8" t="s">
        <v>16</v>
      </c>
      <c r="J1" s="8" t="s">
        <v>17</v>
      </c>
    </row>
    <row r="2" spans="1:10">
      <c r="A2" t="s">
        <v>19</v>
      </c>
      <c r="B2" t="s">
        <v>20</v>
      </c>
      <c r="C2" t="s">
        <v>21</v>
      </c>
      <c r="D2" t="s">
        <v>22</v>
      </c>
      <c r="E2">
        <v>-182719</v>
      </c>
      <c r="F2" t="s">
        <v>23</v>
      </c>
      <c r="G2" t="s">
        <v>24</v>
      </c>
      <c r="H2" t="s">
        <v>25</v>
      </c>
      <c r="I2" t="s">
        <v>26</v>
      </c>
      <c r="J2" t="s">
        <v>27</v>
      </c>
    </row>
    <row r="3" spans="1:10">
      <c r="A3" t="s">
        <v>28</v>
      </c>
      <c r="B3" t="s">
        <v>29</v>
      </c>
      <c r="C3" t="s">
        <v>30</v>
      </c>
      <c r="D3" t="s">
        <v>31</v>
      </c>
      <c r="E3">
        <v>-24423</v>
      </c>
      <c r="F3" t="s">
        <v>23</v>
      </c>
      <c r="G3" t="s">
        <v>32</v>
      </c>
      <c r="H3" t="s">
        <v>33</v>
      </c>
      <c r="I3" t="s">
        <v>26</v>
      </c>
      <c r="J3" t="s">
        <v>34</v>
      </c>
    </row>
    <row r="4" spans="1:10">
      <c r="A4" t="s">
        <v>35</v>
      </c>
      <c r="B4" t="s">
        <v>36</v>
      </c>
      <c r="C4" t="s">
        <v>37</v>
      </c>
      <c r="D4" t="s">
        <v>38</v>
      </c>
      <c r="E4">
        <v>-41127</v>
      </c>
      <c r="F4" t="s">
        <v>23</v>
      </c>
      <c r="G4" t="s">
        <v>24</v>
      </c>
      <c r="H4" t="s">
        <v>33</v>
      </c>
      <c r="I4" t="s">
        <v>39</v>
      </c>
      <c r="J4" t="s">
        <v>40</v>
      </c>
    </row>
    <row r="5" spans="1:10" ht="12" customHeight="1">
      <c r="A5" t="s">
        <v>41</v>
      </c>
      <c r="B5" t="s">
        <v>42</v>
      </c>
      <c r="C5" t="s">
        <v>43</v>
      </c>
      <c r="D5" t="s">
        <v>44</v>
      </c>
      <c r="E5">
        <v>-74454</v>
      </c>
      <c r="F5" t="s">
        <v>23</v>
      </c>
      <c r="G5" t="s">
        <v>24</v>
      </c>
      <c r="H5" t="s">
        <v>33</v>
      </c>
      <c r="I5" t="s">
        <v>45</v>
      </c>
      <c r="J5" t="s">
        <v>40</v>
      </c>
    </row>
    <row r="6" spans="1:10">
      <c r="A6" t="s">
        <v>46</v>
      </c>
      <c r="B6" t="s">
        <v>47</v>
      </c>
      <c r="C6" t="s">
        <v>30</v>
      </c>
      <c r="D6" t="s">
        <v>31</v>
      </c>
      <c r="E6">
        <v>-35623</v>
      </c>
      <c r="F6" t="s">
        <v>23</v>
      </c>
      <c r="G6" t="s">
        <v>32</v>
      </c>
      <c r="H6" t="s">
        <v>33</v>
      </c>
      <c r="I6" t="s">
        <v>26</v>
      </c>
      <c r="J6" t="s">
        <v>48</v>
      </c>
    </row>
    <row r="7" spans="1:10">
      <c r="A7" t="s">
        <v>49</v>
      </c>
      <c r="B7" t="s">
        <v>50</v>
      </c>
      <c r="C7" t="s">
        <v>51</v>
      </c>
      <c r="E7">
        <v>-17065</v>
      </c>
      <c r="F7" t="s">
        <v>23</v>
      </c>
      <c r="G7" t="s">
        <v>32</v>
      </c>
      <c r="H7" t="s">
        <v>33</v>
      </c>
      <c r="I7" t="s">
        <v>26</v>
      </c>
      <c r="J7" t="s">
        <v>34</v>
      </c>
    </row>
    <row r="8" spans="1:10">
      <c r="A8" t="s">
        <v>52</v>
      </c>
      <c r="B8" t="s">
        <v>53</v>
      </c>
      <c r="C8" t="s">
        <v>54</v>
      </c>
      <c r="D8" t="s">
        <v>38</v>
      </c>
      <c r="E8">
        <v>-16852</v>
      </c>
      <c r="F8" t="s">
        <v>23</v>
      </c>
      <c r="G8" t="s">
        <v>24</v>
      </c>
      <c r="H8" t="s">
        <v>33</v>
      </c>
      <c r="I8" t="s">
        <v>26</v>
      </c>
      <c r="J8" t="s">
        <v>48</v>
      </c>
    </row>
    <row r="9" spans="1:10">
      <c r="A9" t="s">
        <v>55</v>
      </c>
      <c r="B9" t="s">
        <v>56</v>
      </c>
      <c r="C9" t="s">
        <v>57</v>
      </c>
      <c r="D9" t="s">
        <v>44</v>
      </c>
      <c r="E9">
        <v>-59833</v>
      </c>
      <c r="F9" t="s">
        <v>23</v>
      </c>
      <c r="G9" t="s">
        <v>32</v>
      </c>
      <c r="H9" t="s">
        <v>33</v>
      </c>
      <c r="I9" t="s">
        <v>26</v>
      </c>
      <c r="J9" t="s">
        <v>27</v>
      </c>
    </row>
    <row r="10" spans="1:10">
      <c r="A10" t="s">
        <v>58</v>
      </c>
      <c r="B10" t="s">
        <v>59</v>
      </c>
      <c r="C10" t="s">
        <v>60</v>
      </c>
      <c r="D10" t="s">
        <v>61</v>
      </c>
      <c r="E10">
        <v>-53120</v>
      </c>
      <c r="F10" t="s">
        <v>62</v>
      </c>
      <c r="G10" t="s">
        <v>24</v>
      </c>
      <c r="H10" t="s">
        <v>63</v>
      </c>
      <c r="I10" t="s">
        <v>26</v>
      </c>
      <c r="J10" t="s">
        <v>34</v>
      </c>
    </row>
    <row r="11" spans="1:10">
      <c r="A11" t="s">
        <v>64</v>
      </c>
      <c r="B11" t="s">
        <v>65</v>
      </c>
      <c r="C11" t="s">
        <v>66</v>
      </c>
      <c r="D11" t="s">
        <v>61</v>
      </c>
      <c r="E11">
        <v>-30421</v>
      </c>
      <c r="F11" t="s">
        <v>62</v>
      </c>
      <c r="G11" t="s">
        <v>24</v>
      </c>
      <c r="H11" t="s">
        <v>63</v>
      </c>
      <c r="I11" t="s">
        <v>26</v>
      </c>
      <c r="J11" t="s">
        <v>40</v>
      </c>
    </row>
    <row r="12" spans="1:10">
      <c r="A12" t="s">
        <v>67</v>
      </c>
      <c r="B12" t="s">
        <v>68</v>
      </c>
      <c r="C12" t="s">
        <v>69</v>
      </c>
      <c r="D12" t="s">
        <v>38</v>
      </c>
      <c r="E12">
        <v>-50685</v>
      </c>
      <c r="F12" t="s">
        <v>23</v>
      </c>
      <c r="G12" t="s">
        <v>32</v>
      </c>
      <c r="H12" t="s">
        <v>33</v>
      </c>
      <c r="I12" t="s">
        <v>39</v>
      </c>
      <c r="J12" t="s">
        <v>27</v>
      </c>
    </row>
    <row r="13" spans="1:10">
      <c r="A13" t="s">
        <v>70</v>
      </c>
      <c r="B13" t="s">
        <v>71</v>
      </c>
      <c r="C13" t="s">
        <v>72</v>
      </c>
      <c r="D13" t="s">
        <v>73</v>
      </c>
      <c r="E13">
        <v>-47935</v>
      </c>
      <c r="F13" t="s">
        <v>74</v>
      </c>
      <c r="G13" t="s">
        <v>24</v>
      </c>
      <c r="H13" t="s">
        <v>25</v>
      </c>
      <c r="I13" t="s">
        <v>39</v>
      </c>
      <c r="J13" t="s">
        <v>27</v>
      </c>
    </row>
    <row r="14" spans="1:10">
      <c r="A14" t="s">
        <v>75</v>
      </c>
      <c r="B14" t="s">
        <v>76</v>
      </c>
      <c r="C14" t="s">
        <v>77</v>
      </c>
      <c r="D14" t="s">
        <v>78</v>
      </c>
      <c r="E14">
        <v>-92717</v>
      </c>
      <c r="F14" t="s">
        <v>23</v>
      </c>
      <c r="G14" t="s">
        <v>24</v>
      </c>
      <c r="H14" t="s">
        <v>79</v>
      </c>
      <c r="I14" t="s">
        <v>45</v>
      </c>
      <c r="J14" t="s">
        <v>48</v>
      </c>
    </row>
    <row r="15" spans="1:10">
      <c r="A15" t="s">
        <v>80</v>
      </c>
      <c r="B15" t="s">
        <v>81</v>
      </c>
      <c r="C15" t="s">
        <v>60</v>
      </c>
      <c r="D15" t="s">
        <v>61</v>
      </c>
      <c r="E15">
        <v>-53174</v>
      </c>
      <c r="F15" t="s">
        <v>62</v>
      </c>
      <c r="G15" t="s">
        <v>24</v>
      </c>
      <c r="H15" t="s">
        <v>63</v>
      </c>
      <c r="I15" t="s">
        <v>39</v>
      </c>
      <c r="J15" t="s">
        <v>34</v>
      </c>
    </row>
    <row r="16" spans="1:10">
      <c r="A16" t="s">
        <v>82</v>
      </c>
      <c r="B16" t="s">
        <v>83</v>
      </c>
      <c r="C16" t="s">
        <v>84</v>
      </c>
      <c r="D16" t="s">
        <v>78</v>
      </c>
      <c r="E16">
        <v>-83690</v>
      </c>
      <c r="F16" t="s">
        <v>23</v>
      </c>
      <c r="G16" t="s">
        <v>24</v>
      </c>
      <c r="H16" t="s">
        <v>79</v>
      </c>
      <c r="I16" t="s">
        <v>26</v>
      </c>
      <c r="J16" t="s">
        <v>48</v>
      </c>
    </row>
    <row r="17" spans="1:10">
      <c r="A17" t="s">
        <v>85</v>
      </c>
      <c r="B17" t="s">
        <v>86</v>
      </c>
      <c r="C17" t="s">
        <v>87</v>
      </c>
      <c r="D17" t="s">
        <v>22</v>
      </c>
      <c r="E17">
        <v>-79631</v>
      </c>
      <c r="F17" t="s">
        <v>23</v>
      </c>
      <c r="G17" t="s">
        <v>32</v>
      </c>
      <c r="H17" t="s">
        <v>25</v>
      </c>
      <c r="I17" t="s">
        <v>45</v>
      </c>
      <c r="J17" t="s">
        <v>40</v>
      </c>
    </row>
    <row r="18" spans="1:10">
      <c r="A18" t="s">
        <v>88</v>
      </c>
      <c r="B18" t="s">
        <v>89</v>
      </c>
      <c r="C18" t="s">
        <v>90</v>
      </c>
      <c r="D18" t="s">
        <v>73</v>
      </c>
      <c r="E18">
        <v>-30161</v>
      </c>
      <c r="F18" t="s">
        <v>74</v>
      </c>
      <c r="G18" t="s">
        <v>24</v>
      </c>
      <c r="H18" t="s">
        <v>25</v>
      </c>
      <c r="I18" t="s">
        <v>39</v>
      </c>
      <c r="J18" t="s">
        <v>27</v>
      </c>
    </row>
    <row r="19" spans="1:10">
      <c r="A19" t="s">
        <v>91</v>
      </c>
      <c r="B19" t="s">
        <v>92</v>
      </c>
      <c r="C19" t="s">
        <v>93</v>
      </c>
      <c r="D19" t="s">
        <v>73</v>
      </c>
      <c r="E19">
        <v>-23167</v>
      </c>
      <c r="F19" t="s">
        <v>74</v>
      </c>
      <c r="G19" t="s">
        <v>24</v>
      </c>
      <c r="H19" t="s">
        <v>25</v>
      </c>
      <c r="I19" t="s">
        <v>26</v>
      </c>
      <c r="J19" t="s">
        <v>27</v>
      </c>
    </row>
    <row r="20" spans="1:10">
      <c r="A20" t="s">
        <v>94</v>
      </c>
      <c r="B20" t="s">
        <v>95</v>
      </c>
      <c r="C20" t="s">
        <v>51</v>
      </c>
      <c r="D20" t="s">
        <v>31</v>
      </c>
      <c r="E20">
        <v>-17445</v>
      </c>
      <c r="F20" t="s">
        <v>23</v>
      </c>
      <c r="G20" t="s">
        <v>32</v>
      </c>
      <c r="H20" t="s">
        <v>33</v>
      </c>
      <c r="I20" t="s">
        <v>26</v>
      </c>
      <c r="J20" t="s">
        <v>27</v>
      </c>
    </row>
    <row r="21" spans="1:10">
      <c r="A21" t="s">
        <v>96</v>
      </c>
      <c r="B21" t="s">
        <v>97</v>
      </c>
      <c r="C21" t="s">
        <v>72</v>
      </c>
      <c r="D21" t="s">
        <v>73</v>
      </c>
      <c r="E21">
        <v>-80984</v>
      </c>
      <c r="F21" t="s">
        <v>74</v>
      </c>
      <c r="G21" t="s">
        <v>32</v>
      </c>
      <c r="H21" t="s">
        <v>25</v>
      </c>
      <c r="I21" t="s">
        <v>26</v>
      </c>
      <c r="J21" t="s">
        <v>27</v>
      </c>
    </row>
    <row r="22" spans="1:10">
      <c r="A22" t="s">
        <v>98</v>
      </c>
      <c r="B22" t="s">
        <v>99</v>
      </c>
      <c r="C22" t="s">
        <v>100</v>
      </c>
      <c r="D22" t="s">
        <v>31</v>
      </c>
      <c r="E22">
        <v>-6918</v>
      </c>
      <c r="F22" t="s">
        <v>23</v>
      </c>
      <c r="G22" t="s">
        <v>24</v>
      </c>
      <c r="H22" t="s">
        <v>33</v>
      </c>
      <c r="I22" t="s">
        <v>45</v>
      </c>
      <c r="J22" t="s">
        <v>34</v>
      </c>
    </row>
    <row r="23" spans="1:10">
      <c r="A23" t="s">
        <v>101</v>
      </c>
      <c r="B23" t="s">
        <v>102</v>
      </c>
      <c r="C23" t="s">
        <v>103</v>
      </c>
      <c r="D23" t="s">
        <v>78</v>
      </c>
      <c r="E23">
        <v>-36655</v>
      </c>
      <c r="F23" t="s">
        <v>23</v>
      </c>
      <c r="G23" t="s">
        <v>32</v>
      </c>
      <c r="H23" t="s">
        <v>79</v>
      </c>
      <c r="I23" t="s">
        <v>45</v>
      </c>
      <c r="J23" t="s">
        <v>27</v>
      </c>
    </row>
    <row r="24" spans="1:10">
      <c r="A24" t="s">
        <v>104</v>
      </c>
      <c r="B24" t="s">
        <v>105</v>
      </c>
      <c r="C24" t="s">
        <v>106</v>
      </c>
      <c r="D24" t="s">
        <v>31</v>
      </c>
      <c r="E24">
        <v>-20678</v>
      </c>
      <c r="F24" t="s">
        <v>23</v>
      </c>
      <c r="G24" t="s">
        <v>32</v>
      </c>
      <c r="H24" t="s">
        <v>33</v>
      </c>
      <c r="I24" t="s">
        <v>45</v>
      </c>
      <c r="J24" t="s">
        <v>40</v>
      </c>
    </row>
    <row r="25" spans="1:10">
      <c r="A25" t="s">
        <v>107</v>
      </c>
      <c r="B25" t="s">
        <v>108</v>
      </c>
      <c r="C25" t="s">
        <v>103</v>
      </c>
      <c r="D25" t="s">
        <v>78</v>
      </c>
      <c r="E25">
        <v>-78048</v>
      </c>
      <c r="F25" t="s">
        <v>23</v>
      </c>
      <c r="G25" t="s">
        <v>24</v>
      </c>
      <c r="H25" t="s">
        <v>79</v>
      </c>
      <c r="I25" t="s">
        <v>39</v>
      </c>
      <c r="J25" t="s">
        <v>34</v>
      </c>
    </row>
    <row r="26" spans="1:10">
      <c r="A26" t="s">
        <v>109</v>
      </c>
      <c r="B26" t="s">
        <v>110</v>
      </c>
      <c r="C26" t="s">
        <v>72</v>
      </c>
      <c r="D26" t="s">
        <v>111</v>
      </c>
      <c r="E26">
        <v>-40767</v>
      </c>
      <c r="F26" t="s">
        <v>74</v>
      </c>
      <c r="G26" t="s">
        <v>32</v>
      </c>
      <c r="H26" t="s">
        <v>25</v>
      </c>
      <c r="I26" t="s">
        <v>39</v>
      </c>
      <c r="J26" t="s">
        <v>34</v>
      </c>
    </row>
    <row r="27" spans="1:10">
      <c r="A27" t="s">
        <v>112</v>
      </c>
      <c r="B27" t="s">
        <v>113</v>
      </c>
      <c r="C27" t="s">
        <v>106</v>
      </c>
      <c r="D27" t="s">
        <v>31</v>
      </c>
      <c r="E27">
        <v>-37253</v>
      </c>
      <c r="F27" t="s">
        <v>23</v>
      </c>
      <c r="G27" t="s">
        <v>32</v>
      </c>
      <c r="H27" t="s">
        <v>33</v>
      </c>
      <c r="I27" t="s">
        <v>26</v>
      </c>
      <c r="J27" t="s">
        <v>27</v>
      </c>
    </row>
    <row r="28" spans="1:10">
      <c r="A28" t="s">
        <v>114</v>
      </c>
      <c r="B28" t="s">
        <v>115</v>
      </c>
      <c r="C28" t="s">
        <v>116</v>
      </c>
      <c r="D28" t="s">
        <v>73</v>
      </c>
      <c r="E28">
        <v>-66017</v>
      </c>
      <c r="F28" t="s">
        <v>74</v>
      </c>
      <c r="G28" t="s">
        <v>32</v>
      </c>
      <c r="H28" t="s">
        <v>25</v>
      </c>
      <c r="I28" t="s">
        <v>45</v>
      </c>
      <c r="J28" t="s">
        <v>48</v>
      </c>
    </row>
    <row r="29" spans="1:10">
      <c r="A29" t="s">
        <v>117</v>
      </c>
      <c r="B29" t="s">
        <v>118</v>
      </c>
      <c r="C29" t="s">
        <v>119</v>
      </c>
      <c r="D29" t="s">
        <v>73</v>
      </c>
      <c r="E29">
        <v>-13987</v>
      </c>
      <c r="F29" t="s">
        <v>74</v>
      </c>
      <c r="G29" t="s">
        <v>24</v>
      </c>
      <c r="H29" t="s">
        <v>25</v>
      </c>
      <c r="I29" t="s">
        <v>45</v>
      </c>
      <c r="J29" t="s">
        <v>40</v>
      </c>
    </row>
    <row r="30" spans="1:10">
      <c r="A30" t="s">
        <v>120</v>
      </c>
      <c r="B30" t="s">
        <v>121</v>
      </c>
      <c r="C30" t="s">
        <v>90</v>
      </c>
      <c r="D30" t="s">
        <v>73</v>
      </c>
      <c r="E30">
        <v>-12002</v>
      </c>
      <c r="F30" t="s">
        <v>74</v>
      </c>
      <c r="G30" t="s">
        <v>24</v>
      </c>
      <c r="H30" t="s">
        <v>25</v>
      </c>
      <c r="I30" t="s">
        <v>39</v>
      </c>
      <c r="J30" t="s">
        <v>40</v>
      </c>
    </row>
    <row r="31" spans="1:10">
      <c r="A31" t="s">
        <v>122</v>
      </c>
      <c r="B31" t="s">
        <v>123</v>
      </c>
      <c r="C31" t="s">
        <v>37</v>
      </c>
      <c r="D31" t="s">
        <v>38</v>
      </c>
      <c r="E31">
        <v>-13151</v>
      </c>
      <c r="F31" t="s">
        <v>23</v>
      </c>
      <c r="G31" t="s">
        <v>24</v>
      </c>
      <c r="H31" t="s">
        <v>33</v>
      </c>
      <c r="I31" t="s">
        <v>39</v>
      </c>
      <c r="J31" t="s">
        <v>40</v>
      </c>
    </row>
    <row r="32" spans="1:10">
      <c r="A32" t="s">
        <v>124</v>
      </c>
      <c r="B32" t="s">
        <v>125</v>
      </c>
      <c r="C32" t="s">
        <v>126</v>
      </c>
      <c r="D32" t="s">
        <v>31</v>
      </c>
      <c r="E32">
        <v>-8764</v>
      </c>
      <c r="F32" t="s">
        <v>23</v>
      </c>
      <c r="G32" t="s">
        <v>32</v>
      </c>
      <c r="H32" t="s">
        <v>33</v>
      </c>
      <c r="I32" t="s">
        <v>39</v>
      </c>
      <c r="J32" t="s">
        <v>27</v>
      </c>
    </row>
    <row r="33" spans="1:10">
      <c r="A33" t="s">
        <v>127</v>
      </c>
      <c r="B33" t="s">
        <v>128</v>
      </c>
      <c r="C33" t="s">
        <v>129</v>
      </c>
      <c r="D33" t="s">
        <v>38</v>
      </c>
      <c r="E33">
        <v>-36634</v>
      </c>
      <c r="F33" t="s">
        <v>23</v>
      </c>
      <c r="G33" t="s">
        <v>24</v>
      </c>
      <c r="H33" t="s">
        <v>33</v>
      </c>
      <c r="I33" t="s">
        <v>39</v>
      </c>
      <c r="J33" t="s">
        <v>27</v>
      </c>
    </row>
    <row r="34" spans="1:10">
      <c r="A34" t="s">
        <v>130</v>
      </c>
      <c r="B34" t="s">
        <v>131</v>
      </c>
      <c r="C34" t="s">
        <v>132</v>
      </c>
      <c r="D34" t="s">
        <v>73</v>
      </c>
      <c r="E34">
        <v>-59673</v>
      </c>
      <c r="F34" t="s">
        <v>74</v>
      </c>
      <c r="G34" t="s">
        <v>24</v>
      </c>
      <c r="H34" t="s">
        <v>25</v>
      </c>
      <c r="I34" t="s">
        <v>39</v>
      </c>
      <c r="J34" t="s">
        <v>27</v>
      </c>
    </row>
    <row r="35" spans="1:10">
      <c r="A35" t="s">
        <v>133</v>
      </c>
      <c r="B35" t="s">
        <v>134</v>
      </c>
      <c r="C35" t="s">
        <v>135</v>
      </c>
      <c r="D35" t="s">
        <v>136</v>
      </c>
      <c r="E35">
        <v>-10672016</v>
      </c>
      <c r="F35" t="s">
        <v>62</v>
      </c>
      <c r="G35" t="s">
        <v>32</v>
      </c>
      <c r="H35" t="s">
        <v>63</v>
      </c>
      <c r="I35" t="s">
        <v>26</v>
      </c>
      <c r="J35" t="s">
        <v>27</v>
      </c>
    </row>
    <row r="36" spans="1:10">
      <c r="A36" t="s">
        <v>137</v>
      </c>
      <c r="B36" t="s">
        <v>138</v>
      </c>
      <c r="C36" t="s">
        <v>66</v>
      </c>
      <c r="D36" t="s">
        <v>61</v>
      </c>
      <c r="E36">
        <v>-13059</v>
      </c>
      <c r="F36" t="s">
        <v>62</v>
      </c>
      <c r="G36" t="s">
        <v>32</v>
      </c>
      <c r="H36" t="s">
        <v>63</v>
      </c>
      <c r="I36" t="s">
        <v>39</v>
      </c>
      <c r="J36" t="s">
        <v>34</v>
      </c>
    </row>
    <row r="37" spans="1:10">
      <c r="A37" t="s">
        <v>139</v>
      </c>
      <c r="B37" t="s">
        <v>140</v>
      </c>
      <c r="C37" t="s">
        <v>54</v>
      </c>
      <c r="D37" t="s">
        <v>38</v>
      </c>
      <c r="E37">
        <v>-47531</v>
      </c>
      <c r="F37" t="s">
        <v>23</v>
      </c>
      <c r="G37" t="s">
        <v>24</v>
      </c>
      <c r="H37" t="s">
        <v>33</v>
      </c>
      <c r="I37" t="s">
        <v>39</v>
      </c>
      <c r="J37" t="s">
        <v>27</v>
      </c>
    </row>
    <row r="38" spans="1:10">
      <c r="A38" t="s">
        <v>141</v>
      </c>
      <c r="B38" t="s">
        <v>142</v>
      </c>
      <c r="C38" t="s">
        <v>143</v>
      </c>
      <c r="D38" t="s">
        <v>78</v>
      </c>
      <c r="E38">
        <v>-31061</v>
      </c>
      <c r="F38" t="s">
        <v>23</v>
      </c>
      <c r="G38" t="s">
        <v>32</v>
      </c>
      <c r="H38" t="s">
        <v>79</v>
      </c>
      <c r="I38" t="s">
        <v>39</v>
      </c>
      <c r="J38" t="s">
        <v>40</v>
      </c>
    </row>
    <row r="39" spans="1:10">
      <c r="A39" t="s">
        <v>144</v>
      </c>
      <c r="B39" t="s">
        <v>145</v>
      </c>
      <c r="C39" t="s">
        <v>100</v>
      </c>
      <c r="D39" t="s">
        <v>31</v>
      </c>
      <c r="E39">
        <v>-34912</v>
      </c>
      <c r="F39" t="s">
        <v>23</v>
      </c>
      <c r="G39" t="s">
        <v>32</v>
      </c>
      <c r="H39" t="s">
        <v>33</v>
      </c>
      <c r="I39" t="s">
        <v>26</v>
      </c>
      <c r="J39" t="s">
        <v>40</v>
      </c>
    </row>
    <row r="40" spans="1:10">
      <c r="A40" t="s">
        <v>146</v>
      </c>
      <c r="B40" t="s">
        <v>147</v>
      </c>
      <c r="C40" t="s">
        <v>66</v>
      </c>
      <c r="D40" t="s">
        <v>61</v>
      </c>
      <c r="E40">
        <v>-41271</v>
      </c>
      <c r="F40" t="s">
        <v>62</v>
      </c>
      <c r="G40" t="s">
        <v>24</v>
      </c>
      <c r="H40" t="s">
        <v>63</v>
      </c>
      <c r="I40" t="s">
        <v>26</v>
      </c>
      <c r="J40" t="s">
        <v>27</v>
      </c>
    </row>
    <row r="41" spans="1:10">
      <c r="A41" t="s">
        <v>148</v>
      </c>
      <c r="B41" t="s">
        <v>149</v>
      </c>
      <c r="C41" t="s">
        <v>60</v>
      </c>
      <c r="D41" t="s">
        <v>61</v>
      </c>
      <c r="E41">
        <v>-20795</v>
      </c>
      <c r="F41" t="s">
        <v>62</v>
      </c>
      <c r="G41" t="s">
        <v>24</v>
      </c>
      <c r="H41" t="s">
        <v>63</v>
      </c>
      <c r="I41" t="s">
        <v>45</v>
      </c>
      <c r="J41" t="s">
        <v>34</v>
      </c>
    </row>
    <row r="42" spans="1:10">
      <c r="A42" t="s">
        <v>150</v>
      </c>
      <c r="B42" t="s">
        <v>151</v>
      </c>
      <c r="C42" t="s">
        <v>57</v>
      </c>
      <c r="D42" t="s">
        <v>44</v>
      </c>
      <c r="E42">
        <v>-176188</v>
      </c>
      <c r="F42" t="s">
        <v>23</v>
      </c>
      <c r="G42" t="s">
        <v>24</v>
      </c>
      <c r="H42" t="s">
        <v>33</v>
      </c>
      <c r="I42" t="s">
        <v>45</v>
      </c>
      <c r="J42" t="s">
        <v>48</v>
      </c>
    </row>
    <row r="43" spans="1:10">
      <c r="A43" t="s">
        <v>152</v>
      </c>
      <c r="B43" t="s">
        <v>153</v>
      </c>
      <c r="C43" t="s">
        <v>72</v>
      </c>
      <c r="E43">
        <v>-66718</v>
      </c>
      <c r="F43" t="s">
        <v>74</v>
      </c>
      <c r="G43" t="s">
        <v>24</v>
      </c>
      <c r="H43" t="s">
        <v>25</v>
      </c>
      <c r="I43" t="s">
        <v>45</v>
      </c>
      <c r="J43" t="s">
        <v>27</v>
      </c>
    </row>
    <row r="44" spans="1:10">
      <c r="A44" t="s">
        <v>154</v>
      </c>
      <c r="B44" t="s">
        <v>155</v>
      </c>
      <c r="C44" t="s">
        <v>156</v>
      </c>
      <c r="D44" t="s">
        <v>157</v>
      </c>
      <c r="E44">
        <v>635058</v>
      </c>
      <c r="F44" t="s">
        <v>62</v>
      </c>
      <c r="G44" t="s">
        <v>32</v>
      </c>
      <c r="H44" t="s">
        <v>25</v>
      </c>
      <c r="I44" t="s">
        <v>45</v>
      </c>
      <c r="J44" t="s">
        <v>40</v>
      </c>
    </row>
    <row r="45" spans="1:10">
      <c r="A45" t="s">
        <v>158</v>
      </c>
      <c r="B45" t="s">
        <v>159</v>
      </c>
      <c r="C45" t="s">
        <v>116</v>
      </c>
      <c r="D45" t="s">
        <v>73</v>
      </c>
      <c r="E45">
        <v>-62948</v>
      </c>
      <c r="F45" t="s">
        <v>74</v>
      </c>
      <c r="G45" t="s">
        <v>24</v>
      </c>
      <c r="H45" t="s">
        <v>25</v>
      </c>
      <c r="I45" t="s">
        <v>26</v>
      </c>
      <c r="J45" t="s">
        <v>34</v>
      </c>
    </row>
    <row r="46" spans="1:10">
      <c r="A46" t="s">
        <v>160</v>
      </c>
      <c r="B46" t="s">
        <v>36</v>
      </c>
      <c r="C46" t="s">
        <v>161</v>
      </c>
      <c r="D46" t="s">
        <v>22</v>
      </c>
      <c r="E46">
        <v>-193908</v>
      </c>
      <c r="F46" t="s">
        <v>23</v>
      </c>
      <c r="G46" t="s">
        <v>24</v>
      </c>
      <c r="H46" t="s">
        <v>25</v>
      </c>
      <c r="I46" t="s">
        <v>39</v>
      </c>
      <c r="J46" t="s">
        <v>40</v>
      </c>
    </row>
    <row r="47" spans="1:10">
      <c r="A47" t="s">
        <v>162</v>
      </c>
      <c r="B47" t="s">
        <v>163</v>
      </c>
      <c r="C47" t="s">
        <v>30</v>
      </c>
      <c r="D47" t="s">
        <v>31</v>
      </c>
      <c r="E47">
        <v>-15349</v>
      </c>
      <c r="F47" t="s">
        <v>23</v>
      </c>
      <c r="G47" t="s">
        <v>24</v>
      </c>
      <c r="H47" t="s">
        <v>33</v>
      </c>
      <c r="I47" t="s">
        <v>26</v>
      </c>
      <c r="J47" t="s">
        <v>34</v>
      </c>
    </row>
    <row r="48" spans="1:10">
      <c r="A48" t="s">
        <v>164</v>
      </c>
      <c r="B48" t="s">
        <v>165</v>
      </c>
      <c r="C48" t="s">
        <v>166</v>
      </c>
      <c r="D48" t="s">
        <v>31</v>
      </c>
      <c r="E48">
        <v>-44985</v>
      </c>
      <c r="F48" t="s">
        <v>23</v>
      </c>
      <c r="G48" t="s">
        <v>32</v>
      </c>
      <c r="H48" t="s">
        <v>33</v>
      </c>
      <c r="I48" t="s">
        <v>39</v>
      </c>
      <c r="J48" t="s">
        <v>34</v>
      </c>
    </row>
    <row r="49" spans="1:10">
      <c r="A49" t="s">
        <v>167</v>
      </c>
      <c r="B49" t="s">
        <v>168</v>
      </c>
      <c r="C49" t="s">
        <v>169</v>
      </c>
      <c r="E49">
        <v>-11360</v>
      </c>
      <c r="F49" t="s">
        <v>74</v>
      </c>
      <c r="G49" t="s">
        <v>24</v>
      </c>
      <c r="H49" t="s">
        <v>25</v>
      </c>
      <c r="I49" t="s">
        <v>45</v>
      </c>
      <c r="J49" t="s">
        <v>48</v>
      </c>
    </row>
    <row r="50" spans="1:10">
      <c r="A50" t="s">
        <v>170</v>
      </c>
      <c r="B50" t="s">
        <v>171</v>
      </c>
      <c r="C50" t="s">
        <v>161</v>
      </c>
      <c r="D50" t="s">
        <v>22</v>
      </c>
      <c r="E50">
        <v>-113570</v>
      </c>
      <c r="F50" t="s">
        <v>23</v>
      </c>
      <c r="G50" t="s">
        <v>32</v>
      </c>
      <c r="H50" t="s">
        <v>25</v>
      </c>
      <c r="I50" t="s">
        <v>45</v>
      </c>
      <c r="J50" t="s">
        <v>27</v>
      </c>
    </row>
    <row r="51" spans="1:10">
      <c r="A51" t="s">
        <v>172</v>
      </c>
      <c r="B51" t="s">
        <v>173</v>
      </c>
      <c r="C51" t="s">
        <v>174</v>
      </c>
      <c r="D51" t="s">
        <v>22</v>
      </c>
      <c r="E51">
        <v>-104426</v>
      </c>
      <c r="F51" t="s">
        <v>23</v>
      </c>
      <c r="G51" t="s">
        <v>32</v>
      </c>
      <c r="H51" t="s">
        <v>25</v>
      </c>
      <c r="I51" t="s">
        <v>26</v>
      </c>
      <c r="J51" t="s">
        <v>34</v>
      </c>
    </row>
    <row r="52" spans="1:10">
      <c r="A52" t="s">
        <v>175</v>
      </c>
      <c r="B52" t="s">
        <v>176</v>
      </c>
      <c r="C52" t="s">
        <v>177</v>
      </c>
      <c r="D52" t="s">
        <v>78</v>
      </c>
      <c r="E52">
        <v>-92660</v>
      </c>
      <c r="F52" t="s">
        <v>23</v>
      </c>
      <c r="G52" t="s">
        <v>32</v>
      </c>
      <c r="H52" t="s">
        <v>79</v>
      </c>
      <c r="I52" t="s">
        <v>26</v>
      </c>
      <c r="J52" t="s">
        <v>27</v>
      </c>
    </row>
    <row r="53" spans="1:10">
      <c r="A53" t="s">
        <v>178</v>
      </c>
      <c r="B53" t="s">
        <v>179</v>
      </c>
      <c r="C53" t="s">
        <v>180</v>
      </c>
      <c r="D53" t="s">
        <v>44</v>
      </c>
      <c r="E53">
        <v>-131707</v>
      </c>
      <c r="F53" t="s">
        <v>23</v>
      </c>
      <c r="G53" t="s">
        <v>24</v>
      </c>
      <c r="H53" t="s">
        <v>33</v>
      </c>
      <c r="I53" t="s">
        <v>26</v>
      </c>
      <c r="J53" t="s">
        <v>34</v>
      </c>
    </row>
    <row r="54" spans="1:10">
      <c r="A54" t="s">
        <v>181</v>
      </c>
      <c r="B54" t="s">
        <v>182</v>
      </c>
      <c r="C54" t="s">
        <v>54</v>
      </c>
      <c r="D54" t="s">
        <v>38</v>
      </c>
      <c r="E54">
        <v>-15361</v>
      </c>
      <c r="F54" t="s">
        <v>23</v>
      </c>
      <c r="G54" t="s">
        <v>24</v>
      </c>
      <c r="H54" t="s">
        <v>33</v>
      </c>
      <c r="I54" t="s">
        <v>45</v>
      </c>
      <c r="J54" t="s">
        <v>48</v>
      </c>
    </row>
    <row r="55" spans="1:10">
      <c r="A55" t="s">
        <v>183</v>
      </c>
      <c r="B55" t="s">
        <v>184</v>
      </c>
      <c r="C55" t="s">
        <v>100</v>
      </c>
      <c r="D55" t="s">
        <v>31</v>
      </c>
      <c r="E55">
        <v>-16477</v>
      </c>
      <c r="F55" t="s">
        <v>23</v>
      </c>
      <c r="G55" t="s">
        <v>24</v>
      </c>
      <c r="H55" t="s">
        <v>33</v>
      </c>
      <c r="I55" t="s">
        <v>39</v>
      </c>
      <c r="J55" t="s">
        <v>34</v>
      </c>
    </row>
    <row r="56" spans="1:10">
      <c r="A56" t="s">
        <v>185</v>
      </c>
      <c r="B56" t="s">
        <v>186</v>
      </c>
      <c r="C56" t="s">
        <v>169</v>
      </c>
      <c r="D56" t="s">
        <v>187</v>
      </c>
      <c r="E56">
        <v>-25324</v>
      </c>
      <c r="F56" t="s">
        <v>74</v>
      </c>
      <c r="G56" t="s">
        <v>24</v>
      </c>
      <c r="H56" t="s">
        <v>25</v>
      </c>
      <c r="I56" t="s">
        <v>26</v>
      </c>
      <c r="J56" t="s">
        <v>40</v>
      </c>
    </row>
    <row r="57" spans="1:10">
      <c r="A57" t="s">
        <v>188</v>
      </c>
      <c r="B57" t="s">
        <v>189</v>
      </c>
      <c r="C57" t="s">
        <v>169</v>
      </c>
      <c r="D57" t="s">
        <v>73</v>
      </c>
      <c r="E57">
        <v>-81849</v>
      </c>
      <c r="F57" t="s">
        <v>74</v>
      </c>
      <c r="G57" t="s">
        <v>32</v>
      </c>
      <c r="H57" t="s">
        <v>25</v>
      </c>
      <c r="I57" t="s">
        <v>39</v>
      </c>
      <c r="J57" t="s">
        <v>40</v>
      </c>
    </row>
    <row r="58" spans="1:10">
      <c r="A58" t="s">
        <v>190</v>
      </c>
      <c r="B58" t="s">
        <v>191</v>
      </c>
      <c r="C58" t="s">
        <v>192</v>
      </c>
      <c r="D58" t="s">
        <v>193</v>
      </c>
      <c r="E58">
        <v>-84164</v>
      </c>
      <c r="F58" t="s">
        <v>23</v>
      </c>
      <c r="G58" t="s">
        <v>24</v>
      </c>
      <c r="H58" t="s">
        <v>25</v>
      </c>
      <c r="I58" t="s">
        <v>26</v>
      </c>
      <c r="J58" t="s">
        <v>34</v>
      </c>
    </row>
    <row r="59" spans="1:10">
      <c r="A59" t="s">
        <v>194</v>
      </c>
      <c r="B59" t="s">
        <v>195</v>
      </c>
      <c r="C59" t="s">
        <v>93</v>
      </c>
      <c r="D59" t="s">
        <v>73</v>
      </c>
      <c r="E59">
        <v>-19853</v>
      </c>
      <c r="F59" t="s">
        <v>74</v>
      </c>
      <c r="G59" t="s">
        <v>24</v>
      </c>
      <c r="H59" t="s">
        <v>25</v>
      </c>
      <c r="I59" t="s">
        <v>39</v>
      </c>
      <c r="J59" t="s">
        <v>27</v>
      </c>
    </row>
    <row r="60" spans="1:10">
      <c r="A60" t="s">
        <v>196</v>
      </c>
      <c r="B60" t="s">
        <v>197</v>
      </c>
      <c r="C60" t="s">
        <v>66</v>
      </c>
      <c r="D60" t="s">
        <v>61</v>
      </c>
      <c r="E60">
        <v>-54042</v>
      </c>
      <c r="F60" t="s">
        <v>62</v>
      </c>
      <c r="G60" t="s">
        <v>24</v>
      </c>
      <c r="H60" t="s">
        <v>63</v>
      </c>
      <c r="I60" t="s">
        <v>39</v>
      </c>
      <c r="J60" t="s">
        <v>40</v>
      </c>
    </row>
    <row r="61" spans="1:10">
      <c r="A61" t="s">
        <v>198</v>
      </c>
      <c r="B61" t="s">
        <v>199</v>
      </c>
      <c r="C61" t="s">
        <v>21</v>
      </c>
      <c r="D61" t="s">
        <v>22</v>
      </c>
      <c r="E61">
        <v>-18850</v>
      </c>
      <c r="F61" t="s">
        <v>23</v>
      </c>
      <c r="G61" t="s">
        <v>32</v>
      </c>
      <c r="H61" t="s">
        <v>25</v>
      </c>
      <c r="I61" t="s">
        <v>26</v>
      </c>
      <c r="J61" t="s">
        <v>34</v>
      </c>
    </row>
    <row r="62" spans="1:10">
      <c r="A62" t="s">
        <v>200</v>
      </c>
      <c r="B62" t="s">
        <v>201</v>
      </c>
      <c r="C62" t="s">
        <v>202</v>
      </c>
      <c r="D62" t="s">
        <v>22</v>
      </c>
      <c r="E62">
        <v>-195732</v>
      </c>
      <c r="F62" t="s">
        <v>23</v>
      </c>
      <c r="G62" t="s">
        <v>24</v>
      </c>
      <c r="H62" t="s">
        <v>25</v>
      </c>
      <c r="I62" t="s">
        <v>26</v>
      </c>
      <c r="J62" t="s">
        <v>48</v>
      </c>
    </row>
    <row r="63" spans="1:10">
      <c r="A63" t="s">
        <v>203</v>
      </c>
      <c r="B63" t="s">
        <v>204</v>
      </c>
      <c r="C63" t="s">
        <v>69</v>
      </c>
      <c r="D63" t="s">
        <v>38</v>
      </c>
      <c r="E63">
        <v>-18864</v>
      </c>
      <c r="F63" t="s">
        <v>23</v>
      </c>
      <c r="G63" t="s">
        <v>24</v>
      </c>
      <c r="H63" t="s">
        <v>33</v>
      </c>
      <c r="I63" t="s">
        <v>39</v>
      </c>
      <c r="J63" t="s">
        <v>27</v>
      </c>
    </row>
    <row r="64" spans="1:10">
      <c r="A64" t="s">
        <v>205</v>
      </c>
      <c r="B64" t="s">
        <v>206</v>
      </c>
      <c r="C64" t="s">
        <v>174</v>
      </c>
      <c r="D64" t="s">
        <v>207</v>
      </c>
      <c r="E64">
        <v>-40478</v>
      </c>
      <c r="F64" t="s">
        <v>23</v>
      </c>
      <c r="G64" t="s">
        <v>24</v>
      </c>
      <c r="H64" t="s">
        <v>25</v>
      </c>
      <c r="I64" t="s">
        <v>45</v>
      </c>
      <c r="J64" t="s">
        <v>27</v>
      </c>
    </row>
    <row r="65" spans="1:10">
      <c r="A65" t="s">
        <v>208</v>
      </c>
      <c r="B65" t="s">
        <v>209</v>
      </c>
      <c r="C65" t="s">
        <v>169</v>
      </c>
      <c r="D65" t="s">
        <v>73</v>
      </c>
      <c r="E65">
        <v>-76350</v>
      </c>
      <c r="F65" t="s">
        <v>74</v>
      </c>
      <c r="G65" t="s">
        <v>32</v>
      </c>
      <c r="H65" t="s">
        <v>25</v>
      </c>
      <c r="I65" t="s">
        <v>45</v>
      </c>
      <c r="J65" t="s">
        <v>34</v>
      </c>
    </row>
    <row r="66" spans="1:10">
      <c r="A66" t="s">
        <v>210</v>
      </c>
      <c r="B66" t="s">
        <v>211</v>
      </c>
      <c r="C66" t="s">
        <v>212</v>
      </c>
      <c r="D66" t="s">
        <v>73</v>
      </c>
      <c r="E66">
        <v>-75677</v>
      </c>
      <c r="F66" t="s">
        <v>74</v>
      </c>
      <c r="G66" t="s">
        <v>32</v>
      </c>
      <c r="H66" t="s">
        <v>25</v>
      </c>
      <c r="I66" t="s">
        <v>45</v>
      </c>
      <c r="J66" t="s">
        <v>48</v>
      </c>
    </row>
    <row r="67" spans="1:10">
      <c r="A67" t="s">
        <v>213</v>
      </c>
      <c r="B67" t="s">
        <v>214</v>
      </c>
      <c r="C67" t="s">
        <v>215</v>
      </c>
      <c r="D67" t="s">
        <v>61</v>
      </c>
      <c r="E67">
        <v>-17405</v>
      </c>
      <c r="F67" t="s">
        <v>62</v>
      </c>
      <c r="G67" t="s">
        <v>24</v>
      </c>
      <c r="H67" t="s">
        <v>63</v>
      </c>
      <c r="I67" t="s">
        <v>39</v>
      </c>
      <c r="J67" t="s">
        <v>27</v>
      </c>
    </row>
    <row r="68" spans="1:10">
      <c r="A68" t="s">
        <v>216</v>
      </c>
      <c r="B68" t="s">
        <v>217</v>
      </c>
      <c r="C68" t="s">
        <v>218</v>
      </c>
      <c r="D68" t="s">
        <v>157</v>
      </c>
      <c r="E68">
        <v>607061</v>
      </c>
      <c r="F68" t="s">
        <v>62</v>
      </c>
      <c r="G68" t="s">
        <v>32</v>
      </c>
      <c r="H68" t="s">
        <v>25</v>
      </c>
      <c r="I68" t="s">
        <v>45</v>
      </c>
      <c r="J68" t="s">
        <v>27</v>
      </c>
    </row>
    <row r="69" spans="1:10">
      <c r="A69" t="s">
        <v>219</v>
      </c>
      <c r="B69" t="s">
        <v>220</v>
      </c>
      <c r="C69" t="s">
        <v>221</v>
      </c>
      <c r="D69" t="s">
        <v>61</v>
      </c>
      <c r="E69">
        <v>-41575</v>
      </c>
      <c r="F69" t="s">
        <v>62</v>
      </c>
      <c r="G69" t="s">
        <v>24</v>
      </c>
      <c r="H69" t="s">
        <v>63</v>
      </c>
      <c r="I69" t="s">
        <v>26</v>
      </c>
      <c r="J69" t="s">
        <v>40</v>
      </c>
    </row>
    <row r="70" spans="1:10">
      <c r="A70" t="s">
        <v>222</v>
      </c>
      <c r="B70" t="s">
        <v>223</v>
      </c>
      <c r="C70" t="s">
        <v>224</v>
      </c>
      <c r="D70" t="s">
        <v>78</v>
      </c>
      <c r="E70">
        <v>-40729</v>
      </c>
      <c r="F70" t="s">
        <v>23</v>
      </c>
      <c r="G70" t="s">
        <v>32</v>
      </c>
      <c r="H70" t="s">
        <v>79</v>
      </c>
      <c r="I70" t="s">
        <v>26</v>
      </c>
      <c r="J70" t="s">
        <v>34</v>
      </c>
    </row>
    <row r="71" spans="1:10">
      <c r="A71" t="s">
        <v>225</v>
      </c>
      <c r="B71" t="s">
        <v>226</v>
      </c>
      <c r="C71" t="s">
        <v>100</v>
      </c>
      <c r="D71" t="s">
        <v>31</v>
      </c>
      <c r="E71">
        <v>-25594</v>
      </c>
      <c r="F71" t="s">
        <v>23</v>
      </c>
      <c r="G71" t="s">
        <v>32</v>
      </c>
      <c r="H71" t="s">
        <v>33</v>
      </c>
      <c r="I71" t="s">
        <v>39</v>
      </c>
      <c r="J71" t="s">
        <v>27</v>
      </c>
    </row>
    <row r="72" spans="1:10">
      <c r="A72" t="s">
        <v>227</v>
      </c>
      <c r="B72" t="s">
        <v>228</v>
      </c>
      <c r="C72" t="s">
        <v>60</v>
      </c>
      <c r="D72" t="s">
        <v>61</v>
      </c>
      <c r="E72">
        <v>-16862</v>
      </c>
      <c r="F72" t="s">
        <v>62</v>
      </c>
      <c r="G72" t="s">
        <v>32</v>
      </c>
      <c r="H72" t="s">
        <v>63</v>
      </c>
      <c r="I72" t="s">
        <v>26</v>
      </c>
      <c r="J72" t="s">
        <v>40</v>
      </c>
    </row>
    <row r="73" spans="1:10">
      <c r="A73" t="s">
        <v>229</v>
      </c>
      <c r="B73" t="s">
        <v>230</v>
      </c>
      <c r="C73" t="s">
        <v>51</v>
      </c>
      <c r="D73" t="s">
        <v>31</v>
      </c>
      <c r="E73">
        <v>-26074</v>
      </c>
      <c r="F73" t="s">
        <v>23</v>
      </c>
      <c r="G73" t="s">
        <v>24</v>
      </c>
      <c r="H73" t="s">
        <v>33</v>
      </c>
      <c r="I73" t="s">
        <v>39</v>
      </c>
      <c r="J73" t="s">
        <v>27</v>
      </c>
    </row>
    <row r="74" spans="1:10">
      <c r="A74" t="s">
        <v>231</v>
      </c>
      <c r="B74" t="s">
        <v>232</v>
      </c>
      <c r="C74" t="s">
        <v>60</v>
      </c>
      <c r="D74" t="s">
        <v>61</v>
      </c>
      <c r="E74">
        <v>-54254</v>
      </c>
      <c r="F74" t="s">
        <v>62</v>
      </c>
      <c r="G74" t="s">
        <v>32</v>
      </c>
      <c r="H74" t="s">
        <v>63</v>
      </c>
      <c r="I74" t="s">
        <v>45</v>
      </c>
      <c r="J74" t="s">
        <v>27</v>
      </c>
    </row>
    <row r="75" spans="1:10">
      <c r="A75" t="s">
        <v>233</v>
      </c>
      <c r="B75" t="s">
        <v>234</v>
      </c>
      <c r="C75" t="s">
        <v>106</v>
      </c>
      <c r="D75" t="s">
        <v>31</v>
      </c>
      <c r="E75">
        <v>-36517</v>
      </c>
      <c r="F75" t="s">
        <v>23</v>
      </c>
      <c r="G75" t="s">
        <v>24</v>
      </c>
      <c r="H75" t="s">
        <v>33</v>
      </c>
      <c r="I75" t="s">
        <v>45</v>
      </c>
      <c r="J75" t="s">
        <v>40</v>
      </c>
    </row>
    <row r="76" spans="1:10">
      <c r="A76" t="s">
        <v>235</v>
      </c>
      <c r="B76" t="s">
        <v>236</v>
      </c>
      <c r="C76" t="s">
        <v>237</v>
      </c>
      <c r="D76" t="s">
        <v>22</v>
      </c>
      <c r="E76">
        <v>-184554</v>
      </c>
      <c r="F76" t="s">
        <v>23</v>
      </c>
      <c r="G76" t="s">
        <v>24</v>
      </c>
      <c r="H76" t="s">
        <v>25</v>
      </c>
      <c r="I76" t="s">
        <v>45</v>
      </c>
      <c r="J76" t="s">
        <v>34</v>
      </c>
    </row>
    <row r="77" spans="1:10">
      <c r="A77" t="s">
        <v>238</v>
      </c>
      <c r="B77" t="s">
        <v>239</v>
      </c>
      <c r="C77" t="s">
        <v>143</v>
      </c>
      <c r="D77" t="s">
        <v>78</v>
      </c>
      <c r="E77">
        <v>-68526</v>
      </c>
      <c r="F77" t="s">
        <v>23</v>
      </c>
      <c r="G77" t="s">
        <v>32</v>
      </c>
      <c r="H77" t="s">
        <v>79</v>
      </c>
      <c r="I77" t="s">
        <v>26</v>
      </c>
      <c r="J77" t="s">
        <v>27</v>
      </c>
    </row>
    <row r="78" spans="1:10">
      <c r="A78" t="s">
        <v>240</v>
      </c>
      <c r="B78" t="s">
        <v>241</v>
      </c>
      <c r="C78" t="s">
        <v>57</v>
      </c>
      <c r="D78" t="s">
        <v>44</v>
      </c>
      <c r="E78">
        <v>-124698</v>
      </c>
      <c r="F78" t="s">
        <v>23</v>
      </c>
      <c r="G78" t="s">
        <v>24</v>
      </c>
      <c r="H78" t="s">
        <v>33</v>
      </c>
      <c r="I78" t="s">
        <v>39</v>
      </c>
      <c r="J78" t="s">
        <v>40</v>
      </c>
    </row>
    <row r="79" spans="1:10">
      <c r="A79" t="s">
        <v>242</v>
      </c>
      <c r="B79" t="s">
        <v>243</v>
      </c>
      <c r="C79" t="s">
        <v>66</v>
      </c>
      <c r="D79" t="s">
        <v>61</v>
      </c>
      <c r="E79">
        <v>-39286</v>
      </c>
      <c r="F79" t="s">
        <v>62</v>
      </c>
      <c r="G79" t="s">
        <v>32</v>
      </c>
      <c r="H79" t="s">
        <v>63</v>
      </c>
      <c r="I79" t="s">
        <v>45</v>
      </c>
      <c r="J79" t="s">
        <v>27</v>
      </c>
    </row>
    <row r="80" spans="1:10">
      <c r="A80" t="s">
        <v>244</v>
      </c>
      <c r="B80" t="s">
        <v>245</v>
      </c>
      <c r="C80" t="s">
        <v>69</v>
      </c>
      <c r="D80" t="s">
        <v>38</v>
      </c>
      <c r="E80">
        <v>-17884</v>
      </c>
      <c r="F80" t="s">
        <v>23</v>
      </c>
      <c r="G80" t="s">
        <v>24</v>
      </c>
      <c r="H80" t="s">
        <v>33</v>
      </c>
      <c r="I80" t="s">
        <v>26</v>
      </c>
      <c r="J80" t="s">
        <v>34</v>
      </c>
    </row>
    <row r="81" spans="1:10">
      <c r="A81" t="s">
        <v>246</v>
      </c>
      <c r="B81" t="s">
        <v>247</v>
      </c>
      <c r="C81" t="s">
        <v>43</v>
      </c>
      <c r="D81" t="s">
        <v>248</v>
      </c>
      <c r="E81">
        <v>-64999</v>
      </c>
      <c r="F81" t="s">
        <v>23</v>
      </c>
      <c r="G81" t="s">
        <v>24</v>
      </c>
      <c r="H81" t="s">
        <v>33</v>
      </c>
      <c r="I81" t="s">
        <v>39</v>
      </c>
      <c r="J81" t="s">
        <v>27</v>
      </c>
    </row>
    <row r="82" spans="1:10">
      <c r="A82" t="s">
        <v>249</v>
      </c>
      <c r="B82" t="s">
        <v>250</v>
      </c>
      <c r="C82" t="s">
        <v>161</v>
      </c>
      <c r="D82" t="s">
        <v>207</v>
      </c>
      <c r="E82">
        <v>-29145</v>
      </c>
      <c r="F82" t="s">
        <v>23</v>
      </c>
      <c r="G82" t="s">
        <v>24</v>
      </c>
      <c r="H82" t="s">
        <v>25</v>
      </c>
      <c r="I82" t="s">
        <v>26</v>
      </c>
      <c r="J82" t="s">
        <v>27</v>
      </c>
    </row>
    <row r="83" spans="1:10">
      <c r="A83" t="s">
        <v>251</v>
      </c>
      <c r="B83" t="s">
        <v>252</v>
      </c>
      <c r="C83" t="s">
        <v>169</v>
      </c>
      <c r="D83" t="s">
        <v>73</v>
      </c>
      <c r="E83">
        <v>-60431</v>
      </c>
      <c r="F83" t="s">
        <v>74</v>
      </c>
      <c r="G83" t="s">
        <v>24</v>
      </c>
      <c r="H83" t="s">
        <v>25</v>
      </c>
      <c r="I83" t="s">
        <v>26</v>
      </c>
      <c r="J83" t="s">
        <v>34</v>
      </c>
    </row>
    <row r="84" spans="1:10">
      <c r="A84" t="s">
        <v>253</v>
      </c>
      <c r="B84" t="s">
        <v>254</v>
      </c>
      <c r="C84" t="s">
        <v>255</v>
      </c>
      <c r="D84" t="s">
        <v>22</v>
      </c>
      <c r="E84">
        <v>-107751</v>
      </c>
      <c r="F84" t="s">
        <v>23</v>
      </c>
      <c r="G84" t="s">
        <v>32</v>
      </c>
      <c r="H84" t="s">
        <v>25</v>
      </c>
      <c r="I84" t="s">
        <v>45</v>
      </c>
      <c r="J84" t="s">
        <v>48</v>
      </c>
    </row>
    <row r="85" spans="1:10">
      <c r="A85" t="s">
        <v>256</v>
      </c>
      <c r="B85" t="s">
        <v>257</v>
      </c>
      <c r="C85" t="s">
        <v>51</v>
      </c>
      <c r="D85" t="s">
        <v>31</v>
      </c>
      <c r="E85">
        <v>-9950</v>
      </c>
      <c r="F85" t="s">
        <v>23</v>
      </c>
      <c r="G85" t="s">
        <v>24</v>
      </c>
      <c r="H85" t="s">
        <v>33</v>
      </c>
      <c r="I85" t="s">
        <v>45</v>
      </c>
      <c r="J85" t="s">
        <v>48</v>
      </c>
    </row>
    <row r="86" spans="1:10">
      <c r="A86" t="s">
        <v>258</v>
      </c>
      <c r="B86" t="s">
        <v>259</v>
      </c>
      <c r="C86" t="s">
        <v>60</v>
      </c>
      <c r="D86" t="s">
        <v>61</v>
      </c>
      <c r="E86">
        <v>-21171</v>
      </c>
      <c r="F86" t="s">
        <v>62</v>
      </c>
      <c r="G86" t="s">
        <v>24</v>
      </c>
      <c r="H86" t="s">
        <v>63</v>
      </c>
      <c r="I86" t="s">
        <v>39</v>
      </c>
      <c r="J86" t="s">
        <v>40</v>
      </c>
    </row>
    <row r="87" spans="1:10">
      <c r="A87" t="s">
        <v>260</v>
      </c>
      <c r="B87" t="s">
        <v>261</v>
      </c>
      <c r="C87" t="s">
        <v>177</v>
      </c>
      <c r="D87" t="s">
        <v>78</v>
      </c>
      <c r="E87">
        <v>-58842</v>
      </c>
      <c r="F87" t="s">
        <v>23</v>
      </c>
      <c r="G87" t="s">
        <v>24</v>
      </c>
      <c r="H87" t="s">
        <v>79</v>
      </c>
      <c r="I87" t="s">
        <v>26</v>
      </c>
      <c r="J87" t="s">
        <v>27</v>
      </c>
    </row>
    <row r="88" spans="1:10">
      <c r="A88" t="s">
        <v>262</v>
      </c>
      <c r="B88" t="s">
        <v>263</v>
      </c>
      <c r="C88" t="s">
        <v>57</v>
      </c>
      <c r="D88" t="s">
        <v>44</v>
      </c>
      <c r="E88">
        <v>-54865</v>
      </c>
      <c r="F88" t="s">
        <v>23</v>
      </c>
      <c r="G88" t="s">
        <v>24</v>
      </c>
      <c r="H88" t="s">
        <v>33</v>
      </c>
      <c r="I88" t="s">
        <v>45</v>
      </c>
      <c r="J88" t="s">
        <v>27</v>
      </c>
    </row>
    <row r="89" spans="1:10">
      <c r="A89" t="s">
        <v>264</v>
      </c>
      <c r="B89" t="s">
        <v>265</v>
      </c>
      <c r="C89" t="s">
        <v>266</v>
      </c>
      <c r="D89" t="s">
        <v>73</v>
      </c>
      <c r="E89">
        <v>-10104</v>
      </c>
      <c r="F89" t="s">
        <v>74</v>
      </c>
      <c r="G89" t="s">
        <v>32</v>
      </c>
      <c r="H89" t="s">
        <v>25</v>
      </c>
      <c r="I89" t="s">
        <v>39</v>
      </c>
      <c r="J89" t="s">
        <v>34</v>
      </c>
    </row>
    <row r="90" spans="1:10">
      <c r="A90" t="s">
        <v>267</v>
      </c>
      <c r="B90" t="s">
        <v>268</v>
      </c>
      <c r="C90" t="s">
        <v>174</v>
      </c>
      <c r="D90" t="s">
        <v>22</v>
      </c>
      <c r="E90">
        <v>-178962</v>
      </c>
      <c r="F90" t="s">
        <v>23</v>
      </c>
      <c r="G90" t="s">
        <v>24</v>
      </c>
      <c r="H90" t="s">
        <v>25</v>
      </c>
      <c r="I90" t="s">
        <v>39</v>
      </c>
      <c r="J90" t="s">
        <v>34</v>
      </c>
    </row>
    <row r="91" spans="1:10">
      <c r="A91" t="s">
        <v>269</v>
      </c>
      <c r="B91" t="s">
        <v>270</v>
      </c>
      <c r="C91" t="s">
        <v>271</v>
      </c>
      <c r="D91" t="s">
        <v>73</v>
      </c>
      <c r="E91">
        <v>-79987</v>
      </c>
      <c r="F91" t="s">
        <v>74</v>
      </c>
      <c r="G91" t="s">
        <v>32</v>
      </c>
      <c r="H91" t="s">
        <v>25</v>
      </c>
      <c r="I91" t="s">
        <v>26</v>
      </c>
      <c r="J91" t="s">
        <v>34</v>
      </c>
    </row>
    <row r="92" spans="1:10">
      <c r="A92" t="s">
        <v>272</v>
      </c>
      <c r="B92" t="s">
        <v>273</v>
      </c>
      <c r="C92" t="s">
        <v>274</v>
      </c>
      <c r="D92" t="s">
        <v>78</v>
      </c>
      <c r="E92">
        <v>-50501</v>
      </c>
      <c r="F92" t="s">
        <v>23</v>
      </c>
      <c r="G92" t="s">
        <v>24</v>
      </c>
      <c r="H92" t="s">
        <v>79</v>
      </c>
      <c r="I92" t="s">
        <v>39</v>
      </c>
      <c r="J92" t="s">
        <v>48</v>
      </c>
    </row>
    <row r="93" spans="1:10">
      <c r="A93" t="s">
        <v>275</v>
      </c>
      <c r="B93" t="s">
        <v>276</v>
      </c>
      <c r="C93" t="s">
        <v>255</v>
      </c>
      <c r="D93" t="s">
        <v>22</v>
      </c>
      <c r="E93">
        <v>-40023</v>
      </c>
      <c r="F93" t="s">
        <v>23</v>
      </c>
      <c r="G93" t="s">
        <v>32</v>
      </c>
      <c r="H93" t="s">
        <v>25</v>
      </c>
      <c r="I93" t="s">
        <v>39</v>
      </c>
      <c r="J93" t="s">
        <v>34</v>
      </c>
    </row>
    <row r="94" spans="1:10">
      <c r="A94" t="s">
        <v>277</v>
      </c>
      <c r="B94" t="s">
        <v>278</v>
      </c>
      <c r="C94" t="s">
        <v>129</v>
      </c>
      <c r="D94" t="s">
        <v>38</v>
      </c>
      <c r="E94">
        <v>-27437</v>
      </c>
      <c r="F94" t="s">
        <v>23</v>
      </c>
      <c r="G94" t="s">
        <v>32</v>
      </c>
      <c r="H94" t="s">
        <v>33</v>
      </c>
      <c r="I94" t="s">
        <v>26</v>
      </c>
      <c r="J94" t="s">
        <v>27</v>
      </c>
    </row>
    <row r="95" spans="1:10">
      <c r="A95" t="s">
        <v>279</v>
      </c>
      <c r="B95" t="s">
        <v>280</v>
      </c>
      <c r="C95" t="s">
        <v>166</v>
      </c>
      <c r="D95" t="s">
        <v>31</v>
      </c>
      <c r="E95">
        <v>-43841</v>
      </c>
      <c r="F95" t="s">
        <v>23</v>
      </c>
      <c r="G95" t="s">
        <v>24</v>
      </c>
      <c r="H95" t="s">
        <v>33</v>
      </c>
      <c r="I95" t="s">
        <v>39</v>
      </c>
      <c r="J95" t="s">
        <v>48</v>
      </c>
    </row>
    <row r="96" spans="1:10">
      <c r="A96" t="s">
        <v>281</v>
      </c>
      <c r="B96" t="s">
        <v>282</v>
      </c>
      <c r="C96" t="s">
        <v>283</v>
      </c>
      <c r="D96" t="s">
        <v>44</v>
      </c>
      <c r="E96">
        <v>-46221</v>
      </c>
      <c r="F96" t="s">
        <v>23</v>
      </c>
      <c r="G96" t="s">
        <v>24</v>
      </c>
      <c r="H96" t="s">
        <v>33</v>
      </c>
      <c r="I96" t="s">
        <v>26</v>
      </c>
      <c r="J96" t="s">
        <v>48</v>
      </c>
    </row>
    <row r="97" spans="1:10">
      <c r="A97" t="s">
        <v>284</v>
      </c>
      <c r="B97" t="s">
        <v>285</v>
      </c>
      <c r="C97" t="s">
        <v>266</v>
      </c>
      <c r="D97" t="s">
        <v>73</v>
      </c>
      <c r="E97">
        <v>-26693</v>
      </c>
      <c r="F97" t="s">
        <v>74</v>
      </c>
      <c r="G97" t="s">
        <v>32</v>
      </c>
      <c r="H97" t="s">
        <v>25</v>
      </c>
      <c r="I97" t="s">
        <v>45</v>
      </c>
      <c r="J97" t="s">
        <v>40</v>
      </c>
    </row>
    <row r="98" spans="1:10">
      <c r="A98" t="s">
        <v>286</v>
      </c>
      <c r="B98" t="s">
        <v>287</v>
      </c>
      <c r="C98" t="s">
        <v>106</v>
      </c>
      <c r="D98" t="s">
        <v>31</v>
      </c>
      <c r="E98">
        <v>-33591</v>
      </c>
      <c r="F98" t="s">
        <v>23</v>
      </c>
      <c r="G98" t="s">
        <v>32</v>
      </c>
      <c r="H98" t="s">
        <v>33</v>
      </c>
      <c r="I98" t="s">
        <v>45</v>
      </c>
      <c r="J98" t="s">
        <v>34</v>
      </c>
    </row>
    <row r="99" spans="1:10">
      <c r="A99" t="s">
        <v>288</v>
      </c>
      <c r="B99" t="s">
        <v>289</v>
      </c>
      <c r="C99" t="s">
        <v>290</v>
      </c>
      <c r="E99">
        <v>-127005</v>
      </c>
      <c r="F99" t="s">
        <v>23</v>
      </c>
      <c r="G99" t="s">
        <v>32</v>
      </c>
      <c r="H99" t="s">
        <v>33</v>
      </c>
      <c r="I99" t="s">
        <v>45</v>
      </c>
      <c r="J99" t="s">
        <v>40</v>
      </c>
    </row>
    <row r="100" spans="1:10">
      <c r="A100" t="s">
        <v>291</v>
      </c>
      <c r="B100" t="s">
        <v>292</v>
      </c>
      <c r="C100" t="s">
        <v>293</v>
      </c>
      <c r="D100" t="s">
        <v>157</v>
      </c>
      <c r="E100">
        <v>703190</v>
      </c>
      <c r="F100" t="s">
        <v>62</v>
      </c>
      <c r="G100" t="s">
        <v>32</v>
      </c>
      <c r="H100" t="s">
        <v>25</v>
      </c>
      <c r="I100" t="s">
        <v>39</v>
      </c>
      <c r="J100" t="s">
        <v>40</v>
      </c>
    </row>
    <row r="101" spans="1:10">
      <c r="A101" t="s">
        <v>294</v>
      </c>
      <c r="B101" t="s">
        <v>295</v>
      </c>
      <c r="C101" t="s">
        <v>106</v>
      </c>
      <c r="D101" t="s">
        <v>31</v>
      </c>
      <c r="E101">
        <v>-7276</v>
      </c>
      <c r="F101" t="s">
        <v>23</v>
      </c>
      <c r="G101" t="s">
        <v>24</v>
      </c>
      <c r="H101" t="s">
        <v>33</v>
      </c>
      <c r="I101" t="s">
        <v>39</v>
      </c>
      <c r="J101" t="s">
        <v>48</v>
      </c>
    </row>
    <row r="102" spans="1:10">
      <c r="A102" t="s">
        <v>296</v>
      </c>
      <c r="B102" t="s">
        <v>297</v>
      </c>
      <c r="C102" t="s">
        <v>66</v>
      </c>
      <c r="D102" t="s">
        <v>61</v>
      </c>
      <c r="E102">
        <v>-23457</v>
      </c>
      <c r="F102" t="s">
        <v>62</v>
      </c>
      <c r="G102" t="s">
        <v>32</v>
      </c>
      <c r="H102" t="s">
        <v>63</v>
      </c>
      <c r="I102" t="s">
        <v>39</v>
      </c>
      <c r="J102" t="s">
        <v>40</v>
      </c>
    </row>
    <row r="103" spans="1:10">
      <c r="A103" t="s">
        <v>298</v>
      </c>
      <c r="B103" t="s">
        <v>299</v>
      </c>
      <c r="C103" t="s">
        <v>77</v>
      </c>
      <c r="D103" t="s">
        <v>78</v>
      </c>
      <c r="E103">
        <v>-38576</v>
      </c>
      <c r="F103" t="s">
        <v>23</v>
      </c>
      <c r="G103" t="s">
        <v>24</v>
      </c>
      <c r="H103" t="s">
        <v>79</v>
      </c>
      <c r="I103" t="s">
        <v>45</v>
      </c>
      <c r="J103" t="s">
        <v>48</v>
      </c>
    </row>
    <row r="104" spans="1:10">
      <c r="A104" t="s">
        <v>300</v>
      </c>
      <c r="B104" t="s">
        <v>301</v>
      </c>
      <c r="C104" t="s">
        <v>212</v>
      </c>
      <c r="D104" t="s">
        <v>302</v>
      </c>
      <c r="E104">
        <v>-57131</v>
      </c>
      <c r="F104" t="s">
        <v>74</v>
      </c>
      <c r="G104" t="s">
        <v>32</v>
      </c>
      <c r="H104" t="s">
        <v>25</v>
      </c>
      <c r="I104" t="s">
        <v>26</v>
      </c>
      <c r="J104" t="s">
        <v>34</v>
      </c>
    </row>
    <row r="105" spans="1:10">
      <c r="A105" t="s">
        <v>303</v>
      </c>
      <c r="B105" t="s">
        <v>304</v>
      </c>
      <c r="C105" t="s">
        <v>305</v>
      </c>
      <c r="D105" t="s">
        <v>38</v>
      </c>
      <c r="E105">
        <v>-27100</v>
      </c>
      <c r="F105" t="s">
        <v>23</v>
      </c>
      <c r="G105" t="s">
        <v>32</v>
      </c>
      <c r="H105" t="s">
        <v>33</v>
      </c>
      <c r="I105" t="s">
        <v>26</v>
      </c>
      <c r="J105" t="s">
        <v>40</v>
      </c>
    </row>
    <row r="106" spans="1:10">
      <c r="A106" t="s">
        <v>306</v>
      </c>
      <c r="B106" t="s">
        <v>307</v>
      </c>
      <c r="C106" t="s">
        <v>274</v>
      </c>
      <c r="D106" t="s">
        <v>78</v>
      </c>
      <c r="E106">
        <v>-83825</v>
      </c>
      <c r="F106" t="s">
        <v>23</v>
      </c>
      <c r="G106" t="s">
        <v>32</v>
      </c>
      <c r="H106" t="s">
        <v>79</v>
      </c>
      <c r="I106" t="s">
        <v>26</v>
      </c>
      <c r="J106" t="s">
        <v>48</v>
      </c>
    </row>
    <row r="107" spans="1:10">
      <c r="A107" t="s">
        <v>308</v>
      </c>
      <c r="B107" t="s">
        <v>309</v>
      </c>
      <c r="C107" t="s">
        <v>310</v>
      </c>
      <c r="D107" t="s">
        <v>22</v>
      </c>
      <c r="E107">
        <v>-77589</v>
      </c>
      <c r="F107" t="s">
        <v>23</v>
      </c>
      <c r="G107" t="s">
        <v>32</v>
      </c>
      <c r="H107" t="s">
        <v>25</v>
      </c>
      <c r="I107" t="s">
        <v>45</v>
      </c>
      <c r="J107" t="s">
        <v>40</v>
      </c>
    </row>
    <row r="108" spans="1:10">
      <c r="A108" t="s">
        <v>311</v>
      </c>
      <c r="B108" t="s">
        <v>312</v>
      </c>
      <c r="C108" t="s">
        <v>87</v>
      </c>
      <c r="D108" t="s">
        <v>22</v>
      </c>
      <c r="E108">
        <v>-196926</v>
      </c>
      <c r="F108" t="s">
        <v>23</v>
      </c>
      <c r="G108" t="s">
        <v>24</v>
      </c>
      <c r="H108" t="s">
        <v>25</v>
      </c>
      <c r="I108" t="s">
        <v>26</v>
      </c>
      <c r="J108" t="s">
        <v>48</v>
      </c>
    </row>
    <row r="109" spans="1:10">
      <c r="A109" t="s">
        <v>313</v>
      </c>
      <c r="B109" t="s">
        <v>314</v>
      </c>
      <c r="C109" t="s">
        <v>72</v>
      </c>
      <c r="D109" t="s">
        <v>73</v>
      </c>
      <c r="E109">
        <v>-19107</v>
      </c>
      <c r="F109" t="s">
        <v>74</v>
      </c>
      <c r="G109" t="s">
        <v>32</v>
      </c>
      <c r="H109" t="s">
        <v>25</v>
      </c>
      <c r="I109" t="s">
        <v>45</v>
      </c>
      <c r="J109" t="s">
        <v>34</v>
      </c>
    </row>
    <row r="110" spans="1:10">
      <c r="A110" t="s">
        <v>315</v>
      </c>
      <c r="B110" t="s">
        <v>316</v>
      </c>
      <c r="C110" t="s">
        <v>317</v>
      </c>
      <c r="D110" t="s">
        <v>44</v>
      </c>
      <c r="E110">
        <v>-179292</v>
      </c>
      <c r="F110" t="s">
        <v>23</v>
      </c>
      <c r="G110" t="s">
        <v>32</v>
      </c>
      <c r="H110" t="s">
        <v>33</v>
      </c>
      <c r="I110" t="s">
        <v>39</v>
      </c>
      <c r="J110" t="s">
        <v>27</v>
      </c>
    </row>
    <row r="111" spans="1:10">
      <c r="A111" t="s">
        <v>318</v>
      </c>
      <c r="B111" t="s">
        <v>319</v>
      </c>
      <c r="C111" t="s">
        <v>310</v>
      </c>
      <c r="D111" t="s">
        <v>320</v>
      </c>
      <c r="E111">
        <v>-189660</v>
      </c>
      <c r="F111" t="s">
        <v>23</v>
      </c>
      <c r="G111" t="s">
        <v>24</v>
      </c>
      <c r="H111" t="s">
        <v>25</v>
      </c>
      <c r="I111" t="s">
        <v>39</v>
      </c>
      <c r="J111" t="s">
        <v>34</v>
      </c>
    </row>
    <row r="112" spans="1:10">
      <c r="A112" t="s">
        <v>321</v>
      </c>
      <c r="B112" t="s">
        <v>322</v>
      </c>
      <c r="C112" t="s">
        <v>84</v>
      </c>
      <c r="E112">
        <v>-29031</v>
      </c>
      <c r="F112" t="s">
        <v>23</v>
      </c>
      <c r="G112" t="s">
        <v>24</v>
      </c>
      <c r="H112" t="s">
        <v>79</v>
      </c>
      <c r="I112" t="s">
        <v>26</v>
      </c>
      <c r="J112" t="s">
        <v>48</v>
      </c>
    </row>
    <row r="113" spans="1:10">
      <c r="A113" t="s">
        <v>323</v>
      </c>
      <c r="B113" t="s">
        <v>324</v>
      </c>
      <c r="C113" t="s">
        <v>293</v>
      </c>
      <c r="D113" t="s">
        <v>157</v>
      </c>
      <c r="E113">
        <v>513003</v>
      </c>
      <c r="F113" t="s">
        <v>62</v>
      </c>
      <c r="G113" t="s">
        <v>32</v>
      </c>
      <c r="H113" t="s">
        <v>25</v>
      </c>
      <c r="I113" t="s">
        <v>26</v>
      </c>
      <c r="J113" t="s">
        <v>34</v>
      </c>
    </row>
    <row r="114" spans="1:10">
      <c r="A114" t="s">
        <v>325</v>
      </c>
      <c r="B114" t="s">
        <v>326</v>
      </c>
      <c r="C114" t="s">
        <v>180</v>
      </c>
      <c r="D114" t="s">
        <v>44</v>
      </c>
      <c r="E114">
        <v>-91384</v>
      </c>
      <c r="F114" t="s">
        <v>23</v>
      </c>
      <c r="G114" t="s">
        <v>32</v>
      </c>
      <c r="H114" t="s">
        <v>33</v>
      </c>
      <c r="I114" t="s">
        <v>39</v>
      </c>
      <c r="J114" t="s">
        <v>48</v>
      </c>
    </row>
    <row r="115" spans="1:10">
      <c r="A115" t="s">
        <v>327</v>
      </c>
      <c r="B115" t="s">
        <v>328</v>
      </c>
      <c r="C115" t="s">
        <v>180</v>
      </c>
      <c r="D115" t="s">
        <v>44</v>
      </c>
      <c r="E115">
        <v>-148918</v>
      </c>
      <c r="F115" t="s">
        <v>23</v>
      </c>
      <c r="G115" t="s">
        <v>24</v>
      </c>
      <c r="H115" t="s">
        <v>33</v>
      </c>
      <c r="I115" t="s">
        <v>26</v>
      </c>
      <c r="J115" t="s">
        <v>34</v>
      </c>
    </row>
    <row r="116" spans="1:10">
      <c r="A116" t="s">
        <v>329</v>
      </c>
      <c r="B116" t="s">
        <v>330</v>
      </c>
      <c r="C116" t="s">
        <v>237</v>
      </c>
      <c r="D116" t="s">
        <v>331</v>
      </c>
      <c r="E116">
        <v>-141146</v>
      </c>
      <c r="F116" t="s">
        <v>23</v>
      </c>
      <c r="G116" t="s">
        <v>32</v>
      </c>
      <c r="H116" t="s">
        <v>25</v>
      </c>
      <c r="I116" t="s">
        <v>45</v>
      </c>
      <c r="J116" t="s">
        <v>40</v>
      </c>
    </row>
    <row r="117" spans="1:10">
      <c r="A117" t="s">
        <v>332</v>
      </c>
      <c r="B117" t="s">
        <v>333</v>
      </c>
      <c r="C117" t="s">
        <v>266</v>
      </c>
      <c r="D117" t="s">
        <v>111</v>
      </c>
      <c r="E117">
        <v>-12076</v>
      </c>
      <c r="F117" t="s">
        <v>74</v>
      </c>
      <c r="G117" t="s">
        <v>24</v>
      </c>
      <c r="H117" t="s">
        <v>25</v>
      </c>
      <c r="I117" t="s">
        <v>45</v>
      </c>
      <c r="J117" t="s">
        <v>27</v>
      </c>
    </row>
    <row r="118" spans="1:10">
      <c r="A118" t="s">
        <v>334</v>
      </c>
      <c r="B118" t="s">
        <v>335</v>
      </c>
      <c r="C118" t="s">
        <v>192</v>
      </c>
      <c r="D118" t="s">
        <v>193</v>
      </c>
      <c r="E118">
        <v>-154488</v>
      </c>
      <c r="F118" t="s">
        <v>23</v>
      </c>
      <c r="G118" t="s">
        <v>32</v>
      </c>
      <c r="H118" t="s">
        <v>25</v>
      </c>
      <c r="I118" t="s">
        <v>39</v>
      </c>
      <c r="J118" t="s">
        <v>40</v>
      </c>
    </row>
    <row r="119" spans="1:10">
      <c r="A119" t="s">
        <v>336</v>
      </c>
      <c r="B119" t="s">
        <v>234</v>
      </c>
      <c r="C119" t="s">
        <v>215</v>
      </c>
      <c r="D119" t="s">
        <v>61</v>
      </c>
      <c r="E119">
        <v>-51439</v>
      </c>
      <c r="F119" t="s">
        <v>62</v>
      </c>
      <c r="G119" t="s">
        <v>32</v>
      </c>
      <c r="H119" t="s">
        <v>63</v>
      </c>
      <c r="I119" t="s">
        <v>45</v>
      </c>
      <c r="J119" t="s">
        <v>40</v>
      </c>
    </row>
    <row r="120" spans="1:10">
      <c r="A120" t="s">
        <v>337</v>
      </c>
      <c r="B120" t="s">
        <v>338</v>
      </c>
      <c r="C120" t="s">
        <v>339</v>
      </c>
      <c r="D120" t="s">
        <v>157</v>
      </c>
      <c r="E120">
        <v>572764</v>
      </c>
      <c r="F120" t="s">
        <v>62</v>
      </c>
      <c r="G120" t="s">
        <v>32</v>
      </c>
      <c r="H120" t="s">
        <v>25</v>
      </c>
      <c r="I120" t="s">
        <v>26</v>
      </c>
      <c r="J120" t="s">
        <v>40</v>
      </c>
    </row>
    <row r="121" spans="1:10">
      <c r="A121" t="s">
        <v>340</v>
      </c>
      <c r="B121" t="s">
        <v>113</v>
      </c>
      <c r="C121" t="s">
        <v>106</v>
      </c>
      <c r="D121" t="s">
        <v>31</v>
      </c>
      <c r="E121">
        <v>-32973</v>
      </c>
      <c r="F121" t="s">
        <v>23</v>
      </c>
      <c r="G121" t="s">
        <v>32</v>
      </c>
      <c r="H121" t="s">
        <v>33</v>
      </c>
      <c r="I121" t="s">
        <v>26</v>
      </c>
      <c r="J121" t="s">
        <v>27</v>
      </c>
    </row>
    <row r="122" spans="1:10">
      <c r="A122" t="s">
        <v>341</v>
      </c>
      <c r="B122" t="s">
        <v>342</v>
      </c>
      <c r="C122" t="s">
        <v>60</v>
      </c>
      <c r="D122" t="s">
        <v>61</v>
      </c>
      <c r="E122">
        <v>-52377</v>
      </c>
      <c r="F122" t="s">
        <v>62</v>
      </c>
      <c r="G122" t="s">
        <v>24</v>
      </c>
      <c r="H122" t="s">
        <v>63</v>
      </c>
      <c r="I122" t="s">
        <v>26</v>
      </c>
      <c r="J122" t="s">
        <v>48</v>
      </c>
    </row>
    <row r="123" spans="1:10">
      <c r="A123" t="s">
        <v>343</v>
      </c>
      <c r="B123" t="s">
        <v>344</v>
      </c>
      <c r="C123" t="s">
        <v>345</v>
      </c>
      <c r="D123" t="s">
        <v>22</v>
      </c>
      <c r="E123">
        <v>-163820</v>
      </c>
      <c r="F123" t="s">
        <v>23</v>
      </c>
      <c r="G123" t="s">
        <v>24</v>
      </c>
      <c r="H123" t="s">
        <v>25</v>
      </c>
      <c r="I123" t="s">
        <v>45</v>
      </c>
      <c r="J123" t="s">
        <v>27</v>
      </c>
    </row>
    <row r="124" spans="1:10">
      <c r="A124" t="s">
        <v>346</v>
      </c>
      <c r="B124" t="s">
        <v>347</v>
      </c>
      <c r="C124" t="s">
        <v>215</v>
      </c>
      <c r="D124" t="s">
        <v>61</v>
      </c>
      <c r="E124">
        <v>-47607</v>
      </c>
      <c r="F124" t="s">
        <v>62</v>
      </c>
      <c r="G124" t="s">
        <v>24</v>
      </c>
      <c r="H124" t="s">
        <v>63</v>
      </c>
      <c r="I124" t="s">
        <v>39</v>
      </c>
      <c r="J124" t="s">
        <v>27</v>
      </c>
    </row>
    <row r="125" spans="1:10">
      <c r="A125" t="s">
        <v>348</v>
      </c>
      <c r="B125" t="s">
        <v>349</v>
      </c>
      <c r="C125" t="s">
        <v>54</v>
      </c>
      <c r="D125" t="s">
        <v>38</v>
      </c>
      <c r="E125">
        <v>-15985</v>
      </c>
      <c r="F125" t="s">
        <v>23</v>
      </c>
      <c r="G125" t="s">
        <v>32</v>
      </c>
      <c r="H125" t="s">
        <v>33</v>
      </c>
      <c r="I125" t="s">
        <v>45</v>
      </c>
      <c r="J125" t="s">
        <v>27</v>
      </c>
    </row>
    <row r="126" spans="1:10">
      <c r="A126" t="s">
        <v>350</v>
      </c>
      <c r="B126" t="s">
        <v>351</v>
      </c>
      <c r="C126" t="s">
        <v>271</v>
      </c>
      <c r="D126" t="s">
        <v>302</v>
      </c>
      <c r="E126">
        <v>-31301</v>
      </c>
      <c r="F126" t="s">
        <v>74</v>
      </c>
      <c r="G126" t="s">
        <v>24</v>
      </c>
      <c r="H126" t="s">
        <v>25</v>
      </c>
      <c r="I126" t="s">
        <v>39</v>
      </c>
      <c r="J126" t="s">
        <v>34</v>
      </c>
    </row>
    <row r="127" spans="1:10">
      <c r="A127" t="s">
        <v>352</v>
      </c>
      <c r="B127" t="s">
        <v>353</v>
      </c>
      <c r="C127" t="s">
        <v>72</v>
      </c>
      <c r="D127" t="s">
        <v>187</v>
      </c>
      <c r="E127">
        <v>-57516</v>
      </c>
      <c r="F127" t="s">
        <v>74</v>
      </c>
      <c r="G127" t="s">
        <v>24</v>
      </c>
      <c r="H127" t="s">
        <v>25</v>
      </c>
      <c r="I127" t="s">
        <v>45</v>
      </c>
      <c r="J127" t="s">
        <v>40</v>
      </c>
    </row>
    <row r="128" spans="1:10">
      <c r="A128" t="s">
        <v>354</v>
      </c>
      <c r="B128" t="s">
        <v>355</v>
      </c>
      <c r="C128" t="s">
        <v>60</v>
      </c>
      <c r="D128" t="s">
        <v>61</v>
      </c>
      <c r="E128">
        <v>-42285</v>
      </c>
      <c r="F128" t="s">
        <v>62</v>
      </c>
      <c r="G128" t="s">
        <v>24</v>
      </c>
      <c r="H128" t="s">
        <v>63</v>
      </c>
      <c r="I128" t="s">
        <v>39</v>
      </c>
      <c r="J128" t="s">
        <v>48</v>
      </c>
    </row>
    <row r="129" spans="1:10">
      <c r="A129" t="s">
        <v>356</v>
      </c>
      <c r="B129" t="s">
        <v>357</v>
      </c>
      <c r="C129" t="s">
        <v>271</v>
      </c>
      <c r="D129" t="s">
        <v>302</v>
      </c>
      <c r="E129">
        <v>-35456</v>
      </c>
      <c r="F129" t="s">
        <v>74</v>
      </c>
      <c r="G129" t="s">
        <v>32</v>
      </c>
      <c r="H129" t="s">
        <v>25</v>
      </c>
      <c r="I129" t="s">
        <v>39</v>
      </c>
      <c r="J129" t="s">
        <v>27</v>
      </c>
    </row>
    <row r="130" spans="1:10">
      <c r="A130" t="s">
        <v>358</v>
      </c>
      <c r="B130" t="s">
        <v>359</v>
      </c>
      <c r="C130" t="s">
        <v>93</v>
      </c>
      <c r="D130" t="s">
        <v>73</v>
      </c>
      <c r="E130">
        <v>-30776</v>
      </c>
      <c r="F130" t="s">
        <v>74</v>
      </c>
      <c r="G130" t="s">
        <v>24</v>
      </c>
      <c r="H130" t="s">
        <v>25</v>
      </c>
      <c r="I130" t="s">
        <v>45</v>
      </c>
      <c r="J130" t="s">
        <v>48</v>
      </c>
    </row>
    <row r="131" spans="1:10">
      <c r="A131" t="s">
        <v>360</v>
      </c>
      <c r="B131" t="s">
        <v>361</v>
      </c>
      <c r="C131" t="s">
        <v>93</v>
      </c>
      <c r="D131" t="s">
        <v>73</v>
      </c>
      <c r="E131">
        <v>-85388</v>
      </c>
      <c r="F131" t="s">
        <v>74</v>
      </c>
      <c r="G131" t="s">
        <v>32</v>
      </c>
      <c r="H131" t="s">
        <v>25</v>
      </c>
      <c r="I131" t="s">
        <v>45</v>
      </c>
      <c r="J131" t="s">
        <v>27</v>
      </c>
    </row>
    <row r="132" spans="1:10">
      <c r="A132" t="s">
        <v>362</v>
      </c>
      <c r="B132" t="s">
        <v>363</v>
      </c>
      <c r="C132" t="s">
        <v>84</v>
      </c>
      <c r="D132" t="s">
        <v>78</v>
      </c>
      <c r="E132">
        <v>-19073</v>
      </c>
      <c r="F132" t="s">
        <v>23</v>
      </c>
      <c r="G132" t="s">
        <v>24</v>
      </c>
      <c r="H132" t="s">
        <v>79</v>
      </c>
      <c r="I132" t="s">
        <v>26</v>
      </c>
      <c r="J132" t="s">
        <v>40</v>
      </c>
    </row>
    <row r="133" spans="1:10">
      <c r="A133" t="s">
        <v>364</v>
      </c>
      <c r="B133" t="s">
        <v>365</v>
      </c>
      <c r="C133" t="s">
        <v>283</v>
      </c>
      <c r="D133" t="s">
        <v>44</v>
      </c>
      <c r="E133">
        <v>-129689</v>
      </c>
      <c r="F133" t="s">
        <v>23</v>
      </c>
      <c r="G133" t="s">
        <v>32</v>
      </c>
      <c r="H133" t="s">
        <v>33</v>
      </c>
      <c r="I133" t="s">
        <v>45</v>
      </c>
      <c r="J133" t="s">
        <v>34</v>
      </c>
    </row>
    <row r="134" spans="1:10">
      <c r="A134" t="s">
        <v>366</v>
      </c>
      <c r="B134" t="s">
        <v>367</v>
      </c>
      <c r="C134" t="s">
        <v>177</v>
      </c>
      <c r="D134" t="s">
        <v>78</v>
      </c>
      <c r="E134">
        <v>-91556</v>
      </c>
      <c r="F134" t="s">
        <v>23</v>
      </c>
      <c r="G134" t="s">
        <v>32</v>
      </c>
      <c r="H134" t="s">
        <v>79</v>
      </c>
      <c r="I134" t="s">
        <v>45</v>
      </c>
      <c r="J134" t="s">
        <v>34</v>
      </c>
    </row>
    <row r="135" spans="1:10">
      <c r="A135" t="s">
        <v>368</v>
      </c>
      <c r="B135" t="s">
        <v>206</v>
      </c>
      <c r="C135" t="s">
        <v>66</v>
      </c>
      <c r="D135" t="s">
        <v>61</v>
      </c>
      <c r="E135">
        <v>-27313</v>
      </c>
      <c r="F135" t="s">
        <v>62</v>
      </c>
      <c r="G135" t="s">
        <v>32</v>
      </c>
      <c r="H135" t="s">
        <v>63</v>
      </c>
      <c r="I135" t="s">
        <v>45</v>
      </c>
      <c r="J135" t="s">
        <v>27</v>
      </c>
    </row>
    <row r="136" spans="1:10">
      <c r="A136" t="s">
        <v>369</v>
      </c>
      <c r="B136" t="s">
        <v>370</v>
      </c>
      <c r="C136" t="s">
        <v>177</v>
      </c>
      <c r="D136" t="s">
        <v>371</v>
      </c>
      <c r="E136">
        <v>-47089</v>
      </c>
      <c r="F136" t="s">
        <v>23</v>
      </c>
      <c r="G136" t="s">
        <v>32</v>
      </c>
      <c r="H136" t="s">
        <v>79</v>
      </c>
      <c r="I136" t="s">
        <v>26</v>
      </c>
      <c r="J136" t="s">
        <v>48</v>
      </c>
    </row>
    <row r="137" spans="1:10">
      <c r="A137" t="s">
        <v>372</v>
      </c>
      <c r="B137" t="s">
        <v>373</v>
      </c>
      <c r="C137" t="s">
        <v>57</v>
      </c>
      <c r="D137" t="s">
        <v>44</v>
      </c>
      <c r="E137">
        <v>-143792</v>
      </c>
      <c r="F137" t="s">
        <v>23</v>
      </c>
      <c r="G137" t="s">
        <v>32</v>
      </c>
      <c r="H137" t="s">
        <v>33</v>
      </c>
      <c r="I137" t="s">
        <v>26</v>
      </c>
      <c r="J137" t="s">
        <v>27</v>
      </c>
    </row>
    <row r="138" spans="1:10">
      <c r="A138" t="s">
        <v>374</v>
      </c>
      <c r="B138" t="s">
        <v>375</v>
      </c>
      <c r="C138" t="s">
        <v>271</v>
      </c>
      <c r="E138">
        <v>-52606</v>
      </c>
      <c r="F138" t="s">
        <v>74</v>
      </c>
      <c r="G138" t="s">
        <v>32</v>
      </c>
      <c r="H138" t="s">
        <v>25</v>
      </c>
      <c r="I138" t="s">
        <v>26</v>
      </c>
      <c r="J138" t="s">
        <v>27</v>
      </c>
    </row>
    <row r="139" spans="1:10">
      <c r="A139" t="s">
        <v>376</v>
      </c>
      <c r="B139" t="s">
        <v>377</v>
      </c>
      <c r="C139" t="s">
        <v>174</v>
      </c>
      <c r="D139" t="s">
        <v>22</v>
      </c>
      <c r="E139">
        <v>-172183</v>
      </c>
      <c r="F139" t="s">
        <v>23</v>
      </c>
      <c r="G139" t="s">
        <v>24</v>
      </c>
      <c r="H139" t="s">
        <v>25</v>
      </c>
      <c r="I139" t="s">
        <v>45</v>
      </c>
      <c r="J139" t="s">
        <v>34</v>
      </c>
    </row>
    <row r="140" spans="1:10">
      <c r="A140" t="s">
        <v>378</v>
      </c>
      <c r="B140" t="s">
        <v>379</v>
      </c>
      <c r="C140" t="s">
        <v>21</v>
      </c>
      <c r="D140" t="s">
        <v>22</v>
      </c>
      <c r="E140">
        <v>-106481</v>
      </c>
      <c r="F140" t="s">
        <v>23</v>
      </c>
      <c r="G140" t="s">
        <v>24</v>
      </c>
      <c r="H140" t="s">
        <v>25</v>
      </c>
      <c r="I140" t="s">
        <v>39</v>
      </c>
      <c r="J140" t="s">
        <v>34</v>
      </c>
    </row>
    <row r="141" spans="1:10">
      <c r="A141" t="s">
        <v>380</v>
      </c>
      <c r="B141" t="s">
        <v>381</v>
      </c>
      <c r="C141" t="s">
        <v>57</v>
      </c>
      <c r="D141" t="s">
        <v>44</v>
      </c>
      <c r="E141">
        <v>-59354</v>
      </c>
      <c r="F141" t="s">
        <v>23</v>
      </c>
      <c r="G141" t="s">
        <v>32</v>
      </c>
      <c r="H141" t="s">
        <v>33</v>
      </c>
      <c r="I141" t="s">
        <v>39</v>
      </c>
      <c r="J141" t="s">
        <v>27</v>
      </c>
    </row>
    <row r="142" spans="1:10">
      <c r="A142" t="s">
        <v>382</v>
      </c>
      <c r="B142" t="s">
        <v>383</v>
      </c>
      <c r="C142" t="s">
        <v>215</v>
      </c>
      <c r="D142" t="s">
        <v>61</v>
      </c>
      <c r="E142">
        <v>-18851</v>
      </c>
      <c r="F142" t="s">
        <v>62</v>
      </c>
      <c r="G142" t="s">
        <v>24</v>
      </c>
      <c r="H142" t="s">
        <v>63</v>
      </c>
      <c r="I142" t="s">
        <v>39</v>
      </c>
      <c r="J142" t="s">
        <v>48</v>
      </c>
    </row>
    <row r="143" spans="1:10">
      <c r="A143" t="s">
        <v>384</v>
      </c>
      <c r="B143" t="s">
        <v>385</v>
      </c>
      <c r="C143" t="s">
        <v>87</v>
      </c>
      <c r="D143" t="s">
        <v>22</v>
      </c>
      <c r="E143">
        <v>-203117</v>
      </c>
      <c r="F143" t="s">
        <v>23</v>
      </c>
      <c r="G143" t="s">
        <v>32</v>
      </c>
      <c r="H143" t="s">
        <v>25</v>
      </c>
      <c r="I143" t="s">
        <v>39</v>
      </c>
      <c r="J143" t="s">
        <v>27</v>
      </c>
    </row>
    <row r="144" spans="1:10">
      <c r="A144" t="s">
        <v>386</v>
      </c>
      <c r="B144" t="s">
        <v>387</v>
      </c>
      <c r="C144" t="s">
        <v>180</v>
      </c>
      <c r="D144" t="s">
        <v>388</v>
      </c>
      <c r="E144">
        <v>-179370</v>
      </c>
      <c r="F144" t="s">
        <v>23</v>
      </c>
      <c r="G144" t="s">
        <v>32</v>
      </c>
      <c r="H144" t="s">
        <v>33</v>
      </c>
      <c r="I144" t="s">
        <v>39</v>
      </c>
      <c r="J144" t="s">
        <v>48</v>
      </c>
    </row>
    <row r="145" spans="1:10">
      <c r="A145" t="s">
        <v>389</v>
      </c>
      <c r="B145" t="s">
        <v>390</v>
      </c>
      <c r="C145" t="s">
        <v>60</v>
      </c>
      <c r="D145" t="s">
        <v>61</v>
      </c>
      <c r="E145">
        <v>-18285</v>
      </c>
      <c r="F145" t="s">
        <v>62</v>
      </c>
      <c r="G145" t="s">
        <v>32</v>
      </c>
      <c r="H145" t="s">
        <v>63</v>
      </c>
      <c r="I145" t="s">
        <v>26</v>
      </c>
      <c r="J145" t="s">
        <v>40</v>
      </c>
    </row>
    <row r="146" spans="1:10">
      <c r="A146" t="s">
        <v>391</v>
      </c>
      <c r="B146" t="s">
        <v>392</v>
      </c>
      <c r="C146" t="s">
        <v>72</v>
      </c>
      <c r="D146" t="s">
        <v>73</v>
      </c>
      <c r="E146">
        <v>-66328</v>
      </c>
      <c r="F146" t="s">
        <v>74</v>
      </c>
      <c r="G146" t="s">
        <v>32</v>
      </c>
      <c r="H146" t="s">
        <v>25</v>
      </c>
      <c r="I146" t="s">
        <v>45</v>
      </c>
      <c r="J146" t="s">
        <v>40</v>
      </c>
    </row>
    <row r="147" spans="1:10">
      <c r="A147" t="s">
        <v>393</v>
      </c>
      <c r="B147" t="s">
        <v>36</v>
      </c>
      <c r="C147" t="s">
        <v>84</v>
      </c>
      <c r="D147" t="s">
        <v>371</v>
      </c>
      <c r="E147">
        <v>-109161</v>
      </c>
      <c r="F147" t="s">
        <v>23</v>
      </c>
      <c r="G147" t="s">
        <v>32</v>
      </c>
      <c r="H147" t="s">
        <v>79</v>
      </c>
      <c r="I147" t="s">
        <v>39</v>
      </c>
      <c r="J147" t="s">
        <v>40</v>
      </c>
    </row>
    <row r="148" spans="1:10">
      <c r="A148" t="s">
        <v>394</v>
      </c>
      <c r="B148" t="s">
        <v>395</v>
      </c>
      <c r="C148" t="s">
        <v>66</v>
      </c>
      <c r="D148" t="s">
        <v>61</v>
      </c>
      <c r="E148">
        <v>-14744</v>
      </c>
      <c r="F148" t="s">
        <v>62</v>
      </c>
      <c r="G148" t="s">
        <v>32</v>
      </c>
      <c r="H148" t="s">
        <v>63</v>
      </c>
      <c r="I148" t="s">
        <v>39</v>
      </c>
      <c r="J148" t="s">
        <v>34</v>
      </c>
    </row>
    <row r="149" spans="1:10">
      <c r="A149" t="s">
        <v>396</v>
      </c>
      <c r="B149" t="s">
        <v>397</v>
      </c>
      <c r="C149" t="s">
        <v>60</v>
      </c>
      <c r="D149" t="s">
        <v>61</v>
      </c>
      <c r="E149">
        <v>-29214</v>
      </c>
      <c r="F149" t="s">
        <v>62</v>
      </c>
      <c r="G149" t="s">
        <v>24</v>
      </c>
      <c r="H149" t="s">
        <v>63</v>
      </c>
      <c r="I149" t="s">
        <v>26</v>
      </c>
      <c r="J149" t="s">
        <v>27</v>
      </c>
    </row>
    <row r="150" spans="1:10">
      <c r="A150" t="s">
        <v>398</v>
      </c>
      <c r="B150" t="s">
        <v>399</v>
      </c>
      <c r="C150" t="s">
        <v>87</v>
      </c>
      <c r="D150" t="s">
        <v>22</v>
      </c>
      <c r="E150">
        <v>-58292</v>
      </c>
      <c r="F150" t="s">
        <v>23</v>
      </c>
      <c r="G150" t="s">
        <v>24</v>
      </c>
      <c r="H150" t="s">
        <v>25</v>
      </c>
      <c r="I150" t="s">
        <v>26</v>
      </c>
      <c r="J150" t="s">
        <v>48</v>
      </c>
    </row>
    <row r="151" spans="1:10">
      <c r="A151" t="s">
        <v>400</v>
      </c>
      <c r="B151" t="s">
        <v>401</v>
      </c>
      <c r="C151" t="s">
        <v>218</v>
      </c>
      <c r="D151" t="s">
        <v>157</v>
      </c>
      <c r="E151">
        <v>667806</v>
      </c>
      <c r="F151" t="s">
        <v>62</v>
      </c>
      <c r="G151" t="s">
        <v>32</v>
      </c>
      <c r="H151" t="s">
        <v>25</v>
      </c>
      <c r="I151" t="s">
        <v>45</v>
      </c>
      <c r="J151" t="s">
        <v>48</v>
      </c>
    </row>
    <row r="152" spans="1:10">
      <c r="A152" t="s">
        <v>402</v>
      </c>
      <c r="B152" t="s">
        <v>403</v>
      </c>
      <c r="C152" t="s">
        <v>66</v>
      </c>
      <c r="D152" t="s">
        <v>61</v>
      </c>
      <c r="E152">
        <v>-43599</v>
      </c>
      <c r="F152" t="s">
        <v>62</v>
      </c>
      <c r="G152" t="s">
        <v>24</v>
      </c>
      <c r="H152" t="s">
        <v>63</v>
      </c>
      <c r="I152" t="s">
        <v>45</v>
      </c>
      <c r="J152" t="s">
        <v>40</v>
      </c>
    </row>
    <row r="153" spans="1:10">
      <c r="A153" t="s">
        <v>404</v>
      </c>
      <c r="B153" t="s">
        <v>405</v>
      </c>
      <c r="C153" t="s">
        <v>406</v>
      </c>
      <c r="D153" t="s">
        <v>73</v>
      </c>
      <c r="E153">
        <v>-44905</v>
      </c>
      <c r="F153" t="s">
        <v>74</v>
      </c>
      <c r="G153" t="s">
        <v>32</v>
      </c>
      <c r="H153" t="s">
        <v>25</v>
      </c>
      <c r="I153" t="s">
        <v>45</v>
      </c>
      <c r="J153" t="s">
        <v>27</v>
      </c>
    </row>
    <row r="154" spans="1:10">
      <c r="A154" t="s">
        <v>407</v>
      </c>
      <c r="B154" t="s">
        <v>408</v>
      </c>
      <c r="C154" t="s">
        <v>215</v>
      </c>
      <c r="E154">
        <v>-28428</v>
      </c>
      <c r="F154" t="s">
        <v>62</v>
      </c>
      <c r="G154" t="s">
        <v>32</v>
      </c>
      <c r="H154" t="s">
        <v>63</v>
      </c>
      <c r="I154" t="s">
        <v>39</v>
      </c>
      <c r="J154" t="s">
        <v>27</v>
      </c>
    </row>
    <row r="155" spans="1:10">
      <c r="A155" t="s">
        <v>409</v>
      </c>
      <c r="B155" t="s">
        <v>410</v>
      </c>
      <c r="C155" t="s">
        <v>100</v>
      </c>
      <c r="D155" t="s">
        <v>31</v>
      </c>
      <c r="E155">
        <v>-11386</v>
      </c>
      <c r="F155" t="s">
        <v>23</v>
      </c>
      <c r="G155" t="s">
        <v>32</v>
      </c>
      <c r="H155" t="s">
        <v>33</v>
      </c>
      <c r="I155" t="s">
        <v>39</v>
      </c>
      <c r="J155" t="s">
        <v>34</v>
      </c>
    </row>
    <row r="156" spans="1:10">
      <c r="A156" t="s">
        <v>411</v>
      </c>
      <c r="B156" t="s">
        <v>412</v>
      </c>
      <c r="C156" t="s">
        <v>66</v>
      </c>
      <c r="D156" t="s">
        <v>61</v>
      </c>
      <c r="E156">
        <v>-30143</v>
      </c>
      <c r="F156" t="s">
        <v>62</v>
      </c>
      <c r="G156" t="s">
        <v>32</v>
      </c>
      <c r="H156" t="s">
        <v>63</v>
      </c>
      <c r="I156" t="s">
        <v>39</v>
      </c>
      <c r="J156" t="s">
        <v>48</v>
      </c>
    </row>
    <row r="157" spans="1:10">
      <c r="A157" t="s">
        <v>413</v>
      </c>
      <c r="B157" t="s">
        <v>414</v>
      </c>
      <c r="C157" t="s">
        <v>60</v>
      </c>
      <c r="D157" t="s">
        <v>61</v>
      </c>
      <c r="E157">
        <v>-36594</v>
      </c>
      <c r="F157" t="s">
        <v>62</v>
      </c>
      <c r="G157" t="s">
        <v>32</v>
      </c>
      <c r="H157" t="s">
        <v>63</v>
      </c>
      <c r="I157" t="s">
        <v>45</v>
      </c>
      <c r="J157" t="s">
        <v>48</v>
      </c>
    </row>
    <row r="158" spans="1:10">
      <c r="A158" t="s">
        <v>415</v>
      </c>
      <c r="B158" t="s">
        <v>416</v>
      </c>
      <c r="C158" t="s">
        <v>417</v>
      </c>
      <c r="D158" t="s">
        <v>44</v>
      </c>
      <c r="E158">
        <v>-130310</v>
      </c>
      <c r="F158" t="s">
        <v>23</v>
      </c>
      <c r="G158" t="s">
        <v>32</v>
      </c>
      <c r="H158" t="s">
        <v>33</v>
      </c>
      <c r="I158" t="s">
        <v>45</v>
      </c>
      <c r="J158" t="s">
        <v>34</v>
      </c>
    </row>
    <row r="159" spans="1:10">
      <c r="A159" t="s">
        <v>418</v>
      </c>
      <c r="B159" t="s">
        <v>419</v>
      </c>
      <c r="C159" t="s">
        <v>129</v>
      </c>
      <c r="D159" t="s">
        <v>38</v>
      </c>
      <c r="E159">
        <v>-52772</v>
      </c>
      <c r="F159" t="s">
        <v>23</v>
      </c>
      <c r="G159" t="s">
        <v>24</v>
      </c>
      <c r="H159" t="s">
        <v>33</v>
      </c>
      <c r="I159" t="s">
        <v>45</v>
      </c>
      <c r="J159" t="s">
        <v>48</v>
      </c>
    </row>
    <row r="160" spans="1:10">
      <c r="A160" t="s">
        <v>420</v>
      </c>
      <c r="B160" t="s">
        <v>273</v>
      </c>
      <c r="C160" t="s">
        <v>21</v>
      </c>
      <c r="D160" t="s">
        <v>22</v>
      </c>
      <c r="E160">
        <v>-106897</v>
      </c>
      <c r="F160" t="s">
        <v>23</v>
      </c>
      <c r="G160" t="s">
        <v>24</v>
      </c>
      <c r="H160" t="s">
        <v>25</v>
      </c>
      <c r="I160" t="s">
        <v>39</v>
      </c>
      <c r="J160" t="s">
        <v>48</v>
      </c>
    </row>
    <row r="161" spans="1:10">
      <c r="A161" t="s">
        <v>421</v>
      </c>
      <c r="B161" t="s">
        <v>422</v>
      </c>
      <c r="C161" t="s">
        <v>218</v>
      </c>
      <c r="D161" t="s">
        <v>157</v>
      </c>
      <c r="E161">
        <v>703257</v>
      </c>
      <c r="F161" t="s">
        <v>62</v>
      </c>
      <c r="G161" t="s">
        <v>32</v>
      </c>
      <c r="H161" t="s">
        <v>25</v>
      </c>
      <c r="I161" t="s">
        <v>45</v>
      </c>
      <c r="J161" t="s">
        <v>48</v>
      </c>
    </row>
    <row r="162" spans="1:10">
      <c r="A162" t="s">
        <v>423</v>
      </c>
      <c r="B162" t="s">
        <v>424</v>
      </c>
      <c r="C162" t="s">
        <v>106</v>
      </c>
      <c r="D162" t="s">
        <v>31</v>
      </c>
      <c r="E162">
        <v>-12378</v>
      </c>
      <c r="F162" t="s">
        <v>23</v>
      </c>
      <c r="G162" t="s">
        <v>24</v>
      </c>
      <c r="H162" t="s">
        <v>33</v>
      </c>
      <c r="I162" t="s">
        <v>39</v>
      </c>
      <c r="J162" t="s">
        <v>40</v>
      </c>
    </row>
    <row r="163" spans="1:10">
      <c r="A163" t="s">
        <v>425</v>
      </c>
      <c r="B163" t="s">
        <v>426</v>
      </c>
      <c r="C163" t="s">
        <v>90</v>
      </c>
      <c r="D163" t="s">
        <v>73</v>
      </c>
      <c r="E163">
        <v>-88632</v>
      </c>
      <c r="F163" t="s">
        <v>74</v>
      </c>
      <c r="G163" t="s">
        <v>32</v>
      </c>
      <c r="H163" t="s">
        <v>25</v>
      </c>
      <c r="I163" t="s">
        <v>39</v>
      </c>
      <c r="J163" t="s">
        <v>40</v>
      </c>
    </row>
    <row r="164" spans="1:10">
      <c r="A164" t="s">
        <v>427</v>
      </c>
      <c r="B164" t="s">
        <v>428</v>
      </c>
      <c r="C164" t="s">
        <v>87</v>
      </c>
      <c r="D164" t="s">
        <v>331</v>
      </c>
      <c r="E164">
        <v>-134632</v>
      </c>
      <c r="F164" t="s">
        <v>23</v>
      </c>
      <c r="G164" t="s">
        <v>32</v>
      </c>
      <c r="H164" t="s">
        <v>25</v>
      </c>
      <c r="I164" t="s">
        <v>39</v>
      </c>
      <c r="J164" t="s">
        <v>40</v>
      </c>
    </row>
    <row r="165" spans="1:10">
      <c r="A165" t="s">
        <v>429</v>
      </c>
      <c r="B165" t="s">
        <v>430</v>
      </c>
      <c r="C165" t="s">
        <v>180</v>
      </c>
      <c r="D165" t="s">
        <v>44</v>
      </c>
      <c r="E165">
        <v>-98742</v>
      </c>
      <c r="F165" t="s">
        <v>23</v>
      </c>
      <c r="G165" t="s">
        <v>32</v>
      </c>
      <c r="H165" t="s">
        <v>33</v>
      </c>
      <c r="I165" t="s">
        <v>39</v>
      </c>
      <c r="J165" t="s">
        <v>40</v>
      </c>
    </row>
    <row r="166" spans="1:10">
      <c r="A166" t="s">
        <v>431</v>
      </c>
      <c r="B166" t="s">
        <v>432</v>
      </c>
      <c r="C166" t="s">
        <v>106</v>
      </c>
      <c r="D166" t="s">
        <v>31</v>
      </c>
      <c r="E166">
        <v>-24296</v>
      </c>
      <c r="F166" t="s">
        <v>23</v>
      </c>
      <c r="G166" t="s">
        <v>32</v>
      </c>
      <c r="H166" t="s">
        <v>33</v>
      </c>
      <c r="I166" t="s">
        <v>26</v>
      </c>
      <c r="J166" t="s">
        <v>27</v>
      </c>
    </row>
    <row r="167" spans="1:10">
      <c r="A167" t="s">
        <v>433</v>
      </c>
      <c r="B167" t="s">
        <v>434</v>
      </c>
      <c r="C167" t="s">
        <v>283</v>
      </c>
      <c r="D167" t="s">
        <v>44</v>
      </c>
      <c r="E167">
        <v>-66578</v>
      </c>
      <c r="F167" t="s">
        <v>23</v>
      </c>
      <c r="G167" t="s">
        <v>32</v>
      </c>
      <c r="H167" t="s">
        <v>33</v>
      </c>
      <c r="I167" t="s">
        <v>45</v>
      </c>
      <c r="J167" t="s">
        <v>34</v>
      </c>
    </row>
    <row r="168" spans="1:10">
      <c r="A168" t="s">
        <v>435</v>
      </c>
      <c r="B168" t="s">
        <v>436</v>
      </c>
      <c r="C168" t="s">
        <v>255</v>
      </c>
      <c r="D168" t="s">
        <v>22</v>
      </c>
      <c r="E168">
        <v>-70524</v>
      </c>
      <c r="F168" t="s">
        <v>23</v>
      </c>
      <c r="G168" t="s">
        <v>24</v>
      </c>
      <c r="H168" t="s">
        <v>25</v>
      </c>
      <c r="I168" t="s">
        <v>39</v>
      </c>
      <c r="J168" t="s">
        <v>40</v>
      </c>
    </row>
    <row r="169" spans="1:10">
      <c r="A169" t="s">
        <v>437</v>
      </c>
      <c r="B169" t="s">
        <v>438</v>
      </c>
      <c r="C169" t="s">
        <v>439</v>
      </c>
      <c r="D169" t="s">
        <v>440</v>
      </c>
      <c r="E169">
        <v>-129287</v>
      </c>
      <c r="F169" t="s">
        <v>23</v>
      </c>
      <c r="G169" t="s">
        <v>24</v>
      </c>
      <c r="H169" t="s">
        <v>33</v>
      </c>
      <c r="I169" t="s">
        <v>45</v>
      </c>
      <c r="J169" t="s">
        <v>40</v>
      </c>
    </row>
    <row r="170" spans="1:10">
      <c r="A170" t="s">
        <v>441</v>
      </c>
      <c r="B170" t="s">
        <v>442</v>
      </c>
      <c r="C170" t="s">
        <v>66</v>
      </c>
      <c r="D170" t="s">
        <v>61</v>
      </c>
      <c r="E170">
        <v>-40925</v>
      </c>
      <c r="F170" t="s">
        <v>62</v>
      </c>
      <c r="G170" t="s">
        <v>32</v>
      </c>
      <c r="H170" t="s">
        <v>63</v>
      </c>
      <c r="I170" t="s">
        <v>26</v>
      </c>
      <c r="J170" t="s">
        <v>40</v>
      </c>
    </row>
    <row r="171" spans="1:10">
      <c r="A171" t="s">
        <v>443</v>
      </c>
      <c r="B171" t="s">
        <v>444</v>
      </c>
      <c r="C171" t="s">
        <v>72</v>
      </c>
      <c r="D171" t="s">
        <v>73</v>
      </c>
      <c r="E171">
        <v>-13798</v>
      </c>
      <c r="F171" t="s">
        <v>74</v>
      </c>
      <c r="G171" t="s">
        <v>32</v>
      </c>
      <c r="H171" t="s">
        <v>25</v>
      </c>
      <c r="I171" t="s">
        <v>26</v>
      </c>
      <c r="J171" t="s">
        <v>40</v>
      </c>
    </row>
    <row r="172" spans="1:10">
      <c r="A172" t="s">
        <v>445</v>
      </c>
      <c r="B172" t="s">
        <v>446</v>
      </c>
      <c r="C172" t="s">
        <v>57</v>
      </c>
      <c r="D172" t="s">
        <v>44</v>
      </c>
      <c r="E172">
        <v>-120598</v>
      </c>
      <c r="F172" t="s">
        <v>23</v>
      </c>
      <c r="G172" t="s">
        <v>24</v>
      </c>
      <c r="H172" t="s">
        <v>33</v>
      </c>
      <c r="I172" t="s">
        <v>45</v>
      </c>
      <c r="J172" t="s">
        <v>27</v>
      </c>
    </row>
    <row r="173" spans="1:10">
      <c r="A173" t="s">
        <v>447</v>
      </c>
      <c r="B173" t="s">
        <v>448</v>
      </c>
      <c r="C173" t="s">
        <v>255</v>
      </c>
      <c r="D173" t="s">
        <v>22</v>
      </c>
      <c r="E173">
        <v>-168784</v>
      </c>
      <c r="F173" t="s">
        <v>23</v>
      </c>
      <c r="G173" t="s">
        <v>32</v>
      </c>
      <c r="H173" t="s">
        <v>25</v>
      </c>
      <c r="I173" t="s">
        <v>26</v>
      </c>
      <c r="J173" t="s">
        <v>34</v>
      </c>
    </row>
    <row r="174" spans="1:10">
      <c r="A174" t="s">
        <v>449</v>
      </c>
      <c r="B174" t="s">
        <v>450</v>
      </c>
      <c r="C174" t="s">
        <v>66</v>
      </c>
      <c r="D174" t="s">
        <v>61</v>
      </c>
      <c r="E174">
        <v>-49264</v>
      </c>
      <c r="F174" t="s">
        <v>62</v>
      </c>
      <c r="G174" t="s">
        <v>32</v>
      </c>
      <c r="H174" t="s">
        <v>63</v>
      </c>
      <c r="I174" t="s">
        <v>45</v>
      </c>
      <c r="J174" t="s">
        <v>34</v>
      </c>
    </row>
    <row r="175" spans="1:10">
      <c r="A175" t="s">
        <v>451</v>
      </c>
      <c r="B175" t="s">
        <v>452</v>
      </c>
      <c r="C175" t="s">
        <v>310</v>
      </c>
      <c r="D175" t="s">
        <v>22</v>
      </c>
      <c r="E175">
        <v>-169538</v>
      </c>
      <c r="F175" t="s">
        <v>23</v>
      </c>
      <c r="G175" t="s">
        <v>32</v>
      </c>
      <c r="H175" t="s">
        <v>25</v>
      </c>
      <c r="I175" t="s">
        <v>39</v>
      </c>
      <c r="J175" t="s">
        <v>40</v>
      </c>
    </row>
    <row r="176" spans="1:10">
      <c r="A176" t="s">
        <v>453</v>
      </c>
      <c r="B176" t="s">
        <v>454</v>
      </c>
      <c r="C176" t="s">
        <v>51</v>
      </c>
      <c r="D176" t="s">
        <v>31</v>
      </c>
      <c r="E176">
        <v>-23846</v>
      </c>
      <c r="F176" t="s">
        <v>23</v>
      </c>
      <c r="G176" t="s">
        <v>24</v>
      </c>
      <c r="H176" t="s">
        <v>33</v>
      </c>
      <c r="I176" t="s">
        <v>26</v>
      </c>
      <c r="J176" t="s">
        <v>40</v>
      </c>
    </row>
    <row r="177" spans="1:10">
      <c r="A177" t="s">
        <v>455</v>
      </c>
      <c r="B177" t="s">
        <v>456</v>
      </c>
      <c r="C177" t="s">
        <v>212</v>
      </c>
      <c r="D177" t="s">
        <v>73</v>
      </c>
      <c r="E177">
        <v>-85970</v>
      </c>
      <c r="F177" t="s">
        <v>74</v>
      </c>
      <c r="G177" t="s">
        <v>32</v>
      </c>
      <c r="H177" t="s">
        <v>25</v>
      </c>
      <c r="I177" t="s">
        <v>39</v>
      </c>
      <c r="J177" t="s">
        <v>40</v>
      </c>
    </row>
    <row r="178" spans="1:10">
      <c r="A178" t="s">
        <v>457</v>
      </c>
      <c r="B178" t="s">
        <v>458</v>
      </c>
      <c r="C178" t="s">
        <v>37</v>
      </c>
      <c r="D178" t="s">
        <v>38</v>
      </c>
      <c r="E178">
        <v>-20658</v>
      </c>
      <c r="F178" t="s">
        <v>23</v>
      </c>
      <c r="G178" t="s">
        <v>24</v>
      </c>
      <c r="H178" t="s">
        <v>33</v>
      </c>
      <c r="I178" t="s">
        <v>45</v>
      </c>
      <c r="J178" t="s">
        <v>48</v>
      </c>
    </row>
    <row r="179" spans="1:10">
      <c r="A179" t="s">
        <v>459</v>
      </c>
      <c r="B179" t="s">
        <v>460</v>
      </c>
      <c r="C179" t="s">
        <v>60</v>
      </c>
      <c r="D179" t="s">
        <v>61</v>
      </c>
      <c r="E179">
        <v>-38269</v>
      </c>
      <c r="F179" t="s">
        <v>62</v>
      </c>
      <c r="G179" t="s">
        <v>32</v>
      </c>
      <c r="H179" t="s">
        <v>63</v>
      </c>
      <c r="I179" t="s">
        <v>26</v>
      </c>
      <c r="J179" t="s">
        <v>40</v>
      </c>
    </row>
    <row r="180" spans="1:10">
      <c r="A180" t="s">
        <v>461</v>
      </c>
      <c r="B180" t="s">
        <v>462</v>
      </c>
      <c r="C180" t="s">
        <v>93</v>
      </c>
      <c r="D180" t="s">
        <v>73</v>
      </c>
      <c r="E180">
        <v>-25196</v>
      </c>
      <c r="F180" t="s">
        <v>74</v>
      </c>
      <c r="G180" t="s">
        <v>24</v>
      </c>
      <c r="H180" t="s">
        <v>25</v>
      </c>
      <c r="I180" t="s">
        <v>45</v>
      </c>
      <c r="J180" t="s">
        <v>40</v>
      </c>
    </row>
    <row r="181" spans="1:10">
      <c r="A181" t="s">
        <v>463</v>
      </c>
      <c r="B181" t="s">
        <v>464</v>
      </c>
      <c r="C181" t="s">
        <v>57</v>
      </c>
      <c r="D181" t="s">
        <v>465</v>
      </c>
      <c r="E181">
        <v>-175601</v>
      </c>
      <c r="F181" t="s">
        <v>23</v>
      </c>
      <c r="G181" t="s">
        <v>24</v>
      </c>
      <c r="H181" t="s">
        <v>33</v>
      </c>
      <c r="I181" t="s">
        <v>26</v>
      </c>
      <c r="J181" t="s">
        <v>48</v>
      </c>
    </row>
    <row r="182" spans="1:10">
      <c r="A182" t="s">
        <v>466</v>
      </c>
      <c r="B182" t="s">
        <v>467</v>
      </c>
      <c r="C182" t="s">
        <v>468</v>
      </c>
      <c r="D182" t="s">
        <v>440</v>
      </c>
      <c r="E182">
        <v>-136888</v>
      </c>
      <c r="F182" t="s">
        <v>23</v>
      </c>
      <c r="G182" t="s">
        <v>32</v>
      </c>
      <c r="H182" t="s">
        <v>33</v>
      </c>
      <c r="I182" t="s">
        <v>39</v>
      </c>
      <c r="J182" t="s">
        <v>34</v>
      </c>
    </row>
    <row r="183" spans="1:10">
      <c r="A183" t="s">
        <v>469</v>
      </c>
      <c r="B183" t="s">
        <v>470</v>
      </c>
      <c r="C183" t="s">
        <v>471</v>
      </c>
      <c r="D183" t="s">
        <v>136</v>
      </c>
      <c r="E183">
        <v>-10472360</v>
      </c>
      <c r="F183" t="s">
        <v>62</v>
      </c>
      <c r="G183" t="s">
        <v>32</v>
      </c>
      <c r="H183" t="s">
        <v>63</v>
      </c>
      <c r="I183" t="s">
        <v>45</v>
      </c>
      <c r="J183" t="s">
        <v>48</v>
      </c>
    </row>
    <row r="184" spans="1:10">
      <c r="A184" t="s">
        <v>472</v>
      </c>
      <c r="B184" t="s">
        <v>289</v>
      </c>
      <c r="C184" t="s">
        <v>266</v>
      </c>
      <c r="D184" t="s">
        <v>73</v>
      </c>
      <c r="E184">
        <v>-54219</v>
      </c>
      <c r="F184" t="s">
        <v>74</v>
      </c>
      <c r="G184" t="s">
        <v>24</v>
      </c>
      <c r="H184" t="s">
        <v>25</v>
      </c>
      <c r="I184" t="s">
        <v>45</v>
      </c>
      <c r="J184" t="s">
        <v>40</v>
      </c>
    </row>
    <row r="185" spans="1:10">
      <c r="A185" t="s">
        <v>473</v>
      </c>
      <c r="B185" t="s">
        <v>474</v>
      </c>
      <c r="C185" t="s">
        <v>66</v>
      </c>
      <c r="D185" t="s">
        <v>61</v>
      </c>
      <c r="E185">
        <v>-30809</v>
      </c>
      <c r="F185" t="s">
        <v>62</v>
      </c>
      <c r="G185" t="s">
        <v>24</v>
      </c>
      <c r="H185" t="s">
        <v>63</v>
      </c>
      <c r="I185" t="s">
        <v>45</v>
      </c>
      <c r="J185" t="s">
        <v>40</v>
      </c>
    </row>
    <row r="186" spans="1:10">
      <c r="A186" t="s">
        <v>475</v>
      </c>
      <c r="B186" t="s">
        <v>184</v>
      </c>
      <c r="C186" t="s">
        <v>51</v>
      </c>
      <c r="D186" t="s">
        <v>31</v>
      </c>
      <c r="E186">
        <v>-38197</v>
      </c>
      <c r="F186" t="s">
        <v>23</v>
      </c>
      <c r="G186" t="s">
        <v>32</v>
      </c>
      <c r="H186" t="s">
        <v>33</v>
      </c>
      <c r="I186" t="s">
        <v>39</v>
      </c>
      <c r="J186" t="s">
        <v>34</v>
      </c>
    </row>
    <row r="187" spans="1:10">
      <c r="A187" t="s">
        <v>476</v>
      </c>
      <c r="B187" t="s">
        <v>477</v>
      </c>
      <c r="C187" t="s">
        <v>202</v>
      </c>
      <c r="D187" t="s">
        <v>320</v>
      </c>
      <c r="E187">
        <v>-112407</v>
      </c>
      <c r="F187" t="s">
        <v>23</v>
      </c>
      <c r="G187" t="s">
        <v>32</v>
      </c>
      <c r="H187" t="s">
        <v>25</v>
      </c>
      <c r="I187" t="s">
        <v>45</v>
      </c>
      <c r="J187" t="s">
        <v>27</v>
      </c>
    </row>
    <row r="188" spans="1:10">
      <c r="A188" t="s">
        <v>478</v>
      </c>
      <c r="B188" t="s">
        <v>365</v>
      </c>
      <c r="C188" t="s">
        <v>69</v>
      </c>
      <c r="D188" t="s">
        <v>38</v>
      </c>
      <c r="E188">
        <v>-40757</v>
      </c>
      <c r="F188" t="s">
        <v>23</v>
      </c>
      <c r="G188" t="s">
        <v>32</v>
      </c>
      <c r="H188" t="s">
        <v>33</v>
      </c>
      <c r="I188" t="s">
        <v>45</v>
      </c>
      <c r="J188" t="s">
        <v>34</v>
      </c>
    </row>
    <row r="189" spans="1:10">
      <c r="A189" t="s">
        <v>479</v>
      </c>
      <c r="B189" t="s">
        <v>480</v>
      </c>
      <c r="C189" t="s">
        <v>60</v>
      </c>
      <c r="D189" t="s">
        <v>61</v>
      </c>
      <c r="E189">
        <v>-38016</v>
      </c>
      <c r="F189" t="s">
        <v>62</v>
      </c>
      <c r="G189" t="s">
        <v>24</v>
      </c>
      <c r="H189" t="s">
        <v>63</v>
      </c>
      <c r="I189" t="s">
        <v>39</v>
      </c>
      <c r="J189" t="s">
        <v>34</v>
      </c>
    </row>
    <row r="190" spans="1:10">
      <c r="A190" t="s">
        <v>481</v>
      </c>
      <c r="B190" t="s">
        <v>482</v>
      </c>
      <c r="C190" t="s">
        <v>116</v>
      </c>
      <c r="D190" t="s">
        <v>73</v>
      </c>
      <c r="E190">
        <v>-37436</v>
      </c>
      <c r="F190" t="s">
        <v>74</v>
      </c>
      <c r="G190" t="s">
        <v>32</v>
      </c>
      <c r="H190" t="s">
        <v>25</v>
      </c>
      <c r="I190" t="s">
        <v>45</v>
      </c>
      <c r="J190" t="s">
        <v>40</v>
      </c>
    </row>
    <row r="191" spans="1:10">
      <c r="A191" t="s">
        <v>483</v>
      </c>
      <c r="B191" t="s">
        <v>484</v>
      </c>
      <c r="C191" t="s">
        <v>215</v>
      </c>
      <c r="D191" t="s">
        <v>61</v>
      </c>
      <c r="E191">
        <v>-15746</v>
      </c>
      <c r="F191" t="s">
        <v>62</v>
      </c>
      <c r="G191" t="s">
        <v>24</v>
      </c>
      <c r="H191" t="s">
        <v>63</v>
      </c>
      <c r="I191" t="s">
        <v>39</v>
      </c>
      <c r="J191" t="s">
        <v>48</v>
      </c>
    </row>
    <row r="192" spans="1:10">
      <c r="A192" t="s">
        <v>485</v>
      </c>
      <c r="B192" t="s">
        <v>486</v>
      </c>
      <c r="C192" t="s">
        <v>116</v>
      </c>
      <c r="E192">
        <v>-51636</v>
      </c>
      <c r="F192" t="s">
        <v>74</v>
      </c>
      <c r="G192" t="s">
        <v>32</v>
      </c>
      <c r="H192" t="s">
        <v>25</v>
      </c>
      <c r="I192" t="s">
        <v>45</v>
      </c>
      <c r="J192" t="s">
        <v>27</v>
      </c>
    </row>
    <row r="193" spans="1:10">
      <c r="A193" t="s">
        <v>487</v>
      </c>
      <c r="B193" t="s">
        <v>488</v>
      </c>
      <c r="C193" t="s">
        <v>37</v>
      </c>
      <c r="D193" t="s">
        <v>38</v>
      </c>
      <c r="E193">
        <v>-47483</v>
      </c>
      <c r="F193" t="s">
        <v>23</v>
      </c>
      <c r="G193" t="s">
        <v>24</v>
      </c>
      <c r="H193" t="s">
        <v>33</v>
      </c>
      <c r="I193" t="s">
        <v>39</v>
      </c>
      <c r="J193" t="s">
        <v>27</v>
      </c>
    </row>
    <row r="194" spans="1:10">
      <c r="A194" t="s">
        <v>489</v>
      </c>
      <c r="B194" t="s">
        <v>490</v>
      </c>
      <c r="C194" t="s">
        <v>305</v>
      </c>
      <c r="D194" t="s">
        <v>38</v>
      </c>
      <c r="E194">
        <v>-8597</v>
      </c>
      <c r="F194" t="s">
        <v>23</v>
      </c>
      <c r="G194" t="s">
        <v>24</v>
      </c>
      <c r="H194" t="s">
        <v>33</v>
      </c>
      <c r="I194" t="s">
        <v>45</v>
      </c>
      <c r="J194" t="s">
        <v>40</v>
      </c>
    </row>
    <row r="195" spans="1:10">
      <c r="A195" t="s">
        <v>491</v>
      </c>
      <c r="B195" t="s">
        <v>492</v>
      </c>
      <c r="C195" t="s">
        <v>143</v>
      </c>
      <c r="D195" t="s">
        <v>78</v>
      </c>
      <c r="E195">
        <v>-116352</v>
      </c>
      <c r="F195" t="s">
        <v>23</v>
      </c>
      <c r="G195" t="s">
        <v>24</v>
      </c>
      <c r="H195" t="s">
        <v>79</v>
      </c>
      <c r="I195" t="s">
        <v>45</v>
      </c>
      <c r="J195" t="s">
        <v>48</v>
      </c>
    </row>
    <row r="196" spans="1:10">
      <c r="A196" t="s">
        <v>493</v>
      </c>
      <c r="B196" t="s">
        <v>494</v>
      </c>
      <c r="C196" t="s">
        <v>116</v>
      </c>
      <c r="D196" t="s">
        <v>73</v>
      </c>
      <c r="E196">
        <v>-39117</v>
      </c>
      <c r="F196" t="s">
        <v>74</v>
      </c>
      <c r="G196" t="s">
        <v>32</v>
      </c>
      <c r="H196" t="s">
        <v>25</v>
      </c>
      <c r="I196" t="s">
        <v>39</v>
      </c>
      <c r="J196" t="s">
        <v>27</v>
      </c>
    </row>
    <row r="197" spans="1:10">
      <c r="A197" t="s">
        <v>495</v>
      </c>
      <c r="B197" t="s">
        <v>419</v>
      </c>
      <c r="C197" t="s">
        <v>100</v>
      </c>
      <c r="D197" t="s">
        <v>31</v>
      </c>
      <c r="E197">
        <v>-25007</v>
      </c>
      <c r="F197" t="s">
        <v>23</v>
      </c>
      <c r="G197" t="s">
        <v>24</v>
      </c>
      <c r="H197" t="s">
        <v>33</v>
      </c>
      <c r="I197" t="s">
        <v>45</v>
      </c>
      <c r="J197" t="s">
        <v>48</v>
      </c>
    </row>
    <row r="198" spans="1:10">
      <c r="A198" t="s">
        <v>496</v>
      </c>
      <c r="B198" t="s">
        <v>497</v>
      </c>
      <c r="C198" t="s">
        <v>66</v>
      </c>
      <c r="D198" t="s">
        <v>61</v>
      </c>
      <c r="E198">
        <v>-63110</v>
      </c>
      <c r="F198" t="s">
        <v>62</v>
      </c>
      <c r="G198" t="s">
        <v>32</v>
      </c>
      <c r="H198" t="s">
        <v>63</v>
      </c>
      <c r="I198" t="s">
        <v>39</v>
      </c>
      <c r="J198" t="s">
        <v>34</v>
      </c>
    </row>
    <row r="199" spans="1:10">
      <c r="A199" t="s">
        <v>498</v>
      </c>
      <c r="B199" t="s">
        <v>499</v>
      </c>
      <c r="C199" t="s">
        <v>215</v>
      </c>
      <c r="D199" t="s">
        <v>61</v>
      </c>
      <c r="E199">
        <v>-49757</v>
      </c>
      <c r="F199" t="s">
        <v>62</v>
      </c>
      <c r="G199" t="s">
        <v>24</v>
      </c>
      <c r="H199" t="s">
        <v>63</v>
      </c>
      <c r="I199" t="s">
        <v>45</v>
      </c>
      <c r="J199" t="s">
        <v>34</v>
      </c>
    </row>
    <row r="200" spans="1:10">
      <c r="A200" t="s">
        <v>500</v>
      </c>
      <c r="B200" t="s">
        <v>501</v>
      </c>
      <c r="C200" t="s">
        <v>60</v>
      </c>
      <c r="D200" t="s">
        <v>61</v>
      </c>
      <c r="E200">
        <v>-12814</v>
      </c>
      <c r="F200" t="s">
        <v>62</v>
      </c>
      <c r="G200" t="s">
        <v>32</v>
      </c>
      <c r="H200" t="s">
        <v>63</v>
      </c>
      <c r="I200" t="s">
        <v>39</v>
      </c>
      <c r="J200" t="s">
        <v>27</v>
      </c>
    </row>
    <row r="201" spans="1:10">
      <c r="A201" t="s">
        <v>502</v>
      </c>
      <c r="B201" t="s">
        <v>326</v>
      </c>
      <c r="C201" t="s">
        <v>93</v>
      </c>
      <c r="D201" t="s">
        <v>73</v>
      </c>
      <c r="E201">
        <v>-71721</v>
      </c>
      <c r="F201" t="s">
        <v>74</v>
      </c>
      <c r="G201" t="s">
        <v>24</v>
      </c>
      <c r="H201" t="s">
        <v>25</v>
      </c>
      <c r="I201" t="s">
        <v>39</v>
      </c>
      <c r="J201" t="s">
        <v>48</v>
      </c>
    </row>
    <row r="202" spans="1:10">
      <c r="A202" t="s">
        <v>503</v>
      </c>
      <c r="B202" t="s">
        <v>504</v>
      </c>
      <c r="C202" t="s">
        <v>57</v>
      </c>
      <c r="D202" t="s">
        <v>44</v>
      </c>
      <c r="E202">
        <v>-112648</v>
      </c>
      <c r="F202" t="s">
        <v>23</v>
      </c>
      <c r="G202" t="s">
        <v>32</v>
      </c>
      <c r="H202" t="s">
        <v>33</v>
      </c>
      <c r="I202" t="s">
        <v>45</v>
      </c>
      <c r="J202" t="s">
        <v>48</v>
      </c>
    </row>
    <row r="203" spans="1:10">
      <c r="A203" t="s">
        <v>505</v>
      </c>
      <c r="B203" t="s">
        <v>506</v>
      </c>
      <c r="C203" t="s">
        <v>215</v>
      </c>
      <c r="E203">
        <v>-22960</v>
      </c>
      <c r="F203" t="s">
        <v>62</v>
      </c>
      <c r="G203" t="s">
        <v>24</v>
      </c>
      <c r="H203" t="s">
        <v>63</v>
      </c>
      <c r="I203" t="s">
        <v>45</v>
      </c>
      <c r="J203" t="s">
        <v>40</v>
      </c>
    </row>
    <row r="204" spans="1:10">
      <c r="A204" t="s">
        <v>507</v>
      </c>
      <c r="B204" t="s">
        <v>299</v>
      </c>
      <c r="C204" t="s">
        <v>180</v>
      </c>
      <c r="D204" t="s">
        <v>44</v>
      </c>
      <c r="E204">
        <v>-63273</v>
      </c>
      <c r="F204" t="s">
        <v>23</v>
      </c>
      <c r="G204" t="s">
        <v>32</v>
      </c>
      <c r="H204" t="s">
        <v>33</v>
      </c>
      <c r="I204" t="s">
        <v>45</v>
      </c>
      <c r="J204" t="s">
        <v>48</v>
      </c>
    </row>
    <row r="205" spans="1:10">
      <c r="A205" t="s">
        <v>508</v>
      </c>
      <c r="B205" t="s">
        <v>338</v>
      </c>
      <c r="C205" t="s">
        <v>60</v>
      </c>
      <c r="D205" t="s">
        <v>61</v>
      </c>
      <c r="E205">
        <v>-18356</v>
      </c>
      <c r="F205" t="s">
        <v>62</v>
      </c>
      <c r="G205" t="s">
        <v>24</v>
      </c>
      <c r="H205" t="s">
        <v>63</v>
      </c>
      <c r="I205" t="s">
        <v>26</v>
      </c>
      <c r="J205" t="s">
        <v>40</v>
      </c>
    </row>
    <row r="206" spans="1:10">
      <c r="A206" t="s">
        <v>509</v>
      </c>
      <c r="B206" t="s">
        <v>510</v>
      </c>
      <c r="C206" t="s">
        <v>166</v>
      </c>
      <c r="D206" t="s">
        <v>31</v>
      </c>
      <c r="E206">
        <v>-10397</v>
      </c>
      <c r="F206" t="s">
        <v>23</v>
      </c>
      <c r="G206" t="s">
        <v>32</v>
      </c>
      <c r="H206" t="s">
        <v>33</v>
      </c>
      <c r="I206" t="s">
        <v>26</v>
      </c>
      <c r="J206" t="s">
        <v>40</v>
      </c>
    </row>
    <row r="207" spans="1:10">
      <c r="A207" t="s">
        <v>511</v>
      </c>
      <c r="B207" t="s">
        <v>512</v>
      </c>
      <c r="C207" t="s">
        <v>215</v>
      </c>
      <c r="D207" t="s">
        <v>61</v>
      </c>
      <c r="E207">
        <v>-26373</v>
      </c>
      <c r="F207" t="s">
        <v>62</v>
      </c>
      <c r="G207" t="s">
        <v>32</v>
      </c>
      <c r="H207" t="s">
        <v>63</v>
      </c>
      <c r="I207" t="s">
        <v>26</v>
      </c>
      <c r="J207" t="s">
        <v>34</v>
      </c>
    </row>
    <row r="208" spans="1:10">
      <c r="A208" t="s">
        <v>513</v>
      </c>
      <c r="B208" t="s">
        <v>514</v>
      </c>
      <c r="C208" t="s">
        <v>266</v>
      </c>
      <c r="D208" t="s">
        <v>73</v>
      </c>
      <c r="E208">
        <v>-73627</v>
      </c>
      <c r="F208" t="s">
        <v>74</v>
      </c>
      <c r="G208" t="s">
        <v>24</v>
      </c>
      <c r="H208" t="s">
        <v>25</v>
      </c>
      <c r="I208" t="s">
        <v>45</v>
      </c>
      <c r="J208" t="s">
        <v>34</v>
      </c>
    </row>
    <row r="209" spans="1:10">
      <c r="A209" t="s">
        <v>515</v>
      </c>
      <c r="B209" t="s">
        <v>516</v>
      </c>
      <c r="C209" t="s">
        <v>215</v>
      </c>
      <c r="D209" t="s">
        <v>61</v>
      </c>
      <c r="E209">
        <v>-39734</v>
      </c>
      <c r="F209" t="s">
        <v>62</v>
      </c>
      <c r="G209" t="s">
        <v>24</v>
      </c>
      <c r="H209" t="s">
        <v>63</v>
      </c>
      <c r="I209" t="s">
        <v>39</v>
      </c>
      <c r="J209" t="s">
        <v>40</v>
      </c>
    </row>
    <row r="210" spans="1:10">
      <c r="A210" t="s">
        <v>517</v>
      </c>
      <c r="B210" t="s">
        <v>518</v>
      </c>
      <c r="C210" t="s">
        <v>519</v>
      </c>
      <c r="D210" t="s">
        <v>44</v>
      </c>
      <c r="E210">
        <v>-83931</v>
      </c>
      <c r="F210" t="s">
        <v>23</v>
      </c>
      <c r="G210" t="s">
        <v>24</v>
      </c>
      <c r="H210" t="s">
        <v>33</v>
      </c>
      <c r="I210" t="s">
        <v>39</v>
      </c>
      <c r="J210" t="s">
        <v>40</v>
      </c>
    </row>
    <row r="211" spans="1:10">
      <c r="A211" t="s">
        <v>520</v>
      </c>
      <c r="B211" t="s">
        <v>521</v>
      </c>
      <c r="C211" t="s">
        <v>166</v>
      </c>
      <c r="D211" t="s">
        <v>31</v>
      </c>
      <c r="E211">
        <v>-11630</v>
      </c>
      <c r="F211" t="s">
        <v>23</v>
      </c>
      <c r="G211" t="s">
        <v>32</v>
      </c>
      <c r="H211" t="s">
        <v>33</v>
      </c>
      <c r="I211" t="s">
        <v>45</v>
      </c>
      <c r="J211" t="s">
        <v>48</v>
      </c>
    </row>
    <row r="212" spans="1:10">
      <c r="A212" t="s">
        <v>522</v>
      </c>
      <c r="B212" t="s">
        <v>523</v>
      </c>
      <c r="C212" t="s">
        <v>51</v>
      </c>
      <c r="D212" t="s">
        <v>31</v>
      </c>
      <c r="E212">
        <v>-22421</v>
      </c>
      <c r="F212" t="s">
        <v>23</v>
      </c>
      <c r="G212" t="s">
        <v>24</v>
      </c>
      <c r="H212" t="s">
        <v>33</v>
      </c>
      <c r="I212" t="s">
        <v>45</v>
      </c>
      <c r="J212" t="s">
        <v>40</v>
      </c>
    </row>
    <row r="213" spans="1:10">
      <c r="A213" t="s">
        <v>524</v>
      </c>
      <c r="B213" t="s">
        <v>525</v>
      </c>
      <c r="C213" t="s">
        <v>293</v>
      </c>
      <c r="D213" t="s">
        <v>157</v>
      </c>
      <c r="E213">
        <v>591896</v>
      </c>
      <c r="F213" t="s">
        <v>62</v>
      </c>
      <c r="G213" t="s">
        <v>32</v>
      </c>
      <c r="H213" t="s">
        <v>25</v>
      </c>
      <c r="I213" t="s">
        <v>26</v>
      </c>
      <c r="J213" t="s">
        <v>48</v>
      </c>
    </row>
    <row r="214" spans="1:10">
      <c r="A214" t="s">
        <v>526</v>
      </c>
      <c r="B214" t="s">
        <v>527</v>
      </c>
      <c r="C214" t="s">
        <v>100</v>
      </c>
      <c r="D214" t="s">
        <v>31</v>
      </c>
      <c r="E214">
        <v>-16862</v>
      </c>
      <c r="F214" t="s">
        <v>23</v>
      </c>
      <c r="G214" t="s">
        <v>32</v>
      </c>
      <c r="H214" t="s">
        <v>33</v>
      </c>
      <c r="I214" t="s">
        <v>39</v>
      </c>
      <c r="J214" t="s">
        <v>34</v>
      </c>
    </row>
    <row r="215" spans="1:10">
      <c r="A215" t="s">
        <v>528</v>
      </c>
      <c r="B215" t="s">
        <v>454</v>
      </c>
      <c r="C215" t="s">
        <v>180</v>
      </c>
      <c r="D215" t="s">
        <v>44</v>
      </c>
      <c r="E215">
        <v>-74032</v>
      </c>
      <c r="F215" t="s">
        <v>23</v>
      </c>
      <c r="G215" t="s">
        <v>24</v>
      </c>
      <c r="H215" t="s">
        <v>33</v>
      </c>
      <c r="I215" t="s">
        <v>26</v>
      </c>
      <c r="J215" t="s">
        <v>40</v>
      </c>
    </row>
    <row r="216" spans="1:10">
      <c r="A216" t="s">
        <v>529</v>
      </c>
      <c r="B216" t="s">
        <v>530</v>
      </c>
      <c r="C216" t="s">
        <v>43</v>
      </c>
      <c r="D216" t="s">
        <v>44</v>
      </c>
      <c r="E216">
        <v>-89616</v>
      </c>
      <c r="F216" t="s">
        <v>23</v>
      </c>
      <c r="G216" t="s">
        <v>24</v>
      </c>
      <c r="H216" t="s">
        <v>33</v>
      </c>
      <c r="I216" t="s">
        <v>39</v>
      </c>
      <c r="J216" t="s">
        <v>34</v>
      </c>
    </row>
    <row r="217" spans="1:10">
      <c r="A217" t="s">
        <v>531</v>
      </c>
      <c r="B217" t="s">
        <v>532</v>
      </c>
      <c r="C217" t="s">
        <v>533</v>
      </c>
      <c r="D217" t="s">
        <v>61</v>
      </c>
      <c r="E217">
        <v>-27041</v>
      </c>
      <c r="F217" t="s">
        <v>62</v>
      </c>
      <c r="G217" t="s">
        <v>32</v>
      </c>
      <c r="H217" t="s">
        <v>63</v>
      </c>
      <c r="I217" t="s">
        <v>39</v>
      </c>
      <c r="J217" t="s">
        <v>40</v>
      </c>
    </row>
    <row r="218" spans="1:10">
      <c r="A218" t="s">
        <v>534</v>
      </c>
      <c r="B218" t="s">
        <v>535</v>
      </c>
      <c r="C218" t="s">
        <v>536</v>
      </c>
      <c r="D218" t="s">
        <v>31</v>
      </c>
      <c r="E218">
        <v>-24306</v>
      </c>
      <c r="F218" t="s">
        <v>23</v>
      </c>
      <c r="G218" t="s">
        <v>32</v>
      </c>
      <c r="H218" t="s">
        <v>33</v>
      </c>
      <c r="I218" t="s">
        <v>39</v>
      </c>
      <c r="J218" t="s">
        <v>27</v>
      </c>
    </row>
    <row r="219" spans="1:10">
      <c r="A219" t="s">
        <v>537</v>
      </c>
      <c r="B219" t="s">
        <v>538</v>
      </c>
      <c r="C219" t="s">
        <v>21</v>
      </c>
      <c r="D219" t="s">
        <v>22</v>
      </c>
      <c r="E219">
        <v>-82237</v>
      </c>
      <c r="F219" t="s">
        <v>23</v>
      </c>
      <c r="G219" t="s">
        <v>32</v>
      </c>
      <c r="H219" t="s">
        <v>25</v>
      </c>
      <c r="I219" t="s">
        <v>45</v>
      </c>
      <c r="J219" t="s">
        <v>48</v>
      </c>
    </row>
    <row r="220" spans="1:10">
      <c r="A220" t="s">
        <v>539</v>
      </c>
      <c r="B220" t="s">
        <v>540</v>
      </c>
      <c r="C220" t="s">
        <v>177</v>
      </c>
      <c r="D220" t="s">
        <v>78</v>
      </c>
      <c r="E220">
        <v>-48126</v>
      </c>
      <c r="F220" t="s">
        <v>23</v>
      </c>
      <c r="G220" t="s">
        <v>24</v>
      </c>
      <c r="H220" t="s">
        <v>79</v>
      </c>
      <c r="I220" t="s">
        <v>26</v>
      </c>
      <c r="J220" t="s">
        <v>40</v>
      </c>
    </row>
    <row r="221" spans="1:10">
      <c r="A221" t="s">
        <v>541</v>
      </c>
      <c r="B221" t="s">
        <v>278</v>
      </c>
      <c r="C221" t="s">
        <v>180</v>
      </c>
      <c r="D221" t="s">
        <v>44</v>
      </c>
      <c r="E221">
        <v>-120451</v>
      </c>
      <c r="F221" t="s">
        <v>23</v>
      </c>
      <c r="G221" t="s">
        <v>24</v>
      </c>
      <c r="H221" t="s">
        <v>33</v>
      </c>
      <c r="I221" t="s">
        <v>26</v>
      </c>
      <c r="J221" t="s">
        <v>27</v>
      </c>
    </row>
    <row r="222" spans="1:10">
      <c r="A222" t="s">
        <v>542</v>
      </c>
      <c r="B222" t="s">
        <v>543</v>
      </c>
      <c r="C222" t="s">
        <v>224</v>
      </c>
      <c r="D222" t="s">
        <v>78</v>
      </c>
      <c r="E222">
        <v>-54216</v>
      </c>
      <c r="F222" t="s">
        <v>23</v>
      </c>
      <c r="G222" t="s">
        <v>24</v>
      </c>
      <c r="H222" t="s">
        <v>79</v>
      </c>
      <c r="I222" t="s">
        <v>26</v>
      </c>
      <c r="J222" t="s">
        <v>27</v>
      </c>
    </row>
    <row r="223" spans="1:10">
      <c r="A223" t="s">
        <v>544</v>
      </c>
      <c r="B223" t="s">
        <v>545</v>
      </c>
      <c r="C223" t="s">
        <v>271</v>
      </c>
      <c r="D223" t="s">
        <v>302</v>
      </c>
      <c r="E223">
        <v>-23129</v>
      </c>
      <c r="F223" t="s">
        <v>74</v>
      </c>
      <c r="G223" t="s">
        <v>24</v>
      </c>
      <c r="H223" t="s">
        <v>25</v>
      </c>
      <c r="I223" t="s">
        <v>26</v>
      </c>
      <c r="J223" t="s">
        <v>34</v>
      </c>
    </row>
    <row r="224" spans="1:10">
      <c r="A224" t="s">
        <v>546</v>
      </c>
      <c r="B224" t="s">
        <v>547</v>
      </c>
      <c r="C224" t="s">
        <v>93</v>
      </c>
      <c r="D224" t="s">
        <v>73</v>
      </c>
      <c r="E224">
        <v>-69894</v>
      </c>
      <c r="F224" t="s">
        <v>74</v>
      </c>
      <c r="G224" t="s">
        <v>32</v>
      </c>
      <c r="H224" t="s">
        <v>25</v>
      </c>
      <c r="I224" t="s">
        <v>26</v>
      </c>
      <c r="J224" t="s">
        <v>34</v>
      </c>
    </row>
    <row r="225" spans="1:10">
      <c r="A225" t="s">
        <v>548</v>
      </c>
      <c r="B225" t="s">
        <v>549</v>
      </c>
      <c r="C225" t="s">
        <v>212</v>
      </c>
      <c r="D225" t="s">
        <v>73</v>
      </c>
      <c r="E225">
        <v>-88753</v>
      </c>
      <c r="F225" t="s">
        <v>74</v>
      </c>
      <c r="G225" t="s">
        <v>32</v>
      </c>
      <c r="H225" t="s">
        <v>25</v>
      </c>
      <c r="I225" t="s">
        <v>45</v>
      </c>
      <c r="J225" t="s">
        <v>34</v>
      </c>
    </row>
    <row r="226" spans="1:10">
      <c r="A226" t="s">
        <v>550</v>
      </c>
      <c r="B226" t="s">
        <v>551</v>
      </c>
      <c r="C226" t="s">
        <v>84</v>
      </c>
      <c r="D226" t="s">
        <v>78</v>
      </c>
      <c r="E226">
        <v>-20739</v>
      </c>
      <c r="F226" t="s">
        <v>23</v>
      </c>
      <c r="G226" t="s">
        <v>32</v>
      </c>
      <c r="H226" t="s">
        <v>79</v>
      </c>
      <c r="I226" t="s">
        <v>39</v>
      </c>
      <c r="J226" t="s">
        <v>40</v>
      </c>
    </row>
    <row r="227" spans="1:10">
      <c r="A227" t="s">
        <v>552</v>
      </c>
      <c r="B227" t="s">
        <v>553</v>
      </c>
      <c r="C227" t="s">
        <v>30</v>
      </c>
      <c r="D227" t="s">
        <v>31</v>
      </c>
      <c r="E227">
        <v>-4634</v>
      </c>
      <c r="F227" t="s">
        <v>23</v>
      </c>
      <c r="G227" t="s">
        <v>24</v>
      </c>
      <c r="H227" t="s">
        <v>33</v>
      </c>
      <c r="I227" t="s">
        <v>45</v>
      </c>
      <c r="J227" t="s">
        <v>34</v>
      </c>
    </row>
    <row r="228" spans="1:10">
      <c r="A228" t="s">
        <v>554</v>
      </c>
      <c r="B228" t="s">
        <v>555</v>
      </c>
      <c r="C228" t="s">
        <v>87</v>
      </c>
      <c r="D228" t="s">
        <v>22</v>
      </c>
      <c r="E228">
        <v>-211433</v>
      </c>
      <c r="F228" t="s">
        <v>23</v>
      </c>
      <c r="G228" t="s">
        <v>32</v>
      </c>
      <c r="H228" t="s">
        <v>25</v>
      </c>
      <c r="I228" t="s">
        <v>39</v>
      </c>
      <c r="J228" t="s">
        <v>48</v>
      </c>
    </row>
    <row r="229" spans="1:10">
      <c r="A229" t="s">
        <v>556</v>
      </c>
      <c r="B229" t="s">
        <v>557</v>
      </c>
      <c r="C229" t="s">
        <v>224</v>
      </c>
      <c r="D229" t="s">
        <v>78</v>
      </c>
      <c r="E229">
        <v>-115565</v>
      </c>
      <c r="F229" t="s">
        <v>23</v>
      </c>
      <c r="G229" t="s">
        <v>24</v>
      </c>
      <c r="H229" t="s">
        <v>79</v>
      </c>
      <c r="I229" t="s">
        <v>39</v>
      </c>
      <c r="J229" t="s">
        <v>48</v>
      </c>
    </row>
    <row r="230" spans="1:10">
      <c r="A230" t="s">
        <v>558</v>
      </c>
      <c r="B230" t="s">
        <v>559</v>
      </c>
      <c r="C230" t="s">
        <v>116</v>
      </c>
      <c r="D230" t="s">
        <v>73</v>
      </c>
      <c r="E230">
        <v>-85377</v>
      </c>
      <c r="F230" t="s">
        <v>74</v>
      </c>
      <c r="G230" t="s">
        <v>32</v>
      </c>
      <c r="H230" t="s">
        <v>25</v>
      </c>
      <c r="I230" t="s">
        <v>45</v>
      </c>
      <c r="J230" t="s">
        <v>48</v>
      </c>
    </row>
    <row r="231" spans="1:10">
      <c r="A231" t="s">
        <v>560</v>
      </c>
      <c r="B231" t="s">
        <v>561</v>
      </c>
      <c r="C231" t="s">
        <v>93</v>
      </c>
      <c r="D231" t="s">
        <v>73</v>
      </c>
      <c r="E231">
        <v>-46005</v>
      </c>
      <c r="F231" t="s">
        <v>74</v>
      </c>
      <c r="G231" t="s">
        <v>24</v>
      </c>
      <c r="H231" t="s">
        <v>25</v>
      </c>
      <c r="I231" t="s">
        <v>26</v>
      </c>
      <c r="J231" t="s">
        <v>27</v>
      </c>
    </row>
    <row r="232" spans="1:10">
      <c r="A232" t="s">
        <v>562</v>
      </c>
      <c r="B232" t="s">
        <v>563</v>
      </c>
      <c r="C232" t="s">
        <v>224</v>
      </c>
      <c r="D232" t="s">
        <v>78</v>
      </c>
      <c r="E232">
        <v>-88617</v>
      </c>
      <c r="F232" t="s">
        <v>23</v>
      </c>
      <c r="G232" t="s">
        <v>24</v>
      </c>
      <c r="H232" t="s">
        <v>79</v>
      </c>
      <c r="I232" t="s">
        <v>39</v>
      </c>
      <c r="J232" t="s">
        <v>34</v>
      </c>
    </row>
    <row r="233" spans="1:10">
      <c r="A233" t="s">
        <v>564</v>
      </c>
      <c r="B233" t="s">
        <v>565</v>
      </c>
      <c r="C233" t="s">
        <v>566</v>
      </c>
      <c r="D233" t="s">
        <v>78</v>
      </c>
      <c r="E233">
        <v>-52492</v>
      </c>
      <c r="F233" t="s">
        <v>23</v>
      </c>
      <c r="G233" t="s">
        <v>24</v>
      </c>
      <c r="H233" t="s">
        <v>79</v>
      </c>
      <c r="I233" t="s">
        <v>39</v>
      </c>
      <c r="J233" t="s">
        <v>48</v>
      </c>
    </row>
    <row r="234" spans="1:10">
      <c r="A234" t="s">
        <v>567</v>
      </c>
      <c r="B234" t="s">
        <v>568</v>
      </c>
      <c r="C234" t="s">
        <v>116</v>
      </c>
      <c r="D234" t="s">
        <v>73</v>
      </c>
      <c r="E234">
        <v>-67058</v>
      </c>
      <c r="F234" t="s">
        <v>74</v>
      </c>
      <c r="G234" t="s">
        <v>32</v>
      </c>
      <c r="H234" t="s">
        <v>25</v>
      </c>
      <c r="I234" t="s">
        <v>39</v>
      </c>
      <c r="J234" t="s">
        <v>27</v>
      </c>
    </row>
    <row r="235" spans="1:10">
      <c r="A235" t="s">
        <v>569</v>
      </c>
      <c r="B235" t="s">
        <v>570</v>
      </c>
      <c r="C235" t="s">
        <v>174</v>
      </c>
      <c r="D235" t="s">
        <v>22</v>
      </c>
      <c r="E235">
        <v>-132651</v>
      </c>
      <c r="F235" t="s">
        <v>23</v>
      </c>
      <c r="G235" t="s">
        <v>32</v>
      </c>
      <c r="H235" t="s">
        <v>25</v>
      </c>
      <c r="I235" t="s">
        <v>45</v>
      </c>
      <c r="J235" t="s">
        <v>27</v>
      </c>
    </row>
    <row r="236" spans="1:10">
      <c r="A236" t="s">
        <v>571</v>
      </c>
      <c r="B236" t="s">
        <v>572</v>
      </c>
      <c r="C236" t="s">
        <v>100</v>
      </c>
      <c r="D236" t="s">
        <v>31</v>
      </c>
      <c r="E236">
        <v>-33457</v>
      </c>
      <c r="F236" t="s">
        <v>23</v>
      </c>
      <c r="G236" t="s">
        <v>32</v>
      </c>
      <c r="H236" t="s">
        <v>33</v>
      </c>
      <c r="I236" t="s">
        <v>45</v>
      </c>
      <c r="J236" t="s">
        <v>27</v>
      </c>
    </row>
    <row r="237" spans="1:10">
      <c r="A237" t="s">
        <v>573</v>
      </c>
      <c r="B237" t="s">
        <v>574</v>
      </c>
      <c r="C237" t="s">
        <v>66</v>
      </c>
      <c r="D237" t="s">
        <v>61</v>
      </c>
      <c r="E237">
        <v>-56951</v>
      </c>
      <c r="F237" t="s">
        <v>62</v>
      </c>
      <c r="G237" t="s">
        <v>32</v>
      </c>
      <c r="H237" t="s">
        <v>63</v>
      </c>
      <c r="I237" t="s">
        <v>26</v>
      </c>
      <c r="J237" t="s">
        <v>27</v>
      </c>
    </row>
    <row r="238" spans="1:10">
      <c r="A238" t="s">
        <v>575</v>
      </c>
      <c r="B238" t="s">
        <v>576</v>
      </c>
      <c r="C238" t="s">
        <v>84</v>
      </c>
      <c r="D238" t="s">
        <v>78</v>
      </c>
      <c r="E238">
        <v>-75986</v>
      </c>
      <c r="F238" t="s">
        <v>23</v>
      </c>
      <c r="G238" t="s">
        <v>24</v>
      </c>
      <c r="H238" t="s">
        <v>79</v>
      </c>
      <c r="I238" t="s">
        <v>45</v>
      </c>
      <c r="J238" t="s">
        <v>48</v>
      </c>
    </row>
    <row r="239" spans="1:10">
      <c r="A239" t="s">
        <v>577</v>
      </c>
      <c r="B239" t="s">
        <v>578</v>
      </c>
      <c r="C239" t="s">
        <v>90</v>
      </c>
      <c r="D239" t="s">
        <v>73</v>
      </c>
      <c r="E239">
        <v>-61641</v>
      </c>
      <c r="F239" t="s">
        <v>74</v>
      </c>
      <c r="G239" t="s">
        <v>24</v>
      </c>
      <c r="H239" t="s">
        <v>25</v>
      </c>
      <c r="I239" t="s">
        <v>45</v>
      </c>
      <c r="J239" t="s">
        <v>48</v>
      </c>
    </row>
    <row r="240" spans="1:10">
      <c r="A240" t="s">
        <v>579</v>
      </c>
      <c r="B240" t="s">
        <v>580</v>
      </c>
      <c r="C240" t="s">
        <v>166</v>
      </c>
      <c r="D240" t="s">
        <v>31</v>
      </c>
      <c r="E240">
        <v>-16997</v>
      </c>
      <c r="F240" t="s">
        <v>23</v>
      </c>
      <c r="G240" t="s">
        <v>24</v>
      </c>
      <c r="H240" t="s">
        <v>33</v>
      </c>
      <c r="I240" t="s">
        <v>26</v>
      </c>
      <c r="J240" t="s">
        <v>34</v>
      </c>
    </row>
    <row r="241" spans="1:10">
      <c r="A241" t="s">
        <v>581</v>
      </c>
      <c r="B241" t="s">
        <v>543</v>
      </c>
      <c r="C241" t="s">
        <v>439</v>
      </c>
      <c r="D241" t="s">
        <v>440</v>
      </c>
      <c r="E241">
        <v>-142733</v>
      </c>
      <c r="F241" t="s">
        <v>23</v>
      </c>
      <c r="G241" t="s">
        <v>32</v>
      </c>
      <c r="H241" t="s">
        <v>33</v>
      </c>
      <c r="I241" t="s">
        <v>26</v>
      </c>
      <c r="J241" t="s">
        <v>27</v>
      </c>
    </row>
    <row r="242" spans="1:10">
      <c r="A242" t="s">
        <v>582</v>
      </c>
      <c r="B242" t="s">
        <v>583</v>
      </c>
      <c r="C242" t="s">
        <v>161</v>
      </c>
      <c r="D242" t="s">
        <v>22</v>
      </c>
      <c r="E242">
        <v>-99677</v>
      </c>
      <c r="F242" t="s">
        <v>23</v>
      </c>
      <c r="G242" t="s">
        <v>24</v>
      </c>
      <c r="H242" t="s">
        <v>25</v>
      </c>
      <c r="I242" t="s">
        <v>39</v>
      </c>
      <c r="J242" t="s">
        <v>27</v>
      </c>
    </row>
    <row r="243" spans="1:10">
      <c r="A243" t="s">
        <v>584</v>
      </c>
      <c r="B243" t="s">
        <v>585</v>
      </c>
      <c r="C243" t="s">
        <v>224</v>
      </c>
      <c r="D243" t="s">
        <v>78</v>
      </c>
      <c r="E243">
        <v>-18883</v>
      </c>
      <c r="F243" t="s">
        <v>23</v>
      </c>
      <c r="G243" t="s">
        <v>24</v>
      </c>
      <c r="H243" t="s">
        <v>79</v>
      </c>
      <c r="I243" t="s">
        <v>26</v>
      </c>
      <c r="J243" t="s">
        <v>40</v>
      </c>
    </row>
    <row r="244" spans="1:10">
      <c r="A244" t="s">
        <v>586</v>
      </c>
      <c r="B244" t="s">
        <v>587</v>
      </c>
      <c r="C244" t="s">
        <v>180</v>
      </c>
      <c r="D244" t="s">
        <v>44</v>
      </c>
      <c r="E244">
        <v>-81107</v>
      </c>
      <c r="F244" t="s">
        <v>23</v>
      </c>
      <c r="G244" t="s">
        <v>24</v>
      </c>
      <c r="H244" t="s">
        <v>33</v>
      </c>
      <c r="I244" t="s">
        <v>26</v>
      </c>
      <c r="J244" t="s">
        <v>27</v>
      </c>
    </row>
    <row r="245" spans="1:10">
      <c r="A245" t="s">
        <v>588</v>
      </c>
      <c r="B245" t="s">
        <v>589</v>
      </c>
      <c r="C245" t="s">
        <v>72</v>
      </c>
      <c r="D245" t="s">
        <v>302</v>
      </c>
      <c r="E245">
        <v>-19140</v>
      </c>
      <c r="F245" t="s">
        <v>74</v>
      </c>
      <c r="G245" t="s">
        <v>24</v>
      </c>
      <c r="H245" t="s">
        <v>25</v>
      </c>
      <c r="I245" t="s">
        <v>39</v>
      </c>
      <c r="J245" t="s">
        <v>48</v>
      </c>
    </row>
    <row r="246" spans="1:10">
      <c r="A246" t="s">
        <v>590</v>
      </c>
      <c r="B246" t="s">
        <v>591</v>
      </c>
      <c r="C246" t="s">
        <v>60</v>
      </c>
      <c r="D246" t="s">
        <v>61</v>
      </c>
      <c r="E246">
        <v>-26714</v>
      </c>
      <c r="F246" t="s">
        <v>62</v>
      </c>
      <c r="G246" t="s">
        <v>24</v>
      </c>
      <c r="H246" t="s">
        <v>63</v>
      </c>
      <c r="I246" t="s">
        <v>45</v>
      </c>
      <c r="J246" t="s">
        <v>40</v>
      </c>
    </row>
    <row r="247" spans="1:10">
      <c r="A247" t="s">
        <v>592</v>
      </c>
      <c r="B247" t="s">
        <v>593</v>
      </c>
      <c r="C247" t="s">
        <v>60</v>
      </c>
      <c r="D247" t="s">
        <v>61</v>
      </c>
      <c r="E247">
        <v>-48587</v>
      </c>
      <c r="F247" t="s">
        <v>62</v>
      </c>
      <c r="G247" t="s">
        <v>24</v>
      </c>
      <c r="H247" t="s">
        <v>63</v>
      </c>
      <c r="I247" t="s">
        <v>39</v>
      </c>
      <c r="J247" t="s">
        <v>48</v>
      </c>
    </row>
    <row r="248" spans="1:10">
      <c r="A248" t="s">
        <v>594</v>
      </c>
      <c r="B248" t="s">
        <v>595</v>
      </c>
      <c r="C248" t="s">
        <v>221</v>
      </c>
      <c r="D248" t="s">
        <v>61</v>
      </c>
      <c r="E248">
        <v>-54808</v>
      </c>
      <c r="F248" t="s">
        <v>62</v>
      </c>
      <c r="G248" t="s">
        <v>32</v>
      </c>
      <c r="H248" t="s">
        <v>63</v>
      </c>
      <c r="I248" t="s">
        <v>39</v>
      </c>
      <c r="J248" t="s">
        <v>48</v>
      </c>
    </row>
    <row r="249" spans="1:10">
      <c r="A249" t="s">
        <v>596</v>
      </c>
      <c r="B249" t="s">
        <v>597</v>
      </c>
      <c r="C249" t="s">
        <v>215</v>
      </c>
      <c r="D249" t="s">
        <v>61</v>
      </c>
      <c r="E249">
        <v>-29092</v>
      </c>
      <c r="F249" t="s">
        <v>62</v>
      </c>
      <c r="G249" t="s">
        <v>24</v>
      </c>
      <c r="H249" t="s">
        <v>63</v>
      </c>
      <c r="I249" t="s">
        <v>39</v>
      </c>
      <c r="J249" t="s">
        <v>34</v>
      </c>
    </row>
    <row r="250" spans="1:10">
      <c r="A250" t="s">
        <v>598</v>
      </c>
      <c r="B250" t="s">
        <v>599</v>
      </c>
      <c r="C250" t="s">
        <v>69</v>
      </c>
      <c r="D250" t="s">
        <v>38</v>
      </c>
      <c r="E250">
        <v>-41248</v>
      </c>
      <c r="F250" t="s">
        <v>23</v>
      </c>
      <c r="G250" t="s">
        <v>32</v>
      </c>
      <c r="H250" t="s">
        <v>33</v>
      </c>
      <c r="I250" t="s">
        <v>45</v>
      </c>
      <c r="J250" t="s">
        <v>48</v>
      </c>
    </row>
    <row r="251" spans="1:10">
      <c r="A251" t="s">
        <v>600</v>
      </c>
      <c r="B251" t="s">
        <v>436</v>
      </c>
      <c r="C251" t="s">
        <v>519</v>
      </c>
      <c r="D251" t="s">
        <v>44</v>
      </c>
      <c r="E251">
        <v>-40781</v>
      </c>
      <c r="F251" t="s">
        <v>23</v>
      </c>
      <c r="G251" t="s">
        <v>32</v>
      </c>
      <c r="H251" t="s">
        <v>33</v>
      </c>
      <c r="I251" t="s">
        <v>39</v>
      </c>
      <c r="J251" t="s">
        <v>40</v>
      </c>
    </row>
    <row r="252" spans="1:10">
      <c r="A252" t="s">
        <v>601</v>
      </c>
      <c r="B252" t="s">
        <v>602</v>
      </c>
      <c r="C252" t="s">
        <v>30</v>
      </c>
      <c r="D252" t="s">
        <v>31</v>
      </c>
      <c r="E252">
        <v>-31627</v>
      </c>
      <c r="F252" t="s">
        <v>23</v>
      </c>
      <c r="G252" t="s">
        <v>32</v>
      </c>
      <c r="H252" t="s">
        <v>33</v>
      </c>
      <c r="I252" t="s">
        <v>26</v>
      </c>
      <c r="J252" t="s">
        <v>34</v>
      </c>
    </row>
    <row r="253" spans="1:10">
      <c r="A253" t="s">
        <v>603</v>
      </c>
      <c r="B253" t="s">
        <v>604</v>
      </c>
      <c r="C253" t="s">
        <v>116</v>
      </c>
      <c r="D253" t="s">
        <v>73</v>
      </c>
      <c r="E253">
        <v>-20472</v>
      </c>
      <c r="F253" t="s">
        <v>74</v>
      </c>
      <c r="G253" t="s">
        <v>32</v>
      </c>
      <c r="H253" t="s">
        <v>25</v>
      </c>
      <c r="I253" t="s">
        <v>39</v>
      </c>
      <c r="J253" t="s">
        <v>34</v>
      </c>
    </row>
    <row r="254" spans="1:10">
      <c r="A254" t="s">
        <v>605</v>
      </c>
      <c r="B254" t="s">
        <v>606</v>
      </c>
      <c r="C254" t="s">
        <v>30</v>
      </c>
      <c r="D254" t="s">
        <v>31</v>
      </c>
      <c r="E254">
        <v>-31445</v>
      </c>
      <c r="F254" t="s">
        <v>23</v>
      </c>
      <c r="G254" t="s">
        <v>24</v>
      </c>
      <c r="H254" t="s">
        <v>33</v>
      </c>
      <c r="I254" t="s">
        <v>26</v>
      </c>
      <c r="J254" t="s">
        <v>34</v>
      </c>
    </row>
    <row r="255" spans="1:10">
      <c r="A255" t="s">
        <v>607</v>
      </c>
      <c r="B255" t="s">
        <v>608</v>
      </c>
      <c r="C255" t="s">
        <v>266</v>
      </c>
      <c r="D255" t="s">
        <v>73</v>
      </c>
      <c r="E255">
        <v>-66541</v>
      </c>
      <c r="F255" t="s">
        <v>74</v>
      </c>
      <c r="G255" t="s">
        <v>32</v>
      </c>
      <c r="H255" t="s">
        <v>25</v>
      </c>
      <c r="I255" t="s">
        <v>45</v>
      </c>
      <c r="J255" t="s">
        <v>48</v>
      </c>
    </row>
    <row r="256" spans="1:10">
      <c r="A256" t="s">
        <v>609</v>
      </c>
      <c r="B256" t="s">
        <v>159</v>
      </c>
      <c r="C256" t="s">
        <v>54</v>
      </c>
      <c r="E256">
        <v>-44987</v>
      </c>
      <c r="F256" t="s">
        <v>23</v>
      </c>
      <c r="G256" t="s">
        <v>24</v>
      </c>
      <c r="H256" t="s">
        <v>33</v>
      </c>
      <c r="I256" t="s">
        <v>26</v>
      </c>
      <c r="J256" t="s">
        <v>34</v>
      </c>
    </row>
    <row r="257" spans="1:10">
      <c r="A257" t="s">
        <v>610</v>
      </c>
      <c r="B257" t="s">
        <v>611</v>
      </c>
      <c r="C257" t="s">
        <v>54</v>
      </c>
      <c r="D257" t="s">
        <v>38</v>
      </c>
      <c r="E257">
        <v>-30708</v>
      </c>
      <c r="F257" t="s">
        <v>23</v>
      </c>
      <c r="G257" t="s">
        <v>32</v>
      </c>
      <c r="H257" t="s">
        <v>33</v>
      </c>
      <c r="I257" t="s">
        <v>39</v>
      </c>
      <c r="J257" t="s">
        <v>48</v>
      </c>
    </row>
    <row r="258" spans="1:10">
      <c r="A258" t="s">
        <v>612</v>
      </c>
      <c r="B258" t="s">
        <v>613</v>
      </c>
      <c r="C258" t="s">
        <v>143</v>
      </c>
      <c r="D258" t="s">
        <v>78</v>
      </c>
      <c r="E258">
        <v>-102153</v>
      </c>
      <c r="F258" t="s">
        <v>23</v>
      </c>
      <c r="G258" t="s">
        <v>32</v>
      </c>
      <c r="H258" t="s">
        <v>79</v>
      </c>
      <c r="I258" t="s">
        <v>26</v>
      </c>
      <c r="J258" t="s">
        <v>34</v>
      </c>
    </row>
    <row r="259" spans="1:10">
      <c r="A259" t="s">
        <v>614</v>
      </c>
      <c r="B259" t="s">
        <v>615</v>
      </c>
      <c r="C259" t="s">
        <v>616</v>
      </c>
      <c r="D259" t="s">
        <v>22</v>
      </c>
      <c r="E259">
        <v>-180183</v>
      </c>
      <c r="F259" t="s">
        <v>23</v>
      </c>
      <c r="G259" t="s">
        <v>24</v>
      </c>
      <c r="H259" t="s">
        <v>25</v>
      </c>
      <c r="I259" t="s">
        <v>39</v>
      </c>
      <c r="J259" t="s">
        <v>48</v>
      </c>
    </row>
    <row r="260" spans="1:10">
      <c r="A260" t="s">
        <v>617</v>
      </c>
      <c r="B260" t="s">
        <v>618</v>
      </c>
      <c r="C260" t="s">
        <v>619</v>
      </c>
      <c r="D260" t="s">
        <v>38</v>
      </c>
      <c r="E260">
        <v>-26340</v>
      </c>
      <c r="F260" t="s">
        <v>23</v>
      </c>
      <c r="G260" t="s">
        <v>32</v>
      </c>
      <c r="H260" t="s">
        <v>33</v>
      </c>
      <c r="I260" t="s">
        <v>26</v>
      </c>
      <c r="J260" t="s">
        <v>40</v>
      </c>
    </row>
    <row r="261" spans="1:10">
      <c r="A261" t="s">
        <v>620</v>
      </c>
      <c r="B261" t="s">
        <v>621</v>
      </c>
      <c r="C261" t="s">
        <v>57</v>
      </c>
      <c r="D261" t="s">
        <v>44</v>
      </c>
      <c r="E261">
        <v>-149688</v>
      </c>
      <c r="F261" t="s">
        <v>23</v>
      </c>
      <c r="G261" t="s">
        <v>24</v>
      </c>
      <c r="H261" t="s">
        <v>33</v>
      </c>
      <c r="I261" t="s">
        <v>26</v>
      </c>
      <c r="J261" t="s">
        <v>48</v>
      </c>
    </row>
    <row r="262" spans="1:10">
      <c r="A262" t="s">
        <v>622</v>
      </c>
      <c r="B262" t="s">
        <v>623</v>
      </c>
      <c r="C262" t="s">
        <v>218</v>
      </c>
      <c r="D262" t="s">
        <v>157</v>
      </c>
      <c r="E262">
        <v>686543</v>
      </c>
      <c r="F262" t="s">
        <v>62</v>
      </c>
      <c r="G262" t="s">
        <v>32</v>
      </c>
      <c r="H262" t="s">
        <v>25</v>
      </c>
      <c r="I262" t="s">
        <v>39</v>
      </c>
      <c r="J262" t="s">
        <v>40</v>
      </c>
    </row>
    <row r="263" spans="1:10">
      <c r="A263" t="s">
        <v>624</v>
      </c>
      <c r="B263" t="s">
        <v>625</v>
      </c>
      <c r="C263" t="s">
        <v>57</v>
      </c>
      <c r="D263" t="s">
        <v>44</v>
      </c>
      <c r="E263">
        <v>-83886</v>
      </c>
      <c r="F263" t="s">
        <v>23</v>
      </c>
      <c r="G263" t="s">
        <v>24</v>
      </c>
      <c r="H263" t="s">
        <v>33</v>
      </c>
      <c r="I263" t="s">
        <v>39</v>
      </c>
      <c r="J263" t="s">
        <v>27</v>
      </c>
    </row>
    <row r="264" spans="1:10">
      <c r="A264" t="s">
        <v>626</v>
      </c>
      <c r="B264" t="s">
        <v>627</v>
      </c>
      <c r="C264" t="s">
        <v>156</v>
      </c>
      <c r="D264" t="s">
        <v>157</v>
      </c>
      <c r="E264">
        <v>579384</v>
      </c>
      <c r="F264" t="s">
        <v>62</v>
      </c>
      <c r="G264" t="s">
        <v>32</v>
      </c>
      <c r="H264" t="s">
        <v>25</v>
      </c>
      <c r="I264" t="s">
        <v>26</v>
      </c>
      <c r="J264" t="s">
        <v>40</v>
      </c>
    </row>
    <row r="265" spans="1:10">
      <c r="A265" t="s">
        <v>628</v>
      </c>
      <c r="B265" t="s">
        <v>629</v>
      </c>
      <c r="C265" t="s">
        <v>106</v>
      </c>
      <c r="D265" t="s">
        <v>31</v>
      </c>
      <c r="E265">
        <v>-43668</v>
      </c>
      <c r="F265" t="s">
        <v>23</v>
      </c>
      <c r="G265" t="s">
        <v>24</v>
      </c>
      <c r="H265" t="s">
        <v>33</v>
      </c>
      <c r="I265" t="s">
        <v>45</v>
      </c>
      <c r="J265" t="s">
        <v>27</v>
      </c>
    </row>
    <row r="266" spans="1:10">
      <c r="A266" t="s">
        <v>630</v>
      </c>
      <c r="B266" t="s">
        <v>631</v>
      </c>
      <c r="C266" t="s">
        <v>54</v>
      </c>
      <c r="D266" t="s">
        <v>38</v>
      </c>
      <c r="E266">
        <v>-26331</v>
      </c>
      <c r="F266" t="s">
        <v>23</v>
      </c>
      <c r="G266" t="s">
        <v>32</v>
      </c>
      <c r="H266" t="s">
        <v>33</v>
      </c>
      <c r="I266" t="s">
        <v>26</v>
      </c>
      <c r="J266" t="s">
        <v>34</v>
      </c>
    </row>
    <row r="267" spans="1:10">
      <c r="A267" t="s">
        <v>632</v>
      </c>
      <c r="B267" t="s">
        <v>633</v>
      </c>
      <c r="C267" t="s">
        <v>100</v>
      </c>
      <c r="D267" t="s">
        <v>31</v>
      </c>
      <c r="E267">
        <v>-28525</v>
      </c>
      <c r="F267" t="s">
        <v>23</v>
      </c>
      <c r="G267" t="s">
        <v>32</v>
      </c>
      <c r="H267" t="s">
        <v>33</v>
      </c>
      <c r="I267" t="s">
        <v>45</v>
      </c>
      <c r="J267" t="s">
        <v>48</v>
      </c>
    </row>
    <row r="268" spans="1:10">
      <c r="A268" t="s">
        <v>634</v>
      </c>
      <c r="B268" t="s">
        <v>635</v>
      </c>
      <c r="C268" t="s">
        <v>116</v>
      </c>
      <c r="D268" t="s">
        <v>73</v>
      </c>
      <c r="E268">
        <v>-69537</v>
      </c>
      <c r="F268" t="s">
        <v>74</v>
      </c>
      <c r="G268" t="s">
        <v>24</v>
      </c>
      <c r="H268" t="s">
        <v>25</v>
      </c>
      <c r="I268" t="s">
        <v>26</v>
      </c>
      <c r="J268" t="s">
        <v>34</v>
      </c>
    </row>
    <row r="269" spans="1:10">
      <c r="A269" t="s">
        <v>636</v>
      </c>
      <c r="B269" t="s">
        <v>637</v>
      </c>
      <c r="C269" t="s">
        <v>310</v>
      </c>
      <c r="D269" t="s">
        <v>22</v>
      </c>
      <c r="E269">
        <v>-132733</v>
      </c>
      <c r="F269" t="s">
        <v>23</v>
      </c>
      <c r="G269" t="s">
        <v>24</v>
      </c>
      <c r="H269" t="s">
        <v>25</v>
      </c>
      <c r="I269" t="s">
        <v>26</v>
      </c>
      <c r="J269" t="s">
        <v>34</v>
      </c>
    </row>
    <row r="270" spans="1:10">
      <c r="A270" t="s">
        <v>638</v>
      </c>
      <c r="B270" t="s">
        <v>639</v>
      </c>
      <c r="C270" t="s">
        <v>66</v>
      </c>
      <c r="D270" t="s">
        <v>61</v>
      </c>
      <c r="E270">
        <v>-45724</v>
      </c>
      <c r="F270" t="s">
        <v>62</v>
      </c>
      <c r="G270" t="s">
        <v>24</v>
      </c>
      <c r="H270" t="s">
        <v>63</v>
      </c>
      <c r="I270" t="s">
        <v>39</v>
      </c>
      <c r="J270" t="s">
        <v>48</v>
      </c>
    </row>
    <row r="271" spans="1:10">
      <c r="A271" t="s">
        <v>640</v>
      </c>
      <c r="B271" t="s">
        <v>641</v>
      </c>
      <c r="C271" t="s">
        <v>271</v>
      </c>
      <c r="D271" t="s">
        <v>73</v>
      </c>
      <c r="E271">
        <v>-14929</v>
      </c>
      <c r="F271" t="s">
        <v>74</v>
      </c>
      <c r="G271" t="s">
        <v>24</v>
      </c>
      <c r="H271" t="s">
        <v>25</v>
      </c>
      <c r="I271" t="s">
        <v>45</v>
      </c>
      <c r="J271" t="s">
        <v>34</v>
      </c>
    </row>
    <row r="272" spans="1:10">
      <c r="A272" t="s">
        <v>642</v>
      </c>
      <c r="B272" t="s">
        <v>643</v>
      </c>
      <c r="C272" t="s">
        <v>66</v>
      </c>
      <c r="D272" t="s">
        <v>61</v>
      </c>
      <c r="E272">
        <v>-54353</v>
      </c>
      <c r="F272" t="s">
        <v>62</v>
      </c>
      <c r="G272" t="s">
        <v>32</v>
      </c>
      <c r="H272" t="s">
        <v>63</v>
      </c>
      <c r="I272" t="s">
        <v>45</v>
      </c>
      <c r="J272" t="s">
        <v>40</v>
      </c>
    </row>
    <row r="273" spans="1:10">
      <c r="A273" t="s">
        <v>644</v>
      </c>
      <c r="B273" t="s">
        <v>134</v>
      </c>
      <c r="C273" t="s">
        <v>174</v>
      </c>
      <c r="D273" t="s">
        <v>22</v>
      </c>
      <c r="E273">
        <v>-23377</v>
      </c>
      <c r="F273" t="s">
        <v>23</v>
      </c>
      <c r="G273" t="s">
        <v>32</v>
      </c>
      <c r="H273" t="s">
        <v>25</v>
      </c>
      <c r="I273" t="s">
        <v>26</v>
      </c>
      <c r="J273" t="s">
        <v>27</v>
      </c>
    </row>
    <row r="274" spans="1:10">
      <c r="A274" t="s">
        <v>645</v>
      </c>
      <c r="B274" t="s">
        <v>646</v>
      </c>
      <c r="C274" t="s">
        <v>215</v>
      </c>
      <c r="D274" t="s">
        <v>61</v>
      </c>
      <c r="E274">
        <v>-60630</v>
      </c>
      <c r="F274" t="s">
        <v>62</v>
      </c>
      <c r="G274" t="s">
        <v>24</v>
      </c>
      <c r="H274" t="s">
        <v>63</v>
      </c>
      <c r="I274" t="s">
        <v>26</v>
      </c>
      <c r="J274" t="s">
        <v>34</v>
      </c>
    </row>
    <row r="275" spans="1:10">
      <c r="A275" t="s">
        <v>647</v>
      </c>
      <c r="B275" t="s">
        <v>373</v>
      </c>
      <c r="C275" t="s">
        <v>60</v>
      </c>
      <c r="D275" t="s">
        <v>61</v>
      </c>
      <c r="E275">
        <v>-40935</v>
      </c>
      <c r="F275" t="s">
        <v>62</v>
      </c>
      <c r="G275" t="s">
        <v>32</v>
      </c>
      <c r="H275" t="s">
        <v>63</v>
      </c>
      <c r="I275" t="s">
        <v>26</v>
      </c>
      <c r="J275" t="s">
        <v>27</v>
      </c>
    </row>
    <row r="276" spans="1:10">
      <c r="A276" t="s">
        <v>648</v>
      </c>
      <c r="B276" t="s">
        <v>649</v>
      </c>
      <c r="C276" t="s">
        <v>116</v>
      </c>
      <c r="D276" t="s">
        <v>111</v>
      </c>
      <c r="E276">
        <v>-40660</v>
      </c>
      <c r="F276" t="s">
        <v>74</v>
      </c>
      <c r="G276" t="s">
        <v>32</v>
      </c>
      <c r="H276" t="s">
        <v>25</v>
      </c>
      <c r="I276" t="s">
        <v>39</v>
      </c>
      <c r="J276" t="s">
        <v>48</v>
      </c>
    </row>
    <row r="277" spans="1:10">
      <c r="A277" t="s">
        <v>650</v>
      </c>
      <c r="B277" t="s">
        <v>651</v>
      </c>
      <c r="C277" t="s">
        <v>72</v>
      </c>
      <c r="D277" t="s">
        <v>302</v>
      </c>
      <c r="E277">
        <v>-15956</v>
      </c>
      <c r="F277" t="s">
        <v>74</v>
      </c>
      <c r="G277" t="s">
        <v>24</v>
      </c>
      <c r="H277" t="s">
        <v>25</v>
      </c>
      <c r="I277" t="s">
        <v>26</v>
      </c>
      <c r="J277" t="s">
        <v>27</v>
      </c>
    </row>
    <row r="278" spans="1:10">
      <c r="A278" t="s">
        <v>652</v>
      </c>
      <c r="B278" t="s">
        <v>653</v>
      </c>
      <c r="C278" t="s">
        <v>215</v>
      </c>
      <c r="D278" t="s">
        <v>61</v>
      </c>
      <c r="E278">
        <v>-31639</v>
      </c>
      <c r="F278" t="s">
        <v>62</v>
      </c>
      <c r="G278" t="s">
        <v>24</v>
      </c>
      <c r="H278" t="s">
        <v>63</v>
      </c>
      <c r="I278" t="s">
        <v>39</v>
      </c>
      <c r="J278" t="s">
        <v>27</v>
      </c>
    </row>
    <row r="279" spans="1:10">
      <c r="A279" t="s">
        <v>654</v>
      </c>
      <c r="B279" t="s">
        <v>655</v>
      </c>
      <c r="C279" t="s">
        <v>215</v>
      </c>
      <c r="D279" t="s">
        <v>61</v>
      </c>
      <c r="E279">
        <v>-34469</v>
      </c>
      <c r="F279" t="s">
        <v>62</v>
      </c>
      <c r="G279" t="s">
        <v>24</v>
      </c>
      <c r="H279" t="s">
        <v>63</v>
      </c>
      <c r="I279" t="s">
        <v>26</v>
      </c>
      <c r="J279" t="s">
        <v>48</v>
      </c>
    </row>
    <row r="280" spans="1:10">
      <c r="A280" t="s">
        <v>656</v>
      </c>
      <c r="B280" t="s">
        <v>657</v>
      </c>
      <c r="C280" t="s">
        <v>215</v>
      </c>
      <c r="D280" t="s">
        <v>61</v>
      </c>
      <c r="E280">
        <v>-40075</v>
      </c>
      <c r="F280" t="s">
        <v>62</v>
      </c>
      <c r="G280" t="s">
        <v>24</v>
      </c>
      <c r="H280" t="s">
        <v>63</v>
      </c>
      <c r="I280" t="s">
        <v>39</v>
      </c>
      <c r="J280" t="s">
        <v>27</v>
      </c>
    </row>
    <row r="281" spans="1:10">
      <c r="A281" t="s">
        <v>658</v>
      </c>
      <c r="B281" t="s">
        <v>659</v>
      </c>
      <c r="C281" t="s">
        <v>616</v>
      </c>
      <c r="D281" t="s">
        <v>22</v>
      </c>
      <c r="E281">
        <v>-195728</v>
      </c>
      <c r="F281" t="s">
        <v>23</v>
      </c>
      <c r="G281" t="s">
        <v>24</v>
      </c>
      <c r="H281" t="s">
        <v>25</v>
      </c>
      <c r="I281" t="s">
        <v>45</v>
      </c>
      <c r="J281" t="s">
        <v>34</v>
      </c>
    </row>
    <row r="282" spans="1:10">
      <c r="A282" t="s">
        <v>660</v>
      </c>
      <c r="B282" t="s">
        <v>593</v>
      </c>
      <c r="C282" t="s">
        <v>66</v>
      </c>
      <c r="D282" t="s">
        <v>61</v>
      </c>
      <c r="E282">
        <v>-55581</v>
      </c>
      <c r="F282" t="s">
        <v>62</v>
      </c>
      <c r="G282" t="s">
        <v>24</v>
      </c>
      <c r="H282" t="s">
        <v>63</v>
      </c>
      <c r="I282" t="s">
        <v>39</v>
      </c>
      <c r="J282" t="s">
        <v>48</v>
      </c>
    </row>
    <row r="283" spans="1:10">
      <c r="A283" t="s">
        <v>661</v>
      </c>
      <c r="B283" t="s">
        <v>621</v>
      </c>
      <c r="C283" t="s">
        <v>77</v>
      </c>
      <c r="D283" t="s">
        <v>78</v>
      </c>
      <c r="E283">
        <v>-45279</v>
      </c>
      <c r="F283" t="s">
        <v>23</v>
      </c>
      <c r="G283" t="s">
        <v>32</v>
      </c>
      <c r="H283" t="s">
        <v>79</v>
      </c>
      <c r="I283" t="s">
        <v>26</v>
      </c>
      <c r="J283" t="s">
        <v>48</v>
      </c>
    </row>
    <row r="284" spans="1:10">
      <c r="A284" t="s">
        <v>662</v>
      </c>
      <c r="B284" t="s">
        <v>663</v>
      </c>
      <c r="C284" t="s">
        <v>77</v>
      </c>
      <c r="D284" t="s">
        <v>664</v>
      </c>
      <c r="E284">
        <v>-78680</v>
      </c>
      <c r="F284" t="s">
        <v>23</v>
      </c>
      <c r="G284" t="s">
        <v>24</v>
      </c>
      <c r="H284" t="s">
        <v>79</v>
      </c>
      <c r="I284" t="s">
        <v>26</v>
      </c>
      <c r="J284" t="s">
        <v>27</v>
      </c>
    </row>
    <row r="285" spans="1:10">
      <c r="A285" t="s">
        <v>665</v>
      </c>
      <c r="B285" t="s">
        <v>666</v>
      </c>
      <c r="C285" t="s">
        <v>305</v>
      </c>
      <c r="D285" t="s">
        <v>38</v>
      </c>
      <c r="E285">
        <v>-36850</v>
      </c>
      <c r="F285" t="s">
        <v>23</v>
      </c>
      <c r="G285" t="s">
        <v>32</v>
      </c>
      <c r="H285" t="s">
        <v>33</v>
      </c>
      <c r="I285" t="s">
        <v>26</v>
      </c>
      <c r="J285" t="s">
        <v>40</v>
      </c>
    </row>
    <row r="286" spans="1:10">
      <c r="A286" t="s">
        <v>667</v>
      </c>
      <c r="B286" t="s">
        <v>668</v>
      </c>
      <c r="C286" t="s">
        <v>103</v>
      </c>
      <c r="D286" t="s">
        <v>78</v>
      </c>
      <c r="E286">
        <v>-30917</v>
      </c>
      <c r="F286" t="s">
        <v>23</v>
      </c>
      <c r="G286" t="s">
        <v>32</v>
      </c>
      <c r="H286" t="s">
        <v>79</v>
      </c>
      <c r="I286" t="s">
        <v>45</v>
      </c>
      <c r="J286" t="s">
        <v>40</v>
      </c>
    </row>
    <row r="287" spans="1:10">
      <c r="A287" t="s">
        <v>669</v>
      </c>
      <c r="B287" t="s">
        <v>670</v>
      </c>
      <c r="C287" t="s">
        <v>60</v>
      </c>
      <c r="D287" t="s">
        <v>61</v>
      </c>
      <c r="E287">
        <v>-62879</v>
      </c>
      <c r="F287" t="s">
        <v>62</v>
      </c>
      <c r="G287" t="s">
        <v>32</v>
      </c>
      <c r="H287" t="s">
        <v>63</v>
      </c>
      <c r="I287" t="s">
        <v>39</v>
      </c>
      <c r="J287" t="s">
        <v>40</v>
      </c>
    </row>
    <row r="288" spans="1:10">
      <c r="A288" t="s">
        <v>671</v>
      </c>
      <c r="B288" t="s">
        <v>608</v>
      </c>
      <c r="C288" t="s">
        <v>69</v>
      </c>
      <c r="D288" t="s">
        <v>38</v>
      </c>
      <c r="E288">
        <v>-50456</v>
      </c>
      <c r="F288" t="s">
        <v>23</v>
      </c>
      <c r="G288" t="s">
        <v>24</v>
      </c>
      <c r="H288" t="s">
        <v>33</v>
      </c>
      <c r="I288" t="s">
        <v>45</v>
      </c>
      <c r="J288" t="s">
        <v>48</v>
      </c>
    </row>
    <row r="289" spans="1:10">
      <c r="A289" t="s">
        <v>672</v>
      </c>
      <c r="B289" t="s">
        <v>625</v>
      </c>
      <c r="C289" t="s">
        <v>66</v>
      </c>
      <c r="D289" t="s">
        <v>61</v>
      </c>
      <c r="E289">
        <v>-26360</v>
      </c>
      <c r="F289" t="s">
        <v>62</v>
      </c>
      <c r="G289" t="s">
        <v>32</v>
      </c>
      <c r="H289" t="s">
        <v>63</v>
      </c>
      <c r="I289" t="s">
        <v>39</v>
      </c>
      <c r="J289" t="s">
        <v>27</v>
      </c>
    </row>
    <row r="290" spans="1:10">
      <c r="A290" t="s">
        <v>673</v>
      </c>
      <c r="B290" t="s">
        <v>674</v>
      </c>
      <c r="C290" t="s">
        <v>106</v>
      </c>
      <c r="D290" t="s">
        <v>31</v>
      </c>
      <c r="E290">
        <v>-23686</v>
      </c>
      <c r="F290" t="s">
        <v>23</v>
      </c>
      <c r="G290" t="s">
        <v>32</v>
      </c>
      <c r="H290" t="s">
        <v>33</v>
      </c>
      <c r="I290" t="s">
        <v>26</v>
      </c>
      <c r="J290" t="s">
        <v>48</v>
      </c>
    </row>
    <row r="291" spans="1:10">
      <c r="A291" t="s">
        <v>675</v>
      </c>
      <c r="B291" t="s">
        <v>335</v>
      </c>
      <c r="C291" t="s">
        <v>51</v>
      </c>
      <c r="D291" t="s">
        <v>31</v>
      </c>
      <c r="E291">
        <v>-13722</v>
      </c>
      <c r="F291" t="s">
        <v>23</v>
      </c>
      <c r="G291" t="s">
        <v>32</v>
      </c>
      <c r="H291" t="s">
        <v>33</v>
      </c>
      <c r="I291" t="s">
        <v>39</v>
      </c>
      <c r="J291" t="s">
        <v>40</v>
      </c>
    </row>
    <row r="292" spans="1:10">
      <c r="A292" t="s">
        <v>676</v>
      </c>
      <c r="B292" t="s">
        <v>373</v>
      </c>
      <c r="C292" t="s">
        <v>439</v>
      </c>
      <c r="D292" t="s">
        <v>440</v>
      </c>
      <c r="E292">
        <v>-137407</v>
      </c>
      <c r="F292" t="s">
        <v>23</v>
      </c>
      <c r="G292" t="s">
        <v>24</v>
      </c>
      <c r="H292" t="s">
        <v>33</v>
      </c>
      <c r="I292" t="s">
        <v>26</v>
      </c>
      <c r="J292" t="s">
        <v>27</v>
      </c>
    </row>
    <row r="293" spans="1:10">
      <c r="A293" t="s">
        <v>677</v>
      </c>
      <c r="B293" t="s">
        <v>678</v>
      </c>
      <c r="C293" t="s">
        <v>106</v>
      </c>
      <c r="D293" t="s">
        <v>31</v>
      </c>
      <c r="E293">
        <v>-18284</v>
      </c>
      <c r="F293" t="s">
        <v>23</v>
      </c>
      <c r="G293" t="s">
        <v>32</v>
      </c>
      <c r="H293" t="s">
        <v>33</v>
      </c>
      <c r="I293" t="s">
        <v>26</v>
      </c>
      <c r="J293" t="s">
        <v>34</v>
      </c>
    </row>
    <row r="294" spans="1:10">
      <c r="A294" t="s">
        <v>679</v>
      </c>
      <c r="B294" t="s">
        <v>680</v>
      </c>
      <c r="C294" t="s">
        <v>143</v>
      </c>
      <c r="D294" t="s">
        <v>78</v>
      </c>
      <c r="E294">
        <v>-106845</v>
      </c>
      <c r="F294" t="s">
        <v>23</v>
      </c>
      <c r="G294" t="s">
        <v>32</v>
      </c>
      <c r="H294" t="s">
        <v>79</v>
      </c>
      <c r="I294" t="s">
        <v>26</v>
      </c>
      <c r="J294" t="s">
        <v>40</v>
      </c>
    </row>
    <row r="295" spans="1:10">
      <c r="A295" t="s">
        <v>681</v>
      </c>
      <c r="B295" t="s">
        <v>682</v>
      </c>
      <c r="C295" t="s">
        <v>218</v>
      </c>
      <c r="D295" t="s">
        <v>157</v>
      </c>
      <c r="E295">
        <v>643866</v>
      </c>
      <c r="F295" t="s">
        <v>62</v>
      </c>
      <c r="G295" t="s">
        <v>32</v>
      </c>
      <c r="H295" t="s">
        <v>25</v>
      </c>
      <c r="I295" t="s">
        <v>45</v>
      </c>
      <c r="J295" t="s">
        <v>48</v>
      </c>
    </row>
    <row r="296" spans="1:10">
      <c r="A296" t="s">
        <v>683</v>
      </c>
      <c r="B296" t="s">
        <v>684</v>
      </c>
      <c r="C296" t="s">
        <v>103</v>
      </c>
      <c r="D296" t="s">
        <v>371</v>
      </c>
      <c r="E296">
        <v>-117324</v>
      </c>
      <c r="F296" t="s">
        <v>23</v>
      </c>
      <c r="G296" t="s">
        <v>24</v>
      </c>
      <c r="H296" t="s">
        <v>79</v>
      </c>
      <c r="I296" t="s">
        <v>39</v>
      </c>
      <c r="J296" t="s">
        <v>27</v>
      </c>
    </row>
    <row r="297" spans="1:10">
      <c r="A297" t="s">
        <v>685</v>
      </c>
      <c r="B297" t="s">
        <v>686</v>
      </c>
      <c r="C297" t="s">
        <v>687</v>
      </c>
      <c r="D297" t="s">
        <v>44</v>
      </c>
      <c r="E297">
        <v>-175147</v>
      </c>
      <c r="F297" t="s">
        <v>23</v>
      </c>
      <c r="G297" t="s">
        <v>32</v>
      </c>
      <c r="H297" t="s">
        <v>33</v>
      </c>
      <c r="I297" t="s">
        <v>39</v>
      </c>
      <c r="J297" t="s">
        <v>40</v>
      </c>
    </row>
    <row r="298" spans="1:10">
      <c r="A298" t="s">
        <v>688</v>
      </c>
      <c r="B298" t="s">
        <v>689</v>
      </c>
      <c r="C298" t="s">
        <v>271</v>
      </c>
      <c r="D298" t="s">
        <v>73</v>
      </c>
      <c r="E298">
        <v>-23509</v>
      </c>
      <c r="F298" t="s">
        <v>74</v>
      </c>
      <c r="G298" t="s">
        <v>24</v>
      </c>
      <c r="H298" t="s">
        <v>25</v>
      </c>
      <c r="I298" t="s">
        <v>45</v>
      </c>
      <c r="J298" t="s">
        <v>40</v>
      </c>
    </row>
    <row r="299" spans="1:10">
      <c r="A299" t="s">
        <v>690</v>
      </c>
      <c r="B299" t="s">
        <v>691</v>
      </c>
      <c r="C299" t="s">
        <v>90</v>
      </c>
      <c r="D299" t="s">
        <v>302</v>
      </c>
      <c r="E299">
        <v>-9267</v>
      </c>
      <c r="F299" t="s">
        <v>74</v>
      </c>
      <c r="G299" t="s">
        <v>32</v>
      </c>
      <c r="H299" t="s">
        <v>25</v>
      </c>
      <c r="I299" t="s">
        <v>26</v>
      </c>
      <c r="J299" t="s">
        <v>34</v>
      </c>
    </row>
    <row r="300" spans="1:10">
      <c r="A300" t="s">
        <v>692</v>
      </c>
      <c r="B300" t="s">
        <v>693</v>
      </c>
      <c r="C300" t="s">
        <v>143</v>
      </c>
      <c r="D300" t="s">
        <v>78</v>
      </c>
      <c r="E300">
        <v>-71374</v>
      </c>
      <c r="F300" t="s">
        <v>23</v>
      </c>
      <c r="G300" t="s">
        <v>24</v>
      </c>
      <c r="H300" t="s">
        <v>79</v>
      </c>
      <c r="I300" t="s">
        <v>45</v>
      </c>
      <c r="J300" t="s">
        <v>27</v>
      </c>
    </row>
    <row r="301" spans="1:10">
      <c r="A301" t="s">
        <v>694</v>
      </c>
      <c r="B301" t="s">
        <v>695</v>
      </c>
      <c r="C301" t="s">
        <v>30</v>
      </c>
      <c r="E301">
        <v>-18865</v>
      </c>
      <c r="F301" t="s">
        <v>23</v>
      </c>
      <c r="G301" t="s">
        <v>32</v>
      </c>
      <c r="H301" t="s">
        <v>33</v>
      </c>
      <c r="I301" t="s">
        <v>39</v>
      </c>
      <c r="J301" t="s">
        <v>27</v>
      </c>
    </row>
    <row r="302" spans="1:10">
      <c r="A302" t="s">
        <v>696</v>
      </c>
      <c r="B302" t="s">
        <v>697</v>
      </c>
      <c r="C302" t="s">
        <v>90</v>
      </c>
      <c r="D302" t="s">
        <v>73</v>
      </c>
      <c r="E302">
        <v>-37984</v>
      </c>
      <c r="F302" t="s">
        <v>74</v>
      </c>
      <c r="G302" t="s">
        <v>32</v>
      </c>
      <c r="H302" t="s">
        <v>25</v>
      </c>
      <c r="I302" t="s">
        <v>45</v>
      </c>
      <c r="J302" t="s">
        <v>34</v>
      </c>
    </row>
    <row r="303" spans="1:10">
      <c r="A303" t="s">
        <v>698</v>
      </c>
      <c r="B303" t="s">
        <v>699</v>
      </c>
      <c r="C303" t="s">
        <v>192</v>
      </c>
      <c r="D303" t="s">
        <v>22</v>
      </c>
      <c r="E303">
        <v>-168904</v>
      </c>
      <c r="F303" t="s">
        <v>23</v>
      </c>
      <c r="G303" t="s">
        <v>24</v>
      </c>
      <c r="H303" t="s">
        <v>25</v>
      </c>
      <c r="I303" t="s">
        <v>45</v>
      </c>
      <c r="J303" t="s">
        <v>48</v>
      </c>
    </row>
    <row r="304" spans="1:10">
      <c r="A304" t="s">
        <v>700</v>
      </c>
      <c r="B304" t="s">
        <v>701</v>
      </c>
      <c r="C304" t="s">
        <v>192</v>
      </c>
      <c r="D304" t="s">
        <v>331</v>
      </c>
      <c r="E304">
        <v>-56147</v>
      </c>
      <c r="F304" t="s">
        <v>23</v>
      </c>
      <c r="G304" t="s">
        <v>24</v>
      </c>
      <c r="H304" t="s">
        <v>25</v>
      </c>
      <c r="I304" t="s">
        <v>26</v>
      </c>
      <c r="J304" t="s">
        <v>48</v>
      </c>
    </row>
    <row r="305" spans="1:10">
      <c r="A305" t="s">
        <v>702</v>
      </c>
      <c r="B305" t="s">
        <v>703</v>
      </c>
      <c r="C305" t="s">
        <v>271</v>
      </c>
      <c r="D305" t="s">
        <v>73</v>
      </c>
      <c r="E305">
        <v>-28815</v>
      </c>
      <c r="F305" t="s">
        <v>74</v>
      </c>
      <c r="G305" t="s">
        <v>32</v>
      </c>
      <c r="H305" t="s">
        <v>25</v>
      </c>
      <c r="I305" t="s">
        <v>39</v>
      </c>
      <c r="J305" t="s">
        <v>34</v>
      </c>
    </row>
    <row r="306" spans="1:10">
      <c r="A306" t="s">
        <v>704</v>
      </c>
      <c r="B306" t="s">
        <v>705</v>
      </c>
      <c r="C306" t="s">
        <v>30</v>
      </c>
      <c r="D306" t="s">
        <v>31</v>
      </c>
      <c r="E306">
        <v>-29925</v>
      </c>
      <c r="F306" t="s">
        <v>23</v>
      </c>
      <c r="G306" t="s">
        <v>32</v>
      </c>
      <c r="H306" t="s">
        <v>33</v>
      </c>
      <c r="I306" t="s">
        <v>26</v>
      </c>
      <c r="J306" t="s">
        <v>40</v>
      </c>
    </row>
    <row r="307" spans="1:10">
      <c r="A307" t="s">
        <v>706</v>
      </c>
      <c r="B307" t="s">
        <v>689</v>
      </c>
      <c r="C307" t="s">
        <v>37</v>
      </c>
      <c r="D307" t="s">
        <v>38</v>
      </c>
      <c r="E307">
        <v>-12470</v>
      </c>
      <c r="F307" t="s">
        <v>23</v>
      </c>
      <c r="G307" t="s">
        <v>32</v>
      </c>
      <c r="H307" t="s">
        <v>33</v>
      </c>
      <c r="I307" t="s">
        <v>45</v>
      </c>
      <c r="J307" t="s">
        <v>40</v>
      </c>
    </row>
    <row r="308" spans="1:10">
      <c r="A308" t="s">
        <v>707</v>
      </c>
      <c r="B308" t="s">
        <v>708</v>
      </c>
      <c r="C308" t="s">
        <v>93</v>
      </c>
      <c r="D308" t="s">
        <v>73</v>
      </c>
      <c r="E308">
        <v>-52383</v>
      </c>
      <c r="F308" t="s">
        <v>74</v>
      </c>
      <c r="G308" t="s">
        <v>32</v>
      </c>
      <c r="H308" t="s">
        <v>25</v>
      </c>
      <c r="I308" t="s">
        <v>45</v>
      </c>
      <c r="J308" t="s">
        <v>27</v>
      </c>
    </row>
    <row r="309" spans="1:10">
      <c r="A309" t="s">
        <v>709</v>
      </c>
      <c r="B309" t="s">
        <v>710</v>
      </c>
      <c r="C309" t="s">
        <v>616</v>
      </c>
      <c r="D309" t="s">
        <v>22</v>
      </c>
      <c r="E309">
        <v>-52135</v>
      </c>
      <c r="F309" t="s">
        <v>23</v>
      </c>
      <c r="G309" t="s">
        <v>24</v>
      </c>
      <c r="H309" t="s">
        <v>25</v>
      </c>
      <c r="I309" t="s">
        <v>26</v>
      </c>
      <c r="J309" t="s">
        <v>27</v>
      </c>
    </row>
    <row r="310" spans="1:10">
      <c r="A310" t="s">
        <v>711</v>
      </c>
      <c r="B310" t="s">
        <v>547</v>
      </c>
      <c r="C310" t="s">
        <v>60</v>
      </c>
      <c r="D310" t="s">
        <v>61</v>
      </c>
      <c r="E310">
        <v>-31414</v>
      </c>
      <c r="F310" t="s">
        <v>62</v>
      </c>
      <c r="G310" t="s">
        <v>32</v>
      </c>
      <c r="H310" t="s">
        <v>63</v>
      </c>
      <c r="I310" t="s">
        <v>26</v>
      </c>
      <c r="J310" t="s">
        <v>34</v>
      </c>
    </row>
    <row r="311" spans="1:10">
      <c r="A311" t="s">
        <v>712</v>
      </c>
      <c r="B311" t="s">
        <v>280</v>
      </c>
      <c r="C311" t="s">
        <v>310</v>
      </c>
      <c r="D311" t="s">
        <v>22</v>
      </c>
      <c r="E311">
        <v>-139812</v>
      </c>
      <c r="F311" t="s">
        <v>23</v>
      </c>
      <c r="G311" t="s">
        <v>24</v>
      </c>
      <c r="H311" t="s">
        <v>25</v>
      </c>
      <c r="I311" t="s">
        <v>39</v>
      </c>
      <c r="J311" t="s">
        <v>48</v>
      </c>
    </row>
    <row r="312" spans="1:10">
      <c r="A312" t="s">
        <v>713</v>
      </c>
      <c r="B312" t="s">
        <v>714</v>
      </c>
      <c r="C312" t="s">
        <v>77</v>
      </c>
      <c r="D312" t="s">
        <v>78</v>
      </c>
      <c r="E312">
        <v>-54596</v>
      </c>
      <c r="F312" t="s">
        <v>23</v>
      </c>
      <c r="G312" t="s">
        <v>32</v>
      </c>
      <c r="H312" t="s">
        <v>79</v>
      </c>
      <c r="I312" t="s">
        <v>26</v>
      </c>
      <c r="J312" t="s">
        <v>34</v>
      </c>
    </row>
    <row r="313" spans="1:10">
      <c r="A313" t="s">
        <v>715</v>
      </c>
      <c r="B313" t="s">
        <v>92</v>
      </c>
      <c r="C313" t="s">
        <v>30</v>
      </c>
      <c r="D313" t="s">
        <v>31</v>
      </c>
      <c r="E313">
        <v>-36385</v>
      </c>
      <c r="F313" t="s">
        <v>23</v>
      </c>
      <c r="G313" t="s">
        <v>24</v>
      </c>
      <c r="H313" t="s">
        <v>33</v>
      </c>
      <c r="I313" t="s">
        <v>26</v>
      </c>
      <c r="J313" t="s">
        <v>27</v>
      </c>
    </row>
    <row r="314" spans="1:10">
      <c r="A314" t="s">
        <v>716</v>
      </c>
      <c r="B314" t="s">
        <v>717</v>
      </c>
      <c r="C314" t="s">
        <v>305</v>
      </c>
      <c r="D314" t="s">
        <v>38</v>
      </c>
      <c r="E314">
        <v>-28218</v>
      </c>
      <c r="F314" t="s">
        <v>23</v>
      </c>
      <c r="G314" t="s">
        <v>24</v>
      </c>
      <c r="H314" t="s">
        <v>33</v>
      </c>
      <c r="I314" t="s">
        <v>39</v>
      </c>
      <c r="J314" t="s">
        <v>48</v>
      </c>
    </row>
    <row r="315" spans="1:10">
      <c r="A315" t="s">
        <v>718</v>
      </c>
      <c r="B315" t="s">
        <v>719</v>
      </c>
      <c r="C315" t="s">
        <v>77</v>
      </c>
      <c r="D315" t="s">
        <v>78</v>
      </c>
      <c r="E315">
        <v>-26294</v>
      </c>
      <c r="F315" t="s">
        <v>23</v>
      </c>
      <c r="G315" t="s">
        <v>32</v>
      </c>
      <c r="H315" t="s">
        <v>79</v>
      </c>
      <c r="I315" t="s">
        <v>39</v>
      </c>
      <c r="J315" t="s">
        <v>40</v>
      </c>
    </row>
    <row r="316" spans="1:10">
      <c r="A316" t="s">
        <v>720</v>
      </c>
      <c r="B316" t="s">
        <v>721</v>
      </c>
      <c r="C316" t="s">
        <v>100</v>
      </c>
      <c r="E316">
        <v>-43388</v>
      </c>
      <c r="F316" t="s">
        <v>23</v>
      </c>
      <c r="G316" t="s">
        <v>24</v>
      </c>
      <c r="H316" t="s">
        <v>33</v>
      </c>
      <c r="I316" t="s">
        <v>39</v>
      </c>
      <c r="J316" t="s">
        <v>40</v>
      </c>
    </row>
    <row r="317" spans="1:10">
      <c r="A317" t="s">
        <v>722</v>
      </c>
      <c r="B317" t="s">
        <v>723</v>
      </c>
      <c r="C317" t="s">
        <v>202</v>
      </c>
      <c r="D317" t="s">
        <v>331</v>
      </c>
      <c r="E317">
        <v>-94511</v>
      </c>
      <c r="F317" t="s">
        <v>23</v>
      </c>
      <c r="G317" t="s">
        <v>32</v>
      </c>
      <c r="H317" t="s">
        <v>25</v>
      </c>
      <c r="I317" t="s">
        <v>39</v>
      </c>
      <c r="J317" t="s">
        <v>34</v>
      </c>
    </row>
    <row r="318" spans="1:10">
      <c r="A318" t="s">
        <v>724</v>
      </c>
      <c r="B318" t="s">
        <v>412</v>
      </c>
      <c r="C318" t="s">
        <v>616</v>
      </c>
      <c r="D318" t="s">
        <v>22</v>
      </c>
      <c r="E318">
        <v>-38946</v>
      </c>
      <c r="F318" t="s">
        <v>23</v>
      </c>
      <c r="G318" t="s">
        <v>32</v>
      </c>
      <c r="H318" t="s">
        <v>25</v>
      </c>
      <c r="I318" t="s">
        <v>39</v>
      </c>
      <c r="J318" t="s">
        <v>48</v>
      </c>
    </row>
    <row r="319" spans="1:10">
      <c r="A319" t="s">
        <v>725</v>
      </c>
      <c r="B319" t="s">
        <v>621</v>
      </c>
      <c r="C319" t="s">
        <v>224</v>
      </c>
      <c r="E319">
        <v>-49517</v>
      </c>
      <c r="F319" t="s">
        <v>23</v>
      </c>
      <c r="G319" t="s">
        <v>32</v>
      </c>
      <c r="H319" t="s">
        <v>79</v>
      </c>
      <c r="I319" t="s">
        <v>26</v>
      </c>
      <c r="J319" t="s">
        <v>48</v>
      </c>
    </row>
    <row r="320" spans="1:10">
      <c r="A320" t="s">
        <v>726</v>
      </c>
      <c r="B320" t="s">
        <v>727</v>
      </c>
      <c r="C320" t="s">
        <v>616</v>
      </c>
      <c r="D320" t="s">
        <v>22</v>
      </c>
      <c r="E320">
        <v>-56336</v>
      </c>
      <c r="F320" t="s">
        <v>23</v>
      </c>
      <c r="G320" t="s">
        <v>32</v>
      </c>
      <c r="H320" t="s">
        <v>25</v>
      </c>
      <c r="I320" t="s">
        <v>26</v>
      </c>
      <c r="J320" t="s">
        <v>40</v>
      </c>
    </row>
    <row r="321" spans="1:10">
      <c r="A321" t="s">
        <v>728</v>
      </c>
      <c r="B321" t="s">
        <v>482</v>
      </c>
      <c r="C321" t="s">
        <v>293</v>
      </c>
      <c r="D321" t="s">
        <v>157</v>
      </c>
      <c r="E321">
        <v>630023</v>
      </c>
      <c r="F321" t="s">
        <v>62</v>
      </c>
      <c r="G321" t="s">
        <v>32</v>
      </c>
      <c r="H321" t="s">
        <v>25</v>
      </c>
      <c r="I321" t="s">
        <v>45</v>
      </c>
      <c r="J321" t="s">
        <v>40</v>
      </c>
    </row>
    <row r="322" spans="1:10">
      <c r="A322" t="s">
        <v>729</v>
      </c>
      <c r="B322" t="s">
        <v>730</v>
      </c>
      <c r="C322" t="s">
        <v>100</v>
      </c>
      <c r="E322">
        <v>-33780</v>
      </c>
      <c r="F322" t="s">
        <v>23</v>
      </c>
      <c r="G322" t="s">
        <v>32</v>
      </c>
      <c r="H322" t="s">
        <v>33</v>
      </c>
      <c r="I322" t="s">
        <v>39</v>
      </c>
      <c r="J322" t="s">
        <v>48</v>
      </c>
    </row>
    <row r="323" spans="1:10">
      <c r="A323" t="s">
        <v>731</v>
      </c>
      <c r="B323" t="s">
        <v>236</v>
      </c>
      <c r="C323" t="s">
        <v>266</v>
      </c>
      <c r="D323" t="s">
        <v>302</v>
      </c>
      <c r="E323">
        <v>-23300</v>
      </c>
      <c r="F323" t="s">
        <v>74</v>
      </c>
      <c r="G323" t="s">
        <v>32</v>
      </c>
      <c r="H323" t="s">
        <v>25</v>
      </c>
      <c r="I323" t="s">
        <v>45</v>
      </c>
      <c r="J323" t="s">
        <v>34</v>
      </c>
    </row>
    <row r="324" spans="1:10">
      <c r="A324" t="s">
        <v>732</v>
      </c>
      <c r="B324" t="s">
        <v>733</v>
      </c>
      <c r="C324" t="s">
        <v>66</v>
      </c>
      <c r="D324" t="s">
        <v>61</v>
      </c>
      <c r="E324">
        <v>-58510</v>
      </c>
      <c r="F324" t="s">
        <v>62</v>
      </c>
      <c r="G324" t="s">
        <v>32</v>
      </c>
      <c r="H324" t="s">
        <v>63</v>
      </c>
      <c r="I324" t="s">
        <v>26</v>
      </c>
      <c r="J324" t="s">
        <v>48</v>
      </c>
    </row>
    <row r="325" spans="1:10">
      <c r="A325" t="s">
        <v>734</v>
      </c>
      <c r="B325" t="s">
        <v>735</v>
      </c>
      <c r="C325" t="s">
        <v>21</v>
      </c>
      <c r="D325" t="s">
        <v>22</v>
      </c>
      <c r="E325">
        <v>-177932</v>
      </c>
      <c r="F325" t="s">
        <v>23</v>
      </c>
      <c r="G325" t="s">
        <v>32</v>
      </c>
      <c r="H325" t="s">
        <v>25</v>
      </c>
      <c r="I325" t="s">
        <v>39</v>
      </c>
      <c r="J325" t="s">
        <v>34</v>
      </c>
    </row>
    <row r="326" spans="1:10">
      <c r="A326" t="s">
        <v>736</v>
      </c>
      <c r="B326" t="s">
        <v>737</v>
      </c>
      <c r="C326" t="s">
        <v>51</v>
      </c>
      <c r="D326" t="s">
        <v>31</v>
      </c>
      <c r="E326">
        <v>-44480</v>
      </c>
      <c r="F326" t="s">
        <v>23</v>
      </c>
      <c r="G326" t="s">
        <v>24</v>
      </c>
      <c r="H326" t="s">
        <v>33</v>
      </c>
      <c r="I326" t="s">
        <v>26</v>
      </c>
      <c r="J326" t="s">
        <v>27</v>
      </c>
    </row>
    <row r="327" spans="1:10">
      <c r="A327" t="s">
        <v>738</v>
      </c>
      <c r="B327" t="s">
        <v>739</v>
      </c>
      <c r="C327" t="s">
        <v>290</v>
      </c>
      <c r="D327" t="s">
        <v>440</v>
      </c>
      <c r="E327">
        <v>-98709</v>
      </c>
      <c r="F327" t="s">
        <v>23</v>
      </c>
      <c r="G327" t="s">
        <v>24</v>
      </c>
      <c r="H327" t="s">
        <v>33</v>
      </c>
      <c r="I327" t="s">
        <v>39</v>
      </c>
      <c r="J327" t="s">
        <v>48</v>
      </c>
    </row>
    <row r="328" spans="1:10">
      <c r="A328" t="s">
        <v>740</v>
      </c>
      <c r="B328" t="s">
        <v>741</v>
      </c>
      <c r="C328" t="s">
        <v>215</v>
      </c>
      <c r="D328" t="s">
        <v>61</v>
      </c>
      <c r="E328">
        <v>-50930</v>
      </c>
      <c r="F328" t="s">
        <v>62</v>
      </c>
      <c r="G328" t="s">
        <v>32</v>
      </c>
      <c r="H328" t="s">
        <v>63</v>
      </c>
      <c r="I328" t="s">
        <v>26</v>
      </c>
      <c r="J328" t="s">
        <v>40</v>
      </c>
    </row>
    <row r="329" spans="1:10">
      <c r="A329" t="s">
        <v>742</v>
      </c>
      <c r="B329" t="s">
        <v>743</v>
      </c>
      <c r="C329" t="s">
        <v>166</v>
      </c>
      <c r="D329" t="s">
        <v>31</v>
      </c>
      <c r="E329">
        <v>-8644</v>
      </c>
      <c r="F329" t="s">
        <v>23</v>
      </c>
      <c r="G329" t="s">
        <v>32</v>
      </c>
      <c r="H329" t="s">
        <v>33</v>
      </c>
      <c r="I329" t="s">
        <v>45</v>
      </c>
      <c r="J329" t="s">
        <v>40</v>
      </c>
    </row>
    <row r="330" spans="1:10">
      <c r="A330" t="s">
        <v>744</v>
      </c>
      <c r="B330" t="s">
        <v>745</v>
      </c>
      <c r="C330" t="s">
        <v>100</v>
      </c>
      <c r="D330" t="s">
        <v>31</v>
      </c>
      <c r="E330">
        <v>-17789</v>
      </c>
      <c r="F330" t="s">
        <v>23</v>
      </c>
      <c r="G330" t="s">
        <v>32</v>
      </c>
      <c r="H330" t="s">
        <v>33</v>
      </c>
      <c r="I330" t="s">
        <v>39</v>
      </c>
      <c r="J330" t="s">
        <v>34</v>
      </c>
    </row>
    <row r="331" spans="1:10">
      <c r="A331" t="s">
        <v>746</v>
      </c>
      <c r="B331" t="s">
        <v>747</v>
      </c>
      <c r="C331" t="s">
        <v>161</v>
      </c>
      <c r="D331" t="s">
        <v>22</v>
      </c>
      <c r="E331">
        <v>-85215</v>
      </c>
      <c r="F331" t="s">
        <v>23</v>
      </c>
      <c r="G331" t="s">
        <v>32</v>
      </c>
      <c r="H331" t="s">
        <v>25</v>
      </c>
      <c r="I331" t="s">
        <v>39</v>
      </c>
      <c r="J331" t="s">
        <v>27</v>
      </c>
    </row>
    <row r="332" spans="1:10">
      <c r="A332" t="s">
        <v>748</v>
      </c>
      <c r="B332" t="s">
        <v>749</v>
      </c>
      <c r="C332" t="s">
        <v>143</v>
      </c>
      <c r="D332" t="s">
        <v>78</v>
      </c>
      <c r="E332">
        <v>-51199</v>
      </c>
      <c r="F332" t="s">
        <v>23</v>
      </c>
      <c r="G332" t="s">
        <v>32</v>
      </c>
      <c r="H332" t="s">
        <v>79</v>
      </c>
      <c r="I332" t="s">
        <v>39</v>
      </c>
      <c r="J332" t="s">
        <v>40</v>
      </c>
    </row>
    <row r="333" spans="1:10">
      <c r="A333" t="s">
        <v>750</v>
      </c>
      <c r="B333" t="s">
        <v>751</v>
      </c>
      <c r="C333" t="s">
        <v>93</v>
      </c>
      <c r="D333" t="s">
        <v>73</v>
      </c>
      <c r="E333">
        <v>-23728</v>
      </c>
      <c r="F333" t="s">
        <v>74</v>
      </c>
      <c r="G333" t="s">
        <v>32</v>
      </c>
      <c r="H333" t="s">
        <v>25</v>
      </c>
      <c r="I333" t="s">
        <v>39</v>
      </c>
      <c r="J333" t="s">
        <v>27</v>
      </c>
    </row>
    <row r="334" spans="1:10">
      <c r="A334" t="s">
        <v>752</v>
      </c>
      <c r="B334" t="s">
        <v>653</v>
      </c>
      <c r="C334" t="s">
        <v>37</v>
      </c>
      <c r="D334" t="s">
        <v>38</v>
      </c>
      <c r="E334">
        <v>-34942</v>
      </c>
      <c r="F334" t="s">
        <v>23</v>
      </c>
      <c r="G334" t="s">
        <v>32</v>
      </c>
      <c r="H334" t="s">
        <v>33</v>
      </c>
      <c r="I334" t="s">
        <v>39</v>
      </c>
      <c r="J334" t="s">
        <v>27</v>
      </c>
    </row>
    <row r="335" spans="1:10">
      <c r="A335" t="s">
        <v>753</v>
      </c>
      <c r="B335" t="s">
        <v>754</v>
      </c>
      <c r="C335" t="s">
        <v>116</v>
      </c>
      <c r="D335" t="s">
        <v>73</v>
      </c>
      <c r="E335">
        <v>-33838</v>
      </c>
      <c r="F335" t="s">
        <v>74</v>
      </c>
      <c r="G335" t="s">
        <v>24</v>
      </c>
      <c r="H335" t="s">
        <v>25</v>
      </c>
      <c r="I335" t="s">
        <v>45</v>
      </c>
      <c r="J335" t="s">
        <v>27</v>
      </c>
    </row>
    <row r="336" spans="1:10">
      <c r="A336" t="s">
        <v>755</v>
      </c>
      <c r="B336" t="s">
        <v>756</v>
      </c>
      <c r="C336" t="s">
        <v>757</v>
      </c>
      <c r="D336" t="s">
        <v>157</v>
      </c>
      <c r="E336">
        <v>569972</v>
      </c>
      <c r="F336" t="s">
        <v>62</v>
      </c>
      <c r="G336" t="s">
        <v>32</v>
      </c>
      <c r="H336" t="s">
        <v>25</v>
      </c>
      <c r="I336" t="s">
        <v>26</v>
      </c>
      <c r="J336" t="s">
        <v>48</v>
      </c>
    </row>
    <row r="337" spans="1:10">
      <c r="A337" t="s">
        <v>758</v>
      </c>
      <c r="B337" t="s">
        <v>561</v>
      </c>
      <c r="C337" t="s">
        <v>169</v>
      </c>
      <c r="D337" t="s">
        <v>73</v>
      </c>
      <c r="E337">
        <v>-21994</v>
      </c>
      <c r="F337" t="s">
        <v>74</v>
      </c>
      <c r="G337" t="s">
        <v>32</v>
      </c>
      <c r="H337" t="s">
        <v>25</v>
      </c>
      <c r="I337" t="s">
        <v>26</v>
      </c>
      <c r="J337" t="s">
        <v>27</v>
      </c>
    </row>
    <row r="338" spans="1:10">
      <c r="A338" t="s">
        <v>759</v>
      </c>
      <c r="B338" t="s">
        <v>760</v>
      </c>
      <c r="C338" t="s">
        <v>169</v>
      </c>
      <c r="D338" t="s">
        <v>111</v>
      </c>
      <c r="E338">
        <v>-80134</v>
      </c>
      <c r="F338" t="s">
        <v>74</v>
      </c>
      <c r="G338" t="s">
        <v>32</v>
      </c>
      <c r="H338" t="s">
        <v>25</v>
      </c>
      <c r="I338" t="s">
        <v>26</v>
      </c>
      <c r="J338" t="s">
        <v>48</v>
      </c>
    </row>
    <row r="339" spans="1:10">
      <c r="A339" t="s">
        <v>761</v>
      </c>
      <c r="B339" t="s">
        <v>762</v>
      </c>
      <c r="C339" t="s">
        <v>116</v>
      </c>
      <c r="D339" t="s">
        <v>73</v>
      </c>
      <c r="E339">
        <v>-66965</v>
      </c>
      <c r="F339" t="s">
        <v>74</v>
      </c>
      <c r="G339" t="s">
        <v>32</v>
      </c>
      <c r="H339" t="s">
        <v>25</v>
      </c>
      <c r="I339" t="s">
        <v>45</v>
      </c>
      <c r="J339" t="s">
        <v>27</v>
      </c>
    </row>
    <row r="340" spans="1:10">
      <c r="A340" t="s">
        <v>763</v>
      </c>
      <c r="B340" t="s">
        <v>383</v>
      </c>
      <c r="C340" t="s">
        <v>60</v>
      </c>
      <c r="D340" t="s">
        <v>61</v>
      </c>
      <c r="E340">
        <v>-49415</v>
      </c>
      <c r="F340" t="s">
        <v>62</v>
      </c>
      <c r="G340" t="s">
        <v>24</v>
      </c>
      <c r="H340" t="s">
        <v>63</v>
      </c>
      <c r="I340" t="s">
        <v>39</v>
      </c>
      <c r="J340" t="s">
        <v>48</v>
      </c>
    </row>
    <row r="341" spans="1:10">
      <c r="A341" t="s">
        <v>764</v>
      </c>
      <c r="B341" t="s">
        <v>765</v>
      </c>
      <c r="C341" t="s">
        <v>766</v>
      </c>
      <c r="D341" t="s">
        <v>73</v>
      </c>
      <c r="E341">
        <v>-25464</v>
      </c>
      <c r="F341" t="s">
        <v>74</v>
      </c>
      <c r="G341" t="s">
        <v>32</v>
      </c>
      <c r="H341" t="s">
        <v>25</v>
      </c>
      <c r="I341" t="s">
        <v>39</v>
      </c>
      <c r="J341" t="s">
        <v>48</v>
      </c>
    </row>
    <row r="342" spans="1:10">
      <c r="A342" t="s">
        <v>767</v>
      </c>
      <c r="B342" t="s">
        <v>768</v>
      </c>
      <c r="C342" t="s">
        <v>72</v>
      </c>
      <c r="D342" t="s">
        <v>73</v>
      </c>
      <c r="E342">
        <v>-27651</v>
      </c>
      <c r="F342" t="s">
        <v>74</v>
      </c>
      <c r="G342" t="s">
        <v>24</v>
      </c>
      <c r="H342" t="s">
        <v>25</v>
      </c>
      <c r="I342" t="s">
        <v>26</v>
      </c>
      <c r="J342" t="s">
        <v>40</v>
      </c>
    </row>
    <row r="343" spans="1:10">
      <c r="A343" t="s">
        <v>769</v>
      </c>
      <c r="B343" t="s">
        <v>276</v>
      </c>
      <c r="C343" t="s">
        <v>770</v>
      </c>
      <c r="D343" t="s">
        <v>38</v>
      </c>
      <c r="E343">
        <v>-33761</v>
      </c>
      <c r="F343" t="s">
        <v>23</v>
      </c>
      <c r="G343" t="s">
        <v>24</v>
      </c>
      <c r="H343" t="s">
        <v>33</v>
      </c>
      <c r="I343" t="s">
        <v>39</v>
      </c>
      <c r="J343" t="s">
        <v>34</v>
      </c>
    </row>
    <row r="344" spans="1:10">
      <c r="A344" t="s">
        <v>771</v>
      </c>
      <c r="B344" t="s">
        <v>772</v>
      </c>
      <c r="C344" t="s">
        <v>132</v>
      </c>
      <c r="D344" t="s">
        <v>73</v>
      </c>
      <c r="E344">
        <v>-30692</v>
      </c>
      <c r="F344" t="s">
        <v>74</v>
      </c>
      <c r="G344" t="s">
        <v>24</v>
      </c>
      <c r="H344" t="s">
        <v>25</v>
      </c>
      <c r="I344" t="s">
        <v>39</v>
      </c>
      <c r="J344" t="s">
        <v>48</v>
      </c>
    </row>
    <row r="345" spans="1:10">
      <c r="A345" t="s">
        <v>773</v>
      </c>
      <c r="B345" t="s">
        <v>774</v>
      </c>
      <c r="C345" t="s">
        <v>215</v>
      </c>
      <c r="D345" t="s">
        <v>61</v>
      </c>
      <c r="E345">
        <v>-54256</v>
      </c>
      <c r="F345" t="s">
        <v>62</v>
      </c>
      <c r="G345" t="s">
        <v>24</v>
      </c>
      <c r="H345" t="s">
        <v>63</v>
      </c>
      <c r="I345" t="s">
        <v>45</v>
      </c>
      <c r="J345" t="s">
        <v>40</v>
      </c>
    </row>
    <row r="346" spans="1:10">
      <c r="A346" t="s">
        <v>775</v>
      </c>
      <c r="B346" t="s">
        <v>776</v>
      </c>
      <c r="C346" t="s">
        <v>215</v>
      </c>
      <c r="D346" t="s">
        <v>61</v>
      </c>
      <c r="E346">
        <v>-30864</v>
      </c>
      <c r="F346" t="s">
        <v>62</v>
      </c>
      <c r="G346" t="s">
        <v>32</v>
      </c>
      <c r="H346" t="s">
        <v>63</v>
      </c>
      <c r="I346" t="s">
        <v>39</v>
      </c>
      <c r="J346" t="s">
        <v>40</v>
      </c>
    </row>
    <row r="347" spans="1:10">
      <c r="A347" t="s">
        <v>777</v>
      </c>
      <c r="B347" t="s">
        <v>778</v>
      </c>
      <c r="C347" t="s">
        <v>129</v>
      </c>
      <c r="D347" t="s">
        <v>38</v>
      </c>
      <c r="E347">
        <v>-53201</v>
      </c>
      <c r="F347" t="s">
        <v>23</v>
      </c>
      <c r="G347" t="s">
        <v>32</v>
      </c>
      <c r="H347" t="s">
        <v>33</v>
      </c>
      <c r="I347" t="s">
        <v>26</v>
      </c>
      <c r="J347" t="s">
        <v>48</v>
      </c>
    </row>
    <row r="348" spans="1:10">
      <c r="A348" t="s">
        <v>779</v>
      </c>
      <c r="B348" t="s">
        <v>780</v>
      </c>
      <c r="C348" t="s">
        <v>156</v>
      </c>
      <c r="D348" t="s">
        <v>157</v>
      </c>
      <c r="E348">
        <v>754279</v>
      </c>
      <c r="F348" t="s">
        <v>62</v>
      </c>
      <c r="G348" t="s">
        <v>32</v>
      </c>
      <c r="H348" t="s">
        <v>25</v>
      </c>
      <c r="I348" t="s">
        <v>39</v>
      </c>
      <c r="J348" t="s">
        <v>48</v>
      </c>
    </row>
    <row r="349" spans="1:10">
      <c r="A349" t="s">
        <v>781</v>
      </c>
      <c r="B349" t="s">
        <v>782</v>
      </c>
      <c r="C349" t="s">
        <v>129</v>
      </c>
      <c r="D349" t="s">
        <v>38</v>
      </c>
      <c r="E349">
        <v>-14390</v>
      </c>
      <c r="F349" t="s">
        <v>23</v>
      </c>
      <c r="G349" t="s">
        <v>32</v>
      </c>
      <c r="H349" t="s">
        <v>33</v>
      </c>
      <c r="I349" t="s">
        <v>39</v>
      </c>
      <c r="J349" t="s">
        <v>34</v>
      </c>
    </row>
    <row r="350" spans="1:10">
      <c r="A350" t="s">
        <v>783</v>
      </c>
      <c r="B350" t="s">
        <v>784</v>
      </c>
      <c r="C350" t="s">
        <v>60</v>
      </c>
      <c r="D350" t="s">
        <v>61</v>
      </c>
      <c r="E350">
        <v>-61158</v>
      </c>
      <c r="F350" t="s">
        <v>62</v>
      </c>
      <c r="G350" t="s">
        <v>32</v>
      </c>
      <c r="H350" t="s">
        <v>63</v>
      </c>
      <c r="I350" t="s">
        <v>26</v>
      </c>
      <c r="J350" t="s">
        <v>40</v>
      </c>
    </row>
    <row r="351" spans="1:10">
      <c r="A351" t="s">
        <v>785</v>
      </c>
      <c r="B351" t="s">
        <v>786</v>
      </c>
      <c r="C351" t="s">
        <v>616</v>
      </c>
      <c r="D351" t="s">
        <v>22</v>
      </c>
      <c r="E351">
        <v>-93524</v>
      </c>
      <c r="F351" t="s">
        <v>23</v>
      </c>
      <c r="G351" t="s">
        <v>24</v>
      </c>
      <c r="H351" t="s">
        <v>25</v>
      </c>
      <c r="I351" t="s">
        <v>26</v>
      </c>
      <c r="J351" t="s">
        <v>34</v>
      </c>
    </row>
    <row r="352" spans="1:10">
      <c r="A352" t="s">
        <v>787</v>
      </c>
      <c r="B352" t="s">
        <v>788</v>
      </c>
      <c r="C352" t="s">
        <v>106</v>
      </c>
      <c r="D352" t="s">
        <v>31</v>
      </c>
      <c r="E352">
        <v>-6750</v>
      </c>
      <c r="F352" t="s">
        <v>23</v>
      </c>
      <c r="G352" t="s">
        <v>32</v>
      </c>
      <c r="H352" t="s">
        <v>33</v>
      </c>
      <c r="I352" t="s">
        <v>39</v>
      </c>
      <c r="J352" t="s">
        <v>48</v>
      </c>
    </row>
    <row r="353" spans="1:10">
      <c r="A353" t="s">
        <v>789</v>
      </c>
      <c r="B353" t="s">
        <v>790</v>
      </c>
      <c r="C353" t="s">
        <v>266</v>
      </c>
      <c r="D353" t="s">
        <v>73</v>
      </c>
      <c r="E353">
        <v>-55965</v>
      </c>
      <c r="F353" t="s">
        <v>74</v>
      </c>
      <c r="G353" t="s">
        <v>24</v>
      </c>
      <c r="H353" t="s">
        <v>25</v>
      </c>
      <c r="I353" t="s">
        <v>39</v>
      </c>
      <c r="J353" t="s">
        <v>27</v>
      </c>
    </row>
    <row r="354" spans="1:10">
      <c r="A354" t="s">
        <v>791</v>
      </c>
      <c r="B354" t="s">
        <v>747</v>
      </c>
      <c r="C354" t="s">
        <v>180</v>
      </c>
      <c r="D354" t="s">
        <v>44</v>
      </c>
      <c r="E354">
        <v>-72202</v>
      </c>
      <c r="F354" t="s">
        <v>23</v>
      </c>
      <c r="G354" t="s">
        <v>24</v>
      </c>
      <c r="H354" t="s">
        <v>33</v>
      </c>
      <c r="I354" t="s">
        <v>39</v>
      </c>
      <c r="J354" t="s">
        <v>27</v>
      </c>
    </row>
    <row r="355" spans="1:10">
      <c r="A355" t="s">
        <v>792</v>
      </c>
      <c r="B355" t="s">
        <v>793</v>
      </c>
      <c r="C355" t="s">
        <v>305</v>
      </c>
      <c r="D355" t="s">
        <v>38</v>
      </c>
      <c r="E355">
        <v>-34127</v>
      </c>
      <c r="F355" t="s">
        <v>23</v>
      </c>
      <c r="G355" t="s">
        <v>24</v>
      </c>
      <c r="H355" t="s">
        <v>33</v>
      </c>
      <c r="I355" t="s">
        <v>39</v>
      </c>
      <c r="J355" t="s">
        <v>34</v>
      </c>
    </row>
    <row r="356" spans="1:10">
      <c r="A356" t="s">
        <v>794</v>
      </c>
      <c r="B356" t="s">
        <v>795</v>
      </c>
      <c r="C356" t="s">
        <v>106</v>
      </c>
      <c r="D356" t="s">
        <v>31</v>
      </c>
      <c r="E356">
        <v>-28202</v>
      </c>
      <c r="F356" t="s">
        <v>23</v>
      </c>
      <c r="G356" t="s">
        <v>32</v>
      </c>
      <c r="H356" t="s">
        <v>33</v>
      </c>
      <c r="I356" t="s">
        <v>45</v>
      </c>
      <c r="J356" t="s">
        <v>48</v>
      </c>
    </row>
    <row r="357" spans="1:10">
      <c r="A357" t="s">
        <v>796</v>
      </c>
      <c r="B357" t="s">
        <v>797</v>
      </c>
      <c r="C357" t="s">
        <v>51</v>
      </c>
      <c r="D357" t="s">
        <v>31</v>
      </c>
      <c r="E357">
        <v>-43731</v>
      </c>
      <c r="F357" t="s">
        <v>23</v>
      </c>
      <c r="G357" t="s">
        <v>32</v>
      </c>
      <c r="H357" t="s">
        <v>33</v>
      </c>
      <c r="I357" t="s">
        <v>26</v>
      </c>
      <c r="J357" t="s">
        <v>34</v>
      </c>
    </row>
    <row r="358" spans="1:10">
      <c r="A358" t="s">
        <v>798</v>
      </c>
      <c r="B358" t="s">
        <v>621</v>
      </c>
      <c r="C358" t="s">
        <v>255</v>
      </c>
      <c r="D358" t="s">
        <v>22</v>
      </c>
      <c r="E358">
        <v>-153530</v>
      </c>
      <c r="F358" t="s">
        <v>23</v>
      </c>
      <c r="G358" t="s">
        <v>32</v>
      </c>
      <c r="H358" t="s">
        <v>25</v>
      </c>
      <c r="I358" t="s">
        <v>26</v>
      </c>
      <c r="J358" t="s">
        <v>48</v>
      </c>
    </row>
    <row r="359" spans="1:10">
      <c r="A359" t="s">
        <v>799</v>
      </c>
      <c r="B359" t="s">
        <v>606</v>
      </c>
      <c r="C359" t="s">
        <v>60</v>
      </c>
      <c r="D359" t="s">
        <v>61</v>
      </c>
      <c r="E359">
        <v>-18737</v>
      </c>
      <c r="F359" t="s">
        <v>62</v>
      </c>
      <c r="G359" t="s">
        <v>32</v>
      </c>
      <c r="H359" t="s">
        <v>63</v>
      </c>
      <c r="I359" t="s">
        <v>26</v>
      </c>
      <c r="J359" t="s">
        <v>34</v>
      </c>
    </row>
    <row r="360" spans="1:10">
      <c r="A360" t="s">
        <v>800</v>
      </c>
      <c r="B360" t="s">
        <v>801</v>
      </c>
      <c r="C360" t="s">
        <v>802</v>
      </c>
      <c r="D360" t="s">
        <v>440</v>
      </c>
      <c r="E360">
        <v>-154232</v>
      </c>
      <c r="F360" t="s">
        <v>23</v>
      </c>
      <c r="G360" t="s">
        <v>24</v>
      </c>
      <c r="H360" t="s">
        <v>33</v>
      </c>
      <c r="I360" t="s">
        <v>39</v>
      </c>
      <c r="J360" t="s">
        <v>40</v>
      </c>
    </row>
    <row r="361" spans="1:10">
      <c r="A361" t="s">
        <v>803</v>
      </c>
      <c r="B361" t="s">
        <v>804</v>
      </c>
      <c r="C361" t="s">
        <v>169</v>
      </c>
      <c r="D361" t="s">
        <v>73</v>
      </c>
      <c r="E361">
        <v>-42760</v>
      </c>
      <c r="F361" t="s">
        <v>74</v>
      </c>
      <c r="G361" t="s">
        <v>24</v>
      </c>
      <c r="H361" t="s">
        <v>25</v>
      </c>
      <c r="I361" t="s">
        <v>26</v>
      </c>
      <c r="J361" t="s">
        <v>34</v>
      </c>
    </row>
    <row r="362" spans="1:10">
      <c r="A362" t="s">
        <v>805</v>
      </c>
      <c r="B362" t="s">
        <v>653</v>
      </c>
      <c r="C362" t="s">
        <v>161</v>
      </c>
      <c r="D362" t="s">
        <v>22</v>
      </c>
      <c r="E362">
        <v>-217508</v>
      </c>
      <c r="F362" t="s">
        <v>23</v>
      </c>
      <c r="G362" t="s">
        <v>32</v>
      </c>
      <c r="H362" t="s">
        <v>25</v>
      </c>
      <c r="I362" t="s">
        <v>39</v>
      </c>
      <c r="J362" t="s">
        <v>27</v>
      </c>
    </row>
    <row r="363" spans="1:10">
      <c r="A363" t="s">
        <v>806</v>
      </c>
      <c r="B363" t="s">
        <v>807</v>
      </c>
      <c r="C363" t="s">
        <v>808</v>
      </c>
      <c r="D363" t="s">
        <v>22</v>
      </c>
      <c r="E363">
        <v>-202629</v>
      </c>
      <c r="F363" t="s">
        <v>23</v>
      </c>
      <c r="G363" t="s">
        <v>32</v>
      </c>
      <c r="H363" t="s">
        <v>25</v>
      </c>
      <c r="I363" t="s">
        <v>39</v>
      </c>
      <c r="J363" t="s">
        <v>40</v>
      </c>
    </row>
    <row r="364" spans="1:10">
      <c r="A364" t="s">
        <v>809</v>
      </c>
      <c r="B364" t="s">
        <v>810</v>
      </c>
      <c r="C364" t="s">
        <v>293</v>
      </c>
      <c r="D364" t="s">
        <v>157</v>
      </c>
      <c r="E364">
        <v>526951</v>
      </c>
      <c r="F364" t="s">
        <v>62</v>
      </c>
      <c r="G364" t="s">
        <v>32</v>
      </c>
      <c r="H364" t="s">
        <v>25</v>
      </c>
      <c r="I364" t="s">
        <v>26</v>
      </c>
      <c r="J364" t="s">
        <v>34</v>
      </c>
    </row>
    <row r="365" spans="1:10">
      <c r="A365" t="s">
        <v>811</v>
      </c>
      <c r="B365" t="s">
        <v>812</v>
      </c>
      <c r="C365" t="s">
        <v>290</v>
      </c>
      <c r="D365" t="s">
        <v>440</v>
      </c>
      <c r="E365">
        <v>-158875</v>
      </c>
      <c r="F365" t="s">
        <v>23</v>
      </c>
      <c r="G365" t="s">
        <v>32</v>
      </c>
      <c r="H365" t="s">
        <v>33</v>
      </c>
      <c r="I365" t="s">
        <v>26</v>
      </c>
      <c r="J365" t="s">
        <v>27</v>
      </c>
    </row>
    <row r="366" spans="1:10">
      <c r="A366" t="s">
        <v>813</v>
      </c>
      <c r="B366" t="s">
        <v>814</v>
      </c>
      <c r="C366" t="s">
        <v>66</v>
      </c>
      <c r="D366" t="s">
        <v>61</v>
      </c>
      <c r="E366">
        <v>-64413</v>
      </c>
      <c r="F366" t="s">
        <v>62</v>
      </c>
      <c r="G366" t="s">
        <v>32</v>
      </c>
      <c r="H366" t="s">
        <v>63</v>
      </c>
      <c r="I366" t="s">
        <v>45</v>
      </c>
      <c r="J366" t="s">
        <v>48</v>
      </c>
    </row>
    <row r="367" spans="1:10">
      <c r="A367" t="s">
        <v>815</v>
      </c>
      <c r="B367" t="s">
        <v>816</v>
      </c>
      <c r="C367" t="s">
        <v>93</v>
      </c>
      <c r="D367" t="s">
        <v>73</v>
      </c>
      <c r="E367">
        <v>-19820</v>
      </c>
      <c r="F367" t="s">
        <v>74</v>
      </c>
      <c r="G367" t="s">
        <v>32</v>
      </c>
      <c r="H367" t="s">
        <v>25</v>
      </c>
      <c r="I367" t="s">
        <v>26</v>
      </c>
      <c r="J367" t="s">
        <v>48</v>
      </c>
    </row>
    <row r="368" spans="1:10">
      <c r="A368" t="s">
        <v>817</v>
      </c>
      <c r="B368" t="s">
        <v>105</v>
      </c>
      <c r="C368" t="s">
        <v>218</v>
      </c>
      <c r="D368" t="s">
        <v>157</v>
      </c>
      <c r="E368">
        <v>602303</v>
      </c>
      <c r="F368" t="s">
        <v>62</v>
      </c>
      <c r="G368" t="s">
        <v>32</v>
      </c>
      <c r="H368" t="s">
        <v>25</v>
      </c>
      <c r="I368" t="s">
        <v>45</v>
      </c>
      <c r="J368" t="s">
        <v>40</v>
      </c>
    </row>
    <row r="369" spans="1:10">
      <c r="A369" t="s">
        <v>818</v>
      </c>
      <c r="B369" t="s">
        <v>819</v>
      </c>
      <c r="C369" t="s">
        <v>43</v>
      </c>
      <c r="D369" t="s">
        <v>465</v>
      </c>
      <c r="E369">
        <v>-171894</v>
      </c>
      <c r="F369" t="s">
        <v>23</v>
      </c>
      <c r="G369" t="s">
        <v>32</v>
      </c>
      <c r="H369" t="s">
        <v>33</v>
      </c>
      <c r="I369" t="s">
        <v>39</v>
      </c>
      <c r="J369" t="s">
        <v>34</v>
      </c>
    </row>
    <row r="370" spans="1:10">
      <c r="A370" t="s">
        <v>820</v>
      </c>
      <c r="B370" t="s">
        <v>821</v>
      </c>
      <c r="C370" t="s">
        <v>143</v>
      </c>
      <c r="D370" t="s">
        <v>78</v>
      </c>
      <c r="E370">
        <v>-45721</v>
      </c>
      <c r="F370" t="s">
        <v>23</v>
      </c>
      <c r="G370" t="s">
        <v>24</v>
      </c>
      <c r="H370" t="s">
        <v>79</v>
      </c>
      <c r="I370" t="s">
        <v>45</v>
      </c>
      <c r="J370" t="s">
        <v>34</v>
      </c>
    </row>
    <row r="371" spans="1:10">
      <c r="A371" t="s">
        <v>822</v>
      </c>
      <c r="B371" t="s">
        <v>823</v>
      </c>
      <c r="C371" t="s">
        <v>57</v>
      </c>
      <c r="D371" t="s">
        <v>44</v>
      </c>
      <c r="E371">
        <v>-123715</v>
      </c>
      <c r="F371" t="s">
        <v>23</v>
      </c>
      <c r="G371" t="s">
        <v>32</v>
      </c>
      <c r="H371" t="s">
        <v>33</v>
      </c>
      <c r="I371" t="s">
        <v>26</v>
      </c>
      <c r="J371" t="s">
        <v>48</v>
      </c>
    </row>
    <row r="372" spans="1:10">
      <c r="A372" t="s">
        <v>824</v>
      </c>
      <c r="B372" t="s">
        <v>825</v>
      </c>
      <c r="C372" t="s">
        <v>305</v>
      </c>
      <c r="D372" t="s">
        <v>38</v>
      </c>
      <c r="E372">
        <v>-35023</v>
      </c>
      <c r="F372" t="s">
        <v>23</v>
      </c>
      <c r="G372" t="s">
        <v>32</v>
      </c>
      <c r="H372" t="s">
        <v>33</v>
      </c>
      <c r="I372" t="s">
        <v>26</v>
      </c>
      <c r="J372" t="s">
        <v>48</v>
      </c>
    </row>
    <row r="373" spans="1:10">
      <c r="A373" t="s">
        <v>826</v>
      </c>
      <c r="B373" t="s">
        <v>827</v>
      </c>
      <c r="C373" t="s">
        <v>283</v>
      </c>
      <c r="D373" t="s">
        <v>465</v>
      </c>
      <c r="E373">
        <v>-108698</v>
      </c>
      <c r="F373" t="s">
        <v>23</v>
      </c>
      <c r="G373" t="s">
        <v>32</v>
      </c>
      <c r="H373" t="s">
        <v>33</v>
      </c>
      <c r="I373" t="s">
        <v>45</v>
      </c>
      <c r="J373" t="s">
        <v>34</v>
      </c>
    </row>
    <row r="374" spans="1:10">
      <c r="A374" t="s">
        <v>828</v>
      </c>
      <c r="B374" t="s">
        <v>829</v>
      </c>
      <c r="C374" t="s">
        <v>687</v>
      </c>
      <c r="D374" t="s">
        <v>44</v>
      </c>
      <c r="E374">
        <v>-112831</v>
      </c>
      <c r="F374" t="s">
        <v>23</v>
      </c>
      <c r="G374" t="s">
        <v>32</v>
      </c>
      <c r="H374" t="s">
        <v>33</v>
      </c>
      <c r="I374" t="s">
        <v>45</v>
      </c>
      <c r="J374" t="s">
        <v>40</v>
      </c>
    </row>
    <row r="375" spans="1:10">
      <c r="A375" t="s">
        <v>830</v>
      </c>
      <c r="B375" t="s">
        <v>831</v>
      </c>
      <c r="C375" t="s">
        <v>60</v>
      </c>
      <c r="D375" t="s">
        <v>61</v>
      </c>
      <c r="E375">
        <v>-14350</v>
      </c>
      <c r="F375" t="s">
        <v>62</v>
      </c>
      <c r="G375" t="s">
        <v>24</v>
      </c>
      <c r="H375" t="s">
        <v>63</v>
      </c>
      <c r="I375" t="s">
        <v>26</v>
      </c>
      <c r="J375" t="s">
        <v>27</v>
      </c>
    </row>
    <row r="376" spans="1:10">
      <c r="A376" t="s">
        <v>832</v>
      </c>
      <c r="B376" t="s">
        <v>833</v>
      </c>
      <c r="C376" t="s">
        <v>166</v>
      </c>
      <c r="D376" t="s">
        <v>31</v>
      </c>
      <c r="E376">
        <v>-26090</v>
      </c>
      <c r="F376" t="s">
        <v>23</v>
      </c>
      <c r="G376" t="s">
        <v>32</v>
      </c>
      <c r="H376" t="s">
        <v>33</v>
      </c>
      <c r="I376" t="s">
        <v>45</v>
      </c>
      <c r="J376" t="s">
        <v>27</v>
      </c>
    </row>
    <row r="377" spans="1:10">
      <c r="A377" t="s">
        <v>834</v>
      </c>
      <c r="B377" t="s">
        <v>470</v>
      </c>
      <c r="C377" t="s">
        <v>66</v>
      </c>
      <c r="D377" t="s">
        <v>61</v>
      </c>
      <c r="E377">
        <v>-45510</v>
      </c>
      <c r="F377" t="s">
        <v>62</v>
      </c>
      <c r="G377" t="s">
        <v>32</v>
      </c>
      <c r="H377" t="s">
        <v>63</v>
      </c>
      <c r="I377" t="s">
        <v>45</v>
      </c>
      <c r="J377" t="s">
        <v>48</v>
      </c>
    </row>
    <row r="378" spans="1:10">
      <c r="A378" t="s">
        <v>835</v>
      </c>
      <c r="B378" t="s">
        <v>836</v>
      </c>
      <c r="C378" t="s">
        <v>468</v>
      </c>
      <c r="D378" t="s">
        <v>440</v>
      </c>
      <c r="E378">
        <v>-120722</v>
      </c>
      <c r="F378" t="s">
        <v>23</v>
      </c>
      <c r="G378" t="s">
        <v>32</v>
      </c>
      <c r="H378" t="s">
        <v>33</v>
      </c>
      <c r="I378" t="s">
        <v>26</v>
      </c>
      <c r="J378" t="s">
        <v>48</v>
      </c>
    </row>
    <row r="379" spans="1:10">
      <c r="A379" t="s">
        <v>837</v>
      </c>
      <c r="B379" t="s">
        <v>838</v>
      </c>
      <c r="C379" t="s">
        <v>103</v>
      </c>
      <c r="D379" t="s">
        <v>78</v>
      </c>
      <c r="E379">
        <v>-55371</v>
      </c>
      <c r="F379" t="s">
        <v>23</v>
      </c>
      <c r="G379" t="s">
        <v>32</v>
      </c>
      <c r="H379" t="s">
        <v>79</v>
      </c>
      <c r="I379" t="s">
        <v>45</v>
      </c>
      <c r="J379" t="s">
        <v>27</v>
      </c>
    </row>
    <row r="380" spans="1:10">
      <c r="A380" t="s">
        <v>839</v>
      </c>
      <c r="B380" t="s">
        <v>840</v>
      </c>
      <c r="C380" t="s">
        <v>66</v>
      </c>
      <c r="D380" t="s">
        <v>61</v>
      </c>
      <c r="E380">
        <v>-29496</v>
      </c>
      <c r="F380" t="s">
        <v>62</v>
      </c>
      <c r="G380" t="s">
        <v>32</v>
      </c>
      <c r="H380" t="s">
        <v>63</v>
      </c>
      <c r="I380" t="s">
        <v>26</v>
      </c>
      <c r="J380" t="s">
        <v>34</v>
      </c>
    </row>
    <row r="381" spans="1:10">
      <c r="A381" t="s">
        <v>841</v>
      </c>
      <c r="B381" t="s">
        <v>842</v>
      </c>
      <c r="C381" t="s">
        <v>345</v>
      </c>
      <c r="D381" t="s">
        <v>22</v>
      </c>
      <c r="E381">
        <v>-203732</v>
      </c>
      <c r="F381" t="s">
        <v>23</v>
      </c>
      <c r="G381" t="s">
        <v>24</v>
      </c>
      <c r="H381" t="s">
        <v>25</v>
      </c>
      <c r="I381" t="s">
        <v>45</v>
      </c>
      <c r="J381" t="s">
        <v>40</v>
      </c>
    </row>
    <row r="382" spans="1:10">
      <c r="A382" t="s">
        <v>843</v>
      </c>
      <c r="B382" t="s">
        <v>844</v>
      </c>
      <c r="C382" t="s">
        <v>93</v>
      </c>
      <c r="D382" t="s">
        <v>73</v>
      </c>
      <c r="E382">
        <v>-29237</v>
      </c>
      <c r="F382" t="s">
        <v>74</v>
      </c>
      <c r="G382" t="s">
        <v>32</v>
      </c>
      <c r="H382" t="s">
        <v>25</v>
      </c>
      <c r="I382" t="s">
        <v>26</v>
      </c>
      <c r="J382" t="s">
        <v>27</v>
      </c>
    </row>
    <row r="383" spans="1:10">
      <c r="A383" t="s">
        <v>845</v>
      </c>
      <c r="B383" t="s">
        <v>846</v>
      </c>
      <c r="C383" t="s">
        <v>132</v>
      </c>
      <c r="D383" t="s">
        <v>302</v>
      </c>
      <c r="E383">
        <v>-13776</v>
      </c>
      <c r="F383" t="s">
        <v>74</v>
      </c>
      <c r="G383" t="s">
        <v>24</v>
      </c>
      <c r="H383" t="s">
        <v>25</v>
      </c>
      <c r="I383" t="s">
        <v>45</v>
      </c>
      <c r="J383" t="s">
        <v>34</v>
      </c>
    </row>
    <row r="384" spans="1:10">
      <c r="A384" t="s">
        <v>847</v>
      </c>
      <c r="B384" t="s">
        <v>848</v>
      </c>
      <c r="C384" t="s">
        <v>100</v>
      </c>
      <c r="D384" t="s">
        <v>31</v>
      </c>
      <c r="E384">
        <v>-27303</v>
      </c>
      <c r="F384" t="s">
        <v>23</v>
      </c>
      <c r="G384" t="s">
        <v>24</v>
      </c>
      <c r="H384" t="s">
        <v>33</v>
      </c>
      <c r="I384" t="s">
        <v>45</v>
      </c>
      <c r="J384" t="s">
        <v>34</v>
      </c>
    </row>
    <row r="385" spans="1:10">
      <c r="A385" t="s">
        <v>849</v>
      </c>
      <c r="B385" t="s">
        <v>850</v>
      </c>
      <c r="C385" t="s">
        <v>218</v>
      </c>
      <c r="D385" t="s">
        <v>157</v>
      </c>
      <c r="E385">
        <v>651987</v>
      </c>
      <c r="F385" t="s">
        <v>62</v>
      </c>
      <c r="G385" t="s">
        <v>32</v>
      </c>
      <c r="H385" t="s">
        <v>25</v>
      </c>
      <c r="I385" t="s">
        <v>45</v>
      </c>
      <c r="J385" t="s">
        <v>48</v>
      </c>
    </row>
    <row r="386" spans="1:10">
      <c r="A386" t="s">
        <v>851</v>
      </c>
      <c r="B386" t="s">
        <v>812</v>
      </c>
      <c r="C386" t="s">
        <v>802</v>
      </c>
      <c r="D386" t="s">
        <v>440</v>
      </c>
      <c r="E386">
        <v>-138875</v>
      </c>
      <c r="F386" t="s">
        <v>23</v>
      </c>
      <c r="G386" t="s">
        <v>24</v>
      </c>
      <c r="H386" t="s">
        <v>33</v>
      </c>
      <c r="I386" t="s">
        <v>26</v>
      </c>
      <c r="J386" t="s">
        <v>27</v>
      </c>
    </row>
    <row r="387" spans="1:10">
      <c r="A387" t="s">
        <v>852</v>
      </c>
      <c r="B387" t="s">
        <v>853</v>
      </c>
      <c r="C387" t="s">
        <v>174</v>
      </c>
      <c r="D387" t="s">
        <v>22</v>
      </c>
      <c r="E387">
        <v>-53639</v>
      </c>
      <c r="F387" t="s">
        <v>23</v>
      </c>
      <c r="G387" t="s">
        <v>32</v>
      </c>
      <c r="H387" t="s">
        <v>25</v>
      </c>
      <c r="I387" t="s">
        <v>39</v>
      </c>
      <c r="J387" t="s">
        <v>48</v>
      </c>
    </row>
    <row r="388" spans="1:10">
      <c r="A388" t="s">
        <v>854</v>
      </c>
      <c r="B388" t="s">
        <v>142</v>
      </c>
      <c r="C388" t="s">
        <v>536</v>
      </c>
      <c r="D388" t="s">
        <v>31</v>
      </c>
      <c r="E388">
        <v>-32791</v>
      </c>
      <c r="F388" t="s">
        <v>23</v>
      </c>
      <c r="G388" t="s">
        <v>24</v>
      </c>
      <c r="H388" t="s">
        <v>33</v>
      </c>
      <c r="I388" t="s">
        <v>39</v>
      </c>
      <c r="J388" t="s">
        <v>40</v>
      </c>
    </row>
    <row r="389" spans="1:10">
      <c r="A389" t="s">
        <v>855</v>
      </c>
      <c r="B389" t="s">
        <v>856</v>
      </c>
      <c r="C389" t="s">
        <v>132</v>
      </c>
      <c r="D389" t="s">
        <v>73</v>
      </c>
      <c r="E389">
        <v>-61269</v>
      </c>
      <c r="F389" t="s">
        <v>74</v>
      </c>
      <c r="G389" t="s">
        <v>32</v>
      </c>
      <c r="H389" t="s">
        <v>25</v>
      </c>
      <c r="I389" t="s">
        <v>26</v>
      </c>
      <c r="J389" t="s">
        <v>34</v>
      </c>
    </row>
    <row r="390" spans="1:10">
      <c r="A390" t="s">
        <v>857</v>
      </c>
      <c r="B390" t="s">
        <v>363</v>
      </c>
      <c r="C390" t="s">
        <v>129</v>
      </c>
      <c r="D390" t="s">
        <v>38</v>
      </c>
      <c r="E390">
        <v>-10798</v>
      </c>
      <c r="F390" t="s">
        <v>23</v>
      </c>
      <c r="G390" t="s">
        <v>24</v>
      </c>
      <c r="H390" t="s">
        <v>33</v>
      </c>
      <c r="I390" t="s">
        <v>26</v>
      </c>
      <c r="J390" t="s">
        <v>40</v>
      </c>
    </row>
    <row r="391" spans="1:10">
      <c r="A391" t="s">
        <v>858</v>
      </c>
      <c r="B391" t="s">
        <v>859</v>
      </c>
      <c r="C391" t="s">
        <v>66</v>
      </c>
      <c r="E391">
        <v>-53637</v>
      </c>
      <c r="F391" t="s">
        <v>62</v>
      </c>
      <c r="G391" t="s">
        <v>32</v>
      </c>
      <c r="H391" t="s">
        <v>63</v>
      </c>
      <c r="I391" t="s">
        <v>39</v>
      </c>
      <c r="J391" t="s">
        <v>40</v>
      </c>
    </row>
    <row r="392" spans="1:10">
      <c r="A392" t="s">
        <v>860</v>
      </c>
      <c r="B392" t="s">
        <v>861</v>
      </c>
      <c r="C392" t="s">
        <v>93</v>
      </c>
      <c r="D392" t="s">
        <v>302</v>
      </c>
      <c r="E392">
        <v>-92685</v>
      </c>
      <c r="F392" t="s">
        <v>74</v>
      </c>
      <c r="G392" t="s">
        <v>32</v>
      </c>
      <c r="H392" t="s">
        <v>25</v>
      </c>
      <c r="I392" t="s">
        <v>26</v>
      </c>
      <c r="J392" t="s">
        <v>48</v>
      </c>
    </row>
    <row r="393" spans="1:10">
      <c r="A393" t="s">
        <v>862</v>
      </c>
      <c r="B393" t="s">
        <v>863</v>
      </c>
      <c r="C393" t="s">
        <v>54</v>
      </c>
      <c r="D393" t="s">
        <v>38</v>
      </c>
      <c r="E393">
        <v>-35095</v>
      </c>
      <c r="F393" t="s">
        <v>23</v>
      </c>
      <c r="G393" t="s">
        <v>24</v>
      </c>
      <c r="H393" t="s">
        <v>33</v>
      </c>
      <c r="I393" t="s">
        <v>26</v>
      </c>
      <c r="J393" t="s">
        <v>48</v>
      </c>
    </row>
    <row r="394" spans="1:10">
      <c r="A394" t="s">
        <v>864</v>
      </c>
      <c r="B394" t="s">
        <v>206</v>
      </c>
      <c r="C394" t="s">
        <v>218</v>
      </c>
      <c r="D394" t="s">
        <v>157</v>
      </c>
      <c r="E394">
        <v>659330</v>
      </c>
      <c r="F394" t="s">
        <v>62</v>
      </c>
      <c r="G394" t="s">
        <v>32</v>
      </c>
      <c r="H394" t="s">
        <v>25</v>
      </c>
      <c r="I394" t="s">
        <v>45</v>
      </c>
      <c r="J394" t="s">
        <v>27</v>
      </c>
    </row>
    <row r="395" spans="1:10">
      <c r="A395" t="s">
        <v>865</v>
      </c>
      <c r="B395" t="s">
        <v>866</v>
      </c>
      <c r="C395" t="s">
        <v>57</v>
      </c>
      <c r="D395" t="s">
        <v>44</v>
      </c>
      <c r="E395">
        <v>-149213</v>
      </c>
      <c r="F395" t="s">
        <v>23</v>
      </c>
      <c r="G395" t="s">
        <v>32</v>
      </c>
      <c r="H395" t="s">
        <v>33</v>
      </c>
      <c r="I395" t="s">
        <v>45</v>
      </c>
      <c r="J395" t="s">
        <v>40</v>
      </c>
    </row>
    <row r="396" spans="1:10">
      <c r="A396" t="s">
        <v>867</v>
      </c>
      <c r="B396" t="s">
        <v>868</v>
      </c>
      <c r="C396" t="s">
        <v>255</v>
      </c>
      <c r="D396" t="s">
        <v>331</v>
      </c>
      <c r="E396">
        <v>-110152</v>
      </c>
      <c r="F396" t="s">
        <v>23</v>
      </c>
      <c r="G396" t="s">
        <v>32</v>
      </c>
      <c r="H396" t="s">
        <v>25</v>
      </c>
      <c r="I396" t="s">
        <v>26</v>
      </c>
      <c r="J396" t="s">
        <v>27</v>
      </c>
    </row>
    <row r="397" spans="1:10">
      <c r="A397" t="s">
        <v>869</v>
      </c>
      <c r="B397" t="s">
        <v>870</v>
      </c>
      <c r="C397" t="s">
        <v>30</v>
      </c>
      <c r="D397" t="s">
        <v>31</v>
      </c>
      <c r="E397">
        <v>-15369</v>
      </c>
      <c r="F397" t="s">
        <v>23</v>
      </c>
      <c r="G397" t="s">
        <v>32</v>
      </c>
      <c r="H397" t="s">
        <v>33</v>
      </c>
      <c r="I397" t="s">
        <v>26</v>
      </c>
      <c r="J397" t="s">
        <v>27</v>
      </c>
    </row>
    <row r="398" spans="1:10">
      <c r="A398" t="s">
        <v>871</v>
      </c>
      <c r="B398" t="s">
        <v>606</v>
      </c>
      <c r="C398" t="s">
        <v>616</v>
      </c>
      <c r="D398" t="s">
        <v>22</v>
      </c>
      <c r="E398">
        <v>-77386</v>
      </c>
      <c r="F398" t="s">
        <v>23</v>
      </c>
      <c r="G398" t="s">
        <v>32</v>
      </c>
      <c r="H398" t="s">
        <v>25</v>
      </c>
      <c r="I398" t="s">
        <v>26</v>
      </c>
      <c r="J398" t="s">
        <v>34</v>
      </c>
    </row>
    <row r="399" spans="1:10">
      <c r="A399" t="s">
        <v>872</v>
      </c>
      <c r="B399" t="s">
        <v>866</v>
      </c>
      <c r="C399" t="s">
        <v>215</v>
      </c>
      <c r="D399" t="s">
        <v>61</v>
      </c>
      <c r="E399">
        <v>-43299</v>
      </c>
      <c r="F399" t="s">
        <v>62</v>
      </c>
      <c r="G399" t="s">
        <v>32</v>
      </c>
      <c r="H399" t="s">
        <v>63</v>
      </c>
      <c r="I399" t="s">
        <v>45</v>
      </c>
      <c r="J399" t="s">
        <v>40</v>
      </c>
    </row>
    <row r="400" spans="1:10">
      <c r="A400" t="s">
        <v>873</v>
      </c>
      <c r="B400" t="s">
        <v>838</v>
      </c>
      <c r="C400" t="s">
        <v>215</v>
      </c>
      <c r="D400" t="s">
        <v>61</v>
      </c>
      <c r="E400">
        <v>-40167</v>
      </c>
      <c r="F400" t="s">
        <v>62</v>
      </c>
      <c r="G400" t="s">
        <v>24</v>
      </c>
      <c r="H400" t="s">
        <v>63</v>
      </c>
      <c r="I400" t="s">
        <v>45</v>
      </c>
      <c r="J400" t="s">
        <v>27</v>
      </c>
    </row>
    <row r="401" spans="1:10">
      <c r="A401" t="s">
        <v>874</v>
      </c>
      <c r="B401" t="s">
        <v>875</v>
      </c>
      <c r="C401" t="s">
        <v>132</v>
      </c>
      <c r="D401" t="s">
        <v>302</v>
      </c>
      <c r="E401">
        <v>-32684</v>
      </c>
      <c r="F401" t="s">
        <v>74</v>
      </c>
      <c r="G401" t="s">
        <v>24</v>
      </c>
      <c r="H401" t="s">
        <v>25</v>
      </c>
      <c r="I401" t="s">
        <v>45</v>
      </c>
      <c r="J401" t="s">
        <v>27</v>
      </c>
    </row>
    <row r="402" spans="1:10">
      <c r="A402" t="s">
        <v>876</v>
      </c>
      <c r="B402" t="s">
        <v>608</v>
      </c>
      <c r="C402" t="s">
        <v>156</v>
      </c>
      <c r="D402" t="s">
        <v>157</v>
      </c>
      <c r="E402">
        <v>667688</v>
      </c>
      <c r="F402" t="s">
        <v>62</v>
      </c>
      <c r="G402" t="s">
        <v>32</v>
      </c>
      <c r="H402" t="s">
        <v>25</v>
      </c>
      <c r="I402" t="s">
        <v>45</v>
      </c>
      <c r="J402" t="s">
        <v>48</v>
      </c>
    </row>
    <row r="403" spans="1:10">
      <c r="A403" t="s">
        <v>877</v>
      </c>
      <c r="B403" t="s">
        <v>878</v>
      </c>
      <c r="C403" t="s">
        <v>57</v>
      </c>
      <c r="D403" t="s">
        <v>44</v>
      </c>
      <c r="E403">
        <v>-132836</v>
      </c>
      <c r="F403" t="s">
        <v>23</v>
      </c>
      <c r="G403" t="s">
        <v>32</v>
      </c>
      <c r="H403" t="s">
        <v>33</v>
      </c>
      <c r="I403" t="s">
        <v>45</v>
      </c>
      <c r="J403" t="s">
        <v>48</v>
      </c>
    </row>
    <row r="404" spans="1:10">
      <c r="A404" t="s">
        <v>879</v>
      </c>
      <c r="B404" t="s">
        <v>880</v>
      </c>
      <c r="C404" t="s">
        <v>57</v>
      </c>
      <c r="D404" t="s">
        <v>465</v>
      </c>
      <c r="E404">
        <v>-148812</v>
      </c>
      <c r="F404" t="s">
        <v>23</v>
      </c>
      <c r="G404" t="s">
        <v>32</v>
      </c>
      <c r="H404" t="s">
        <v>33</v>
      </c>
      <c r="I404" t="s">
        <v>26</v>
      </c>
      <c r="J404" t="s">
        <v>48</v>
      </c>
    </row>
    <row r="405" spans="1:10">
      <c r="A405" t="s">
        <v>881</v>
      </c>
      <c r="B405" t="s">
        <v>882</v>
      </c>
      <c r="C405" t="s">
        <v>215</v>
      </c>
      <c r="D405" t="s">
        <v>61</v>
      </c>
      <c r="E405">
        <v>-40140</v>
      </c>
      <c r="F405" t="s">
        <v>62</v>
      </c>
      <c r="G405" t="s">
        <v>24</v>
      </c>
      <c r="H405" t="s">
        <v>63</v>
      </c>
      <c r="I405" t="s">
        <v>45</v>
      </c>
      <c r="J405" t="s">
        <v>40</v>
      </c>
    </row>
    <row r="406" spans="1:10">
      <c r="A406" t="s">
        <v>883</v>
      </c>
      <c r="B406" t="s">
        <v>884</v>
      </c>
      <c r="C406" t="s">
        <v>93</v>
      </c>
      <c r="D406" t="s">
        <v>73</v>
      </c>
      <c r="E406">
        <v>-91471</v>
      </c>
      <c r="F406" t="s">
        <v>74</v>
      </c>
      <c r="G406" t="s">
        <v>24</v>
      </c>
      <c r="H406" t="s">
        <v>25</v>
      </c>
      <c r="I406" t="s">
        <v>39</v>
      </c>
      <c r="J406" t="s">
        <v>34</v>
      </c>
    </row>
    <row r="407" spans="1:10">
      <c r="A407" t="s">
        <v>885</v>
      </c>
      <c r="B407" t="s">
        <v>886</v>
      </c>
      <c r="C407" t="s">
        <v>43</v>
      </c>
      <c r="D407" t="s">
        <v>44</v>
      </c>
      <c r="E407">
        <v>-136529</v>
      </c>
      <c r="F407" t="s">
        <v>23</v>
      </c>
      <c r="G407" t="s">
        <v>24</v>
      </c>
      <c r="H407" t="s">
        <v>33</v>
      </c>
      <c r="I407" t="s">
        <v>45</v>
      </c>
      <c r="J407" t="s">
        <v>27</v>
      </c>
    </row>
    <row r="408" spans="1:10">
      <c r="A408" t="s">
        <v>887</v>
      </c>
      <c r="B408" t="s">
        <v>494</v>
      </c>
      <c r="C408" t="s">
        <v>166</v>
      </c>
      <c r="D408" t="s">
        <v>31</v>
      </c>
      <c r="E408">
        <v>-43887</v>
      </c>
      <c r="F408" t="s">
        <v>23</v>
      </c>
      <c r="G408" t="s">
        <v>24</v>
      </c>
      <c r="H408" t="s">
        <v>33</v>
      </c>
      <c r="I408" t="s">
        <v>39</v>
      </c>
      <c r="J408" t="s">
        <v>27</v>
      </c>
    </row>
    <row r="409" spans="1:10">
      <c r="A409" t="s">
        <v>888</v>
      </c>
      <c r="B409" t="s">
        <v>889</v>
      </c>
      <c r="C409" t="s">
        <v>890</v>
      </c>
      <c r="D409" t="s">
        <v>440</v>
      </c>
      <c r="E409">
        <v>-110818</v>
      </c>
      <c r="F409" t="s">
        <v>23</v>
      </c>
      <c r="G409" t="s">
        <v>24</v>
      </c>
      <c r="H409" t="s">
        <v>33</v>
      </c>
      <c r="I409" t="s">
        <v>45</v>
      </c>
      <c r="J409" t="s">
        <v>27</v>
      </c>
    </row>
    <row r="410" spans="1:10">
      <c r="A410" t="s">
        <v>891</v>
      </c>
      <c r="B410" t="s">
        <v>438</v>
      </c>
      <c r="C410" t="s">
        <v>177</v>
      </c>
      <c r="D410" t="s">
        <v>78</v>
      </c>
      <c r="E410">
        <v>-112048</v>
      </c>
      <c r="F410" t="s">
        <v>23</v>
      </c>
      <c r="G410" t="s">
        <v>24</v>
      </c>
      <c r="H410" t="s">
        <v>79</v>
      </c>
      <c r="I410" t="s">
        <v>45</v>
      </c>
      <c r="J410" t="s">
        <v>40</v>
      </c>
    </row>
    <row r="411" spans="1:10">
      <c r="A411" t="s">
        <v>892</v>
      </c>
      <c r="B411" t="s">
        <v>893</v>
      </c>
      <c r="C411" t="s">
        <v>43</v>
      </c>
      <c r="D411" t="s">
        <v>44</v>
      </c>
      <c r="E411">
        <v>-132793</v>
      </c>
      <c r="F411" t="s">
        <v>23</v>
      </c>
      <c r="G411" t="s">
        <v>32</v>
      </c>
      <c r="H411" t="s">
        <v>33</v>
      </c>
      <c r="I411" t="s">
        <v>26</v>
      </c>
      <c r="J411" t="s">
        <v>40</v>
      </c>
    </row>
    <row r="412" spans="1:10">
      <c r="A412" t="s">
        <v>894</v>
      </c>
      <c r="B412" t="s">
        <v>895</v>
      </c>
      <c r="C412" t="s">
        <v>30</v>
      </c>
      <c r="D412" t="s">
        <v>31</v>
      </c>
      <c r="E412">
        <v>-36680</v>
      </c>
      <c r="F412" t="s">
        <v>23</v>
      </c>
      <c r="G412" t="s">
        <v>24</v>
      </c>
      <c r="H412" t="s">
        <v>33</v>
      </c>
      <c r="I412" t="s">
        <v>39</v>
      </c>
      <c r="J412" t="s">
        <v>27</v>
      </c>
    </row>
    <row r="413" spans="1:10">
      <c r="A413" t="s">
        <v>896</v>
      </c>
      <c r="B413" t="s">
        <v>897</v>
      </c>
      <c r="C413" t="s">
        <v>177</v>
      </c>
      <c r="D413" t="s">
        <v>78</v>
      </c>
      <c r="E413">
        <v>-56831</v>
      </c>
      <c r="F413" t="s">
        <v>23</v>
      </c>
      <c r="G413" t="s">
        <v>32</v>
      </c>
      <c r="H413" t="s">
        <v>79</v>
      </c>
      <c r="I413" t="s">
        <v>26</v>
      </c>
      <c r="J413" t="s">
        <v>48</v>
      </c>
    </row>
    <row r="414" spans="1:10">
      <c r="A414" t="s">
        <v>898</v>
      </c>
      <c r="B414" t="s">
        <v>899</v>
      </c>
      <c r="C414" t="s">
        <v>60</v>
      </c>
      <c r="D414" t="s">
        <v>61</v>
      </c>
      <c r="E414">
        <v>-52380</v>
      </c>
      <c r="F414" t="s">
        <v>62</v>
      </c>
      <c r="G414" t="s">
        <v>24</v>
      </c>
      <c r="H414" t="s">
        <v>63</v>
      </c>
      <c r="I414" t="s">
        <v>26</v>
      </c>
      <c r="J414" t="s">
        <v>40</v>
      </c>
    </row>
    <row r="415" spans="1:10">
      <c r="A415" t="s">
        <v>900</v>
      </c>
      <c r="B415" t="s">
        <v>901</v>
      </c>
      <c r="C415" t="s">
        <v>132</v>
      </c>
      <c r="E415">
        <v>-92852</v>
      </c>
      <c r="F415" t="s">
        <v>74</v>
      </c>
      <c r="G415" t="s">
        <v>24</v>
      </c>
      <c r="H415" t="s">
        <v>25</v>
      </c>
      <c r="I415" t="s">
        <v>26</v>
      </c>
      <c r="J415" t="s">
        <v>40</v>
      </c>
    </row>
    <row r="416" spans="1:10">
      <c r="A416" t="s">
        <v>902</v>
      </c>
      <c r="B416" t="s">
        <v>99</v>
      </c>
      <c r="C416" t="s">
        <v>60</v>
      </c>
      <c r="D416" t="s">
        <v>61</v>
      </c>
      <c r="E416">
        <v>-17415</v>
      </c>
      <c r="F416" t="s">
        <v>62</v>
      </c>
      <c r="G416" t="s">
        <v>32</v>
      </c>
      <c r="H416" t="s">
        <v>63</v>
      </c>
      <c r="I416" t="s">
        <v>45</v>
      </c>
      <c r="J416" t="s">
        <v>34</v>
      </c>
    </row>
    <row r="417" spans="1:10">
      <c r="A417" t="s">
        <v>903</v>
      </c>
      <c r="B417" t="s">
        <v>782</v>
      </c>
      <c r="C417" t="s">
        <v>169</v>
      </c>
      <c r="E417">
        <v>-41423</v>
      </c>
      <c r="F417" t="s">
        <v>74</v>
      </c>
      <c r="G417" t="s">
        <v>24</v>
      </c>
      <c r="H417" t="s">
        <v>25</v>
      </c>
      <c r="I417" t="s">
        <v>39</v>
      </c>
      <c r="J417" t="s">
        <v>34</v>
      </c>
    </row>
    <row r="418" spans="1:10">
      <c r="A418" t="s">
        <v>904</v>
      </c>
      <c r="B418" t="s">
        <v>905</v>
      </c>
      <c r="C418" t="s">
        <v>757</v>
      </c>
      <c r="D418" t="s">
        <v>157</v>
      </c>
      <c r="E418">
        <v>528545</v>
      </c>
      <c r="F418" t="s">
        <v>62</v>
      </c>
      <c r="G418" t="s">
        <v>32</v>
      </c>
      <c r="H418" t="s">
        <v>25</v>
      </c>
      <c r="I418" t="s">
        <v>26</v>
      </c>
      <c r="J418" t="s">
        <v>34</v>
      </c>
    </row>
    <row r="419" spans="1:10">
      <c r="A419" t="s">
        <v>906</v>
      </c>
      <c r="B419" t="s">
        <v>907</v>
      </c>
      <c r="C419" t="s">
        <v>66</v>
      </c>
      <c r="D419" t="s">
        <v>61</v>
      </c>
      <c r="E419">
        <v>-55910</v>
      </c>
      <c r="F419" t="s">
        <v>62</v>
      </c>
      <c r="G419" t="s">
        <v>32</v>
      </c>
      <c r="H419" t="s">
        <v>63</v>
      </c>
      <c r="I419" t="s">
        <v>26</v>
      </c>
      <c r="J419" t="s">
        <v>40</v>
      </c>
    </row>
    <row r="420" spans="1:10">
      <c r="A420" t="s">
        <v>908</v>
      </c>
      <c r="B420" t="s">
        <v>201</v>
      </c>
      <c r="C420" t="s">
        <v>156</v>
      </c>
      <c r="D420" t="s">
        <v>157</v>
      </c>
      <c r="E420">
        <v>628980</v>
      </c>
      <c r="F420" t="s">
        <v>62</v>
      </c>
      <c r="G420" t="s">
        <v>32</v>
      </c>
      <c r="H420" t="s">
        <v>25</v>
      </c>
      <c r="I420" t="s">
        <v>26</v>
      </c>
      <c r="J420" t="s">
        <v>48</v>
      </c>
    </row>
    <row r="421" spans="1:10">
      <c r="A421" t="s">
        <v>909</v>
      </c>
      <c r="B421" t="s">
        <v>910</v>
      </c>
      <c r="C421" t="s">
        <v>93</v>
      </c>
      <c r="D421" t="s">
        <v>73</v>
      </c>
      <c r="E421">
        <v>-35707</v>
      </c>
      <c r="F421" t="s">
        <v>74</v>
      </c>
      <c r="G421" t="s">
        <v>32</v>
      </c>
      <c r="H421" t="s">
        <v>25</v>
      </c>
      <c r="I421" t="s">
        <v>26</v>
      </c>
      <c r="J421" t="s">
        <v>40</v>
      </c>
    </row>
    <row r="422" spans="1:10">
      <c r="A422" t="s">
        <v>911</v>
      </c>
      <c r="B422" t="s">
        <v>442</v>
      </c>
      <c r="C422" t="s">
        <v>283</v>
      </c>
      <c r="D422" t="s">
        <v>44</v>
      </c>
      <c r="E422">
        <v>-44270</v>
      </c>
      <c r="F422" t="s">
        <v>23</v>
      </c>
      <c r="G422" t="s">
        <v>32</v>
      </c>
      <c r="H422" t="s">
        <v>33</v>
      </c>
      <c r="I422" t="s">
        <v>26</v>
      </c>
      <c r="J422" t="s">
        <v>40</v>
      </c>
    </row>
    <row r="423" spans="1:10">
      <c r="A423" t="s">
        <v>912</v>
      </c>
      <c r="B423" t="s">
        <v>913</v>
      </c>
      <c r="C423" t="s">
        <v>51</v>
      </c>
      <c r="D423" t="s">
        <v>31</v>
      </c>
      <c r="E423">
        <v>-26828</v>
      </c>
      <c r="F423" t="s">
        <v>23</v>
      </c>
      <c r="G423" t="s">
        <v>24</v>
      </c>
      <c r="H423" t="s">
        <v>33</v>
      </c>
      <c r="I423" t="s">
        <v>26</v>
      </c>
      <c r="J423" t="s">
        <v>40</v>
      </c>
    </row>
    <row r="424" spans="1:10">
      <c r="A424" t="s">
        <v>914</v>
      </c>
      <c r="B424" t="s">
        <v>915</v>
      </c>
      <c r="C424" t="s">
        <v>90</v>
      </c>
      <c r="D424" t="s">
        <v>73</v>
      </c>
      <c r="E424">
        <v>-59277</v>
      </c>
      <c r="F424" t="s">
        <v>74</v>
      </c>
      <c r="G424" t="s">
        <v>24</v>
      </c>
      <c r="H424" t="s">
        <v>25</v>
      </c>
      <c r="I424" t="s">
        <v>39</v>
      </c>
      <c r="J424" t="s">
        <v>34</v>
      </c>
    </row>
    <row r="425" spans="1:10">
      <c r="A425" t="s">
        <v>916</v>
      </c>
      <c r="B425" t="s">
        <v>730</v>
      </c>
      <c r="C425" t="s">
        <v>917</v>
      </c>
      <c r="D425" t="s">
        <v>136</v>
      </c>
      <c r="E425">
        <v>-10485713</v>
      </c>
      <c r="F425" t="s">
        <v>62</v>
      </c>
      <c r="G425" t="s">
        <v>32</v>
      </c>
      <c r="H425" t="s">
        <v>63</v>
      </c>
      <c r="I425" t="s">
        <v>39</v>
      </c>
      <c r="J425" t="s">
        <v>48</v>
      </c>
    </row>
    <row r="426" spans="1:10">
      <c r="A426" t="s">
        <v>918</v>
      </c>
      <c r="B426" t="s">
        <v>631</v>
      </c>
      <c r="C426" t="s">
        <v>69</v>
      </c>
      <c r="D426" t="s">
        <v>38</v>
      </c>
      <c r="E426">
        <v>-18466</v>
      </c>
      <c r="F426" t="s">
        <v>23</v>
      </c>
      <c r="G426" t="s">
        <v>32</v>
      </c>
      <c r="H426" t="s">
        <v>33</v>
      </c>
      <c r="I426" t="s">
        <v>26</v>
      </c>
      <c r="J426" t="s">
        <v>34</v>
      </c>
    </row>
    <row r="427" spans="1:10">
      <c r="A427" t="s">
        <v>919</v>
      </c>
      <c r="B427" t="s">
        <v>228</v>
      </c>
      <c r="C427" t="s">
        <v>283</v>
      </c>
      <c r="D427" t="s">
        <v>44</v>
      </c>
      <c r="E427">
        <v>-87506</v>
      </c>
      <c r="F427" t="s">
        <v>23</v>
      </c>
      <c r="G427" t="s">
        <v>24</v>
      </c>
      <c r="H427" t="s">
        <v>33</v>
      </c>
      <c r="I427" t="s">
        <v>26</v>
      </c>
      <c r="J427" t="s">
        <v>40</v>
      </c>
    </row>
    <row r="428" spans="1:10">
      <c r="A428" t="s">
        <v>920</v>
      </c>
      <c r="B428" t="s">
        <v>921</v>
      </c>
      <c r="C428" t="s">
        <v>84</v>
      </c>
      <c r="D428" t="s">
        <v>78</v>
      </c>
      <c r="E428">
        <v>-58278</v>
      </c>
      <c r="F428" t="s">
        <v>23</v>
      </c>
      <c r="G428" t="s">
        <v>32</v>
      </c>
      <c r="H428" t="s">
        <v>79</v>
      </c>
      <c r="I428" t="s">
        <v>39</v>
      </c>
      <c r="J428" t="s">
        <v>48</v>
      </c>
    </row>
    <row r="429" spans="1:10">
      <c r="A429" t="s">
        <v>922</v>
      </c>
      <c r="B429" t="s">
        <v>923</v>
      </c>
      <c r="C429" t="s">
        <v>43</v>
      </c>
      <c r="D429" t="s">
        <v>44</v>
      </c>
      <c r="E429">
        <v>-122368</v>
      </c>
      <c r="F429" t="s">
        <v>23</v>
      </c>
      <c r="G429" t="s">
        <v>32</v>
      </c>
      <c r="H429" t="s">
        <v>33</v>
      </c>
      <c r="I429" t="s">
        <v>26</v>
      </c>
      <c r="J429" t="s">
        <v>48</v>
      </c>
    </row>
    <row r="430" spans="1:10">
      <c r="A430" t="s">
        <v>924</v>
      </c>
      <c r="B430" t="s">
        <v>925</v>
      </c>
      <c r="C430" t="s">
        <v>43</v>
      </c>
      <c r="D430" t="s">
        <v>44</v>
      </c>
      <c r="E430">
        <v>-83390</v>
      </c>
      <c r="F430" t="s">
        <v>23</v>
      </c>
      <c r="G430" t="s">
        <v>24</v>
      </c>
      <c r="H430" t="s">
        <v>33</v>
      </c>
      <c r="I430" t="s">
        <v>45</v>
      </c>
      <c r="J430" t="s">
        <v>48</v>
      </c>
    </row>
    <row r="431" spans="1:10">
      <c r="A431" t="s">
        <v>926</v>
      </c>
      <c r="B431" t="s">
        <v>927</v>
      </c>
      <c r="C431" t="s">
        <v>192</v>
      </c>
      <c r="D431" t="s">
        <v>22</v>
      </c>
      <c r="E431">
        <v>-209770</v>
      </c>
      <c r="F431" t="s">
        <v>23</v>
      </c>
      <c r="G431" t="s">
        <v>24</v>
      </c>
      <c r="H431" t="s">
        <v>25</v>
      </c>
      <c r="I431" t="s">
        <v>26</v>
      </c>
      <c r="J431" t="s">
        <v>27</v>
      </c>
    </row>
    <row r="432" spans="1:10">
      <c r="A432" t="s">
        <v>928</v>
      </c>
      <c r="B432" t="s">
        <v>929</v>
      </c>
      <c r="C432" t="s">
        <v>77</v>
      </c>
      <c r="D432" t="s">
        <v>78</v>
      </c>
      <c r="E432">
        <v>-67100</v>
      </c>
      <c r="F432" t="s">
        <v>23</v>
      </c>
      <c r="G432" t="s">
        <v>24</v>
      </c>
      <c r="H432" t="s">
        <v>79</v>
      </c>
      <c r="I432" t="s">
        <v>45</v>
      </c>
      <c r="J432" t="s">
        <v>34</v>
      </c>
    </row>
    <row r="433" spans="1:10">
      <c r="A433" t="s">
        <v>930</v>
      </c>
      <c r="B433" t="s">
        <v>931</v>
      </c>
      <c r="C433" t="s">
        <v>271</v>
      </c>
      <c r="D433" t="s">
        <v>73</v>
      </c>
      <c r="E433">
        <v>-60818</v>
      </c>
      <c r="F433" t="s">
        <v>74</v>
      </c>
      <c r="G433" t="s">
        <v>24</v>
      </c>
      <c r="H433" t="s">
        <v>25</v>
      </c>
      <c r="I433" t="s">
        <v>26</v>
      </c>
      <c r="J433" t="s">
        <v>40</v>
      </c>
    </row>
    <row r="434" spans="1:10">
      <c r="A434" t="s">
        <v>932</v>
      </c>
      <c r="B434" t="s">
        <v>933</v>
      </c>
      <c r="C434" t="s">
        <v>54</v>
      </c>
      <c r="D434" t="s">
        <v>38</v>
      </c>
      <c r="E434">
        <v>-26960</v>
      </c>
      <c r="F434" t="s">
        <v>23</v>
      </c>
      <c r="G434" t="s">
        <v>24</v>
      </c>
      <c r="H434" t="s">
        <v>33</v>
      </c>
      <c r="I434" t="s">
        <v>45</v>
      </c>
      <c r="J434" t="s">
        <v>27</v>
      </c>
    </row>
    <row r="435" spans="1:10">
      <c r="A435" t="s">
        <v>934</v>
      </c>
      <c r="B435" t="s">
        <v>780</v>
      </c>
      <c r="C435" t="s">
        <v>935</v>
      </c>
      <c r="D435" t="s">
        <v>331</v>
      </c>
      <c r="E435">
        <v>-142337</v>
      </c>
      <c r="F435" t="s">
        <v>23</v>
      </c>
      <c r="G435" t="s">
        <v>32</v>
      </c>
      <c r="H435" t="s">
        <v>25</v>
      </c>
      <c r="I435" t="s">
        <v>39</v>
      </c>
      <c r="J435" t="s">
        <v>48</v>
      </c>
    </row>
    <row r="436" spans="1:10">
      <c r="A436" t="s">
        <v>936</v>
      </c>
      <c r="B436" t="s">
        <v>937</v>
      </c>
      <c r="C436" t="s">
        <v>90</v>
      </c>
      <c r="D436" t="s">
        <v>73</v>
      </c>
      <c r="E436">
        <v>-68458</v>
      </c>
      <c r="F436" t="s">
        <v>74</v>
      </c>
      <c r="G436" t="s">
        <v>24</v>
      </c>
      <c r="H436" t="s">
        <v>25</v>
      </c>
      <c r="I436" t="s">
        <v>26</v>
      </c>
      <c r="J436" t="s">
        <v>48</v>
      </c>
    </row>
    <row r="437" spans="1:10">
      <c r="A437" t="s">
        <v>938</v>
      </c>
      <c r="B437" t="s">
        <v>450</v>
      </c>
      <c r="C437" t="s">
        <v>43</v>
      </c>
      <c r="D437" t="s">
        <v>44</v>
      </c>
      <c r="E437">
        <v>-45973</v>
      </c>
      <c r="F437" t="s">
        <v>23</v>
      </c>
      <c r="G437" t="s">
        <v>24</v>
      </c>
      <c r="H437" t="s">
        <v>33</v>
      </c>
      <c r="I437" t="s">
        <v>45</v>
      </c>
      <c r="J437" t="s">
        <v>34</v>
      </c>
    </row>
    <row r="438" spans="1:10">
      <c r="A438" t="s">
        <v>939</v>
      </c>
      <c r="B438" t="s">
        <v>265</v>
      </c>
      <c r="C438" t="s">
        <v>212</v>
      </c>
      <c r="D438" t="s">
        <v>73</v>
      </c>
      <c r="E438">
        <v>-77434</v>
      </c>
      <c r="F438" t="s">
        <v>74</v>
      </c>
      <c r="G438" t="s">
        <v>32</v>
      </c>
      <c r="H438" t="s">
        <v>25</v>
      </c>
      <c r="I438" t="s">
        <v>39</v>
      </c>
      <c r="J438" t="s">
        <v>34</v>
      </c>
    </row>
    <row r="439" spans="1:10">
      <c r="A439" t="s">
        <v>940</v>
      </c>
      <c r="B439" t="s">
        <v>941</v>
      </c>
      <c r="C439" t="s">
        <v>942</v>
      </c>
      <c r="D439" t="s">
        <v>38</v>
      </c>
      <c r="E439">
        <v>-52742</v>
      </c>
      <c r="F439" t="s">
        <v>23</v>
      </c>
      <c r="G439" t="s">
        <v>32</v>
      </c>
      <c r="H439" t="s">
        <v>33</v>
      </c>
      <c r="I439" t="s">
        <v>45</v>
      </c>
      <c r="J439" t="s">
        <v>48</v>
      </c>
    </row>
    <row r="440" spans="1:10">
      <c r="A440" t="s">
        <v>943</v>
      </c>
      <c r="B440" t="s">
        <v>446</v>
      </c>
      <c r="C440" t="s">
        <v>345</v>
      </c>
      <c r="D440" t="s">
        <v>22</v>
      </c>
      <c r="E440">
        <v>-38776</v>
      </c>
      <c r="F440" t="s">
        <v>23</v>
      </c>
      <c r="G440" t="s">
        <v>24</v>
      </c>
      <c r="H440" t="s">
        <v>25</v>
      </c>
      <c r="I440" t="s">
        <v>45</v>
      </c>
      <c r="J440" t="s">
        <v>27</v>
      </c>
    </row>
    <row r="441" spans="1:10">
      <c r="A441" t="s">
        <v>944</v>
      </c>
      <c r="B441" t="s">
        <v>945</v>
      </c>
      <c r="C441" t="s">
        <v>126</v>
      </c>
      <c r="D441" t="s">
        <v>31</v>
      </c>
      <c r="E441">
        <v>-6771</v>
      </c>
      <c r="F441" t="s">
        <v>23</v>
      </c>
      <c r="G441" t="s">
        <v>32</v>
      </c>
      <c r="H441" t="s">
        <v>33</v>
      </c>
      <c r="I441" t="s">
        <v>45</v>
      </c>
      <c r="J441" t="s">
        <v>40</v>
      </c>
    </row>
    <row r="442" spans="1:10">
      <c r="A442" t="s">
        <v>946</v>
      </c>
      <c r="B442" t="s">
        <v>947</v>
      </c>
      <c r="C442" t="s">
        <v>30</v>
      </c>
      <c r="D442" t="s">
        <v>31</v>
      </c>
      <c r="E442">
        <v>-44472</v>
      </c>
      <c r="F442" t="s">
        <v>23</v>
      </c>
      <c r="G442" t="s">
        <v>32</v>
      </c>
      <c r="H442" t="s">
        <v>33</v>
      </c>
      <c r="I442" t="s">
        <v>45</v>
      </c>
      <c r="J442" t="s">
        <v>48</v>
      </c>
    </row>
    <row r="443" spans="1:10">
      <c r="A443" t="s">
        <v>948</v>
      </c>
      <c r="B443" t="s">
        <v>949</v>
      </c>
      <c r="C443" t="s">
        <v>43</v>
      </c>
      <c r="D443" t="s">
        <v>44</v>
      </c>
      <c r="E443">
        <v>-47384</v>
      </c>
      <c r="F443" t="s">
        <v>23</v>
      </c>
      <c r="G443" t="s">
        <v>24</v>
      </c>
      <c r="H443" t="s">
        <v>33</v>
      </c>
      <c r="I443" t="s">
        <v>39</v>
      </c>
      <c r="J443" t="s">
        <v>48</v>
      </c>
    </row>
    <row r="444" spans="1:10">
      <c r="A444" t="s">
        <v>950</v>
      </c>
      <c r="B444" t="s">
        <v>951</v>
      </c>
      <c r="C444" t="s">
        <v>106</v>
      </c>
      <c r="E444">
        <v>-6990</v>
      </c>
      <c r="F444" t="s">
        <v>23</v>
      </c>
      <c r="G444" t="s">
        <v>32</v>
      </c>
      <c r="H444" t="s">
        <v>33</v>
      </c>
      <c r="I444" t="s">
        <v>39</v>
      </c>
      <c r="J444" t="s">
        <v>40</v>
      </c>
    </row>
    <row r="445" spans="1:10">
      <c r="A445" t="s">
        <v>952</v>
      </c>
      <c r="B445" t="s">
        <v>953</v>
      </c>
      <c r="C445" t="s">
        <v>224</v>
      </c>
      <c r="D445" t="s">
        <v>78</v>
      </c>
      <c r="E445">
        <v>-50893</v>
      </c>
      <c r="F445" t="s">
        <v>23</v>
      </c>
      <c r="G445" t="s">
        <v>32</v>
      </c>
      <c r="H445" t="s">
        <v>79</v>
      </c>
      <c r="I445" t="s">
        <v>45</v>
      </c>
      <c r="J445" t="s">
        <v>40</v>
      </c>
    </row>
    <row r="446" spans="1:10">
      <c r="A446" t="s">
        <v>954</v>
      </c>
      <c r="B446" t="s">
        <v>955</v>
      </c>
      <c r="C446" t="s">
        <v>215</v>
      </c>
      <c r="D446" t="s">
        <v>61</v>
      </c>
      <c r="E446">
        <v>-57242</v>
      </c>
      <c r="F446" t="s">
        <v>62</v>
      </c>
      <c r="G446" t="s">
        <v>24</v>
      </c>
      <c r="H446" t="s">
        <v>63</v>
      </c>
      <c r="I446" t="s">
        <v>45</v>
      </c>
      <c r="J446" t="s">
        <v>34</v>
      </c>
    </row>
    <row r="447" spans="1:10">
      <c r="A447" t="s">
        <v>956</v>
      </c>
      <c r="B447" t="s">
        <v>957</v>
      </c>
      <c r="C447" t="s">
        <v>106</v>
      </c>
      <c r="E447">
        <v>-11659</v>
      </c>
      <c r="F447" t="s">
        <v>23</v>
      </c>
      <c r="G447" t="s">
        <v>24</v>
      </c>
      <c r="H447" t="s">
        <v>33</v>
      </c>
      <c r="I447" t="s">
        <v>26</v>
      </c>
      <c r="J447" t="s">
        <v>27</v>
      </c>
    </row>
    <row r="448" spans="1:10">
      <c r="A448" t="s">
        <v>958</v>
      </c>
      <c r="B448" t="s">
        <v>959</v>
      </c>
      <c r="C448" t="s">
        <v>224</v>
      </c>
      <c r="D448" t="s">
        <v>78</v>
      </c>
      <c r="E448">
        <v>-56446</v>
      </c>
      <c r="F448" t="s">
        <v>23</v>
      </c>
      <c r="G448" t="s">
        <v>24</v>
      </c>
      <c r="H448" t="s">
        <v>79</v>
      </c>
      <c r="I448" t="s">
        <v>39</v>
      </c>
      <c r="J448" t="s">
        <v>48</v>
      </c>
    </row>
    <row r="449" spans="1:10">
      <c r="A449" t="s">
        <v>960</v>
      </c>
      <c r="B449" t="s">
        <v>961</v>
      </c>
      <c r="C449" t="s">
        <v>166</v>
      </c>
      <c r="E449">
        <v>-36940</v>
      </c>
      <c r="F449" t="s">
        <v>23</v>
      </c>
      <c r="G449" t="s">
        <v>32</v>
      </c>
      <c r="H449" t="s">
        <v>33</v>
      </c>
      <c r="I449" t="s">
        <v>26</v>
      </c>
      <c r="J449" t="s">
        <v>27</v>
      </c>
    </row>
    <row r="450" spans="1:10">
      <c r="A450" t="s">
        <v>962</v>
      </c>
      <c r="B450" t="s">
        <v>963</v>
      </c>
      <c r="C450" t="s">
        <v>72</v>
      </c>
      <c r="E450">
        <v>-13139</v>
      </c>
      <c r="F450" t="s">
        <v>74</v>
      </c>
      <c r="G450" t="s">
        <v>24</v>
      </c>
      <c r="H450" t="s">
        <v>25</v>
      </c>
      <c r="I450" t="s">
        <v>39</v>
      </c>
      <c r="J450" t="s">
        <v>34</v>
      </c>
    </row>
    <row r="451" spans="1:10">
      <c r="A451" t="s">
        <v>964</v>
      </c>
      <c r="B451" t="s">
        <v>635</v>
      </c>
      <c r="C451" t="s">
        <v>129</v>
      </c>
      <c r="D451" t="s">
        <v>38</v>
      </c>
      <c r="E451">
        <v>-32421</v>
      </c>
      <c r="F451" t="s">
        <v>23</v>
      </c>
      <c r="G451" t="s">
        <v>24</v>
      </c>
      <c r="H451" t="s">
        <v>33</v>
      </c>
      <c r="I451" t="s">
        <v>26</v>
      </c>
      <c r="J451" t="s">
        <v>34</v>
      </c>
    </row>
    <row r="452" spans="1:10">
      <c r="A452" t="s">
        <v>965</v>
      </c>
      <c r="B452" t="s">
        <v>966</v>
      </c>
      <c r="C452" t="s">
        <v>37</v>
      </c>
      <c r="D452" t="s">
        <v>38</v>
      </c>
      <c r="E452">
        <v>-19265</v>
      </c>
      <c r="F452" t="s">
        <v>23</v>
      </c>
      <c r="G452" t="s">
        <v>32</v>
      </c>
      <c r="H452" t="s">
        <v>33</v>
      </c>
      <c r="I452" t="s">
        <v>39</v>
      </c>
      <c r="J452" t="s">
        <v>27</v>
      </c>
    </row>
    <row r="453" spans="1:10">
      <c r="A453" t="s">
        <v>967</v>
      </c>
      <c r="B453" t="s">
        <v>968</v>
      </c>
      <c r="C453" t="s">
        <v>616</v>
      </c>
      <c r="D453" t="s">
        <v>22</v>
      </c>
      <c r="E453">
        <v>-159366</v>
      </c>
      <c r="F453" t="s">
        <v>23</v>
      </c>
      <c r="G453" t="s">
        <v>24</v>
      </c>
      <c r="H453" t="s">
        <v>25</v>
      </c>
      <c r="I453" t="s">
        <v>39</v>
      </c>
      <c r="J453" t="s">
        <v>34</v>
      </c>
    </row>
    <row r="454" spans="1:10">
      <c r="A454" t="s">
        <v>969</v>
      </c>
      <c r="B454" t="s">
        <v>970</v>
      </c>
      <c r="C454" t="s">
        <v>30</v>
      </c>
      <c r="D454" t="s">
        <v>31</v>
      </c>
      <c r="E454">
        <v>-39384</v>
      </c>
      <c r="F454" t="s">
        <v>23</v>
      </c>
      <c r="G454" t="s">
        <v>32</v>
      </c>
      <c r="H454" t="s">
        <v>33</v>
      </c>
      <c r="I454" t="s">
        <v>26</v>
      </c>
      <c r="J454" t="s">
        <v>48</v>
      </c>
    </row>
    <row r="455" spans="1:10">
      <c r="A455" t="s">
        <v>971</v>
      </c>
      <c r="B455" t="s">
        <v>280</v>
      </c>
      <c r="C455" t="s">
        <v>51</v>
      </c>
      <c r="D455" t="s">
        <v>31</v>
      </c>
      <c r="E455">
        <v>-21717</v>
      </c>
      <c r="F455" t="s">
        <v>23</v>
      </c>
      <c r="G455" t="s">
        <v>24</v>
      </c>
      <c r="H455" t="s">
        <v>33</v>
      </c>
      <c r="I455" t="s">
        <v>39</v>
      </c>
      <c r="J455" t="s">
        <v>48</v>
      </c>
    </row>
    <row r="456" spans="1:10">
      <c r="A456" t="s">
        <v>972</v>
      </c>
      <c r="B456" t="s">
        <v>973</v>
      </c>
      <c r="C456" t="s">
        <v>174</v>
      </c>
      <c r="D456" t="s">
        <v>22</v>
      </c>
      <c r="E456">
        <v>-189596</v>
      </c>
      <c r="F456" t="s">
        <v>23</v>
      </c>
      <c r="G456" t="s">
        <v>24</v>
      </c>
      <c r="H456" t="s">
        <v>25</v>
      </c>
      <c r="I456" t="s">
        <v>26</v>
      </c>
      <c r="J456" t="s">
        <v>40</v>
      </c>
    </row>
    <row r="457" spans="1:10">
      <c r="A457" t="s">
        <v>974</v>
      </c>
      <c r="B457" t="s">
        <v>963</v>
      </c>
      <c r="C457" t="s">
        <v>66</v>
      </c>
      <c r="D457" t="s">
        <v>61</v>
      </c>
      <c r="E457">
        <v>-20143</v>
      </c>
      <c r="F457" t="s">
        <v>62</v>
      </c>
      <c r="G457" t="s">
        <v>24</v>
      </c>
      <c r="H457" t="s">
        <v>63</v>
      </c>
      <c r="I457" t="s">
        <v>39</v>
      </c>
      <c r="J457" t="s">
        <v>34</v>
      </c>
    </row>
    <row r="458" spans="1:10">
      <c r="A458" t="s">
        <v>975</v>
      </c>
      <c r="B458" t="s">
        <v>821</v>
      </c>
      <c r="C458" t="s">
        <v>84</v>
      </c>
      <c r="D458" t="s">
        <v>78</v>
      </c>
      <c r="E458">
        <v>-81665</v>
      </c>
      <c r="F458" t="s">
        <v>23</v>
      </c>
      <c r="G458" t="s">
        <v>24</v>
      </c>
      <c r="H458" t="s">
        <v>79</v>
      </c>
      <c r="I458" t="s">
        <v>45</v>
      </c>
      <c r="J458" t="s">
        <v>34</v>
      </c>
    </row>
    <row r="459" spans="1:10">
      <c r="A459" t="s">
        <v>976</v>
      </c>
      <c r="B459" t="s">
        <v>897</v>
      </c>
      <c r="C459" t="s">
        <v>69</v>
      </c>
      <c r="D459" t="s">
        <v>38</v>
      </c>
      <c r="E459">
        <v>-26498</v>
      </c>
      <c r="F459" t="s">
        <v>23</v>
      </c>
      <c r="G459" t="s">
        <v>24</v>
      </c>
      <c r="H459" t="s">
        <v>33</v>
      </c>
      <c r="I459" t="s">
        <v>26</v>
      </c>
      <c r="J459" t="s">
        <v>48</v>
      </c>
    </row>
    <row r="460" spans="1:10">
      <c r="A460" t="s">
        <v>977</v>
      </c>
      <c r="B460" t="s">
        <v>978</v>
      </c>
      <c r="C460" t="s">
        <v>224</v>
      </c>
      <c r="D460" t="s">
        <v>78</v>
      </c>
      <c r="E460">
        <v>-46164</v>
      </c>
      <c r="F460" t="s">
        <v>23</v>
      </c>
      <c r="G460" t="s">
        <v>24</v>
      </c>
      <c r="H460" t="s">
        <v>79</v>
      </c>
      <c r="I460" t="s">
        <v>39</v>
      </c>
      <c r="J460" t="s">
        <v>27</v>
      </c>
    </row>
    <row r="461" spans="1:10">
      <c r="A461" t="s">
        <v>979</v>
      </c>
      <c r="B461" t="s">
        <v>980</v>
      </c>
      <c r="C461" t="s">
        <v>51</v>
      </c>
      <c r="D461" t="s">
        <v>31</v>
      </c>
      <c r="E461">
        <v>-21536</v>
      </c>
      <c r="F461" t="s">
        <v>23</v>
      </c>
      <c r="G461" t="s">
        <v>24</v>
      </c>
      <c r="H461" t="s">
        <v>33</v>
      </c>
      <c r="I461" t="s">
        <v>45</v>
      </c>
      <c r="J461" t="s">
        <v>40</v>
      </c>
    </row>
    <row r="462" spans="1:10">
      <c r="A462" t="s">
        <v>981</v>
      </c>
      <c r="B462" t="s">
        <v>717</v>
      </c>
      <c r="C462" t="s">
        <v>757</v>
      </c>
      <c r="D462" t="s">
        <v>157</v>
      </c>
      <c r="E462">
        <v>741867</v>
      </c>
      <c r="F462" t="s">
        <v>62</v>
      </c>
      <c r="G462" t="s">
        <v>32</v>
      </c>
      <c r="H462" t="s">
        <v>25</v>
      </c>
      <c r="I462" t="s">
        <v>39</v>
      </c>
      <c r="J462" t="s">
        <v>48</v>
      </c>
    </row>
    <row r="463" spans="1:10">
      <c r="A463" t="s">
        <v>982</v>
      </c>
      <c r="B463" t="s">
        <v>983</v>
      </c>
      <c r="C463" t="s">
        <v>984</v>
      </c>
      <c r="E463">
        <v>-24584</v>
      </c>
      <c r="F463" t="s">
        <v>74</v>
      </c>
      <c r="G463" t="s">
        <v>32</v>
      </c>
      <c r="H463" t="s">
        <v>25</v>
      </c>
      <c r="I463" t="s">
        <v>39</v>
      </c>
      <c r="J463" t="s">
        <v>40</v>
      </c>
    </row>
    <row r="464" spans="1:10">
      <c r="A464" t="s">
        <v>985</v>
      </c>
      <c r="B464" t="s">
        <v>986</v>
      </c>
      <c r="C464" t="s">
        <v>106</v>
      </c>
      <c r="D464" t="s">
        <v>31</v>
      </c>
      <c r="E464">
        <v>-42105</v>
      </c>
      <c r="F464" t="s">
        <v>23</v>
      </c>
      <c r="G464" t="s">
        <v>24</v>
      </c>
      <c r="H464" t="s">
        <v>33</v>
      </c>
      <c r="I464" t="s">
        <v>39</v>
      </c>
      <c r="J464" t="s">
        <v>48</v>
      </c>
    </row>
    <row r="465" spans="1:10">
      <c r="A465" t="s">
        <v>987</v>
      </c>
      <c r="B465" t="s">
        <v>988</v>
      </c>
      <c r="C465" t="s">
        <v>310</v>
      </c>
      <c r="D465" t="s">
        <v>22</v>
      </c>
      <c r="E465">
        <v>-150905</v>
      </c>
      <c r="F465" t="s">
        <v>23</v>
      </c>
      <c r="G465" t="s">
        <v>24</v>
      </c>
      <c r="H465" t="s">
        <v>25</v>
      </c>
      <c r="I465" t="s">
        <v>39</v>
      </c>
      <c r="J465" t="s">
        <v>27</v>
      </c>
    </row>
    <row r="466" spans="1:10">
      <c r="A466" t="s">
        <v>989</v>
      </c>
      <c r="B466" t="s">
        <v>990</v>
      </c>
      <c r="C466" t="s">
        <v>100</v>
      </c>
      <c r="D466" t="s">
        <v>31</v>
      </c>
      <c r="E466">
        <v>-10969</v>
      </c>
      <c r="F466" t="s">
        <v>23</v>
      </c>
      <c r="G466" t="s">
        <v>32</v>
      </c>
      <c r="H466" t="s">
        <v>33</v>
      </c>
      <c r="I466" t="s">
        <v>45</v>
      </c>
      <c r="J466" t="s">
        <v>34</v>
      </c>
    </row>
    <row r="467" spans="1:10">
      <c r="A467" t="s">
        <v>991</v>
      </c>
      <c r="B467" t="s">
        <v>992</v>
      </c>
      <c r="C467" t="s">
        <v>161</v>
      </c>
      <c r="D467" t="s">
        <v>320</v>
      </c>
      <c r="E467">
        <v>-107211</v>
      </c>
      <c r="F467" t="s">
        <v>23</v>
      </c>
      <c r="G467" t="s">
        <v>32</v>
      </c>
      <c r="H467" t="s">
        <v>25</v>
      </c>
      <c r="I467" t="s">
        <v>26</v>
      </c>
      <c r="J467" t="s">
        <v>27</v>
      </c>
    </row>
    <row r="468" spans="1:10">
      <c r="A468" t="s">
        <v>993</v>
      </c>
      <c r="B468" t="s">
        <v>994</v>
      </c>
      <c r="C468" t="s">
        <v>215</v>
      </c>
      <c r="D468" t="s">
        <v>61</v>
      </c>
      <c r="E468">
        <v>-23368</v>
      </c>
      <c r="F468" t="s">
        <v>62</v>
      </c>
      <c r="G468" t="s">
        <v>32</v>
      </c>
      <c r="H468" t="s">
        <v>63</v>
      </c>
      <c r="I468" t="s">
        <v>39</v>
      </c>
      <c r="J468" t="s">
        <v>27</v>
      </c>
    </row>
    <row r="469" spans="1:10">
      <c r="A469" t="s">
        <v>995</v>
      </c>
      <c r="B469" t="s">
        <v>996</v>
      </c>
      <c r="C469" t="s">
        <v>468</v>
      </c>
      <c r="D469" t="s">
        <v>440</v>
      </c>
      <c r="E469">
        <v>-113901</v>
      </c>
      <c r="F469" t="s">
        <v>23</v>
      </c>
      <c r="G469" t="s">
        <v>24</v>
      </c>
      <c r="H469" t="s">
        <v>33</v>
      </c>
      <c r="I469" t="s">
        <v>45</v>
      </c>
      <c r="J469" t="s">
        <v>40</v>
      </c>
    </row>
    <row r="470" spans="1:10">
      <c r="A470" t="s">
        <v>997</v>
      </c>
      <c r="B470" t="s">
        <v>998</v>
      </c>
      <c r="C470" t="s">
        <v>283</v>
      </c>
      <c r="D470" t="s">
        <v>44</v>
      </c>
      <c r="E470">
        <v>-62586</v>
      </c>
      <c r="F470" t="s">
        <v>23</v>
      </c>
      <c r="G470" t="s">
        <v>32</v>
      </c>
      <c r="H470" t="s">
        <v>33</v>
      </c>
      <c r="I470" t="s">
        <v>39</v>
      </c>
      <c r="J470" t="s">
        <v>40</v>
      </c>
    </row>
    <row r="471" spans="1:10">
      <c r="A471" t="s">
        <v>999</v>
      </c>
      <c r="B471" t="s">
        <v>1000</v>
      </c>
      <c r="C471" t="s">
        <v>143</v>
      </c>
      <c r="D471" t="s">
        <v>1001</v>
      </c>
      <c r="E471">
        <v>-38274</v>
      </c>
      <c r="F471" t="s">
        <v>23</v>
      </c>
      <c r="G471" t="s">
        <v>32</v>
      </c>
      <c r="H471" t="s">
        <v>79</v>
      </c>
      <c r="I471" t="s">
        <v>45</v>
      </c>
      <c r="J471" t="s">
        <v>27</v>
      </c>
    </row>
    <row r="472" spans="1:10">
      <c r="A472" t="s">
        <v>1002</v>
      </c>
      <c r="B472" t="s">
        <v>1003</v>
      </c>
      <c r="C472" t="s">
        <v>116</v>
      </c>
      <c r="D472" t="s">
        <v>73</v>
      </c>
      <c r="E472">
        <v>-8675</v>
      </c>
      <c r="F472" t="s">
        <v>74</v>
      </c>
      <c r="G472" t="s">
        <v>24</v>
      </c>
      <c r="H472" t="s">
        <v>25</v>
      </c>
      <c r="I472" t="s">
        <v>45</v>
      </c>
      <c r="J472" t="s">
        <v>34</v>
      </c>
    </row>
    <row r="473" spans="1:10">
      <c r="A473" t="s">
        <v>1004</v>
      </c>
      <c r="B473" t="s">
        <v>1005</v>
      </c>
      <c r="C473" t="s">
        <v>180</v>
      </c>
      <c r="D473" t="s">
        <v>44</v>
      </c>
      <c r="E473">
        <v>-159589</v>
      </c>
      <c r="F473" t="s">
        <v>23</v>
      </c>
      <c r="G473" t="s">
        <v>32</v>
      </c>
      <c r="H473" t="s">
        <v>33</v>
      </c>
      <c r="I473" t="s">
        <v>26</v>
      </c>
      <c r="J473" t="s">
        <v>48</v>
      </c>
    </row>
    <row r="474" spans="1:10">
      <c r="A474" t="s">
        <v>1006</v>
      </c>
      <c r="B474" t="s">
        <v>1007</v>
      </c>
      <c r="C474" t="s">
        <v>174</v>
      </c>
      <c r="D474" t="s">
        <v>22</v>
      </c>
      <c r="E474">
        <v>-174771</v>
      </c>
      <c r="F474" t="s">
        <v>23</v>
      </c>
      <c r="G474" t="s">
        <v>32</v>
      </c>
      <c r="H474" t="s">
        <v>25</v>
      </c>
      <c r="I474" t="s">
        <v>26</v>
      </c>
      <c r="J474" t="s">
        <v>34</v>
      </c>
    </row>
    <row r="475" spans="1:10">
      <c r="A475" t="s">
        <v>1008</v>
      </c>
      <c r="B475" t="s">
        <v>1009</v>
      </c>
      <c r="C475" t="s">
        <v>37</v>
      </c>
      <c r="D475" t="s">
        <v>38</v>
      </c>
      <c r="E475">
        <v>-29684</v>
      </c>
      <c r="F475" t="s">
        <v>23</v>
      </c>
      <c r="G475" t="s">
        <v>24</v>
      </c>
      <c r="H475" t="s">
        <v>33</v>
      </c>
      <c r="I475" t="s">
        <v>26</v>
      </c>
      <c r="J475" t="s">
        <v>34</v>
      </c>
    </row>
    <row r="476" spans="1:10">
      <c r="A476" t="s">
        <v>1010</v>
      </c>
      <c r="B476" t="s">
        <v>1011</v>
      </c>
      <c r="C476" t="s">
        <v>51</v>
      </c>
      <c r="D476" t="s">
        <v>31</v>
      </c>
      <c r="E476">
        <v>-42597</v>
      </c>
      <c r="F476" t="s">
        <v>23</v>
      </c>
      <c r="G476" t="s">
        <v>32</v>
      </c>
      <c r="H476" t="s">
        <v>33</v>
      </c>
      <c r="I476" t="s">
        <v>26</v>
      </c>
      <c r="J476" t="s">
        <v>40</v>
      </c>
    </row>
    <row r="477" spans="1:10">
      <c r="A477" t="s">
        <v>1012</v>
      </c>
      <c r="B477" t="s">
        <v>1013</v>
      </c>
      <c r="C477" t="s">
        <v>161</v>
      </c>
      <c r="D477" t="s">
        <v>22</v>
      </c>
      <c r="E477">
        <v>-160075</v>
      </c>
      <c r="F477" t="s">
        <v>23</v>
      </c>
      <c r="G477" t="s">
        <v>32</v>
      </c>
      <c r="H477" t="s">
        <v>25</v>
      </c>
      <c r="I477" t="s">
        <v>39</v>
      </c>
      <c r="J477" t="s">
        <v>34</v>
      </c>
    </row>
    <row r="478" spans="1:10">
      <c r="A478" t="s">
        <v>1014</v>
      </c>
      <c r="B478" t="s">
        <v>1015</v>
      </c>
      <c r="C478" t="s">
        <v>90</v>
      </c>
      <c r="D478" t="s">
        <v>73</v>
      </c>
      <c r="E478">
        <v>-32966</v>
      </c>
      <c r="F478" t="s">
        <v>74</v>
      </c>
      <c r="G478" t="s">
        <v>32</v>
      </c>
      <c r="H478" t="s">
        <v>25</v>
      </c>
      <c r="I478" t="s">
        <v>26</v>
      </c>
      <c r="J478" t="s">
        <v>40</v>
      </c>
    </row>
    <row r="479" spans="1:10">
      <c r="A479" t="s">
        <v>1016</v>
      </c>
      <c r="B479" t="s">
        <v>1017</v>
      </c>
      <c r="C479" t="s">
        <v>57</v>
      </c>
      <c r="D479" t="s">
        <v>44</v>
      </c>
      <c r="E479">
        <v>-153779</v>
      </c>
      <c r="F479" t="s">
        <v>23</v>
      </c>
      <c r="G479" t="s">
        <v>24</v>
      </c>
      <c r="H479" t="s">
        <v>33</v>
      </c>
      <c r="I479" t="s">
        <v>39</v>
      </c>
      <c r="J479" t="s">
        <v>34</v>
      </c>
    </row>
    <row r="480" spans="1:10">
      <c r="A480" t="s">
        <v>1018</v>
      </c>
      <c r="B480" t="s">
        <v>1019</v>
      </c>
      <c r="C480" t="s">
        <v>802</v>
      </c>
      <c r="D480" t="s">
        <v>440</v>
      </c>
      <c r="E480">
        <v>-112479</v>
      </c>
      <c r="F480" t="s">
        <v>23</v>
      </c>
      <c r="G480" t="s">
        <v>32</v>
      </c>
      <c r="H480" t="s">
        <v>33</v>
      </c>
      <c r="I480" t="s">
        <v>26</v>
      </c>
      <c r="J480" t="s">
        <v>34</v>
      </c>
    </row>
    <row r="481" spans="1:10">
      <c r="A481" t="s">
        <v>1020</v>
      </c>
      <c r="B481" t="s">
        <v>1021</v>
      </c>
      <c r="C481" t="s">
        <v>215</v>
      </c>
      <c r="D481" t="s">
        <v>61</v>
      </c>
      <c r="E481">
        <v>-62495</v>
      </c>
      <c r="F481" t="s">
        <v>62</v>
      </c>
      <c r="G481" t="s">
        <v>24</v>
      </c>
      <c r="H481" t="s">
        <v>63</v>
      </c>
      <c r="I481" t="s">
        <v>45</v>
      </c>
      <c r="J481" t="s">
        <v>48</v>
      </c>
    </row>
    <row r="482" spans="1:10">
      <c r="A482" t="s">
        <v>1022</v>
      </c>
      <c r="B482" t="s">
        <v>1023</v>
      </c>
      <c r="C482" t="s">
        <v>169</v>
      </c>
      <c r="D482" t="s">
        <v>73</v>
      </c>
      <c r="E482">
        <v>-8614</v>
      </c>
      <c r="F482" t="s">
        <v>74</v>
      </c>
      <c r="G482" t="s">
        <v>24</v>
      </c>
      <c r="H482" t="s">
        <v>25</v>
      </c>
      <c r="I482" t="s">
        <v>39</v>
      </c>
      <c r="J482" t="s">
        <v>48</v>
      </c>
    </row>
    <row r="483" spans="1:10">
      <c r="A483" t="s">
        <v>1024</v>
      </c>
      <c r="B483" t="s">
        <v>381</v>
      </c>
      <c r="C483" t="s">
        <v>21</v>
      </c>
      <c r="D483" t="s">
        <v>22</v>
      </c>
      <c r="E483">
        <v>-70432</v>
      </c>
      <c r="F483" t="s">
        <v>23</v>
      </c>
      <c r="G483" t="s">
        <v>24</v>
      </c>
      <c r="H483" t="s">
        <v>25</v>
      </c>
      <c r="I483" t="s">
        <v>39</v>
      </c>
      <c r="J483" t="s">
        <v>27</v>
      </c>
    </row>
    <row r="484" spans="1:10">
      <c r="A484" t="s">
        <v>1025</v>
      </c>
      <c r="B484" t="s">
        <v>1026</v>
      </c>
      <c r="C484" t="s">
        <v>293</v>
      </c>
      <c r="D484" t="s">
        <v>157</v>
      </c>
      <c r="E484">
        <v>744703</v>
      </c>
      <c r="F484" t="s">
        <v>62</v>
      </c>
      <c r="G484" t="s">
        <v>32</v>
      </c>
      <c r="H484" t="s">
        <v>25</v>
      </c>
      <c r="I484" t="s">
        <v>39</v>
      </c>
      <c r="J484" t="s">
        <v>48</v>
      </c>
    </row>
    <row r="485" spans="1:10">
      <c r="A485" t="s">
        <v>1027</v>
      </c>
      <c r="B485" t="s">
        <v>1028</v>
      </c>
      <c r="C485" t="s">
        <v>212</v>
      </c>
      <c r="D485" t="s">
        <v>73</v>
      </c>
      <c r="E485">
        <v>-54810</v>
      </c>
      <c r="F485" t="s">
        <v>74</v>
      </c>
      <c r="G485" t="s">
        <v>32</v>
      </c>
      <c r="H485" t="s">
        <v>25</v>
      </c>
      <c r="I485" t="s">
        <v>26</v>
      </c>
      <c r="J485" t="s">
        <v>48</v>
      </c>
    </row>
    <row r="486" spans="1:10">
      <c r="A486" t="s">
        <v>1029</v>
      </c>
      <c r="B486" t="s">
        <v>553</v>
      </c>
      <c r="C486" t="s">
        <v>100</v>
      </c>
      <c r="E486">
        <v>-43542</v>
      </c>
      <c r="F486" t="s">
        <v>23</v>
      </c>
      <c r="G486" t="s">
        <v>24</v>
      </c>
      <c r="H486" t="s">
        <v>33</v>
      </c>
      <c r="I486" t="s">
        <v>45</v>
      </c>
      <c r="J486" t="s">
        <v>34</v>
      </c>
    </row>
    <row r="487" spans="1:10">
      <c r="A487" t="s">
        <v>1030</v>
      </c>
      <c r="B487" t="s">
        <v>397</v>
      </c>
      <c r="C487" t="s">
        <v>180</v>
      </c>
      <c r="D487" t="s">
        <v>44</v>
      </c>
      <c r="E487">
        <v>-91119</v>
      </c>
      <c r="F487" t="s">
        <v>23</v>
      </c>
      <c r="G487" t="s">
        <v>32</v>
      </c>
      <c r="H487" t="s">
        <v>33</v>
      </c>
      <c r="I487" t="s">
        <v>26</v>
      </c>
      <c r="J487" t="s">
        <v>27</v>
      </c>
    </row>
    <row r="488" spans="1:10">
      <c r="A488" t="s">
        <v>1031</v>
      </c>
      <c r="B488" t="s">
        <v>1032</v>
      </c>
      <c r="C488" t="s">
        <v>305</v>
      </c>
      <c r="D488" t="s">
        <v>38</v>
      </c>
      <c r="E488">
        <v>-28145</v>
      </c>
      <c r="F488" t="s">
        <v>23</v>
      </c>
      <c r="G488" t="s">
        <v>32</v>
      </c>
      <c r="H488" t="s">
        <v>33</v>
      </c>
      <c r="I488" t="s">
        <v>45</v>
      </c>
      <c r="J488" t="s">
        <v>40</v>
      </c>
    </row>
    <row r="489" spans="1:10">
      <c r="A489" t="s">
        <v>1033</v>
      </c>
      <c r="B489" t="s">
        <v>1034</v>
      </c>
      <c r="C489" t="s">
        <v>57</v>
      </c>
      <c r="D489" t="s">
        <v>465</v>
      </c>
      <c r="E489">
        <v>-133929</v>
      </c>
      <c r="F489" t="s">
        <v>23</v>
      </c>
      <c r="G489" t="s">
        <v>24</v>
      </c>
      <c r="H489" t="s">
        <v>33</v>
      </c>
      <c r="I489" t="s">
        <v>39</v>
      </c>
      <c r="J489" t="s">
        <v>40</v>
      </c>
    </row>
    <row r="490" spans="1:10">
      <c r="A490" t="s">
        <v>1035</v>
      </c>
      <c r="B490" t="s">
        <v>1036</v>
      </c>
      <c r="C490" t="s">
        <v>54</v>
      </c>
      <c r="D490" t="s">
        <v>38</v>
      </c>
      <c r="E490">
        <v>-47316</v>
      </c>
      <c r="F490" t="s">
        <v>23</v>
      </c>
      <c r="G490" t="s">
        <v>24</v>
      </c>
      <c r="H490" t="s">
        <v>33</v>
      </c>
      <c r="I490" t="s">
        <v>26</v>
      </c>
      <c r="J490" t="s">
        <v>48</v>
      </c>
    </row>
    <row r="491" spans="1:10">
      <c r="A491" t="s">
        <v>1037</v>
      </c>
      <c r="B491" t="s">
        <v>1038</v>
      </c>
      <c r="C491" t="s">
        <v>1039</v>
      </c>
      <c r="D491" t="s">
        <v>440</v>
      </c>
      <c r="E491">
        <v>-98499</v>
      </c>
      <c r="F491" t="s">
        <v>23</v>
      </c>
      <c r="G491" t="s">
        <v>24</v>
      </c>
      <c r="H491" t="s">
        <v>33</v>
      </c>
      <c r="I491" t="s">
        <v>39</v>
      </c>
      <c r="J491" t="s">
        <v>40</v>
      </c>
    </row>
    <row r="492" spans="1:10">
      <c r="A492" t="s">
        <v>1040</v>
      </c>
      <c r="B492" t="s">
        <v>1041</v>
      </c>
      <c r="C492" t="s">
        <v>215</v>
      </c>
      <c r="D492" t="s">
        <v>61</v>
      </c>
      <c r="E492">
        <v>-23162</v>
      </c>
      <c r="F492" t="s">
        <v>62</v>
      </c>
      <c r="G492" t="s">
        <v>32</v>
      </c>
      <c r="H492" t="s">
        <v>63</v>
      </c>
      <c r="I492" t="s">
        <v>26</v>
      </c>
      <c r="J492" t="s">
        <v>48</v>
      </c>
    </row>
    <row r="493" spans="1:10">
      <c r="A493" t="s">
        <v>1042</v>
      </c>
      <c r="B493" t="s">
        <v>1043</v>
      </c>
      <c r="C493" t="s">
        <v>237</v>
      </c>
      <c r="D493" t="s">
        <v>22</v>
      </c>
      <c r="E493">
        <v>-143005</v>
      </c>
      <c r="F493" t="s">
        <v>23</v>
      </c>
      <c r="G493" t="s">
        <v>32</v>
      </c>
      <c r="H493" t="s">
        <v>25</v>
      </c>
      <c r="I493" t="s">
        <v>39</v>
      </c>
      <c r="J493" t="s">
        <v>27</v>
      </c>
    </row>
    <row r="494" spans="1:10">
      <c r="A494" t="s">
        <v>1044</v>
      </c>
      <c r="B494" t="s">
        <v>1045</v>
      </c>
      <c r="C494" t="s">
        <v>177</v>
      </c>
      <c r="D494" t="s">
        <v>78</v>
      </c>
      <c r="E494">
        <v>-15441</v>
      </c>
      <c r="F494" t="s">
        <v>23</v>
      </c>
      <c r="G494" t="s">
        <v>24</v>
      </c>
      <c r="H494" t="s">
        <v>79</v>
      </c>
      <c r="I494" t="s">
        <v>39</v>
      </c>
      <c r="J494" t="s">
        <v>34</v>
      </c>
    </row>
    <row r="495" spans="1:10">
      <c r="A495" t="s">
        <v>1046</v>
      </c>
      <c r="B495" t="s">
        <v>1047</v>
      </c>
      <c r="C495" t="s">
        <v>1048</v>
      </c>
      <c r="D495" t="s">
        <v>31</v>
      </c>
      <c r="E495">
        <v>-43044</v>
      </c>
      <c r="F495" t="s">
        <v>23</v>
      </c>
      <c r="G495" t="s">
        <v>32</v>
      </c>
      <c r="H495" t="s">
        <v>33</v>
      </c>
      <c r="I495" t="s">
        <v>45</v>
      </c>
      <c r="J495" t="s">
        <v>48</v>
      </c>
    </row>
    <row r="496" spans="1:10">
      <c r="A496" t="s">
        <v>1049</v>
      </c>
      <c r="B496" t="s">
        <v>123</v>
      </c>
      <c r="C496" t="s">
        <v>116</v>
      </c>
      <c r="D496" t="s">
        <v>111</v>
      </c>
      <c r="E496">
        <v>-19668</v>
      </c>
      <c r="F496" t="s">
        <v>74</v>
      </c>
      <c r="G496" t="s">
        <v>24</v>
      </c>
      <c r="H496" t="s">
        <v>25</v>
      </c>
      <c r="I496" t="s">
        <v>39</v>
      </c>
      <c r="J496" t="s">
        <v>40</v>
      </c>
    </row>
    <row r="497" spans="1:10">
      <c r="A497" t="s">
        <v>1050</v>
      </c>
      <c r="B497" t="s">
        <v>1051</v>
      </c>
      <c r="C497" t="s">
        <v>439</v>
      </c>
      <c r="D497" t="s">
        <v>440</v>
      </c>
      <c r="E497">
        <v>-111647</v>
      </c>
      <c r="F497" t="s">
        <v>23</v>
      </c>
      <c r="G497" t="s">
        <v>32</v>
      </c>
      <c r="H497" t="s">
        <v>33</v>
      </c>
      <c r="I497" t="s">
        <v>39</v>
      </c>
      <c r="J497" t="s">
        <v>34</v>
      </c>
    </row>
    <row r="498" spans="1:10">
      <c r="A498" t="s">
        <v>1052</v>
      </c>
      <c r="B498" t="s">
        <v>1036</v>
      </c>
      <c r="C498" t="s">
        <v>129</v>
      </c>
      <c r="D498" t="s">
        <v>38</v>
      </c>
      <c r="E498">
        <v>-10473</v>
      </c>
      <c r="F498" t="s">
        <v>23</v>
      </c>
      <c r="G498" t="s">
        <v>32</v>
      </c>
      <c r="H498" t="s">
        <v>33</v>
      </c>
      <c r="I498" t="s">
        <v>26</v>
      </c>
      <c r="J498" t="s">
        <v>48</v>
      </c>
    </row>
    <row r="499" spans="1:10">
      <c r="A499" t="s">
        <v>1053</v>
      </c>
      <c r="B499" t="s">
        <v>434</v>
      </c>
      <c r="C499" t="s">
        <v>100</v>
      </c>
      <c r="D499" t="s">
        <v>31</v>
      </c>
      <c r="E499">
        <v>-38522</v>
      </c>
      <c r="F499" t="s">
        <v>23</v>
      </c>
      <c r="G499" t="s">
        <v>24</v>
      </c>
      <c r="H499" t="s">
        <v>33</v>
      </c>
      <c r="I499" t="s">
        <v>45</v>
      </c>
      <c r="J499" t="s">
        <v>34</v>
      </c>
    </row>
    <row r="500" spans="1:10">
      <c r="A500" t="s">
        <v>1054</v>
      </c>
      <c r="B500" t="s">
        <v>812</v>
      </c>
      <c r="C500" t="s">
        <v>66</v>
      </c>
      <c r="D500" t="s">
        <v>61</v>
      </c>
      <c r="E500">
        <v>-21702</v>
      </c>
      <c r="F500" t="s">
        <v>62</v>
      </c>
      <c r="G500" t="s">
        <v>32</v>
      </c>
      <c r="H500" t="s">
        <v>63</v>
      </c>
      <c r="I500" t="s">
        <v>26</v>
      </c>
      <c r="J500" t="s">
        <v>27</v>
      </c>
    </row>
    <row r="501" spans="1:10">
      <c r="A501" t="s">
        <v>1055</v>
      </c>
      <c r="B501" t="s">
        <v>1056</v>
      </c>
      <c r="C501" t="s">
        <v>305</v>
      </c>
      <c r="D501" t="s">
        <v>38</v>
      </c>
      <c r="E501">
        <v>-46358</v>
      </c>
      <c r="F501" t="s">
        <v>23</v>
      </c>
      <c r="G501" t="s">
        <v>24</v>
      </c>
      <c r="H501" t="s">
        <v>33</v>
      </c>
      <c r="I501" t="s">
        <v>39</v>
      </c>
      <c r="J501" t="s">
        <v>27</v>
      </c>
    </row>
    <row r="502" spans="1:10">
      <c r="A502" t="s">
        <v>1057</v>
      </c>
      <c r="B502" t="s">
        <v>309</v>
      </c>
      <c r="C502" t="s">
        <v>166</v>
      </c>
      <c r="D502" t="s">
        <v>31</v>
      </c>
      <c r="E502">
        <v>-36492</v>
      </c>
      <c r="F502" t="s">
        <v>23</v>
      </c>
      <c r="G502" t="s">
        <v>32</v>
      </c>
      <c r="H502" t="s">
        <v>33</v>
      </c>
      <c r="I502" t="s">
        <v>45</v>
      </c>
      <c r="J502" t="s">
        <v>40</v>
      </c>
    </row>
    <row r="503" spans="1:10">
      <c r="A503" t="s">
        <v>1058</v>
      </c>
      <c r="B503" t="s">
        <v>555</v>
      </c>
      <c r="C503" t="s">
        <v>192</v>
      </c>
      <c r="D503" t="s">
        <v>22</v>
      </c>
      <c r="E503">
        <v>-200756</v>
      </c>
      <c r="F503" t="s">
        <v>23</v>
      </c>
      <c r="G503" t="s">
        <v>24</v>
      </c>
      <c r="H503" t="s">
        <v>25</v>
      </c>
      <c r="I503" t="s">
        <v>39</v>
      </c>
      <c r="J503" t="s">
        <v>48</v>
      </c>
    </row>
    <row r="504" spans="1:10">
      <c r="A504" t="s">
        <v>1059</v>
      </c>
      <c r="B504" t="s">
        <v>344</v>
      </c>
      <c r="C504" t="s">
        <v>212</v>
      </c>
      <c r="D504" t="s">
        <v>73</v>
      </c>
      <c r="E504">
        <v>-94324</v>
      </c>
      <c r="F504" t="s">
        <v>74</v>
      </c>
      <c r="G504" t="s">
        <v>24</v>
      </c>
      <c r="H504" t="s">
        <v>25</v>
      </c>
      <c r="I504" t="s">
        <v>45</v>
      </c>
      <c r="J504" t="s">
        <v>27</v>
      </c>
    </row>
    <row r="505" spans="1:10">
      <c r="A505" t="s">
        <v>1060</v>
      </c>
      <c r="B505" t="s">
        <v>1061</v>
      </c>
      <c r="C505" t="s">
        <v>43</v>
      </c>
      <c r="D505" t="s">
        <v>44</v>
      </c>
      <c r="E505">
        <v>-166652</v>
      </c>
      <c r="F505" t="s">
        <v>23</v>
      </c>
      <c r="G505" t="s">
        <v>32</v>
      </c>
      <c r="H505" t="s">
        <v>33</v>
      </c>
      <c r="I505" t="s">
        <v>26</v>
      </c>
      <c r="J505" t="s">
        <v>40</v>
      </c>
    </row>
    <row r="506" spans="1:10">
      <c r="A506" t="s">
        <v>677</v>
      </c>
      <c r="B506" t="s">
        <v>678</v>
      </c>
      <c r="C506" t="s">
        <v>106</v>
      </c>
      <c r="D506" t="s">
        <v>31</v>
      </c>
      <c r="E506">
        <v>-18284</v>
      </c>
      <c r="F506" t="s">
        <v>23</v>
      </c>
      <c r="G506" t="s">
        <v>32</v>
      </c>
      <c r="H506" t="s">
        <v>33</v>
      </c>
      <c r="I506" t="s">
        <v>26</v>
      </c>
      <c r="J506" t="s">
        <v>34</v>
      </c>
    </row>
    <row r="507" spans="1:10">
      <c r="A507" t="s">
        <v>1062</v>
      </c>
      <c r="B507" t="s">
        <v>444</v>
      </c>
      <c r="C507" t="s">
        <v>166</v>
      </c>
      <c r="D507" t="s">
        <v>31</v>
      </c>
      <c r="E507">
        <v>-28518</v>
      </c>
      <c r="F507" t="s">
        <v>23</v>
      </c>
      <c r="G507" t="s">
        <v>32</v>
      </c>
      <c r="H507" t="s">
        <v>33</v>
      </c>
      <c r="I507" t="s">
        <v>26</v>
      </c>
      <c r="J507" t="s">
        <v>40</v>
      </c>
    </row>
    <row r="508" spans="1:10">
      <c r="A508" t="s">
        <v>1063</v>
      </c>
      <c r="B508" t="s">
        <v>686</v>
      </c>
      <c r="C508" t="s">
        <v>116</v>
      </c>
      <c r="D508" t="s">
        <v>73</v>
      </c>
      <c r="E508">
        <v>-62339</v>
      </c>
      <c r="F508" t="s">
        <v>74</v>
      </c>
      <c r="G508" t="s">
        <v>32</v>
      </c>
      <c r="H508" t="s">
        <v>25</v>
      </c>
      <c r="I508" t="s">
        <v>39</v>
      </c>
      <c r="J508" t="s">
        <v>40</v>
      </c>
    </row>
    <row r="509" spans="1:10">
      <c r="A509" t="s">
        <v>1064</v>
      </c>
      <c r="B509" t="s">
        <v>355</v>
      </c>
      <c r="C509" t="s">
        <v>177</v>
      </c>
      <c r="D509" t="s">
        <v>78</v>
      </c>
      <c r="E509">
        <v>-16615</v>
      </c>
      <c r="F509" t="s">
        <v>23</v>
      </c>
      <c r="G509" t="s">
        <v>32</v>
      </c>
      <c r="H509" t="s">
        <v>79</v>
      </c>
      <c r="I509" t="s">
        <v>39</v>
      </c>
      <c r="J509" t="s">
        <v>48</v>
      </c>
    </row>
    <row r="510" spans="1:10">
      <c r="A510" t="s">
        <v>1065</v>
      </c>
      <c r="B510" t="s">
        <v>1066</v>
      </c>
      <c r="C510" t="s">
        <v>69</v>
      </c>
      <c r="D510" t="s">
        <v>38</v>
      </c>
      <c r="E510">
        <v>-37268</v>
      </c>
      <c r="F510" t="s">
        <v>23</v>
      </c>
      <c r="G510" t="s">
        <v>24</v>
      </c>
      <c r="H510" t="s">
        <v>33</v>
      </c>
      <c r="I510" t="s">
        <v>26</v>
      </c>
      <c r="J510" t="s">
        <v>48</v>
      </c>
    </row>
    <row r="511" spans="1:10">
      <c r="A511" t="s">
        <v>1067</v>
      </c>
      <c r="B511" t="s">
        <v>123</v>
      </c>
      <c r="C511" t="s">
        <v>161</v>
      </c>
      <c r="D511" t="s">
        <v>22</v>
      </c>
      <c r="E511">
        <v>-121186</v>
      </c>
      <c r="F511" t="s">
        <v>23</v>
      </c>
      <c r="G511" t="s">
        <v>32</v>
      </c>
      <c r="H511" t="s">
        <v>25</v>
      </c>
      <c r="I511" t="s">
        <v>39</v>
      </c>
      <c r="J511" t="s">
        <v>40</v>
      </c>
    </row>
    <row r="512" spans="1:10">
      <c r="A512" t="s">
        <v>1068</v>
      </c>
      <c r="B512" t="s">
        <v>1069</v>
      </c>
      <c r="C512" t="s">
        <v>161</v>
      </c>
      <c r="D512" t="s">
        <v>22</v>
      </c>
      <c r="E512">
        <v>-48045</v>
      </c>
      <c r="F512" t="s">
        <v>23</v>
      </c>
      <c r="G512" t="s">
        <v>24</v>
      </c>
      <c r="H512" t="s">
        <v>25</v>
      </c>
      <c r="I512" t="s">
        <v>39</v>
      </c>
      <c r="J512" t="s">
        <v>40</v>
      </c>
    </row>
    <row r="513" spans="1:10">
      <c r="A513" t="s">
        <v>1070</v>
      </c>
      <c r="B513" t="s">
        <v>1071</v>
      </c>
      <c r="C513" t="s">
        <v>77</v>
      </c>
      <c r="D513" t="s">
        <v>78</v>
      </c>
      <c r="E513">
        <v>-43010</v>
      </c>
      <c r="F513" t="s">
        <v>23</v>
      </c>
      <c r="G513" t="s">
        <v>32</v>
      </c>
      <c r="H513" t="s">
        <v>79</v>
      </c>
      <c r="I513" t="s">
        <v>26</v>
      </c>
      <c r="J513" t="s">
        <v>34</v>
      </c>
    </row>
    <row r="514" spans="1:10">
      <c r="A514" t="s">
        <v>1072</v>
      </c>
      <c r="B514" t="s">
        <v>568</v>
      </c>
      <c r="C514" t="s">
        <v>212</v>
      </c>
      <c r="D514" t="s">
        <v>73</v>
      </c>
      <c r="E514">
        <v>-30497</v>
      </c>
      <c r="F514" t="s">
        <v>74</v>
      </c>
      <c r="G514" t="s">
        <v>24</v>
      </c>
      <c r="H514" t="s">
        <v>25</v>
      </c>
      <c r="I514" t="s">
        <v>39</v>
      </c>
      <c r="J514" t="s">
        <v>27</v>
      </c>
    </row>
    <row r="515" spans="1:10">
      <c r="A515" t="s">
        <v>1073</v>
      </c>
      <c r="B515" t="s">
        <v>1074</v>
      </c>
      <c r="C515" t="s">
        <v>283</v>
      </c>
      <c r="D515" t="s">
        <v>44</v>
      </c>
      <c r="E515">
        <v>-147413</v>
      </c>
      <c r="F515" t="s">
        <v>23</v>
      </c>
      <c r="G515" t="s">
        <v>24</v>
      </c>
      <c r="H515" t="s">
        <v>33</v>
      </c>
      <c r="I515" t="s">
        <v>26</v>
      </c>
      <c r="J515" t="s">
        <v>27</v>
      </c>
    </row>
    <row r="516" spans="1:10">
      <c r="A516" t="s">
        <v>1075</v>
      </c>
      <c r="B516" t="s">
        <v>749</v>
      </c>
      <c r="C516" t="s">
        <v>90</v>
      </c>
      <c r="D516" t="s">
        <v>73</v>
      </c>
      <c r="E516">
        <v>-37392</v>
      </c>
      <c r="F516" t="s">
        <v>74</v>
      </c>
      <c r="G516" t="s">
        <v>32</v>
      </c>
      <c r="H516" t="s">
        <v>25</v>
      </c>
      <c r="I516" t="s">
        <v>39</v>
      </c>
      <c r="J516" t="s">
        <v>40</v>
      </c>
    </row>
    <row r="517" spans="1:10">
      <c r="A517" t="s">
        <v>1076</v>
      </c>
      <c r="B517" t="s">
        <v>1077</v>
      </c>
      <c r="C517" t="s">
        <v>180</v>
      </c>
      <c r="D517" t="s">
        <v>44</v>
      </c>
      <c r="E517">
        <v>-137657</v>
      </c>
      <c r="F517" t="s">
        <v>23</v>
      </c>
      <c r="G517" t="s">
        <v>32</v>
      </c>
      <c r="H517" t="s">
        <v>33</v>
      </c>
      <c r="I517" t="s">
        <v>39</v>
      </c>
      <c r="J517" t="s">
        <v>48</v>
      </c>
    </row>
    <row r="518" spans="1:10">
      <c r="A518" t="s">
        <v>1078</v>
      </c>
      <c r="B518" t="s">
        <v>784</v>
      </c>
      <c r="C518" t="s">
        <v>66</v>
      </c>
      <c r="D518" t="s">
        <v>61</v>
      </c>
      <c r="E518">
        <v>-14022</v>
      </c>
      <c r="F518" t="s">
        <v>62</v>
      </c>
      <c r="G518" t="s">
        <v>24</v>
      </c>
      <c r="H518" t="s">
        <v>63</v>
      </c>
      <c r="I518" t="s">
        <v>26</v>
      </c>
      <c r="J518" t="s">
        <v>40</v>
      </c>
    </row>
    <row r="519" spans="1:10">
      <c r="A519" t="s">
        <v>1079</v>
      </c>
      <c r="B519" t="s">
        <v>1080</v>
      </c>
      <c r="C519" t="s">
        <v>169</v>
      </c>
      <c r="D519" t="s">
        <v>73</v>
      </c>
      <c r="E519">
        <v>-18696</v>
      </c>
      <c r="F519" t="s">
        <v>74</v>
      </c>
      <c r="G519" t="s">
        <v>24</v>
      </c>
      <c r="H519" t="s">
        <v>25</v>
      </c>
      <c r="I519" t="s">
        <v>26</v>
      </c>
      <c r="J519" t="s">
        <v>34</v>
      </c>
    </row>
    <row r="520" spans="1:10">
      <c r="A520" t="s">
        <v>1081</v>
      </c>
      <c r="B520" t="s">
        <v>1082</v>
      </c>
      <c r="C520" t="s">
        <v>271</v>
      </c>
      <c r="D520" t="s">
        <v>73</v>
      </c>
      <c r="E520">
        <v>-91920</v>
      </c>
      <c r="F520" t="s">
        <v>74</v>
      </c>
      <c r="G520" t="s">
        <v>32</v>
      </c>
      <c r="H520" t="s">
        <v>25</v>
      </c>
      <c r="I520" t="s">
        <v>45</v>
      </c>
      <c r="J520" t="s">
        <v>48</v>
      </c>
    </row>
    <row r="521" spans="1:10">
      <c r="A521" t="s">
        <v>1083</v>
      </c>
      <c r="B521" t="s">
        <v>1084</v>
      </c>
      <c r="C521" t="s">
        <v>468</v>
      </c>
      <c r="D521" t="s">
        <v>440</v>
      </c>
      <c r="E521">
        <v>-99225</v>
      </c>
      <c r="F521" t="s">
        <v>23</v>
      </c>
      <c r="G521" t="s">
        <v>24</v>
      </c>
      <c r="H521" t="s">
        <v>33</v>
      </c>
      <c r="I521" t="s">
        <v>45</v>
      </c>
      <c r="J521" t="s">
        <v>40</v>
      </c>
    </row>
    <row r="522" spans="1:10">
      <c r="A522" t="s">
        <v>1085</v>
      </c>
      <c r="B522" t="s">
        <v>1086</v>
      </c>
      <c r="C522" t="s">
        <v>177</v>
      </c>
      <c r="D522" t="s">
        <v>78</v>
      </c>
      <c r="E522">
        <v>-101922</v>
      </c>
      <c r="F522" t="s">
        <v>23</v>
      </c>
      <c r="G522" t="s">
        <v>24</v>
      </c>
      <c r="H522" t="s">
        <v>79</v>
      </c>
      <c r="I522" t="s">
        <v>39</v>
      </c>
      <c r="J522" t="s">
        <v>40</v>
      </c>
    </row>
    <row r="523" spans="1:10">
      <c r="A523" t="s">
        <v>1087</v>
      </c>
      <c r="B523" t="s">
        <v>1088</v>
      </c>
      <c r="C523" t="s">
        <v>271</v>
      </c>
      <c r="D523" t="s">
        <v>73</v>
      </c>
      <c r="E523">
        <v>-30494</v>
      </c>
      <c r="F523" t="s">
        <v>74</v>
      </c>
      <c r="G523" t="s">
        <v>32</v>
      </c>
      <c r="H523" t="s">
        <v>25</v>
      </c>
      <c r="I523" t="s">
        <v>39</v>
      </c>
      <c r="J523" t="s">
        <v>27</v>
      </c>
    </row>
    <row r="524" spans="1:10">
      <c r="A524" t="s">
        <v>1089</v>
      </c>
      <c r="B524" t="s">
        <v>1090</v>
      </c>
      <c r="C524" t="s">
        <v>935</v>
      </c>
      <c r="D524" t="s">
        <v>22</v>
      </c>
      <c r="E524">
        <v>-146435</v>
      </c>
      <c r="F524" t="s">
        <v>23</v>
      </c>
      <c r="G524" t="s">
        <v>32</v>
      </c>
      <c r="H524" t="s">
        <v>25</v>
      </c>
      <c r="I524" t="s">
        <v>26</v>
      </c>
      <c r="J524" t="s">
        <v>48</v>
      </c>
    </row>
    <row r="525" spans="1:10">
      <c r="A525" t="s">
        <v>1091</v>
      </c>
      <c r="B525" t="s">
        <v>649</v>
      </c>
      <c r="C525" t="s">
        <v>293</v>
      </c>
      <c r="D525" t="s">
        <v>157</v>
      </c>
      <c r="E525">
        <v>746018</v>
      </c>
      <c r="F525" t="s">
        <v>62</v>
      </c>
      <c r="G525" t="s">
        <v>32</v>
      </c>
      <c r="H525" t="s">
        <v>25</v>
      </c>
      <c r="I525" t="s">
        <v>39</v>
      </c>
      <c r="J525" t="s">
        <v>48</v>
      </c>
    </row>
    <row r="526" spans="1:10">
      <c r="A526" t="s">
        <v>1092</v>
      </c>
      <c r="B526" t="s">
        <v>338</v>
      </c>
      <c r="C526" t="s">
        <v>305</v>
      </c>
      <c r="E526">
        <v>-23368</v>
      </c>
      <c r="F526" t="s">
        <v>23</v>
      </c>
      <c r="G526" t="s">
        <v>24</v>
      </c>
      <c r="H526" t="s">
        <v>33</v>
      </c>
      <c r="I526" t="s">
        <v>26</v>
      </c>
      <c r="J526" t="s">
        <v>40</v>
      </c>
    </row>
    <row r="527" spans="1:10">
      <c r="A527" t="s">
        <v>1093</v>
      </c>
      <c r="B527" t="s">
        <v>1094</v>
      </c>
      <c r="C527" t="s">
        <v>169</v>
      </c>
      <c r="D527" t="s">
        <v>73</v>
      </c>
      <c r="E527">
        <v>-17565</v>
      </c>
      <c r="F527" t="s">
        <v>74</v>
      </c>
      <c r="G527" t="s">
        <v>24</v>
      </c>
      <c r="H527" t="s">
        <v>25</v>
      </c>
      <c r="I527" t="s">
        <v>45</v>
      </c>
      <c r="J527" t="s">
        <v>40</v>
      </c>
    </row>
    <row r="528" spans="1:10">
      <c r="A528" t="s">
        <v>1095</v>
      </c>
      <c r="B528" t="s">
        <v>1096</v>
      </c>
      <c r="C528" t="s">
        <v>106</v>
      </c>
      <c r="D528" t="s">
        <v>31</v>
      </c>
      <c r="E528">
        <v>-30890</v>
      </c>
      <c r="F528" t="s">
        <v>23</v>
      </c>
      <c r="G528" t="s">
        <v>32</v>
      </c>
      <c r="H528" t="s">
        <v>33</v>
      </c>
      <c r="I528" t="s">
        <v>26</v>
      </c>
      <c r="J528" t="s">
        <v>27</v>
      </c>
    </row>
    <row r="529" spans="1:10">
      <c r="A529" t="s">
        <v>1097</v>
      </c>
      <c r="B529" t="s">
        <v>1098</v>
      </c>
      <c r="C529" t="s">
        <v>177</v>
      </c>
      <c r="D529" t="s">
        <v>78</v>
      </c>
      <c r="E529">
        <v>-64976</v>
      </c>
      <c r="F529" t="s">
        <v>23</v>
      </c>
      <c r="G529" t="s">
        <v>32</v>
      </c>
      <c r="H529" t="s">
        <v>79</v>
      </c>
      <c r="I529" t="s">
        <v>39</v>
      </c>
      <c r="J529" t="s">
        <v>40</v>
      </c>
    </row>
    <row r="530" spans="1:10">
      <c r="A530" t="s">
        <v>1099</v>
      </c>
      <c r="B530" t="s">
        <v>1100</v>
      </c>
      <c r="C530" t="s">
        <v>54</v>
      </c>
      <c r="D530" t="s">
        <v>38</v>
      </c>
      <c r="E530">
        <v>-32008</v>
      </c>
      <c r="F530" t="s">
        <v>23</v>
      </c>
      <c r="G530" t="s">
        <v>32</v>
      </c>
      <c r="H530" t="s">
        <v>33</v>
      </c>
      <c r="I530" t="s">
        <v>39</v>
      </c>
      <c r="J530" t="s">
        <v>27</v>
      </c>
    </row>
    <row r="531" spans="1:10">
      <c r="A531" t="s">
        <v>1101</v>
      </c>
      <c r="B531" t="s">
        <v>1102</v>
      </c>
      <c r="C531" t="s">
        <v>166</v>
      </c>
      <c r="D531" t="s">
        <v>31</v>
      </c>
      <c r="E531">
        <v>-33088</v>
      </c>
      <c r="F531" t="s">
        <v>23</v>
      </c>
      <c r="G531" t="s">
        <v>32</v>
      </c>
      <c r="H531" t="s">
        <v>33</v>
      </c>
      <c r="I531" t="s">
        <v>26</v>
      </c>
      <c r="J531" t="s">
        <v>27</v>
      </c>
    </row>
    <row r="532" spans="1:10">
      <c r="A532" t="s">
        <v>1103</v>
      </c>
      <c r="B532" t="s">
        <v>1104</v>
      </c>
      <c r="C532" t="s">
        <v>106</v>
      </c>
      <c r="D532" t="s">
        <v>31</v>
      </c>
      <c r="E532">
        <v>-8906</v>
      </c>
      <c r="F532" t="s">
        <v>23</v>
      </c>
      <c r="G532" t="s">
        <v>24</v>
      </c>
      <c r="H532" t="s">
        <v>33</v>
      </c>
      <c r="I532" t="s">
        <v>39</v>
      </c>
      <c r="J532" t="s">
        <v>27</v>
      </c>
    </row>
    <row r="533" spans="1:10">
      <c r="A533" t="s">
        <v>1105</v>
      </c>
      <c r="B533" t="s">
        <v>774</v>
      </c>
      <c r="C533" t="s">
        <v>84</v>
      </c>
      <c r="D533" t="s">
        <v>78</v>
      </c>
      <c r="E533">
        <v>-98387</v>
      </c>
      <c r="F533" t="s">
        <v>23</v>
      </c>
      <c r="G533" t="s">
        <v>32</v>
      </c>
      <c r="H533" t="s">
        <v>79</v>
      </c>
      <c r="I533" t="s">
        <v>45</v>
      </c>
      <c r="J533" t="s">
        <v>40</v>
      </c>
    </row>
    <row r="534" spans="1:10">
      <c r="A534" t="s">
        <v>1106</v>
      </c>
      <c r="B534" t="s">
        <v>282</v>
      </c>
      <c r="C534" t="s">
        <v>215</v>
      </c>
      <c r="D534" t="s">
        <v>61</v>
      </c>
      <c r="E534">
        <v>-41975</v>
      </c>
      <c r="F534" t="s">
        <v>62</v>
      </c>
      <c r="G534" t="s">
        <v>32</v>
      </c>
      <c r="H534" t="s">
        <v>63</v>
      </c>
      <c r="I534" t="s">
        <v>26</v>
      </c>
      <c r="J534" t="s">
        <v>48</v>
      </c>
    </row>
    <row r="535" spans="1:10">
      <c r="A535" t="s">
        <v>1107</v>
      </c>
      <c r="B535" t="s">
        <v>723</v>
      </c>
      <c r="C535" t="s">
        <v>166</v>
      </c>
      <c r="D535" t="s">
        <v>31</v>
      </c>
      <c r="E535">
        <v>-7173</v>
      </c>
      <c r="F535" t="s">
        <v>23</v>
      </c>
      <c r="G535" t="s">
        <v>32</v>
      </c>
      <c r="H535" t="s">
        <v>33</v>
      </c>
      <c r="I535" t="s">
        <v>39</v>
      </c>
      <c r="J535" t="s">
        <v>34</v>
      </c>
    </row>
    <row r="536" spans="1:10">
      <c r="A536" t="s">
        <v>1108</v>
      </c>
      <c r="B536" t="s">
        <v>89</v>
      </c>
      <c r="C536" t="s">
        <v>283</v>
      </c>
      <c r="D536" t="s">
        <v>44</v>
      </c>
      <c r="E536">
        <v>-58883</v>
      </c>
      <c r="F536" t="s">
        <v>23</v>
      </c>
      <c r="G536" t="s">
        <v>32</v>
      </c>
      <c r="H536" t="s">
        <v>33</v>
      </c>
      <c r="I536" t="s">
        <v>39</v>
      </c>
      <c r="J536" t="s">
        <v>27</v>
      </c>
    </row>
    <row r="537" spans="1:10">
      <c r="A537" t="s">
        <v>1109</v>
      </c>
      <c r="B537" t="s">
        <v>949</v>
      </c>
      <c r="C537" t="s">
        <v>616</v>
      </c>
      <c r="E537">
        <v>-43260</v>
      </c>
      <c r="F537" t="s">
        <v>23</v>
      </c>
      <c r="G537" t="s">
        <v>32</v>
      </c>
      <c r="H537" t="s">
        <v>25</v>
      </c>
      <c r="I537" t="s">
        <v>39</v>
      </c>
      <c r="J537" t="s">
        <v>48</v>
      </c>
    </row>
    <row r="538" spans="1:10">
      <c r="A538" t="s">
        <v>1110</v>
      </c>
      <c r="B538" t="s">
        <v>657</v>
      </c>
      <c r="C538" t="s">
        <v>215</v>
      </c>
      <c r="D538" t="s">
        <v>61</v>
      </c>
      <c r="E538">
        <v>-29472</v>
      </c>
      <c r="F538" t="s">
        <v>62</v>
      </c>
      <c r="G538" t="s">
        <v>24</v>
      </c>
      <c r="H538" t="s">
        <v>63</v>
      </c>
      <c r="I538" t="s">
        <v>39</v>
      </c>
      <c r="J538" t="s">
        <v>27</v>
      </c>
    </row>
    <row r="539" spans="1:10">
      <c r="A539" t="s">
        <v>1111</v>
      </c>
      <c r="B539" t="s">
        <v>484</v>
      </c>
      <c r="C539" t="s">
        <v>180</v>
      </c>
      <c r="D539" t="s">
        <v>44</v>
      </c>
      <c r="E539">
        <v>-108552</v>
      </c>
      <c r="F539" t="s">
        <v>23</v>
      </c>
      <c r="G539" t="s">
        <v>32</v>
      </c>
      <c r="H539" t="s">
        <v>33</v>
      </c>
      <c r="I539" t="s">
        <v>39</v>
      </c>
      <c r="J539" t="s">
        <v>48</v>
      </c>
    </row>
    <row r="540" spans="1:10">
      <c r="A540" t="s">
        <v>1112</v>
      </c>
      <c r="B540" t="s">
        <v>1113</v>
      </c>
      <c r="C540" t="s">
        <v>51</v>
      </c>
      <c r="D540" t="s">
        <v>31</v>
      </c>
      <c r="E540">
        <v>-39156</v>
      </c>
      <c r="F540" t="s">
        <v>23</v>
      </c>
      <c r="G540" t="s">
        <v>32</v>
      </c>
      <c r="H540" t="s">
        <v>33</v>
      </c>
      <c r="I540" t="s">
        <v>45</v>
      </c>
      <c r="J540" t="s">
        <v>34</v>
      </c>
    </row>
    <row r="541" spans="1:10">
      <c r="A541" t="s">
        <v>1114</v>
      </c>
      <c r="B541" t="s">
        <v>1115</v>
      </c>
      <c r="C541" t="s">
        <v>166</v>
      </c>
      <c r="D541" t="s">
        <v>31</v>
      </c>
      <c r="E541">
        <v>-37595</v>
      </c>
      <c r="F541" t="s">
        <v>23</v>
      </c>
      <c r="G541" t="s">
        <v>24</v>
      </c>
      <c r="H541" t="s">
        <v>33</v>
      </c>
      <c r="I541" t="s">
        <v>45</v>
      </c>
      <c r="J541" t="s">
        <v>48</v>
      </c>
    </row>
    <row r="542" spans="1:10">
      <c r="A542" t="s">
        <v>1116</v>
      </c>
      <c r="B542" t="s">
        <v>1117</v>
      </c>
      <c r="C542" t="s">
        <v>143</v>
      </c>
      <c r="D542" t="s">
        <v>78</v>
      </c>
      <c r="E542">
        <v>-32358</v>
      </c>
      <c r="F542" t="s">
        <v>23</v>
      </c>
      <c r="G542" t="s">
        <v>32</v>
      </c>
      <c r="H542" t="s">
        <v>79</v>
      </c>
      <c r="I542" t="s">
        <v>39</v>
      </c>
      <c r="J542" t="s">
        <v>27</v>
      </c>
    </row>
    <row r="543" spans="1:10">
      <c r="A543" t="s">
        <v>1118</v>
      </c>
      <c r="B543" t="s">
        <v>1119</v>
      </c>
      <c r="C543" t="s">
        <v>93</v>
      </c>
      <c r="D543" t="s">
        <v>73</v>
      </c>
      <c r="E543">
        <v>-93445</v>
      </c>
      <c r="F543" t="s">
        <v>74</v>
      </c>
      <c r="G543" t="s">
        <v>24</v>
      </c>
      <c r="H543" t="s">
        <v>25</v>
      </c>
      <c r="I543" t="s">
        <v>39</v>
      </c>
      <c r="J543" t="s">
        <v>48</v>
      </c>
    </row>
    <row r="544" spans="1:10">
      <c r="A544" t="s">
        <v>1120</v>
      </c>
      <c r="B544" t="s">
        <v>1121</v>
      </c>
      <c r="C544" t="s">
        <v>87</v>
      </c>
      <c r="D544" t="s">
        <v>22</v>
      </c>
      <c r="E544">
        <v>-128985</v>
      </c>
      <c r="F544" t="s">
        <v>23</v>
      </c>
      <c r="G544" t="s">
        <v>24</v>
      </c>
      <c r="H544" t="s">
        <v>25</v>
      </c>
      <c r="I544" t="s">
        <v>26</v>
      </c>
      <c r="J544" t="s">
        <v>40</v>
      </c>
    </row>
    <row r="545" spans="1:10">
      <c r="A545" t="s">
        <v>1122</v>
      </c>
      <c r="B545" t="s">
        <v>182</v>
      </c>
      <c r="C545" t="s">
        <v>468</v>
      </c>
      <c r="D545" t="s">
        <v>440</v>
      </c>
      <c r="E545">
        <v>-151836</v>
      </c>
      <c r="F545" t="s">
        <v>23</v>
      </c>
      <c r="G545" t="s">
        <v>24</v>
      </c>
      <c r="H545" t="s">
        <v>33</v>
      </c>
      <c r="I545" t="s">
        <v>45</v>
      </c>
      <c r="J545" t="s">
        <v>48</v>
      </c>
    </row>
    <row r="546" spans="1:10">
      <c r="A546" t="s">
        <v>1123</v>
      </c>
      <c r="B546" t="s">
        <v>1124</v>
      </c>
      <c r="C546" t="s">
        <v>84</v>
      </c>
      <c r="D546" t="s">
        <v>371</v>
      </c>
      <c r="E546">
        <v>-34318</v>
      </c>
      <c r="F546" t="s">
        <v>23</v>
      </c>
      <c r="G546" t="s">
        <v>32</v>
      </c>
      <c r="H546" t="s">
        <v>79</v>
      </c>
      <c r="I546" t="s">
        <v>45</v>
      </c>
      <c r="J546" t="s">
        <v>27</v>
      </c>
    </row>
    <row r="547" spans="1:10">
      <c r="A547" t="s">
        <v>1125</v>
      </c>
      <c r="B547" t="s">
        <v>629</v>
      </c>
      <c r="C547" t="s">
        <v>93</v>
      </c>
      <c r="D547" t="s">
        <v>73</v>
      </c>
      <c r="E547">
        <v>-23325</v>
      </c>
      <c r="F547" t="s">
        <v>74</v>
      </c>
      <c r="G547" t="s">
        <v>24</v>
      </c>
      <c r="H547" t="s">
        <v>25</v>
      </c>
      <c r="I547" t="s">
        <v>45</v>
      </c>
      <c r="J547" t="s">
        <v>27</v>
      </c>
    </row>
    <row r="548" spans="1:10">
      <c r="A548" t="s">
        <v>1126</v>
      </c>
      <c r="B548" t="s">
        <v>131</v>
      </c>
      <c r="C548" t="s">
        <v>169</v>
      </c>
      <c r="D548" t="s">
        <v>73</v>
      </c>
      <c r="E548">
        <v>-79536</v>
      </c>
      <c r="F548" t="s">
        <v>74</v>
      </c>
      <c r="G548" t="s">
        <v>24</v>
      </c>
      <c r="H548" t="s">
        <v>25</v>
      </c>
      <c r="I548" t="s">
        <v>39</v>
      </c>
      <c r="J548" t="s">
        <v>27</v>
      </c>
    </row>
    <row r="549" spans="1:10">
      <c r="A549" t="s">
        <v>1127</v>
      </c>
      <c r="B549" t="s">
        <v>1128</v>
      </c>
      <c r="C549" t="s">
        <v>106</v>
      </c>
      <c r="D549" t="s">
        <v>31</v>
      </c>
      <c r="E549">
        <v>-5007</v>
      </c>
      <c r="F549" t="s">
        <v>23</v>
      </c>
      <c r="G549" t="s">
        <v>24</v>
      </c>
      <c r="H549" t="s">
        <v>33</v>
      </c>
      <c r="I549" t="s">
        <v>26</v>
      </c>
      <c r="J549" t="s">
        <v>48</v>
      </c>
    </row>
    <row r="550" spans="1:10">
      <c r="A550" t="s">
        <v>1129</v>
      </c>
      <c r="B550" t="s">
        <v>1130</v>
      </c>
      <c r="C550" t="s">
        <v>533</v>
      </c>
      <c r="D550" t="s">
        <v>61</v>
      </c>
      <c r="E550">
        <v>-21505</v>
      </c>
      <c r="F550" t="s">
        <v>62</v>
      </c>
      <c r="G550" t="s">
        <v>24</v>
      </c>
      <c r="H550" t="s">
        <v>63</v>
      </c>
      <c r="I550" t="s">
        <v>45</v>
      </c>
      <c r="J550" t="s">
        <v>40</v>
      </c>
    </row>
    <row r="551" spans="1:10">
      <c r="A551" t="s">
        <v>1131</v>
      </c>
      <c r="B551" t="s">
        <v>1132</v>
      </c>
      <c r="C551" t="s">
        <v>271</v>
      </c>
      <c r="E551">
        <v>-63058</v>
      </c>
      <c r="F551" t="s">
        <v>74</v>
      </c>
      <c r="G551" t="s">
        <v>32</v>
      </c>
      <c r="H551" t="s">
        <v>25</v>
      </c>
      <c r="I551" t="s">
        <v>45</v>
      </c>
      <c r="J551" t="s">
        <v>34</v>
      </c>
    </row>
    <row r="552" spans="1:10">
      <c r="A552" t="s">
        <v>1133</v>
      </c>
      <c r="B552" t="s">
        <v>1134</v>
      </c>
      <c r="C552" t="s">
        <v>616</v>
      </c>
      <c r="D552" t="s">
        <v>193</v>
      </c>
      <c r="E552">
        <v>-147448</v>
      </c>
      <c r="F552" t="s">
        <v>23</v>
      </c>
      <c r="G552" t="s">
        <v>32</v>
      </c>
      <c r="H552" t="s">
        <v>25</v>
      </c>
      <c r="I552" t="s">
        <v>45</v>
      </c>
      <c r="J552" t="s">
        <v>34</v>
      </c>
    </row>
    <row r="553" spans="1:10">
      <c r="A553" t="s">
        <v>1135</v>
      </c>
      <c r="B553" t="s">
        <v>1136</v>
      </c>
      <c r="C553" t="s">
        <v>166</v>
      </c>
      <c r="D553" t="s">
        <v>31</v>
      </c>
      <c r="E553">
        <v>-13700</v>
      </c>
      <c r="F553" t="s">
        <v>23</v>
      </c>
      <c r="G553" t="s">
        <v>24</v>
      </c>
      <c r="H553" t="s">
        <v>33</v>
      </c>
      <c r="I553" t="s">
        <v>26</v>
      </c>
      <c r="J553" t="s">
        <v>48</v>
      </c>
    </row>
    <row r="554" spans="1:10">
      <c r="A554" t="s">
        <v>1137</v>
      </c>
      <c r="B554" t="s">
        <v>949</v>
      </c>
      <c r="C554" t="s">
        <v>202</v>
      </c>
      <c r="D554" t="s">
        <v>22</v>
      </c>
      <c r="E554">
        <v>-204065</v>
      </c>
      <c r="F554" t="s">
        <v>23</v>
      </c>
      <c r="G554" t="s">
        <v>32</v>
      </c>
      <c r="H554" t="s">
        <v>25</v>
      </c>
      <c r="I554" t="s">
        <v>39</v>
      </c>
      <c r="J554" t="s">
        <v>48</v>
      </c>
    </row>
    <row r="555" spans="1:10">
      <c r="A555" t="s">
        <v>1138</v>
      </c>
      <c r="B555" t="s">
        <v>1139</v>
      </c>
      <c r="C555" t="s">
        <v>51</v>
      </c>
      <c r="D555" t="s">
        <v>31</v>
      </c>
      <c r="E555">
        <v>-38193</v>
      </c>
      <c r="F555" t="s">
        <v>23</v>
      </c>
      <c r="G555" t="s">
        <v>24</v>
      </c>
      <c r="H555" t="s">
        <v>33</v>
      </c>
      <c r="I555" t="s">
        <v>26</v>
      </c>
      <c r="J555" t="s">
        <v>34</v>
      </c>
    </row>
    <row r="556" spans="1:10">
      <c r="A556" t="s">
        <v>1140</v>
      </c>
      <c r="B556" t="s">
        <v>1141</v>
      </c>
      <c r="C556" t="s">
        <v>93</v>
      </c>
      <c r="D556" t="s">
        <v>73</v>
      </c>
      <c r="E556">
        <v>-53371</v>
      </c>
      <c r="F556" t="s">
        <v>74</v>
      </c>
      <c r="G556" t="s">
        <v>24</v>
      </c>
      <c r="H556" t="s">
        <v>25</v>
      </c>
      <c r="I556" t="s">
        <v>26</v>
      </c>
      <c r="J556" t="s">
        <v>40</v>
      </c>
    </row>
    <row r="557" spans="1:10">
      <c r="A557" t="s">
        <v>1142</v>
      </c>
      <c r="B557" t="s">
        <v>199</v>
      </c>
      <c r="C557" t="s">
        <v>202</v>
      </c>
      <c r="D557" t="s">
        <v>22</v>
      </c>
      <c r="E557">
        <v>-215988</v>
      </c>
      <c r="F557" t="s">
        <v>23</v>
      </c>
      <c r="G557" t="s">
        <v>24</v>
      </c>
      <c r="H557" t="s">
        <v>25</v>
      </c>
      <c r="I557" t="s">
        <v>26</v>
      </c>
      <c r="J557" t="s">
        <v>34</v>
      </c>
    </row>
    <row r="558" spans="1:10">
      <c r="A558" t="s">
        <v>1143</v>
      </c>
      <c r="B558" t="s">
        <v>263</v>
      </c>
      <c r="C558" t="s">
        <v>310</v>
      </c>
      <c r="D558" t="s">
        <v>22</v>
      </c>
      <c r="E558">
        <v>-156919</v>
      </c>
      <c r="F558" t="s">
        <v>23</v>
      </c>
      <c r="G558" t="s">
        <v>24</v>
      </c>
      <c r="H558" t="s">
        <v>25</v>
      </c>
      <c r="I558" t="s">
        <v>45</v>
      </c>
      <c r="J558" t="s">
        <v>27</v>
      </c>
    </row>
    <row r="559" spans="1:10">
      <c r="A559" t="s">
        <v>1144</v>
      </c>
      <c r="B559" t="s">
        <v>1145</v>
      </c>
      <c r="C559" t="s">
        <v>255</v>
      </c>
      <c r="D559" t="s">
        <v>22</v>
      </c>
      <c r="E559">
        <v>-37521</v>
      </c>
      <c r="F559" t="s">
        <v>23</v>
      </c>
      <c r="G559" t="s">
        <v>24</v>
      </c>
      <c r="H559" t="s">
        <v>25</v>
      </c>
      <c r="I559" t="s">
        <v>26</v>
      </c>
      <c r="J559" t="s">
        <v>48</v>
      </c>
    </row>
    <row r="560" spans="1:10">
      <c r="A560" t="s">
        <v>1146</v>
      </c>
      <c r="B560" t="s">
        <v>1147</v>
      </c>
      <c r="C560" t="s">
        <v>305</v>
      </c>
      <c r="D560" t="s">
        <v>38</v>
      </c>
      <c r="E560">
        <v>-9034</v>
      </c>
      <c r="F560" t="s">
        <v>23</v>
      </c>
      <c r="G560" t="s">
        <v>32</v>
      </c>
      <c r="H560" t="s">
        <v>33</v>
      </c>
      <c r="I560" t="s">
        <v>26</v>
      </c>
      <c r="J560" t="s">
        <v>34</v>
      </c>
    </row>
    <row r="561" spans="1:10">
      <c r="A561" t="s">
        <v>1148</v>
      </c>
      <c r="B561" t="s">
        <v>576</v>
      </c>
      <c r="C561" t="s">
        <v>60</v>
      </c>
      <c r="D561" t="s">
        <v>61</v>
      </c>
      <c r="E561">
        <v>-26825</v>
      </c>
      <c r="F561" t="s">
        <v>62</v>
      </c>
      <c r="G561" t="s">
        <v>24</v>
      </c>
      <c r="H561" t="s">
        <v>63</v>
      </c>
      <c r="I561" t="s">
        <v>45</v>
      </c>
      <c r="J561" t="s">
        <v>48</v>
      </c>
    </row>
    <row r="562" spans="1:10">
      <c r="A562" t="s">
        <v>1149</v>
      </c>
      <c r="B562" t="s">
        <v>432</v>
      </c>
      <c r="C562" t="s">
        <v>143</v>
      </c>
      <c r="D562" t="s">
        <v>78</v>
      </c>
      <c r="E562">
        <v>-54054</v>
      </c>
      <c r="F562" t="s">
        <v>23</v>
      </c>
      <c r="G562" t="s">
        <v>32</v>
      </c>
      <c r="H562" t="s">
        <v>79</v>
      </c>
      <c r="I562" t="s">
        <v>26</v>
      </c>
      <c r="J562" t="s">
        <v>27</v>
      </c>
    </row>
    <row r="563" spans="1:10">
      <c r="A563" t="s">
        <v>1150</v>
      </c>
      <c r="B563" t="s">
        <v>1151</v>
      </c>
      <c r="C563" t="s">
        <v>60</v>
      </c>
      <c r="D563" t="s">
        <v>61</v>
      </c>
      <c r="E563">
        <v>-60685</v>
      </c>
      <c r="F563" t="s">
        <v>62</v>
      </c>
      <c r="G563" t="s">
        <v>24</v>
      </c>
      <c r="H563" t="s">
        <v>63</v>
      </c>
      <c r="I563" t="s">
        <v>26</v>
      </c>
      <c r="J563" t="s">
        <v>34</v>
      </c>
    </row>
    <row r="564" spans="1:10">
      <c r="A564" t="s">
        <v>1152</v>
      </c>
      <c r="B564" t="s">
        <v>1153</v>
      </c>
      <c r="C564" t="s">
        <v>129</v>
      </c>
      <c r="D564" t="s">
        <v>38</v>
      </c>
      <c r="E564">
        <v>-39211</v>
      </c>
      <c r="F564" t="s">
        <v>23</v>
      </c>
      <c r="G564" t="s">
        <v>32</v>
      </c>
      <c r="H564" t="s">
        <v>33</v>
      </c>
      <c r="I564" t="s">
        <v>26</v>
      </c>
      <c r="J564" t="s">
        <v>34</v>
      </c>
    </row>
    <row r="565" spans="1:10">
      <c r="A565" t="s">
        <v>1154</v>
      </c>
      <c r="B565" t="s">
        <v>1155</v>
      </c>
      <c r="C565" t="s">
        <v>161</v>
      </c>
      <c r="D565" t="s">
        <v>22</v>
      </c>
      <c r="E565">
        <v>-153164</v>
      </c>
      <c r="F565" t="s">
        <v>23</v>
      </c>
      <c r="G565" t="s">
        <v>24</v>
      </c>
      <c r="H565" t="s">
        <v>25</v>
      </c>
      <c r="I565" t="s">
        <v>26</v>
      </c>
      <c r="J565" t="s">
        <v>40</v>
      </c>
    </row>
    <row r="566" spans="1:10">
      <c r="A566" t="s">
        <v>1156</v>
      </c>
      <c r="B566" t="s">
        <v>1157</v>
      </c>
      <c r="C566" t="s">
        <v>57</v>
      </c>
      <c r="D566" t="s">
        <v>44</v>
      </c>
      <c r="E566">
        <v>-105954</v>
      </c>
      <c r="F566" t="s">
        <v>23</v>
      </c>
      <c r="G566" t="s">
        <v>32</v>
      </c>
      <c r="H566" t="s">
        <v>33</v>
      </c>
      <c r="I566" t="s">
        <v>45</v>
      </c>
      <c r="J566" t="s">
        <v>40</v>
      </c>
    </row>
    <row r="567" spans="1:10">
      <c r="A567" t="s">
        <v>1158</v>
      </c>
      <c r="B567" t="s">
        <v>1159</v>
      </c>
      <c r="C567" t="s">
        <v>132</v>
      </c>
      <c r="E567">
        <v>-36348</v>
      </c>
      <c r="F567" t="s">
        <v>74</v>
      </c>
      <c r="G567" t="s">
        <v>32</v>
      </c>
      <c r="H567" t="s">
        <v>25</v>
      </c>
      <c r="I567" t="s">
        <v>39</v>
      </c>
      <c r="J567" t="s">
        <v>40</v>
      </c>
    </row>
    <row r="568" spans="1:10">
      <c r="A568" t="s">
        <v>1160</v>
      </c>
      <c r="B568" t="s">
        <v>1161</v>
      </c>
      <c r="C568" t="s">
        <v>310</v>
      </c>
      <c r="D568" t="s">
        <v>331</v>
      </c>
      <c r="E568">
        <v>-144538</v>
      </c>
      <c r="F568" t="s">
        <v>23</v>
      </c>
      <c r="G568" t="s">
        <v>32</v>
      </c>
      <c r="H568" t="s">
        <v>25</v>
      </c>
      <c r="I568" t="s">
        <v>45</v>
      </c>
      <c r="J568" t="s">
        <v>40</v>
      </c>
    </row>
    <row r="569" spans="1:10">
      <c r="A569" t="s">
        <v>1162</v>
      </c>
      <c r="B569" t="s">
        <v>1163</v>
      </c>
      <c r="C569" t="s">
        <v>90</v>
      </c>
      <c r="D569" t="s">
        <v>73</v>
      </c>
      <c r="E569">
        <v>-69160</v>
      </c>
      <c r="F569" t="s">
        <v>74</v>
      </c>
      <c r="G569" t="s">
        <v>24</v>
      </c>
      <c r="H569" t="s">
        <v>25</v>
      </c>
      <c r="I569" t="s">
        <v>45</v>
      </c>
      <c r="J569" t="s">
        <v>27</v>
      </c>
    </row>
    <row r="570" spans="1:10">
      <c r="A570" t="s">
        <v>1164</v>
      </c>
      <c r="B570" t="s">
        <v>825</v>
      </c>
      <c r="C570" t="s">
        <v>266</v>
      </c>
      <c r="D570" t="s">
        <v>73</v>
      </c>
      <c r="E570">
        <v>-23985</v>
      </c>
      <c r="F570" t="s">
        <v>74</v>
      </c>
      <c r="G570" t="s">
        <v>32</v>
      </c>
      <c r="H570" t="s">
        <v>25</v>
      </c>
      <c r="I570" t="s">
        <v>26</v>
      </c>
      <c r="J570" t="s">
        <v>48</v>
      </c>
    </row>
    <row r="571" spans="1:10">
      <c r="A571" t="s">
        <v>1165</v>
      </c>
      <c r="B571" t="s">
        <v>1166</v>
      </c>
      <c r="C571" t="s">
        <v>406</v>
      </c>
      <c r="D571" t="s">
        <v>111</v>
      </c>
      <c r="E571">
        <v>-19486</v>
      </c>
      <c r="F571" t="s">
        <v>74</v>
      </c>
      <c r="G571" t="s">
        <v>32</v>
      </c>
      <c r="H571" t="s">
        <v>25</v>
      </c>
      <c r="I571" t="s">
        <v>26</v>
      </c>
      <c r="J571" t="s">
        <v>27</v>
      </c>
    </row>
    <row r="572" spans="1:10">
      <c r="A572" t="s">
        <v>1167</v>
      </c>
      <c r="B572" t="s">
        <v>1168</v>
      </c>
      <c r="C572" t="s">
        <v>215</v>
      </c>
      <c r="D572" t="s">
        <v>61</v>
      </c>
      <c r="E572">
        <v>-34632</v>
      </c>
      <c r="F572" t="s">
        <v>62</v>
      </c>
      <c r="G572" t="s">
        <v>24</v>
      </c>
      <c r="H572" t="s">
        <v>63</v>
      </c>
      <c r="I572" t="s">
        <v>39</v>
      </c>
      <c r="J572" t="s">
        <v>40</v>
      </c>
    </row>
    <row r="573" spans="1:10">
      <c r="A573" t="s">
        <v>1169</v>
      </c>
      <c r="B573" t="s">
        <v>1170</v>
      </c>
      <c r="C573" t="s">
        <v>169</v>
      </c>
      <c r="D573" t="s">
        <v>73</v>
      </c>
      <c r="E573">
        <v>-82135</v>
      </c>
      <c r="F573" t="s">
        <v>74</v>
      </c>
      <c r="G573" t="s">
        <v>24</v>
      </c>
      <c r="H573" t="s">
        <v>25</v>
      </c>
      <c r="I573" t="s">
        <v>45</v>
      </c>
      <c r="J573" t="s">
        <v>34</v>
      </c>
    </row>
    <row r="574" spans="1:10">
      <c r="A574" t="s">
        <v>1171</v>
      </c>
      <c r="B574" t="s">
        <v>1172</v>
      </c>
      <c r="C574" t="s">
        <v>84</v>
      </c>
      <c r="D574" t="s">
        <v>78</v>
      </c>
      <c r="E574">
        <v>-96665</v>
      </c>
      <c r="F574" t="s">
        <v>23</v>
      </c>
      <c r="G574" t="s">
        <v>32</v>
      </c>
      <c r="H574" t="s">
        <v>79</v>
      </c>
      <c r="I574" t="s">
        <v>45</v>
      </c>
      <c r="J574" t="s">
        <v>27</v>
      </c>
    </row>
    <row r="575" spans="1:10">
      <c r="A575" t="s">
        <v>1173</v>
      </c>
      <c r="B575" t="s">
        <v>1174</v>
      </c>
      <c r="C575" t="s">
        <v>174</v>
      </c>
      <c r="D575" t="s">
        <v>22</v>
      </c>
      <c r="E575">
        <v>-158096</v>
      </c>
      <c r="F575" t="s">
        <v>23</v>
      </c>
      <c r="G575" t="s">
        <v>24</v>
      </c>
      <c r="H575" t="s">
        <v>25</v>
      </c>
      <c r="I575" t="s">
        <v>26</v>
      </c>
      <c r="J575" t="s">
        <v>40</v>
      </c>
    </row>
    <row r="576" spans="1:10">
      <c r="A576" t="s">
        <v>1175</v>
      </c>
      <c r="B576" t="s">
        <v>1176</v>
      </c>
      <c r="C576" t="s">
        <v>215</v>
      </c>
      <c r="D576" t="s">
        <v>61</v>
      </c>
      <c r="E576">
        <v>-53162</v>
      </c>
      <c r="F576" t="s">
        <v>62</v>
      </c>
      <c r="G576" t="s">
        <v>32</v>
      </c>
      <c r="H576" t="s">
        <v>63</v>
      </c>
      <c r="I576" t="s">
        <v>45</v>
      </c>
      <c r="J576" t="s">
        <v>34</v>
      </c>
    </row>
    <row r="577" spans="1:10">
      <c r="A577" t="s">
        <v>1177</v>
      </c>
      <c r="B577" t="s">
        <v>1178</v>
      </c>
      <c r="C577" t="s">
        <v>215</v>
      </c>
      <c r="D577" t="s">
        <v>61</v>
      </c>
      <c r="E577">
        <v>-47679</v>
      </c>
      <c r="F577" t="s">
        <v>62</v>
      </c>
      <c r="G577" t="s">
        <v>24</v>
      </c>
      <c r="H577" t="s">
        <v>63</v>
      </c>
      <c r="I577" t="s">
        <v>45</v>
      </c>
      <c r="J577" t="s">
        <v>34</v>
      </c>
    </row>
    <row r="578" spans="1:10">
      <c r="A578" t="s">
        <v>1179</v>
      </c>
      <c r="B578" t="s">
        <v>1180</v>
      </c>
      <c r="C578" t="s">
        <v>77</v>
      </c>
      <c r="D578" t="s">
        <v>78</v>
      </c>
      <c r="E578">
        <v>-17368</v>
      </c>
      <c r="F578" t="s">
        <v>23</v>
      </c>
      <c r="G578" t="s">
        <v>24</v>
      </c>
      <c r="H578" t="s">
        <v>79</v>
      </c>
      <c r="I578" t="s">
        <v>39</v>
      </c>
      <c r="J578" t="s">
        <v>40</v>
      </c>
    </row>
    <row r="579" spans="1:10">
      <c r="A579" t="s">
        <v>1181</v>
      </c>
      <c r="B579" t="s">
        <v>1182</v>
      </c>
      <c r="C579" t="s">
        <v>283</v>
      </c>
      <c r="E579">
        <v>-95668</v>
      </c>
      <c r="F579" t="s">
        <v>23</v>
      </c>
      <c r="G579" t="s">
        <v>24</v>
      </c>
      <c r="H579" t="s">
        <v>33</v>
      </c>
      <c r="I579" t="s">
        <v>26</v>
      </c>
      <c r="J579" t="s">
        <v>40</v>
      </c>
    </row>
    <row r="580" spans="1:10">
      <c r="A580" t="s">
        <v>1183</v>
      </c>
      <c r="B580" t="s">
        <v>316</v>
      </c>
      <c r="C580" t="s">
        <v>116</v>
      </c>
      <c r="D580" t="s">
        <v>73</v>
      </c>
      <c r="E580">
        <v>-27767</v>
      </c>
      <c r="F580" t="s">
        <v>74</v>
      </c>
      <c r="G580" t="s">
        <v>24</v>
      </c>
      <c r="H580" t="s">
        <v>25</v>
      </c>
      <c r="I580" t="s">
        <v>39</v>
      </c>
      <c r="J580" t="s">
        <v>27</v>
      </c>
    </row>
    <row r="581" spans="1:10">
      <c r="A581" t="s">
        <v>1184</v>
      </c>
      <c r="B581" t="s">
        <v>1185</v>
      </c>
      <c r="C581" t="s">
        <v>143</v>
      </c>
      <c r="D581" t="s">
        <v>78</v>
      </c>
      <c r="E581">
        <v>-52255</v>
      </c>
      <c r="F581" t="s">
        <v>23</v>
      </c>
      <c r="G581" t="s">
        <v>24</v>
      </c>
      <c r="H581" t="s">
        <v>79</v>
      </c>
      <c r="I581" t="s">
        <v>45</v>
      </c>
      <c r="J581" t="s">
        <v>48</v>
      </c>
    </row>
    <row r="582" spans="1:10">
      <c r="A582" t="s">
        <v>1186</v>
      </c>
      <c r="B582" t="s">
        <v>241</v>
      </c>
      <c r="C582" t="s">
        <v>169</v>
      </c>
      <c r="D582" t="s">
        <v>73</v>
      </c>
      <c r="E582">
        <v>-59109</v>
      </c>
      <c r="F582" t="s">
        <v>74</v>
      </c>
      <c r="G582" t="s">
        <v>24</v>
      </c>
      <c r="H582" t="s">
        <v>25</v>
      </c>
      <c r="I582" t="s">
        <v>39</v>
      </c>
      <c r="J582" t="s">
        <v>40</v>
      </c>
    </row>
    <row r="583" spans="1:10">
      <c r="A583" t="s">
        <v>1187</v>
      </c>
      <c r="B583" t="s">
        <v>1188</v>
      </c>
      <c r="C583" t="s">
        <v>60</v>
      </c>
      <c r="D583" t="s">
        <v>61</v>
      </c>
      <c r="E583">
        <v>-40090</v>
      </c>
      <c r="F583" t="s">
        <v>62</v>
      </c>
      <c r="G583" t="s">
        <v>24</v>
      </c>
      <c r="H583" t="s">
        <v>63</v>
      </c>
      <c r="I583" t="s">
        <v>45</v>
      </c>
      <c r="J583" t="s">
        <v>40</v>
      </c>
    </row>
    <row r="584" spans="1:10">
      <c r="A584" t="s">
        <v>1189</v>
      </c>
      <c r="B584" t="s">
        <v>1190</v>
      </c>
      <c r="C584" t="s">
        <v>21</v>
      </c>
      <c r="D584" t="s">
        <v>22</v>
      </c>
      <c r="E584">
        <v>-58156</v>
      </c>
      <c r="F584" t="s">
        <v>23</v>
      </c>
      <c r="G584" t="s">
        <v>24</v>
      </c>
      <c r="H584" t="s">
        <v>25</v>
      </c>
      <c r="I584" t="s">
        <v>26</v>
      </c>
      <c r="J584" t="s">
        <v>40</v>
      </c>
    </row>
    <row r="585" spans="1:10">
      <c r="A585" t="s">
        <v>1191</v>
      </c>
      <c r="B585" t="s">
        <v>452</v>
      </c>
      <c r="C585" t="s">
        <v>116</v>
      </c>
      <c r="D585" t="s">
        <v>73</v>
      </c>
      <c r="E585">
        <v>-20657</v>
      </c>
      <c r="F585" t="s">
        <v>74</v>
      </c>
      <c r="G585" t="s">
        <v>24</v>
      </c>
      <c r="H585" t="s">
        <v>25</v>
      </c>
      <c r="I585" t="s">
        <v>39</v>
      </c>
      <c r="J585" t="s">
        <v>40</v>
      </c>
    </row>
    <row r="586" spans="1:10">
      <c r="A586" t="s">
        <v>1192</v>
      </c>
      <c r="B586" t="s">
        <v>595</v>
      </c>
      <c r="C586" t="s">
        <v>54</v>
      </c>
      <c r="D586" t="s">
        <v>38</v>
      </c>
      <c r="E586">
        <v>-22902</v>
      </c>
      <c r="F586" t="s">
        <v>23</v>
      </c>
      <c r="G586" t="s">
        <v>24</v>
      </c>
      <c r="H586" t="s">
        <v>33</v>
      </c>
      <c r="I586" t="s">
        <v>39</v>
      </c>
      <c r="J586" t="s">
        <v>48</v>
      </c>
    </row>
    <row r="587" spans="1:10">
      <c r="A587" t="s">
        <v>1193</v>
      </c>
      <c r="B587" t="s">
        <v>868</v>
      </c>
      <c r="C587" t="s">
        <v>212</v>
      </c>
      <c r="D587" t="s">
        <v>73</v>
      </c>
      <c r="E587">
        <v>-31500</v>
      </c>
      <c r="F587" t="s">
        <v>74</v>
      </c>
      <c r="G587" t="s">
        <v>32</v>
      </c>
      <c r="H587" t="s">
        <v>25</v>
      </c>
      <c r="I587" t="s">
        <v>26</v>
      </c>
      <c r="J587" t="s">
        <v>27</v>
      </c>
    </row>
    <row r="588" spans="1:10">
      <c r="A588" t="s">
        <v>1194</v>
      </c>
      <c r="B588" t="s">
        <v>1195</v>
      </c>
      <c r="C588" t="s">
        <v>156</v>
      </c>
      <c r="D588" t="s">
        <v>157</v>
      </c>
      <c r="E588">
        <v>707620</v>
      </c>
      <c r="F588" t="s">
        <v>62</v>
      </c>
      <c r="G588" t="s">
        <v>32</v>
      </c>
      <c r="H588" t="s">
        <v>25</v>
      </c>
      <c r="I588" t="s">
        <v>39</v>
      </c>
      <c r="J588" t="s">
        <v>27</v>
      </c>
    </row>
    <row r="589" spans="1:10">
      <c r="A589" t="s">
        <v>1196</v>
      </c>
      <c r="B589" t="s">
        <v>1197</v>
      </c>
      <c r="C589" t="s">
        <v>87</v>
      </c>
      <c r="D589" t="s">
        <v>22</v>
      </c>
      <c r="E589">
        <v>-80791</v>
      </c>
      <c r="F589" t="s">
        <v>23</v>
      </c>
      <c r="G589" t="s">
        <v>24</v>
      </c>
      <c r="H589" t="s">
        <v>25</v>
      </c>
      <c r="I589" t="s">
        <v>45</v>
      </c>
      <c r="J589" t="s">
        <v>40</v>
      </c>
    </row>
    <row r="590" spans="1:10">
      <c r="A590" t="s">
        <v>1198</v>
      </c>
      <c r="B590" t="s">
        <v>1199</v>
      </c>
      <c r="C590" t="s">
        <v>224</v>
      </c>
      <c r="D590" t="s">
        <v>78</v>
      </c>
      <c r="E590">
        <v>-52606</v>
      </c>
      <c r="F590" t="s">
        <v>23</v>
      </c>
      <c r="G590" t="s">
        <v>24</v>
      </c>
      <c r="H590" t="s">
        <v>79</v>
      </c>
      <c r="I590" t="s">
        <v>26</v>
      </c>
      <c r="J590" t="s">
        <v>34</v>
      </c>
    </row>
    <row r="591" spans="1:10">
      <c r="A591" t="s">
        <v>1200</v>
      </c>
      <c r="B591" t="s">
        <v>1201</v>
      </c>
      <c r="C591" t="s">
        <v>129</v>
      </c>
      <c r="D591" t="s">
        <v>38</v>
      </c>
      <c r="E591">
        <v>-33907</v>
      </c>
      <c r="F591" t="s">
        <v>23</v>
      </c>
      <c r="G591" t="s">
        <v>24</v>
      </c>
      <c r="H591" t="s">
        <v>33</v>
      </c>
      <c r="I591" t="s">
        <v>45</v>
      </c>
      <c r="J591" t="s">
        <v>34</v>
      </c>
    </row>
    <row r="592" spans="1:10">
      <c r="A592" t="s">
        <v>1202</v>
      </c>
      <c r="B592" t="s">
        <v>330</v>
      </c>
      <c r="C592" t="s">
        <v>43</v>
      </c>
      <c r="D592" t="s">
        <v>44</v>
      </c>
      <c r="E592">
        <v>-92310</v>
      </c>
      <c r="F592" t="s">
        <v>23</v>
      </c>
      <c r="G592" t="s">
        <v>24</v>
      </c>
      <c r="H592" t="s">
        <v>33</v>
      </c>
      <c r="I592" t="s">
        <v>45</v>
      </c>
      <c r="J592" t="s">
        <v>40</v>
      </c>
    </row>
    <row r="593" spans="1:10">
      <c r="A593" t="s">
        <v>1203</v>
      </c>
      <c r="B593" t="s">
        <v>1041</v>
      </c>
      <c r="C593" t="s">
        <v>143</v>
      </c>
      <c r="D593" t="s">
        <v>664</v>
      </c>
      <c r="E593">
        <v>-103538</v>
      </c>
      <c r="F593" t="s">
        <v>23</v>
      </c>
      <c r="G593" t="s">
        <v>24</v>
      </c>
      <c r="H593" t="s">
        <v>79</v>
      </c>
      <c r="I593" t="s">
        <v>26</v>
      </c>
      <c r="J593" t="s">
        <v>48</v>
      </c>
    </row>
    <row r="594" spans="1:10">
      <c r="A594" t="s">
        <v>1204</v>
      </c>
      <c r="B594" t="s">
        <v>1205</v>
      </c>
      <c r="C594" t="s">
        <v>266</v>
      </c>
      <c r="D594" t="s">
        <v>73</v>
      </c>
      <c r="E594">
        <v>-41386</v>
      </c>
      <c r="F594" t="s">
        <v>74</v>
      </c>
      <c r="G594" t="s">
        <v>24</v>
      </c>
      <c r="H594" t="s">
        <v>25</v>
      </c>
      <c r="I594" t="s">
        <v>45</v>
      </c>
      <c r="J594" t="s">
        <v>27</v>
      </c>
    </row>
    <row r="595" spans="1:10">
      <c r="A595" t="s">
        <v>1206</v>
      </c>
      <c r="B595" t="s">
        <v>1207</v>
      </c>
      <c r="C595" t="s">
        <v>177</v>
      </c>
      <c r="D595" t="s">
        <v>78</v>
      </c>
      <c r="E595">
        <v>-80921</v>
      </c>
      <c r="F595" t="s">
        <v>23</v>
      </c>
      <c r="G595" t="s">
        <v>24</v>
      </c>
      <c r="H595" t="s">
        <v>79</v>
      </c>
      <c r="I595" t="s">
        <v>45</v>
      </c>
      <c r="J595" t="s">
        <v>48</v>
      </c>
    </row>
    <row r="596" spans="1:10">
      <c r="A596" t="s">
        <v>1208</v>
      </c>
      <c r="B596" t="s">
        <v>1209</v>
      </c>
      <c r="C596" t="s">
        <v>60</v>
      </c>
      <c r="D596" t="s">
        <v>61</v>
      </c>
      <c r="E596">
        <v>-31313</v>
      </c>
      <c r="F596" t="s">
        <v>62</v>
      </c>
      <c r="G596" t="s">
        <v>24</v>
      </c>
      <c r="H596" t="s">
        <v>63</v>
      </c>
      <c r="I596" t="s">
        <v>45</v>
      </c>
      <c r="J596" t="s">
        <v>40</v>
      </c>
    </row>
    <row r="597" spans="1:10">
      <c r="A597" t="s">
        <v>1210</v>
      </c>
      <c r="B597" t="s">
        <v>385</v>
      </c>
      <c r="C597" t="s">
        <v>271</v>
      </c>
      <c r="D597" t="s">
        <v>73</v>
      </c>
      <c r="E597">
        <v>-15977</v>
      </c>
      <c r="F597" t="s">
        <v>74</v>
      </c>
      <c r="G597" t="s">
        <v>24</v>
      </c>
      <c r="H597" t="s">
        <v>25</v>
      </c>
      <c r="I597" t="s">
        <v>39</v>
      </c>
      <c r="J597" t="s">
        <v>27</v>
      </c>
    </row>
    <row r="598" spans="1:10">
      <c r="A598" t="s">
        <v>1211</v>
      </c>
      <c r="B598" t="s">
        <v>1212</v>
      </c>
      <c r="C598" t="s">
        <v>192</v>
      </c>
      <c r="D598" t="s">
        <v>22</v>
      </c>
      <c r="E598">
        <v>-88339</v>
      </c>
      <c r="F598" t="s">
        <v>23</v>
      </c>
      <c r="G598" t="s">
        <v>32</v>
      </c>
      <c r="H598" t="s">
        <v>25</v>
      </c>
      <c r="I598" t="s">
        <v>39</v>
      </c>
      <c r="J598" t="s">
        <v>34</v>
      </c>
    </row>
    <row r="599" spans="1:10">
      <c r="A599" t="s">
        <v>1213</v>
      </c>
      <c r="B599" t="s">
        <v>1214</v>
      </c>
      <c r="C599" t="s">
        <v>100</v>
      </c>
      <c r="D599" t="s">
        <v>31</v>
      </c>
      <c r="E599">
        <v>-13524</v>
      </c>
      <c r="F599" t="s">
        <v>23</v>
      </c>
      <c r="G599" t="s">
        <v>32</v>
      </c>
      <c r="H599" t="s">
        <v>33</v>
      </c>
      <c r="I599" t="s">
        <v>26</v>
      </c>
      <c r="J599" t="s">
        <v>48</v>
      </c>
    </row>
    <row r="600" spans="1:10">
      <c r="A600" t="s">
        <v>1215</v>
      </c>
      <c r="B600" t="s">
        <v>951</v>
      </c>
      <c r="C600" t="s">
        <v>468</v>
      </c>
      <c r="D600" t="s">
        <v>440</v>
      </c>
      <c r="E600">
        <v>-137993</v>
      </c>
      <c r="F600" t="s">
        <v>23</v>
      </c>
      <c r="G600" t="s">
        <v>24</v>
      </c>
      <c r="H600" t="s">
        <v>33</v>
      </c>
      <c r="I600" t="s">
        <v>39</v>
      </c>
      <c r="J600" t="s">
        <v>40</v>
      </c>
    </row>
    <row r="601" spans="1:10">
      <c r="A601" t="s">
        <v>1216</v>
      </c>
      <c r="B601" t="s">
        <v>1217</v>
      </c>
      <c r="C601" t="s">
        <v>935</v>
      </c>
      <c r="D601" t="s">
        <v>22</v>
      </c>
      <c r="E601">
        <v>-183780</v>
      </c>
      <c r="F601" t="s">
        <v>23</v>
      </c>
      <c r="G601" t="s">
        <v>32</v>
      </c>
      <c r="H601" t="s">
        <v>25</v>
      </c>
      <c r="I601" t="s">
        <v>26</v>
      </c>
      <c r="J601" t="s">
        <v>40</v>
      </c>
    </row>
    <row r="602" spans="1:10">
      <c r="A602" t="s">
        <v>1218</v>
      </c>
      <c r="B602" t="s">
        <v>1219</v>
      </c>
      <c r="C602" t="s">
        <v>802</v>
      </c>
      <c r="D602" t="s">
        <v>440</v>
      </c>
      <c r="E602">
        <v>-156203</v>
      </c>
      <c r="F602" t="s">
        <v>23</v>
      </c>
      <c r="G602" t="s">
        <v>24</v>
      </c>
      <c r="H602" t="s">
        <v>33</v>
      </c>
      <c r="I602" t="s">
        <v>26</v>
      </c>
      <c r="J602" t="s">
        <v>48</v>
      </c>
    </row>
    <row r="603" spans="1:10">
      <c r="A603" t="s">
        <v>1220</v>
      </c>
      <c r="B603" t="s">
        <v>949</v>
      </c>
      <c r="C603" t="s">
        <v>143</v>
      </c>
      <c r="D603" t="s">
        <v>78</v>
      </c>
      <c r="E603">
        <v>-118956</v>
      </c>
      <c r="F603" t="s">
        <v>23</v>
      </c>
      <c r="G603" t="s">
        <v>24</v>
      </c>
      <c r="H603" t="s">
        <v>79</v>
      </c>
      <c r="I603" t="s">
        <v>39</v>
      </c>
      <c r="J603" t="s">
        <v>48</v>
      </c>
    </row>
    <row r="604" spans="1:10">
      <c r="A604" t="s">
        <v>1221</v>
      </c>
      <c r="B604" t="s">
        <v>1222</v>
      </c>
      <c r="C604" t="s">
        <v>237</v>
      </c>
      <c r="D604" t="s">
        <v>22</v>
      </c>
      <c r="E604">
        <v>-184138</v>
      </c>
      <c r="F604" t="s">
        <v>23</v>
      </c>
      <c r="G604" t="s">
        <v>24</v>
      </c>
      <c r="H604" t="s">
        <v>25</v>
      </c>
      <c r="I604" t="s">
        <v>45</v>
      </c>
      <c r="J604" t="s">
        <v>48</v>
      </c>
    </row>
    <row r="605" spans="1:10">
      <c r="A605" t="s">
        <v>1223</v>
      </c>
      <c r="B605" t="s">
        <v>1224</v>
      </c>
      <c r="C605" t="s">
        <v>212</v>
      </c>
      <c r="D605" t="s">
        <v>73</v>
      </c>
      <c r="E605">
        <v>-50749</v>
      </c>
      <c r="F605" t="s">
        <v>74</v>
      </c>
      <c r="G605" t="s">
        <v>24</v>
      </c>
      <c r="H605" t="s">
        <v>25</v>
      </c>
      <c r="I605" t="s">
        <v>39</v>
      </c>
      <c r="J605" t="s">
        <v>48</v>
      </c>
    </row>
    <row r="606" spans="1:10">
      <c r="A606" t="s">
        <v>1225</v>
      </c>
      <c r="B606" t="s">
        <v>247</v>
      </c>
      <c r="C606" t="s">
        <v>51</v>
      </c>
      <c r="D606" t="s">
        <v>31</v>
      </c>
      <c r="E606">
        <v>-39623</v>
      </c>
      <c r="F606" t="s">
        <v>23</v>
      </c>
      <c r="G606" t="s">
        <v>24</v>
      </c>
      <c r="H606" t="s">
        <v>33</v>
      </c>
      <c r="I606" t="s">
        <v>39</v>
      </c>
      <c r="J606" t="s">
        <v>27</v>
      </c>
    </row>
    <row r="607" spans="1:10">
      <c r="A607" t="s">
        <v>1226</v>
      </c>
      <c r="B607" t="s">
        <v>123</v>
      </c>
      <c r="C607" t="s">
        <v>87</v>
      </c>
      <c r="D607" t="s">
        <v>22</v>
      </c>
      <c r="E607">
        <v>-166145</v>
      </c>
      <c r="F607" t="s">
        <v>23</v>
      </c>
      <c r="G607" t="s">
        <v>24</v>
      </c>
      <c r="H607" t="s">
        <v>25</v>
      </c>
      <c r="I607" t="s">
        <v>39</v>
      </c>
      <c r="J607" t="s">
        <v>40</v>
      </c>
    </row>
    <row r="608" spans="1:10">
      <c r="A608" t="s">
        <v>1227</v>
      </c>
      <c r="B608" t="s">
        <v>1228</v>
      </c>
      <c r="C608" t="s">
        <v>215</v>
      </c>
      <c r="D608" t="s">
        <v>61</v>
      </c>
      <c r="E608">
        <v>-19622</v>
      </c>
      <c r="F608" t="s">
        <v>62</v>
      </c>
      <c r="G608" t="s">
        <v>24</v>
      </c>
      <c r="H608" t="s">
        <v>63</v>
      </c>
      <c r="I608" t="s">
        <v>39</v>
      </c>
      <c r="J608" t="s">
        <v>27</v>
      </c>
    </row>
    <row r="609" spans="1:10">
      <c r="A609" t="s">
        <v>1229</v>
      </c>
      <c r="B609" t="s">
        <v>1230</v>
      </c>
      <c r="C609" t="s">
        <v>237</v>
      </c>
      <c r="D609" t="s">
        <v>22</v>
      </c>
      <c r="E609">
        <v>-173986</v>
      </c>
      <c r="F609" t="s">
        <v>23</v>
      </c>
      <c r="G609" t="s">
        <v>32</v>
      </c>
      <c r="H609" t="s">
        <v>25</v>
      </c>
      <c r="I609" t="s">
        <v>26</v>
      </c>
      <c r="J609" t="s">
        <v>34</v>
      </c>
    </row>
    <row r="610" spans="1:10">
      <c r="A610" t="s">
        <v>1231</v>
      </c>
      <c r="B610" t="s">
        <v>1232</v>
      </c>
      <c r="C610" t="s">
        <v>143</v>
      </c>
      <c r="D610" t="s">
        <v>78</v>
      </c>
      <c r="E610">
        <v>-27099</v>
      </c>
      <c r="F610" t="s">
        <v>23</v>
      </c>
      <c r="G610" t="s">
        <v>32</v>
      </c>
      <c r="H610" t="s">
        <v>79</v>
      </c>
      <c r="I610" t="s">
        <v>45</v>
      </c>
      <c r="J610" t="s">
        <v>27</v>
      </c>
    </row>
    <row r="611" spans="1:10">
      <c r="A611" t="s">
        <v>1233</v>
      </c>
      <c r="B611" t="s">
        <v>788</v>
      </c>
      <c r="C611" t="s">
        <v>169</v>
      </c>
      <c r="D611" t="s">
        <v>73</v>
      </c>
      <c r="E611">
        <v>-47283</v>
      </c>
      <c r="F611" t="s">
        <v>74</v>
      </c>
      <c r="G611" t="s">
        <v>24</v>
      </c>
      <c r="H611" t="s">
        <v>25</v>
      </c>
      <c r="I611" t="s">
        <v>39</v>
      </c>
      <c r="J611" t="s">
        <v>48</v>
      </c>
    </row>
    <row r="612" spans="1:10">
      <c r="A612" t="s">
        <v>1234</v>
      </c>
      <c r="B612" t="s">
        <v>861</v>
      </c>
      <c r="C612" t="s">
        <v>106</v>
      </c>
      <c r="D612" t="s">
        <v>31</v>
      </c>
      <c r="E612">
        <v>-43064</v>
      </c>
      <c r="F612" t="s">
        <v>23</v>
      </c>
      <c r="G612" t="s">
        <v>24</v>
      </c>
      <c r="H612" t="s">
        <v>33</v>
      </c>
      <c r="I612" t="s">
        <v>26</v>
      </c>
      <c r="J612" t="s">
        <v>48</v>
      </c>
    </row>
    <row r="613" spans="1:10">
      <c r="A613" t="s">
        <v>1235</v>
      </c>
      <c r="B613" t="s">
        <v>1141</v>
      </c>
      <c r="C613" t="s">
        <v>37</v>
      </c>
      <c r="D613" t="s">
        <v>38</v>
      </c>
      <c r="E613">
        <v>-15010</v>
      </c>
      <c r="F613" t="s">
        <v>23</v>
      </c>
      <c r="G613" t="s">
        <v>24</v>
      </c>
      <c r="H613" t="s">
        <v>33</v>
      </c>
      <c r="I613" t="s">
        <v>26</v>
      </c>
      <c r="J613" t="s">
        <v>40</v>
      </c>
    </row>
    <row r="614" spans="1:10">
      <c r="A614" t="s">
        <v>1236</v>
      </c>
      <c r="B614" t="s">
        <v>1237</v>
      </c>
      <c r="C614" t="s">
        <v>177</v>
      </c>
      <c r="D614" t="s">
        <v>78</v>
      </c>
      <c r="E614">
        <v>-33899</v>
      </c>
      <c r="F614" t="s">
        <v>23</v>
      </c>
      <c r="G614" t="s">
        <v>32</v>
      </c>
      <c r="H614" t="s">
        <v>79</v>
      </c>
      <c r="I614" t="s">
        <v>26</v>
      </c>
      <c r="J614" t="s">
        <v>40</v>
      </c>
    </row>
    <row r="615" spans="1:10">
      <c r="A615" t="s">
        <v>1238</v>
      </c>
      <c r="B615" t="s">
        <v>1239</v>
      </c>
      <c r="C615" t="s">
        <v>161</v>
      </c>
      <c r="E615">
        <v>-167856</v>
      </c>
      <c r="F615" t="s">
        <v>23</v>
      </c>
      <c r="G615" t="s">
        <v>24</v>
      </c>
      <c r="H615" t="s">
        <v>25</v>
      </c>
      <c r="I615" t="s">
        <v>45</v>
      </c>
      <c r="J615" t="s">
        <v>27</v>
      </c>
    </row>
    <row r="616" spans="1:10">
      <c r="A616" t="s">
        <v>1240</v>
      </c>
      <c r="B616" t="s">
        <v>1241</v>
      </c>
      <c r="C616" t="s">
        <v>66</v>
      </c>
      <c r="D616" t="s">
        <v>61</v>
      </c>
      <c r="E616">
        <v>-47659</v>
      </c>
      <c r="F616" t="s">
        <v>62</v>
      </c>
      <c r="G616" t="s">
        <v>24</v>
      </c>
      <c r="H616" t="s">
        <v>63</v>
      </c>
      <c r="I616" t="s">
        <v>26</v>
      </c>
      <c r="J616" t="s">
        <v>40</v>
      </c>
    </row>
    <row r="617" spans="1:10">
      <c r="A617" t="s">
        <v>1242</v>
      </c>
      <c r="B617" t="s">
        <v>1243</v>
      </c>
      <c r="C617" t="s">
        <v>266</v>
      </c>
      <c r="D617" t="s">
        <v>73</v>
      </c>
      <c r="E617">
        <v>-67850</v>
      </c>
      <c r="F617" t="s">
        <v>74</v>
      </c>
      <c r="G617" t="s">
        <v>32</v>
      </c>
      <c r="H617" t="s">
        <v>25</v>
      </c>
      <c r="I617" t="s">
        <v>45</v>
      </c>
      <c r="J617" t="s">
        <v>48</v>
      </c>
    </row>
    <row r="618" spans="1:10">
      <c r="A618" t="s">
        <v>1244</v>
      </c>
      <c r="B618" t="s">
        <v>1245</v>
      </c>
      <c r="C618" t="s">
        <v>51</v>
      </c>
      <c r="D618" t="s">
        <v>31</v>
      </c>
      <c r="E618">
        <v>-24482</v>
      </c>
      <c r="F618" t="s">
        <v>23</v>
      </c>
      <c r="G618" t="s">
        <v>24</v>
      </c>
      <c r="H618" t="s">
        <v>33</v>
      </c>
      <c r="I618" t="s">
        <v>45</v>
      </c>
      <c r="J618" t="s">
        <v>27</v>
      </c>
    </row>
    <row r="619" spans="1:10">
      <c r="A619" t="s">
        <v>1246</v>
      </c>
      <c r="B619" t="s">
        <v>1247</v>
      </c>
      <c r="C619" t="s">
        <v>106</v>
      </c>
      <c r="D619" t="s">
        <v>31</v>
      </c>
      <c r="E619">
        <v>-9580</v>
      </c>
      <c r="F619" t="s">
        <v>23</v>
      </c>
      <c r="G619" t="s">
        <v>32</v>
      </c>
      <c r="H619" t="s">
        <v>33</v>
      </c>
      <c r="I619" t="s">
        <v>26</v>
      </c>
      <c r="J619" t="s">
        <v>27</v>
      </c>
    </row>
    <row r="620" spans="1:10">
      <c r="A620" t="s">
        <v>1248</v>
      </c>
      <c r="B620" t="s">
        <v>1061</v>
      </c>
      <c r="C620" t="s">
        <v>60</v>
      </c>
      <c r="D620" t="s">
        <v>61</v>
      </c>
      <c r="E620">
        <v>-25242</v>
      </c>
      <c r="F620" t="s">
        <v>62</v>
      </c>
      <c r="G620" t="s">
        <v>32</v>
      </c>
      <c r="H620" t="s">
        <v>63</v>
      </c>
      <c r="I620" t="s">
        <v>26</v>
      </c>
      <c r="J620" t="s">
        <v>40</v>
      </c>
    </row>
    <row r="621" spans="1:10">
      <c r="A621" t="s">
        <v>1249</v>
      </c>
      <c r="B621" t="s">
        <v>1250</v>
      </c>
      <c r="C621" t="s">
        <v>60</v>
      </c>
      <c r="D621" t="s">
        <v>61</v>
      </c>
      <c r="E621">
        <v>-50028</v>
      </c>
      <c r="F621" t="s">
        <v>62</v>
      </c>
      <c r="G621" t="s">
        <v>24</v>
      </c>
      <c r="H621" t="s">
        <v>63</v>
      </c>
      <c r="I621" t="s">
        <v>26</v>
      </c>
      <c r="J621" t="s">
        <v>27</v>
      </c>
    </row>
    <row r="622" spans="1:10">
      <c r="A622" t="s">
        <v>1251</v>
      </c>
      <c r="B622" t="s">
        <v>1252</v>
      </c>
      <c r="C622" t="s">
        <v>132</v>
      </c>
      <c r="D622" t="s">
        <v>73</v>
      </c>
      <c r="E622">
        <v>-62419</v>
      </c>
      <c r="F622" t="s">
        <v>74</v>
      </c>
      <c r="G622" t="s">
        <v>24</v>
      </c>
      <c r="H622" t="s">
        <v>25</v>
      </c>
      <c r="I622" t="s">
        <v>45</v>
      </c>
      <c r="J622" t="s">
        <v>27</v>
      </c>
    </row>
    <row r="623" spans="1:10">
      <c r="A623" t="s">
        <v>1253</v>
      </c>
      <c r="B623" t="s">
        <v>983</v>
      </c>
      <c r="C623" t="s">
        <v>132</v>
      </c>
      <c r="D623" t="s">
        <v>187</v>
      </c>
      <c r="E623">
        <v>-76799</v>
      </c>
      <c r="F623" t="s">
        <v>74</v>
      </c>
      <c r="G623" t="s">
        <v>32</v>
      </c>
      <c r="H623" t="s">
        <v>25</v>
      </c>
      <c r="I623" t="s">
        <v>39</v>
      </c>
      <c r="J623" t="s">
        <v>40</v>
      </c>
    </row>
    <row r="624" spans="1:10">
      <c r="A624" t="s">
        <v>1254</v>
      </c>
      <c r="B624" t="s">
        <v>254</v>
      </c>
      <c r="C624" t="s">
        <v>72</v>
      </c>
      <c r="D624" t="s">
        <v>73</v>
      </c>
      <c r="E624">
        <v>-81200</v>
      </c>
      <c r="F624" t="s">
        <v>74</v>
      </c>
      <c r="G624" t="s">
        <v>32</v>
      </c>
      <c r="H624" t="s">
        <v>25</v>
      </c>
      <c r="I624" t="s">
        <v>45</v>
      </c>
      <c r="J624" t="s">
        <v>48</v>
      </c>
    </row>
    <row r="625" spans="1:10">
      <c r="A625" t="s">
        <v>1255</v>
      </c>
      <c r="B625" t="s">
        <v>637</v>
      </c>
      <c r="C625" t="s">
        <v>132</v>
      </c>
      <c r="D625" t="s">
        <v>73</v>
      </c>
      <c r="E625">
        <v>-26035</v>
      </c>
      <c r="F625" t="s">
        <v>74</v>
      </c>
      <c r="G625" t="s">
        <v>24</v>
      </c>
      <c r="H625" t="s">
        <v>25</v>
      </c>
      <c r="I625" t="s">
        <v>26</v>
      </c>
      <c r="J625" t="s">
        <v>34</v>
      </c>
    </row>
    <row r="626" spans="1:10">
      <c r="A626" t="s">
        <v>1256</v>
      </c>
      <c r="B626" t="s">
        <v>1257</v>
      </c>
      <c r="C626" t="s">
        <v>51</v>
      </c>
      <c r="D626" t="s">
        <v>31</v>
      </c>
      <c r="E626">
        <v>-14316</v>
      </c>
      <c r="F626" t="s">
        <v>23</v>
      </c>
      <c r="G626" t="s">
        <v>24</v>
      </c>
      <c r="H626" t="s">
        <v>33</v>
      </c>
      <c r="I626" t="s">
        <v>26</v>
      </c>
      <c r="J626" t="s">
        <v>34</v>
      </c>
    </row>
    <row r="627" spans="1:10">
      <c r="A627" t="s">
        <v>1258</v>
      </c>
      <c r="B627" t="s">
        <v>1176</v>
      </c>
      <c r="C627" t="s">
        <v>174</v>
      </c>
      <c r="D627" t="s">
        <v>22</v>
      </c>
      <c r="E627">
        <v>-204785</v>
      </c>
      <c r="F627" t="s">
        <v>23</v>
      </c>
      <c r="G627" t="s">
        <v>32</v>
      </c>
      <c r="H627" t="s">
        <v>25</v>
      </c>
      <c r="I627" t="s">
        <v>45</v>
      </c>
      <c r="J627" t="s">
        <v>34</v>
      </c>
    </row>
    <row r="628" spans="1:10">
      <c r="A628" t="s">
        <v>1259</v>
      </c>
      <c r="B628" t="s">
        <v>1260</v>
      </c>
      <c r="C628" t="s">
        <v>1261</v>
      </c>
      <c r="D628" t="s">
        <v>73</v>
      </c>
      <c r="E628">
        <v>-17441</v>
      </c>
      <c r="F628" t="s">
        <v>74</v>
      </c>
      <c r="G628" t="s">
        <v>32</v>
      </c>
      <c r="H628" t="s">
        <v>25</v>
      </c>
      <c r="I628" t="s">
        <v>26</v>
      </c>
      <c r="J628" t="s">
        <v>27</v>
      </c>
    </row>
    <row r="629" spans="1:10">
      <c r="A629" t="s">
        <v>1262</v>
      </c>
      <c r="B629" t="s">
        <v>1263</v>
      </c>
      <c r="C629" t="s">
        <v>1264</v>
      </c>
      <c r="D629" t="s">
        <v>44</v>
      </c>
      <c r="E629">
        <v>-179254</v>
      </c>
      <c r="F629" t="s">
        <v>23</v>
      </c>
      <c r="G629" t="s">
        <v>24</v>
      </c>
      <c r="H629" t="s">
        <v>33</v>
      </c>
      <c r="I629" t="s">
        <v>39</v>
      </c>
      <c r="J629" t="s">
        <v>34</v>
      </c>
    </row>
    <row r="630" spans="1:10">
      <c r="A630" t="s">
        <v>1265</v>
      </c>
      <c r="B630" t="s">
        <v>578</v>
      </c>
      <c r="C630" t="s">
        <v>519</v>
      </c>
      <c r="D630" t="s">
        <v>44</v>
      </c>
      <c r="E630">
        <v>-138807</v>
      </c>
      <c r="F630" t="s">
        <v>23</v>
      </c>
      <c r="G630" t="s">
        <v>24</v>
      </c>
      <c r="H630" t="s">
        <v>33</v>
      </c>
      <c r="I630" t="s">
        <v>45</v>
      </c>
      <c r="J630" t="s">
        <v>48</v>
      </c>
    </row>
    <row r="631" spans="1:10">
      <c r="A631" t="s">
        <v>1266</v>
      </c>
      <c r="B631" t="s">
        <v>1267</v>
      </c>
      <c r="C631" t="s">
        <v>37</v>
      </c>
      <c r="E631">
        <v>-10141</v>
      </c>
      <c r="F631" t="s">
        <v>23</v>
      </c>
      <c r="G631" t="s">
        <v>24</v>
      </c>
      <c r="H631" t="s">
        <v>33</v>
      </c>
      <c r="I631" t="s">
        <v>45</v>
      </c>
      <c r="J631" t="s">
        <v>40</v>
      </c>
    </row>
    <row r="632" spans="1:10">
      <c r="A632" t="s">
        <v>1268</v>
      </c>
      <c r="B632" t="s">
        <v>717</v>
      </c>
      <c r="C632" t="s">
        <v>224</v>
      </c>
      <c r="D632" t="s">
        <v>78</v>
      </c>
      <c r="E632">
        <v>-95121</v>
      </c>
      <c r="F632" t="s">
        <v>23</v>
      </c>
      <c r="G632" t="s">
        <v>32</v>
      </c>
      <c r="H632" t="s">
        <v>79</v>
      </c>
      <c r="I632" t="s">
        <v>39</v>
      </c>
      <c r="J632" t="s">
        <v>48</v>
      </c>
    </row>
    <row r="633" spans="1:10">
      <c r="A633" t="s">
        <v>1269</v>
      </c>
      <c r="B633" t="s">
        <v>1270</v>
      </c>
      <c r="C633" t="s">
        <v>156</v>
      </c>
      <c r="D633" t="s">
        <v>157</v>
      </c>
      <c r="E633">
        <v>735308</v>
      </c>
      <c r="F633" t="s">
        <v>62</v>
      </c>
      <c r="G633" t="s">
        <v>32</v>
      </c>
      <c r="H633" t="s">
        <v>25</v>
      </c>
      <c r="I633" t="s">
        <v>39</v>
      </c>
      <c r="J633" t="s">
        <v>40</v>
      </c>
    </row>
    <row r="634" spans="1:10">
      <c r="A634" t="s">
        <v>1271</v>
      </c>
      <c r="B634" t="s">
        <v>322</v>
      </c>
      <c r="C634" t="s">
        <v>84</v>
      </c>
      <c r="D634" t="s">
        <v>78</v>
      </c>
      <c r="E634">
        <v>-100950</v>
      </c>
      <c r="F634" t="s">
        <v>23</v>
      </c>
      <c r="G634" t="s">
        <v>24</v>
      </c>
      <c r="H634" t="s">
        <v>79</v>
      </c>
      <c r="I634" t="s">
        <v>26</v>
      </c>
      <c r="J634" t="s">
        <v>48</v>
      </c>
    </row>
    <row r="635" spans="1:10">
      <c r="A635" t="s">
        <v>1272</v>
      </c>
      <c r="B635" t="s">
        <v>506</v>
      </c>
      <c r="C635" t="s">
        <v>51</v>
      </c>
      <c r="D635" t="s">
        <v>31</v>
      </c>
      <c r="E635">
        <v>-10909</v>
      </c>
      <c r="F635" t="s">
        <v>23</v>
      </c>
      <c r="G635" t="s">
        <v>24</v>
      </c>
      <c r="H635" t="s">
        <v>33</v>
      </c>
      <c r="I635" t="s">
        <v>45</v>
      </c>
      <c r="J635" t="s">
        <v>40</v>
      </c>
    </row>
    <row r="636" spans="1:10">
      <c r="A636" t="s">
        <v>1273</v>
      </c>
      <c r="B636" t="s">
        <v>456</v>
      </c>
      <c r="C636" t="s">
        <v>202</v>
      </c>
      <c r="D636" t="s">
        <v>207</v>
      </c>
      <c r="E636">
        <v>-84395</v>
      </c>
      <c r="F636" t="s">
        <v>23</v>
      </c>
      <c r="G636" t="s">
        <v>32</v>
      </c>
      <c r="H636" t="s">
        <v>25</v>
      </c>
      <c r="I636" t="s">
        <v>39</v>
      </c>
      <c r="J636" t="s">
        <v>40</v>
      </c>
    </row>
    <row r="637" spans="1:10">
      <c r="A637" t="s">
        <v>1274</v>
      </c>
      <c r="B637" t="s">
        <v>1100</v>
      </c>
      <c r="C637" t="s">
        <v>60</v>
      </c>
      <c r="E637">
        <v>-38620</v>
      </c>
      <c r="F637" t="s">
        <v>62</v>
      </c>
      <c r="G637" t="s">
        <v>32</v>
      </c>
      <c r="H637" t="s">
        <v>63</v>
      </c>
      <c r="I637" t="s">
        <v>39</v>
      </c>
      <c r="J637" t="s">
        <v>27</v>
      </c>
    </row>
    <row r="638" spans="1:10">
      <c r="A638" t="s">
        <v>1275</v>
      </c>
      <c r="B638" t="s">
        <v>923</v>
      </c>
      <c r="C638" t="s">
        <v>169</v>
      </c>
      <c r="D638" t="s">
        <v>73</v>
      </c>
      <c r="E638">
        <v>-62206</v>
      </c>
      <c r="F638" t="s">
        <v>74</v>
      </c>
      <c r="G638" t="s">
        <v>32</v>
      </c>
      <c r="H638" t="s">
        <v>25</v>
      </c>
      <c r="I638" t="s">
        <v>26</v>
      </c>
      <c r="J638" t="s">
        <v>48</v>
      </c>
    </row>
    <row r="639" spans="1:10">
      <c r="A639" t="s">
        <v>1276</v>
      </c>
      <c r="B639" t="s">
        <v>578</v>
      </c>
      <c r="C639" t="s">
        <v>166</v>
      </c>
      <c r="D639" t="s">
        <v>31</v>
      </c>
      <c r="E639">
        <v>-5466</v>
      </c>
      <c r="F639" t="s">
        <v>23</v>
      </c>
      <c r="G639" t="s">
        <v>32</v>
      </c>
      <c r="H639" t="s">
        <v>33</v>
      </c>
      <c r="I639" t="s">
        <v>45</v>
      </c>
      <c r="J639" t="s">
        <v>48</v>
      </c>
    </row>
    <row r="640" spans="1:10">
      <c r="A640" t="s">
        <v>1277</v>
      </c>
      <c r="B640" t="s">
        <v>1190</v>
      </c>
      <c r="C640" t="s">
        <v>174</v>
      </c>
      <c r="D640" t="s">
        <v>22</v>
      </c>
      <c r="E640">
        <v>-151791</v>
      </c>
      <c r="F640" t="s">
        <v>23</v>
      </c>
      <c r="G640" t="s">
        <v>32</v>
      </c>
      <c r="H640" t="s">
        <v>25</v>
      </c>
      <c r="I640" t="s">
        <v>26</v>
      </c>
      <c r="J640" t="s">
        <v>40</v>
      </c>
    </row>
    <row r="641" spans="1:10">
      <c r="A641" t="s">
        <v>1278</v>
      </c>
      <c r="B641" t="s">
        <v>363</v>
      </c>
      <c r="C641" t="s">
        <v>169</v>
      </c>
      <c r="D641" t="s">
        <v>73</v>
      </c>
      <c r="E641">
        <v>-54076</v>
      </c>
      <c r="F641" t="s">
        <v>74</v>
      </c>
      <c r="G641" t="s">
        <v>32</v>
      </c>
      <c r="H641" t="s">
        <v>25</v>
      </c>
      <c r="I641" t="s">
        <v>26</v>
      </c>
      <c r="J641" t="s">
        <v>40</v>
      </c>
    </row>
    <row r="642" spans="1:10">
      <c r="A642" t="s">
        <v>1279</v>
      </c>
      <c r="B642" t="s">
        <v>1280</v>
      </c>
      <c r="C642" t="s">
        <v>100</v>
      </c>
      <c r="D642" t="s">
        <v>31</v>
      </c>
      <c r="E642">
        <v>-27564</v>
      </c>
      <c r="F642" t="s">
        <v>23</v>
      </c>
      <c r="G642" t="s">
        <v>32</v>
      </c>
      <c r="H642" t="s">
        <v>33</v>
      </c>
      <c r="I642" t="s">
        <v>45</v>
      </c>
      <c r="J642" t="s">
        <v>40</v>
      </c>
    </row>
    <row r="643" spans="1:10">
      <c r="A643" t="s">
        <v>1281</v>
      </c>
      <c r="B643" t="s">
        <v>1282</v>
      </c>
      <c r="C643" t="s">
        <v>129</v>
      </c>
      <c r="D643" t="s">
        <v>38</v>
      </c>
      <c r="E643">
        <v>-13294</v>
      </c>
      <c r="F643" t="s">
        <v>23</v>
      </c>
      <c r="G643" t="s">
        <v>24</v>
      </c>
      <c r="H643" t="s">
        <v>33</v>
      </c>
      <c r="I643" t="s">
        <v>26</v>
      </c>
      <c r="J643" t="s">
        <v>34</v>
      </c>
    </row>
    <row r="644" spans="1:10">
      <c r="A644" t="s">
        <v>1283</v>
      </c>
      <c r="B644" t="s">
        <v>1284</v>
      </c>
      <c r="C644" t="s">
        <v>468</v>
      </c>
      <c r="D644" t="s">
        <v>440</v>
      </c>
      <c r="E644">
        <v>-148054</v>
      </c>
      <c r="F644" t="s">
        <v>23</v>
      </c>
      <c r="G644" t="s">
        <v>24</v>
      </c>
      <c r="H644" t="s">
        <v>33</v>
      </c>
      <c r="I644" t="s">
        <v>26</v>
      </c>
      <c r="J644" t="s">
        <v>27</v>
      </c>
    </row>
    <row r="645" spans="1:10">
      <c r="A645" t="s">
        <v>1285</v>
      </c>
      <c r="B645" t="s">
        <v>1286</v>
      </c>
      <c r="C645" t="s">
        <v>180</v>
      </c>
      <c r="E645">
        <v>-72542</v>
      </c>
      <c r="F645" t="s">
        <v>23</v>
      </c>
      <c r="G645" t="s">
        <v>24</v>
      </c>
      <c r="H645" t="s">
        <v>33</v>
      </c>
      <c r="I645" t="s">
        <v>39</v>
      </c>
      <c r="J645" t="s">
        <v>34</v>
      </c>
    </row>
    <row r="646" spans="1:10">
      <c r="A646" t="s">
        <v>1287</v>
      </c>
      <c r="B646" t="s">
        <v>1005</v>
      </c>
      <c r="C646" t="s">
        <v>161</v>
      </c>
      <c r="D646" t="s">
        <v>22</v>
      </c>
      <c r="E646">
        <v>-43945</v>
      </c>
      <c r="F646" t="s">
        <v>23</v>
      </c>
      <c r="G646" t="s">
        <v>32</v>
      </c>
      <c r="H646" t="s">
        <v>25</v>
      </c>
      <c r="I646" t="s">
        <v>26</v>
      </c>
      <c r="J646" t="s">
        <v>48</v>
      </c>
    </row>
    <row r="647" spans="1:10">
      <c r="A647" t="s">
        <v>1288</v>
      </c>
      <c r="B647" t="s">
        <v>1289</v>
      </c>
      <c r="C647" t="s">
        <v>202</v>
      </c>
      <c r="D647" t="s">
        <v>22</v>
      </c>
      <c r="E647">
        <v>-108143</v>
      </c>
      <c r="F647" t="s">
        <v>23</v>
      </c>
      <c r="G647" t="s">
        <v>32</v>
      </c>
      <c r="H647" t="s">
        <v>25</v>
      </c>
      <c r="I647" t="s">
        <v>26</v>
      </c>
      <c r="J647" t="s">
        <v>40</v>
      </c>
    </row>
    <row r="648" spans="1:10">
      <c r="A648" t="s">
        <v>1290</v>
      </c>
      <c r="B648" t="s">
        <v>1291</v>
      </c>
      <c r="C648" t="s">
        <v>129</v>
      </c>
      <c r="D648" t="s">
        <v>38</v>
      </c>
      <c r="E648">
        <v>-20241</v>
      </c>
      <c r="F648" t="s">
        <v>23</v>
      </c>
      <c r="G648" t="s">
        <v>32</v>
      </c>
      <c r="H648" t="s">
        <v>33</v>
      </c>
      <c r="I648" t="s">
        <v>39</v>
      </c>
      <c r="J648" t="s">
        <v>34</v>
      </c>
    </row>
    <row r="649" spans="1:10">
      <c r="A649" t="s">
        <v>1292</v>
      </c>
      <c r="B649" t="s">
        <v>1293</v>
      </c>
      <c r="C649" t="s">
        <v>215</v>
      </c>
      <c r="D649" t="s">
        <v>61</v>
      </c>
      <c r="E649">
        <v>-24210</v>
      </c>
      <c r="F649" t="s">
        <v>62</v>
      </c>
      <c r="G649" t="s">
        <v>32</v>
      </c>
      <c r="H649" t="s">
        <v>63</v>
      </c>
      <c r="I649" t="s">
        <v>26</v>
      </c>
      <c r="J649" t="s">
        <v>40</v>
      </c>
    </row>
    <row r="650" spans="1:10">
      <c r="A650" t="s">
        <v>1294</v>
      </c>
      <c r="B650" t="s">
        <v>1295</v>
      </c>
      <c r="C650" t="s">
        <v>224</v>
      </c>
      <c r="D650" t="s">
        <v>78</v>
      </c>
      <c r="E650">
        <v>-16901</v>
      </c>
      <c r="F650" t="s">
        <v>23</v>
      </c>
      <c r="G650" t="s">
        <v>32</v>
      </c>
      <c r="H650" t="s">
        <v>79</v>
      </c>
      <c r="I650" t="s">
        <v>26</v>
      </c>
      <c r="J650" t="s">
        <v>27</v>
      </c>
    </row>
    <row r="651" spans="1:10">
      <c r="A651" t="s">
        <v>1296</v>
      </c>
      <c r="B651" t="s">
        <v>1297</v>
      </c>
      <c r="C651" t="s">
        <v>129</v>
      </c>
      <c r="D651" t="s">
        <v>38</v>
      </c>
      <c r="E651">
        <v>-27204</v>
      </c>
      <c r="F651" t="s">
        <v>23</v>
      </c>
      <c r="G651" t="s">
        <v>24</v>
      </c>
      <c r="H651" t="s">
        <v>33</v>
      </c>
      <c r="I651" t="s">
        <v>39</v>
      </c>
      <c r="J651" t="s">
        <v>34</v>
      </c>
    </row>
    <row r="652" spans="1:10">
      <c r="A652" t="s">
        <v>1298</v>
      </c>
      <c r="B652" t="s">
        <v>1299</v>
      </c>
      <c r="C652" t="s">
        <v>174</v>
      </c>
      <c r="D652" t="s">
        <v>320</v>
      </c>
      <c r="E652">
        <v>-173356</v>
      </c>
      <c r="F652" t="s">
        <v>23</v>
      </c>
      <c r="G652" t="s">
        <v>24</v>
      </c>
      <c r="H652" t="s">
        <v>25</v>
      </c>
      <c r="I652" t="s">
        <v>45</v>
      </c>
      <c r="J652" t="s">
        <v>48</v>
      </c>
    </row>
    <row r="653" spans="1:10">
      <c r="A653" t="s">
        <v>1300</v>
      </c>
      <c r="B653" t="s">
        <v>1301</v>
      </c>
      <c r="C653" t="s">
        <v>66</v>
      </c>
      <c r="D653" t="s">
        <v>61</v>
      </c>
      <c r="E653">
        <v>-63447</v>
      </c>
      <c r="F653" t="s">
        <v>62</v>
      </c>
      <c r="G653" t="s">
        <v>32</v>
      </c>
      <c r="H653" t="s">
        <v>63</v>
      </c>
      <c r="I653" t="s">
        <v>26</v>
      </c>
      <c r="J653" t="s">
        <v>27</v>
      </c>
    </row>
    <row r="654" spans="1:10">
      <c r="A654" t="s">
        <v>1302</v>
      </c>
      <c r="B654" t="s">
        <v>1303</v>
      </c>
      <c r="C654" t="s">
        <v>100</v>
      </c>
      <c r="D654" t="s">
        <v>31</v>
      </c>
      <c r="E654">
        <v>-23733</v>
      </c>
      <c r="F654" t="s">
        <v>23</v>
      </c>
      <c r="G654" t="s">
        <v>24</v>
      </c>
      <c r="H654" t="s">
        <v>33</v>
      </c>
      <c r="I654" t="s">
        <v>39</v>
      </c>
      <c r="J654" t="s">
        <v>27</v>
      </c>
    </row>
    <row r="655" spans="1:10">
      <c r="A655" t="s">
        <v>1304</v>
      </c>
      <c r="B655" t="s">
        <v>1305</v>
      </c>
      <c r="C655" t="s">
        <v>72</v>
      </c>
      <c r="D655" t="s">
        <v>73</v>
      </c>
      <c r="E655">
        <v>-80602</v>
      </c>
      <c r="F655" t="s">
        <v>74</v>
      </c>
      <c r="G655" t="s">
        <v>24</v>
      </c>
      <c r="H655" t="s">
        <v>25</v>
      </c>
      <c r="I655" t="s">
        <v>26</v>
      </c>
      <c r="J655" t="s">
        <v>27</v>
      </c>
    </row>
    <row r="656" spans="1:10">
      <c r="A656" t="s">
        <v>1306</v>
      </c>
      <c r="B656" t="s">
        <v>53</v>
      </c>
      <c r="C656" t="s">
        <v>177</v>
      </c>
      <c r="D656" t="s">
        <v>78</v>
      </c>
      <c r="E656">
        <v>-112449</v>
      </c>
      <c r="F656" t="s">
        <v>23</v>
      </c>
      <c r="G656" t="s">
        <v>24</v>
      </c>
      <c r="H656" t="s">
        <v>79</v>
      </c>
      <c r="I656" t="s">
        <v>26</v>
      </c>
      <c r="J656" t="s">
        <v>48</v>
      </c>
    </row>
    <row r="657" spans="1:10">
      <c r="A657" t="s">
        <v>1307</v>
      </c>
      <c r="B657" t="s">
        <v>1115</v>
      </c>
      <c r="C657" t="s">
        <v>116</v>
      </c>
      <c r="D657" t="s">
        <v>187</v>
      </c>
      <c r="E657">
        <v>-31920</v>
      </c>
      <c r="F657" t="s">
        <v>74</v>
      </c>
      <c r="G657" t="s">
        <v>32</v>
      </c>
      <c r="H657" t="s">
        <v>25</v>
      </c>
      <c r="I657" t="s">
        <v>45</v>
      </c>
      <c r="J657" t="s">
        <v>48</v>
      </c>
    </row>
    <row r="658" spans="1:10">
      <c r="A658" t="s">
        <v>1308</v>
      </c>
      <c r="B658" t="s">
        <v>1309</v>
      </c>
      <c r="C658" t="s">
        <v>72</v>
      </c>
      <c r="D658" t="s">
        <v>73</v>
      </c>
      <c r="E658">
        <v>-24666</v>
      </c>
      <c r="F658" t="s">
        <v>74</v>
      </c>
      <c r="G658" t="s">
        <v>32</v>
      </c>
      <c r="H658" t="s">
        <v>25</v>
      </c>
      <c r="I658" t="s">
        <v>39</v>
      </c>
      <c r="J658" t="s">
        <v>27</v>
      </c>
    </row>
    <row r="659" spans="1:10">
      <c r="A659" t="s">
        <v>1310</v>
      </c>
      <c r="B659" t="s">
        <v>50</v>
      </c>
      <c r="C659" t="s">
        <v>305</v>
      </c>
      <c r="D659" t="s">
        <v>38</v>
      </c>
      <c r="E659">
        <v>-24203</v>
      </c>
      <c r="F659" t="s">
        <v>23</v>
      </c>
      <c r="G659" t="s">
        <v>32</v>
      </c>
      <c r="H659" t="s">
        <v>33</v>
      </c>
      <c r="I659" t="s">
        <v>26</v>
      </c>
      <c r="J659" t="s">
        <v>34</v>
      </c>
    </row>
    <row r="660" spans="1:10">
      <c r="A660" t="s">
        <v>1311</v>
      </c>
      <c r="B660" t="s">
        <v>1312</v>
      </c>
      <c r="C660" t="s">
        <v>60</v>
      </c>
      <c r="D660" t="s">
        <v>61</v>
      </c>
      <c r="E660">
        <v>-47570</v>
      </c>
      <c r="F660" t="s">
        <v>62</v>
      </c>
      <c r="G660" t="s">
        <v>24</v>
      </c>
      <c r="H660" t="s">
        <v>63</v>
      </c>
      <c r="I660" t="s">
        <v>39</v>
      </c>
      <c r="J660" t="s">
        <v>40</v>
      </c>
    </row>
    <row r="661" spans="1:10">
      <c r="A661" t="s">
        <v>1313</v>
      </c>
      <c r="B661" t="s">
        <v>1209</v>
      </c>
      <c r="C661" t="s">
        <v>93</v>
      </c>
      <c r="D661" t="s">
        <v>73</v>
      </c>
      <c r="E661">
        <v>-20335</v>
      </c>
      <c r="F661" t="s">
        <v>74</v>
      </c>
      <c r="G661" t="s">
        <v>24</v>
      </c>
      <c r="H661" t="s">
        <v>25</v>
      </c>
      <c r="I661" t="s">
        <v>45</v>
      </c>
      <c r="J661" t="s">
        <v>40</v>
      </c>
    </row>
    <row r="662" spans="1:10">
      <c r="A662" t="s">
        <v>1314</v>
      </c>
      <c r="B662" t="s">
        <v>1315</v>
      </c>
      <c r="C662" t="s">
        <v>60</v>
      </c>
      <c r="D662" t="s">
        <v>61</v>
      </c>
      <c r="E662">
        <v>-47810</v>
      </c>
      <c r="F662" t="s">
        <v>62</v>
      </c>
      <c r="G662" t="s">
        <v>32</v>
      </c>
      <c r="H662" t="s">
        <v>63</v>
      </c>
      <c r="I662" t="s">
        <v>26</v>
      </c>
      <c r="J662" t="s">
        <v>48</v>
      </c>
    </row>
    <row r="663" spans="1:10">
      <c r="A663" t="s">
        <v>1316</v>
      </c>
      <c r="B663" t="s">
        <v>1317</v>
      </c>
      <c r="C663" t="s">
        <v>51</v>
      </c>
      <c r="E663">
        <v>-35013</v>
      </c>
      <c r="F663" t="s">
        <v>23</v>
      </c>
      <c r="G663" t="s">
        <v>32</v>
      </c>
      <c r="H663" t="s">
        <v>33</v>
      </c>
      <c r="I663" t="s">
        <v>45</v>
      </c>
      <c r="J663" t="s">
        <v>27</v>
      </c>
    </row>
    <row r="664" spans="1:10">
      <c r="A664" t="s">
        <v>1318</v>
      </c>
      <c r="B664" t="s">
        <v>721</v>
      </c>
      <c r="C664" t="s">
        <v>60</v>
      </c>
      <c r="D664" t="s">
        <v>61</v>
      </c>
      <c r="E664">
        <v>-14060</v>
      </c>
      <c r="F664" t="s">
        <v>62</v>
      </c>
      <c r="G664" t="s">
        <v>24</v>
      </c>
      <c r="H664" t="s">
        <v>63</v>
      </c>
      <c r="I664" t="s">
        <v>39</v>
      </c>
      <c r="J664" t="s">
        <v>40</v>
      </c>
    </row>
    <row r="665" spans="1:10">
      <c r="A665" t="s">
        <v>1319</v>
      </c>
      <c r="B665" t="s">
        <v>434</v>
      </c>
      <c r="C665" t="s">
        <v>129</v>
      </c>
      <c r="D665" t="s">
        <v>38</v>
      </c>
      <c r="E665">
        <v>-49917</v>
      </c>
      <c r="F665" t="s">
        <v>23</v>
      </c>
      <c r="G665" t="s">
        <v>32</v>
      </c>
      <c r="H665" t="s">
        <v>33</v>
      </c>
      <c r="I665" t="s">
        <v>45</v>
      </c>
      <c r="J665" t="s">
        <v>34</v>
      </c>
    </row>
    <row r="666" spans="1:10">
      <c r="A666" t="s">
        <v>1320</v>
      </c>
      <c r="B666" t="s">
        <v>576</v>
      </c>
      <c r="C666" t="s">
        <v>192</v>
      </c>
      <c r="D666" t="s">
        <v>22</v>
      </c>
      <c r="E666">
        <v>-66842</v>
      </c>
      <c r="F666" t="s">
        <v>23</v>
      </c>
      <c r="G666" t="s">
        <v>32</v>
      </c>
      <c r="H666" t="s">
        <v>25</v>
      </c>
      <c r="I666" t="s">
        <v>45</v>
      </c>
      <c r="J666" t="s">
        <v>48</v>
      </c>
    </row>
    <row r="667" spans="1:10">
      <c r="A667" t="s">
        <v>1321</v>
      </c>
      <c r="B667" t="s">
        <v>454</v>
      </c>
      <c r="C667" t="s">
        <v>802</v>
      </c>
      <c r="D667" t="s">
        <v>440</v>
      </c>
      <c r="E667">
        <v>-149615</v>
      </c>
      <c r="F667" t="s">
        <v>23</v>
      </c>
      <c r="G667" t="s">
        <v>24</v>
      </c>
      <c r="H667" t="s">
        <v>33</v>
      </c>
      <c r="I667" t="s">
        <v>26</v>
      </c>
      <c r="J667" t="s">
        <v>40</v>
      </c>
    </row>
    <row r="668" spans="1:10">
      <c r="A668" t="s">
        <v>1322</v>
      </c>
      <c r="B668" t="s">
        <v>1323</v>
      </c>
      <c r="C668" t="s">
        <v>293</v>
      </c>
      <c r="D668" t="s">
        <v>157</v>
      </c>
      <c r="E668">
        <v>594361</v>
      </c>
      <c r="F668" t="s">
        <v>62</v>
      </c>
      <c r="G668" t="s">
        <v>32</v>
      </c>
      <c r="H668" t="s">
        <v>25</v>
      </c>
      <c r="I668" t="s">
        <v>45</v>
      </c>
      <c r="J668" t="s">
        <v>27</v>
      </c>
    </row>
    <row r="669" spans="1:10">
      <c r="A669" t="s">
        <v>1324</v>
      </c>
      <c r="B669" t="s">
        <v>1325</v>
      </c>
      <c r="C669" t="s">
        <v>177</v>
      </c>
      <c r="D669" t="s">
        <v>78</v>
      </c>
      <c r="E669">
        <v>-114674</v>
      </c>
      <c r="F669" t="s">
        <v>23</v>
      </c>
      <c r="G669" t="s">
        <v>32</v>
      </c>
      <c r="H669" t="s">
        <v>79</v>
      </c>
      <c r="I669" t="s">
        <v>39</v>
      </c>
      <c r="J669" t="s">
        <v>27</v>
      </c>
    </row>
    <row r="670" spans="1:10">
      <c r="A670" t="s">
        <v>1326</v>
      </c>
      <c r="B670" t="s">
        <v>1327</v>
      </c>
      <c r="C670" t="s">
        <v>215</v>
      </c>
      <c r="E670">
        <v>-51125</v>
      </c>
      <c r="F670" t="s">
        <v>62</v>
      </c>
      <c r="G670" t="s">
        <v>32</v>
      </c>
      <c r="H670" t="s">
        <v>63</v>
      </c>
      <c r="I670" t="s">
        <v>45</v>
      </c>
      <c r="J670" t="s">
        <v>27</v>
      </c>
    </row>
    <row r="671" spans="1:10">
      <c r="A671" t="s">
        <v>1328</v>
      </c>
      <c r="B671" t="s">
        <v>1329</v>
      </c>
      <c r="C671" t="s">
        <v>106</v>
      </c>
      <c r="D671" t="s">
        <v>31</v>
      </c>
      <c r="E671">
        <v>-24254</v>
      </c>
      <c r="F671" t="s">
        <v>23</v>
      </c>
      <c r="G671" t="s">
        <v>32</v>
      </c>
      <c r="H671" t="s">
        <v>33</v>
      </c>
      <c r="I671" t="s">
        <v>26</v>
      </c>
      <c r="J671" t="s">
        <v>40</v>
      </c>
    </row>
    <row r="672" spans="1:10">
      <c r="A672" t="s">
        <v>1330</v>
      </c>
      <c r="B672" t="s">
        <v>1331</v>
      </c>
      <c r="C672" t="s">
        <v>935</v>
      </c>
      <c r="D672" t="s">
        <v>22</v>
      </c>
      <c r="E672">
        <v>-84147</v>
      </c>
      <c r="F672" t="s">
        <v>23</v>
      </c>
      <c r="G672" t="s">
        <v>24</v>
      </c>
      <c r="H672" t="s">
        <v>25</v>
      </c>
      <c r="I672" t="s">
        <v>45</v>
      </c>
      <c r="J672" t="s">
        <v>27</v>
      </c>
    </row>
    <row r="673" spans="1:10">
      <c r="A673" t="s">
        <v>1332</v>
      </c>
      <c r="B673" t="s">
        <v>1333</v>
      </c>
      <c r="C673" t="s">
        <v>143</v>
      </c>
      <c r="D673" t="s">
        <v>78</v>
      </c>
      <c r="E673">
        <v>-68205</v>
      </c>
      <c r="F673" t="s">
        <v>23</v>
      </c>
      <c r="G673" t="s">
        <v>24</v>
      </c>
      <c r="H673" t="s">
        <v>79</v>
      </c>
      <c r="I673" t="s">
        <v>45</v>
      </c>
      <c r="J673" t="s">
        <v>27</v>
      </c>
    </row>
    <row r="674" spans="1:10">
      <c r="A674" t="s">
        <v>1334</v>
      </c>
      <c r="B674" t="s">
        <v>1335</v>
      </c>
      <c r="C674" t="s">
        <v>305</v>
      </c>
      <c r="D674" t="s">
        <v>38</v>
      </c>
      <c r="E674">
        <v>-44235</v>
      </c>
      <c r="F674" t="s">
        <v>23</v>
      </c>
      <c r="G674" t="s">
        <v>24</v>
      </c>
      <c r="H674" t="s">
        <v>33</v>
      </c>
      <c r="I674" t="s">
        <v>45</v>
      </c>
      <c r="J674" t="s">
        <v>40</v>
      </c>
    </row>
    <row r="675" spans="1:10">
      <c r="A675" t="s">
        <v>1336</v>
      </c>
      <c r="B675" t="s">
        <v>1337</v>
      </c>
      <c r="C675" t="s">
        <v>60</v>
      </c>
      <c r="D675" t="s">
        <v>61</v>
      </c>
      <c r="E675">
        <v>-13772</v>
      </c>
      <c r="F675" t="s">
        <v>62</v>
      </c>
      <c r="G675" t="s">
        <v>32</v>
      </c>
      <c r="H675" t="s">
        <v>63</v>
      </c>
      <c r="I675" t="s">
        <v>39</v>
      </c>
      <c r="J675" t="s">
        <v>40</v>
      </c>
    </row>
    <row r="676" spans="1:10">
      <c r="A676" t="s">
        <v>1338</v>
      </c>
      <c r="B676" t="s">
        <v>1339</v>
      </c>
      <c r="C676" t="s">
        <v>100</v>
      </c>
      <c r="D676" t="s">
        <v>31</v>
      </c>
      <c r="E676">
        <v>-15462</v>
      </c>
      <c r="F676" t="s">
        <v>23</v>
      </c>
      <c r="G676" t="s">
        <v>24</v>
      </c>
      <c r="H676" t="s">
        <v>33</v>
      </c>
      <c r="I676" t="s">
        <v>39</v>
      </c>
      <c r="J676" t="s">
        <v>40</v>
      </c>
    </row>
    <row r="677" spans="1:10">
      <c r="A677" t="s">
        <v>1340</v>
      </c>
      <c r="B677" t="s">
        <v>1241</v>
      </c>
      <c r="C677" t="s">
        <v>215</v>
      </c>
      <c r="D677" t="s">
        <v>61</v>
      </c>
      <c r="E677">
        <v>-47784</v>
      </c>
      <c r="F677" t="s">
        <v>62</v>
      </c>
      <c r="G677" t="s">
        <v>32</v>
      </c>
      <c r="H677" t="s">
        <v>63</v>
      </c>
      <c r="I677" t="s">
        <v>26</v>
      </c>
      <c r="J677" t="s">
        <v>40</v>
      </c>
    </row>
    <row r="678" spans="1:10">
      <c r="A678" t="s">
        <v>1341</v>
      </c>
      <c r="B678" t="s">
        <v>363</v>
      </c>
      <c r="C678" t="s">
        <v>519</v>
      </c>
      <c r="D678" t="s">
        <v>388</v>
      </c>
      <c r="E678">
        <v>-163982</v>
      </c>
      <c r="F678" t="s">
        <v>23</v>
      </c>
      <c r="G678" t="s">
        <v>24</v>
      </c>
      <c r="H678" t="s">
        <v>33</v>
      </c>
      <c r="I678" t="s">
        <v>26</v>
      </c>
      <c r="J678" t="s">
        <v>40</v>
      </c>
    </row>
    <row r="679" spans="1:10">
      <c r="A679" t="s">
        <v>1342</v>
      </c>
      <c r="B679" t="s">
        <v>1343</v>
      </c>
      <c r="C679" t="s">
        <v>212</v>
      </c>
      <c r="D679" t="s">
        <v>73</v>
      </c>
      <c r="E679">
        <v>-84037</v>
      </c>
      <c r="F679" t="s">
        <v>74</v>
      </c>
      <c r="G679" t="s">
        <v>32</v>
      </c>
      <c r="H679" t="s">
        <v>25</v>
      </c>
      <c r="I679" t="s">
        <v>45</v>
      </c>
      <c r="J679" t="s">
        <v>48</v>
      </c>
    </row>
    <row r="680" spans="1:10">
      <c r="A680" t="s">
        <v>1344</v>
      </c>
      <c r="B680" t="s">
        <v>1345</v>
      </c>
      <c r="C680" t="s">
        <v>566</v>
      </c>
      <c r="D680" t="s">
        <v>78</v>
      </c>
      <c r="E680">
        <v>-21978</v>
      </c>
      <c r="F680" t="s">
        <v>23</v>
      </c>
      <c r="G680" t="s">
        <v>24</v>
      </c>
      <c r="H680" t="s">
        <v>79</v>
      </c>
      <c r="I680" t="s">
        <v>39</v>
      </c>
      <c r="J680" t="s">
        <v>40</v>
      </c>
    </row>
    <row r="681" spans="1:10">
      <c r="A681" t="s">
        <v>1346</v>
      </c>
      <c r="B681" t="s">
        <v>1347</v>
      </c>
      <c r="C681" t="s">
        <v>271</v>
      </c>
      <c r="D681" t="s">
        <v>73</v>
      </c>
      <c r="E681">
        <v>-50922</v>
      </c>
      <c r="F681" t="s">
        <v>74</v>
      </c>
      <c r="G681" t="s">
        <v>24</v>
      </c>
      <c r="H681" t="s">
        <v>25</v>
      </c>
      <c r="I681" t="s">
        <v>45</v>
      </c>
      <c r="J681" t="s">
        <v>48</v>
      </c>
    </row>
    <row r="682" spans="1:10">
      <c r="A682" t="s">
        <v>1348</v>
      </c>
      <c r="B682" t="s">
        <v>1349</v>
      </c>
      <c r="C682" t="s">
        <v>30</v>
      </c>
      <c r="D682" t="s">
        <v>31</v>
      </c>
      <c r="E682">
        <v>-26458</v>
      </c>
      <c r="F682" t="s">
        <v>23</v>
      </c>
      <c r="G682" t="s">
        <v>32</v>
      </c>
      <c r="H682" t="s">
        <v>33</v>
      </c>
      <c r="I682" t="s">
        <v>39</v>
      </c>
      <c r="J682" t="s">
        <v>27</v>
      </c>
    </row>
    <row r="683" spans="1:10">
      <c r="A683" t="s">
        <v>1350</v>
      </c>
      <c r="B683" t="s">
        <v>1351</v>
      </c>
      <c r="C683" t="s">
        <v>215</v>
      </c>
      <c r="D683" t="s">
        <v>61</v>
      </c>
      <c r="E683">
        <v>-38889</v>
      </c>
      <c r="F683" t="s">
        <v>62</v>
      </c>
      <c r="G683" t="s">
        <v>32</v>
      </c>
      <c r="H683" t="s">
        <v>63</v>
      </c>
      <c r="I683" t="s">
        <v>45</v>
      </c>
      <c r="J683" t="s">
        <v>48</v>
      </c>
    </row>
    <row r="684" spans="1:10">
      <c r="A684" t="s">
        <v>1352</v>
      </c>
      <c r="B684" t="s">
        <v>527</v>
      </c>
      <c r="C684" t="s">
        <v>212</v>
      </c>
      <c r="D684" t="s">
        <v>73</v>
      </c>
      <c r="E684">
        <v>-25853</v>
      </c>
      <c r="F684" t="s">
        <v>74</v>
      </c>
      <c r="G684" t="s">
        <v>32</v>
      </c>
      <c r="H684" t="s">
        <v>25</v>
      </c>
      <c r="I684" t="s">
        <v>39</v>
      </c>
      <c r="J684" t="s">
        <v>34</v>
      </c>
    </row>
    <row r="685" spans="1:10">
      <c r="A685" t="s">
        <v>1353</v>
      </c>
      <c r="B685" t="s">
        <v>1354</v>
      </c>
      <c r="C685" t="s">
        <v>310</v>
      </c>
      <c r="D685" t="s">
        <v>22</v>
      </c>
      <c r="E685">
        <v>-73538</v>
      </c>
      <c r="F685" t="s">
        <v>23</v>
      </c>
      <c r="G685" t="s">
        <v>32</v>
      </c>
      <c r="H685" t="s">
        <v>25</v>
      </c>
      <c r="I685" t="s">
        <v>45</v>
      </c>
      <c r="J685" t="s">
        <v>40</v>
      </c>
    </row>
    <row r="686" spans="1:10">
      <c r="A686" t="s">
        <v>1355</v>
      </c>
      <c r="B686" t="s">
        <v>108</v>
      </c>
      <c r="C686" t="s">
        <v>202</v>
      </c>
      <c r="D686" t="s">
        <v>22</v>
      </c>
      <c r="E686">
        <v>-123502</v>
      </c>
      <c r="F686" t="s">
        <v>23</v>
      </c>
      <c r="G686" t="s">
        <v>32</v>
      </c>
      <c r="H686" t="s">
        <v>25</v>
      </c>
      <c r="I686" t="s">
        <v>39</v>
      </c>
      <c r="J686" t="s">
        <v>34</v>
      </c>
    </row>
    <row r="687" spans="1:10">
      <c r="A687" t="s">
        <v>1356</v>
      </c>
      <c r="B687" t="s">
        <v>1357</v>
      </c>
      <c r="C687" t="s">
        <v>271</v>
      </c>
      <c r="E687">
        <v>-73902</v>
      </c>
      <c r="F687" t="s">
        <v>74</v>
      </c>
      <c r="G687" t="s">
        <v>32</v>
      </c>
      <c r="H687" t="s">
        <v>25</v>
      </c>
      <c r="I687" t="s">
        <v>45</v>
      </c>
      <c r="J687" t="s">
        <v>48</v>
      </c>
    </row>
    <row r="688" spans="1:10">
      <c r="A688" t="s">
        <v>1358</v>
      </c>
      <c r="B688" t="s">
        <v>1359</v>
      </c>
      <c r="C688" t="s">
        <v>69</v>
      </c>
      <c r="D688" t="s">
        <v>38</v>
      </c>
      <c r="E688">
        <v>-37933</v>
      </c>
      <c r="F688" t="s">
        <v>23</v>
      </c>
      <c r="G688" t="s">
        <v>32</v>
      </c>
      <c r="H688" t="s">
        <v>33</v>
      </c>
      <c r="I688" t="s">
        <v>26</v>
      </c>
      <c r="J688" t="s">
        <v>40</v>
      </c>
    </row>
    <row r="689" spans="1:10">
      <c r="A689" t="s">
        <v>1360</v>
      </c>
      <c r="B689" t="s">
        <v>1361</v>
      </c>
      <c r="C689" t="s">
        <v>468</v>
      </c>
      <c r="E689">
        <v>-114006</v>
      </c>
      <c r="F689" t="s">
        <v>23</v>
      </c>
      <c r="G689" t="s">
        <v>24</v>
      </c>
      <c r="H689" t="s">
        <v>33</v>
      </c>
      <c r="I689" t="s">
        <v>39</v>
      </c>
      <c r="J689" t="s">
        <v>48</v>
      </c>
    </row>
    <row r="690" spans="1:10">
      <c r="A690" t="s">
        <v>1362</v>
      </c>
      <c r="B690" t="s">
        <v>344</v>
      </c>
      <c r="C690" t="s">
        <v>72</v>
      </c>
      <c r="D690" t="s">
        <v>73</v>
      </c>
      <c r="E690">
        <v>-83631</v>
      </c>
      <c r="F690" t="s">
        <v>74</v>
      </c>
      <c r="G690" t="s">
        <v>24</v>
      </c>
      <c r="H690" t="s">
        <v>25</v>
      </c>
      <c r="I690" t="s">
        <v>45</v>
      </c>
      <c r="J690" t="s">
        <v>27</v>
      </c>
    </row>
    <row r="691" spans="1:10">
      <c r="A691" t="s">
        <v>1363</v>
      </c>
      <c r="B691" t="s">
        <v>1364</v>
      </c>
      <c r="C691" t="s">
        <v>271</v>
      </c>
      <c r="D691" t="s">
        <v>73</v>
      </c>
      <c r="E691">
        <v>-83257</v>
      </c>
      <c r="F691" t="s">
        <v>74</v>
      </c>
      <c r="G691" t="s">
        <v>32</v>
      </c>
      <c r="H691" t="s">
        <v>25</v>
      </c>
      <c r="I691" t="s">
        <v>39</v>
      </c>
      <c r="J691" t="s">
        <v>40</v>
      </c>
    </row>
    <row r="692" spans="1:10">
      <c r="A692" t="s">
        <v>1365</v>
      </c>
      <c r="B692" t="s">
        <v>263</v>
      </c>
      <c r="C692" t="s">
        <v>1366</v>
      </c>
      <c r="D692" t="s">
        <v>31</v>
      </c>
      <c r="E692">
        <v>-21104</v>
      </c>
      <c r="F692" t="s">
        <v>23</v>
      </c>
      <c r="G692" t="s">
        <v>24</v>
      </c>
      <c r="H692" t="s">
        <v>33</v>
      </c>
      <c r="I692" t="s">
        <v>45</v>
      </c>
      <c r="J692" t="s">
        <v>27</v>
      </c>
    </row>
    <row r="693" spans="1:10">
      <c r="A693" t="s">
        <v>1367</v>
      </c>
      <c r="B693" t="s">
        <v>1368</v>
      </c>
      <c r="C693" t="s">
        <v>215</v>
      </c>
      <c r="D693" t="s">
        <v>61</v>
      </c>
      <c r="E693">
        <v>-60307</v>
      </c>
      <c r="F693" t="s">
        <v>62</v>
      </c>
      <c r="G693" t="s">
        <v>32</v>
      </c>
      <c r="H693" t="s">
        <v>63</v>
      </c>
      <c r="I693" t="s">
        <v>26</v>
      </c>
      <c r="J693" t="s">
        <v>48</v>
      </c>
    </row>
    <row r="694" spans="1:10">
      <c r="A694" t="s">
        <v>1369</v>
      </c>
      <c r="B694" t="s">
        <v>1370</v>
      </c>
      <c r="C694" t="s">
        <v>143</v>
      </c>
      <c r="D694" t="s">
        <v>78</v>
      </c>
      <c r="E694">
        <v>-20432</v>
      </c>
      <c r="F694" t="s">
        <v>23</v>
      </c>
      <c r="G694" t="s">
        <v>32</v>
      </c>
      <c r="H694" t="s">
        <v>79</v>
      </c>
      <c r="I694" t="s">
        <v>39</v>
      </c>
      <c r="J694" t="s">
        <v>27</v>
      </c>
    </row>
    <row r="695" spans="1:10">
      <c r="A695" t="s">
        <v>1371</v>
      </c>
      <c r="B695" t="s">
        <v>1372</v>
      </c>
      <c r="C695" t="s">
        <v>30</v>
      </c>
      <c r="D695" t="s">
        <v>31</v>
      </c>
      <c r="E695">
        <v>-17493</v>
      </c>
      <c r="F695" t="s">
        <v>23</v>
      </c>
      <c r="G695" t="s">
        <v>24</v>
      </c>
      <c r="H695" t="s">
        <v>33</v>
      </c>
      <c r="I695" t="s">
        <v>45</v>
      </c>
      <c r="J695" t="s">
        <v>34</v>
      </c>
    </row>
    <row r="696" spans="1:10">
      <c r="A696" t="s">
        <v>1373</v>
      </c>
      <c r="B696" t="s">
        <v>933</v>
      </c>
      <c r="C696" t="s">
        <v>169</v>
      </c>
      <c r="D696" t="s">
        <v>73</v>
      </c>
      <c r="E696">
        <v>-52843</v>
      </c>
      <c r="F696" t="s">
        <v>74</v>
      </c>
      <c r="G696" t="s">
        <v>24</v>
      </c>
      <c r="H696" t="s">
        <v>25</v>
      </c>
      <c r="I696" t="s">
        <v>45</v>
      </c>
      <c r="J696" t="s">
        <v>27</v>
      </c>
    </row>
    <row r="697" spans="1:10">
      <c r="A697" t="s">
        <v>1374</v>
      </c>
      <c r="B697" t="s">
        <v>373</v>
      </c>
      <c r="C697" t="s">
        <v>37</v>
      </c>
      <c r="D697" t="s">
        <v>38</v>
      </c>
      <c r="E697">
        <v>-13116</v>
      </c>
      <c r="F697" t="s">
        <v>23</v>
      </c>
      <c r="G697" t="s">
        <v>24</v>
      </c>
      <c r="H697" t="s">
        <v>33</v>
      </c>
      <c r="I697" t="s">
        <v>26</v>
      </c>
      <c r="J697" t="s">
        <v>27</v>
      </c>
    </row>
    <row r="698" spans="1:10">
      <c r="A698" t="s">
        <v>1375</v>
      </c>
      <c r="B698" t="s">
        <v>1376</v>
      </c>
      <c r="C698" t="s">
        <v>1377</v>
      </c>
      <c r="D698" t="s">
        <v>22</v>
      </c>
      <c r="E698">
        <v>-128560</v>
      </c>
      <c r="F698" t="s">
        <v>23</v>
      </c>
      <c r="G698" t="s">
        <v>24</v>
      </c>
      <c r="H698" t="s">
        <v>25</v>
      </c>
      <c r="I698" t="s">
        <v>39</v>
      </c>
      <c r="J698" t="s">
        <v>40</v>
      </c>
    </row>
    <row r="699" spans="1:10">
      <c r="A699" t="s">
        <v>1378</v>
      </c>
      <c r="B699" t="s">
        <v>1379</v>
      </c>
      <c r="C699" t="s">
        <v>215</v>
      </c>
      <c r="D699" t="s">
        <v>61</v>
      </c>
      <c r="E699">
        <v>-20645</v>
      </c>
      <c r="F699" t="s">
        <v>62</v>
      </c>
      <c r="G699" t="s">
        <v>32</v>
      </c>
      <c r="H699" t="s">
        <v>63</v>
      </c>
      <c r="I699" t="s">
        <v>26</v>
      </c>
      <c r="J699" t="s">
        <v>27</v>
      </c>
    </row>
    <row r="700" spans="1:10">
      <c r="A700" t="s">
        <v>1380</v>
      </c>
      <c r="B700" t="s">
        <v>1381</v>
      </c>
      <c r="C700" t="s">
        <v>161</v>
      </c>
      <c r="D700" t="s">
        <v>193</v>
      </c>
      <c r="E700">
        <v>-212470</v>
      </c>
      <c r="F700" t="s">
        <v>23</v>
      </c>
      <c r="G700" t="s">
        <v>32</v>
      </c>
      <c r="H700" t="s">
        <v>25</v>
      </c>
      <c r="I700" t="s">
        <v>45</v>
      </c>
      <c r="J700" t="s">
        <v>27</v>
      </c>
    </row>
    <row r="701" spans="1:10">
      <c r="A701" t="s">
        <v>1382</v>
      </c>
      <c r="B701" t="s">
        <v>1383</v>
      </c>
      <c r="C701" t="s">
        <v>66</v>
      </c>
      <c r="D701" t="s">
        <v>61</v>
      </c>
      <c r="E701">
        <v>-22102</v>
      </c>
      <c r="F701" t="s">
        <v>62</v>
      </c>
      <c r="G701" t="s">
        <v>32</v>
      </c>
      <c r="H701" t="s">
        <v>63</v>
      </c>
      <c r="I701" t="s">
        <v>26</v>
      </c>
      <c r="J701" t="s">
        <v>27</v>
      </c>
    </row>
    <row r="702" spans="1:10">
      <c r="A702" t="s">
        <v>1384</v>
      </c>
      <c r="B702" t="s">
        <v>1385</v>
      </c>
      <c r="C702" t="s">
        <v>93</v>
      </c>
      <c r="D702" t="s">
        <v>73</v>
      </c>
      <c r="E702">
        <v>-58321</v>
      </c>
      <c r="F702" t="s">
        <v>74</v>
      </c>
      <c r="G702" t="s">
        <v>32</v>
      </c>
      <c r="H702" t="s">
        <v>25</v>
      </c>
      <c r="I702" t="s">
        <v>45</v>
      </c>
      <c r="J702" t="s">
        <v>34</v>
      </c>
    </row>
    <row r="703" spans="1:10">
      <c r="A703" t="s">
        <v>1386</v>
      </c>
      <c r="B703" t="s">
        <v>209</v>
      </c>
      <c r="C703" t="s">
        <v>100</v>
      </c>
      <c r="D703" t="s">
        <v>31</v>
      </c>
      <c r="E703">
        <v>-12578</v>
      </c>
      <c r="F703" t="s">
        <v>23</v>
      </c>
      <c r="G703" t="s">
        <v>24</v>
      </c>
      <c r="H703" t="s">
        <v>33</v>
      </c>
      <c r="I703" t="s">
        <v>45</v>
      </c>
      <c r="J703" t="s">
        <v>34</v>
      </c>
    </row>
    <row r="704" spans="1:10">
      <c r="A704" t="s">
        <v>1387</v>
      </c>
      <c r="B704" t="s">
        <v>1388</v>
      </c>
      <c r="C704" t="s">
        <v>72</v>
      </c>
      <c r="D704" t="s">
        <v>302</v>
      </c>
      <c r="E704">
        <v>-47552</v>
      </c>
      <c r="F704" t="s">
        <v>74</v>
      </c>
      <c r="G704" t="s">
        <v>32</v>
      </c>
      <c r="H704" t="s">
        <v>25</v>
      </c>
      <c r="I704" t="s">
        <v>26</v>
      </c>
      <c r="J704" t="s">
        <v>40</v>
      </c>
    </row>
    <row r="705" spans="1:10">
      <c r="A705" t="s">
        <v>1389</v>
      </c>
      <c r="B705" t="s">
        <v>807</v>
      </c>
      <c r="C705" t="s">
        <v>290</v>
      </c>
      <c r="D705" t="s">
        <v>440</v>
      </c>
      <c r="E705">
        <v>-112506</v>
      </c>
      <c r="F705" t="s">
        <v>23</v>
      </c>
      <c r="G705" t="s">
        <v>32</v>
      </c>
      <c r="H705" t="s">
        <v>33</v>
      </c>
      <c r="I705" t="s">
        <v>39</v>
      </c>
      <c r="J705" t="s">
        <v>40</v>
      </c>
    </row>
    <row r="706" spans="1:10">
      <c r="A706" t="s">
        <v>1390</v>
      </c>
      <c r="B706" t="s">
        <v>1391</v>
      </c>
      <c r="C706" t="s">
        <v>103</v>
      </c>
      <c r="D706" t="s">
        <v>1001</v>
      </c>
      <c r="E706">
        <v>-72002</v>
      </c>
      <c r="F706" t="s">
        <v>23</v>
      </c>
      <c r="G706" t="s">
        <v>24</v>
      </c>
      <c r="H706" t="s">
        <v>79</v>
      </c>
      <c r="I706" t="s">
        <v>45</v>
      </c>
      <c r="J706" t="s">
        <v>34</v>
      </c>
    </row>
    <row r="707" spans="1:10">
      <c r="A707" t="s">
        <v>1392</v>
      </c>
      <c r="B707" t="s">
        <v>285</v>
      </c>
      <c r="C707" t="s">
        <v>60</v>
      </c>
      <c r="D707" t="s">
        <v>61</v>
      </c>
      <c r="E707">
        <v>-23919</v>
      </c>
      <c r="F707" t="s">
        <v>62</v>
      </c>
      <c r="G707" t="s">
        <v>24</v>
      </c>
      <c r="H707" t="s">
        <v>63</v>
      </c>
      <c r="I707" t="s">
        <v>45</v>
      </c>
      <c r="J707" t="s">
        <v>40</v>
      </c>
    </row>
    <row r="708" spans="1:10">
      <c r="A708" t="s">
        <v>1393</v>
      </c>
      <c r="B708" t="s">
        <v>1349</v>
      </c>
      <c r="C708" t="s">
        <v>271</v>
      </c>
      <c r="D708" t="s">
        <v>73</v>
      </c>
      <c r="E708">
        <v>-81821</v>
      </c>
      <c r="F708" t="s">
        <v>74</v>
      </c>
      <c r="G708" t="s">
        <v>24</v>
      </c>
      <c r="H708" t="s">
        <v>25</v>
      </c>
      <c r="I708" t="s">
        <v>39</v>
      </c>
      <c r="J708" t="s">
        <v>27</v>
      </c>
    </row>
    <row r="709" spans="1:10">
      <c r="A709" t="s">
        <v>1394</v>
      </c>
      <c r="B709" t="s">
        <v>959</v>
      </c>
      <c r="C709" t="s">
        <v>305</v>
      </c>
      <c r="D709" t="s">
        <v>38</v>
      </c>
      <c r="E709">
        <v>-27210</v>
      </c>
      <c r="F709" t="s">
        <v>23</v>
      </c>
      <c r="G709" t="s">
        <v>32</v>
      </c>
      <c r="H709" t="s">
        <v>33</v>
      </c>
      <c r="I709" t="s">
        <v>39</v>
      </c>
      <c r="J709" t="s">
        <v>48</v>
      </c>
    </row>
    <row r="710" spans="1:10">
      <c r="A710" t="s">
        <v>1395</v>
      </c>
      <c r="B710" t="s">
        <v>555</v>
      </c>
      <c r="C710" t="s">
        <v>30</v>
      </c>
      <c r="D710" t="s">
        <v>31</v>
      </c>
      <c r="E710">
        <v>-43757</v>
      </c>
      <c r="F710" t="s">
        <v>23</v>
      </c>
      <c r="G710" t="s">
        <v>24</v>
      </c>
      <c r="H710" t="s">
        <v>33</v>
      </c>
      <c r="I710" t="s">
        <v>39</v>
      </c>
      <c r="J710" t="s">
        <v>48</v>
      </c>
    </row>
    <row r="711" spans="1:10">
      <c r="A711" t="s">
        <v>1396</v>
      </c>
      <c r="B711" t="s">
        <v>1397</v>
      </c>
      <c r="C711" t="s">
        <v>215</v>
      </c>
      <c r="D711" t="s">
        <v>61</v>
      </c>
      <c r="E711">
        <v>-55004</v>
      </c>
      <c r="F711" t="s">
        <v>62</v>
      </c>
      <c r="G711" t="s">
        <v>24</v>
      </c>
      <c r="H711" t="s">
        <v>63</v>
      </c>
      <c r="I711" t="s">
        <v>45</v>
      </c>
      <c r="J711" t="s">
        <v>48</v>
      </c>
    </row>
    <row r="712" spans="1:10">
      <c r="A712" t="s">
        <v>1398</v>
      </c>
      <c r="B712" t="s">
        <v>780</v>
      </c>
      <c r="C712" t="s">
        <v>37</v>
      </c>
      <c r="D712" t="s">
        <v>38</v>
      </c>
      <c r="E712">
        <v>-24831</v>
      </c>
      <c r="F712" t="s">
        <v>23</v>
      </c>
      <c r="G712" t="s">
        <v>32</v>
      </c>
      <c r="H712" t="s">
        <v>33</v>
      </c>
      <c r="I712" t="s">
        <v>39</v>
      </c>
      <c r="J712" t="s">
        <v>48</v>
      </c>
    </row>
    <row r="713" spans="1:10">
      <c r="A713" t="s">
        <v>1399</v>
      </c>
      <c r="B713" t="s">
        <v>1400</v>
      </c>
      <c r="C713" t="s">
        <v>77</v>
      </c>
      <c r="D713" t="s">
        <v>371</v>
      </c>
      <c r="E713">
        <v>-115742</v>
      </c>
      <c r="F713" t="s">
        <v>23</v>
      </c>
      <c r="G713" t="s">
        <v>32</v>
      </c>
      <c r="H713" t="s">
        <v>79</v>
      </c>
      <c r="I713" t="s">
        <v>26</v>
      </c>
      <c r="J713" t="s">
        <v>27</v>
      </c>
    </row>
    <row r="714" spans="1:10">
      <c r="A714" t="s">
        <v>1401</v>
      </c>
      <c r="B714" t="s">
        <v>1402</v>
      </c>
      <c r="C714" t="s">
        <v>406</v>
      </c>
      <c r="D714" t="s">
        <v>111</v>
      </c>
      <c r="E714">
        <v>-19343</v>
      </c>
      <c r="F714" t="s">
        <v>74</v>
      </c>
      <c r="G714" t="s">
        <v>24</v>
      </c>
      <c r="H714" t="s">
        <v>25</v>
      </c>
      <c r="I714" t="s">
        <v>39</v>
      </c>
      <c r="J714" t="s">
        <v>40</v>
      </c>
    </row>
    <row r="715" spans="1:10">
      <c r="A715" t="s">
        <v>1403</v>
      </c>
      <c r="B715" t="s">
        <v>1404</v>
      </c>
      <c r="C715" t="s">
        <v>177</v>
      </c>
      <c r="D715" t="s">
        <v>664</v>
      </c>
      <c r="E715">
        <v>-46880</v>
      </c>
      <c r="F715" t="s">
        <v>23</v>
      </c>
      <c r="G715" t="s">
        <v>24</v>
      </c>
      <c r="H715" t="s">
        <v>79</v>
      </c>
      <c r="I715" t="s">
        <v>45</v>
      </c>
      <c r="J715" t="s">
        <v>27</v>
      </c>
    </row>
    <row r="716" spans="1:10">
      <c r="A716" t="s">
        <v>1405</v>
      </c>
      <c r="B716" t="s">
        <v>1406</v>
      </c>
      <c r="C716" t="s">
        <v>132</v>
      </c>
      <c r="D716" t="s">
        <v>73</v>
      </c>
      <c r="E716">
        <v>-57052</v>
      </c>
      <c r="F716" t="s">
        <v>74</v>
      </c>
      <c r="G716" t="s">
        <v>32</v>
      </c>
      <c r="H716" t="s">
        <v>25</v>
      </c>
      <c r="I716" t="s">
        <v>39</v>
      </c>
      <c r="J716" t="s">
        <v>27</v>
      </c>
    </row>
    <row r="717" spans="1:10">
      <c r="A717" t="s">
        <v>1407</v>
      </c>
      <c r="B717" t="s">
        <v>1351</v>
      </c>
      <c r="C717" t="s">
        <v>72</v>
      </c>
      <c r="D717" t="s">
        <v>73</v>
      </c>
      <c r="E717">
        <v>-48541</v>
      </c>
      <c r="F717" t="s">
        <v>74</v>
      </c>
      <c r="G717" t="s">
        <v>32</v>
      </c>
      <c r="H717" t="s">
        <v>25</v>
      </c>
      <c r="I717" t="s">
        <v>45</v>
      </c>
      <c r="J717" t="s">
        <v>48</v>
      </c>
    </row>
    <row r="718" spans="1:10">
      <c r="A718" t="s">
        <v>1408</v>
      </c>
      <c r="B718" t="s">
        <v>1409</v>
      </c>
      <c r="C718" t="s">
        <v>84</v>
      </c>
      <c r="D718" t="s">
        <v>78</v>
      </c>
      <c r="E718">
        <v>-71704</v>
      </c>
      <c r="F718" t="s">
        <v>23</v>
      </c>
      <c r="G718" t="s">
        <v>32</v>
      </c>
      <c r="H718" t="s">
        <v>79</v>
      </c>
      <c r="I718" t="s">
        <v>26</v>
      </c>
      <c r="J718" t="s">
        <v>34</v>
      </c>
    </row>
    <row r="719" spans="1:10">
      <c r="A719" t="s">
        <v>1410</v>
      </c>
      <c r="B719" t="s">
        <v>1411</v>
      </c>
      <c r="C719" t="s">
        <v>60</v>
      </c>
      <c r="D719" t="s">
        <v>61</v>
      </c>
      <c r="E719">
        <v>-17078</v>
      </c>
      <c r="F719" t="s">
        <v>62</v>
      </c>
      <c r="G719" t="s">
        <v>24</v>
      </c>
      <c r="H719" t="s">
        <v>63</v>
      </c>
      <c r="I719" t="s">
        <v>39</v>
      </c>
      <c r="J719" t="s">
        <v>48</v>
      </c>
    </row>
    <row r="720" spans="1:10">
      <c r="A720" t="s">
        <v>1412</v>
      </c>
      <c r="B720" t="s">
        <v>1413</v>
      </c>
      <c r="C720" t="s">
        <v>215</v>
      </c>
      <c r="D720" t="s">
        <v>61</v>
      </c>
      <c r="E720">
        <v>-45263</v>
      </c>
      <c r="F720" t="s">
        <v>62</v>
      </c>
      <c r="G720" t="s">
        <v>32</v>
      </c>
      <c r="H720" t="s">
        <v>63</v>
      </c>
      <c r="I720" t="s">
        <v>45</v>
      </c>
      <c r="J720" t="s">
        <v>27</v>
      </c>
    </row>
    <row r="721" spans="1:10">
      <c r="A721" t="s">
        <v>1414</v>
      </c>
      <c r="B721" t="s">
        <v>1415</v>
      </c>
      <c r="C721" t="s">
        <v>30</v>
      </c>
      <c r="E721">
        <v>-9245</v>
      </c>
      <c r="F721" t="s">
        <v>23</v>
      </c>
      <c r="G721" t="s">
        <v>24</v>
      </c>
      <c r="H721" t="s">
        <v>33</v>
      </c>
      <c r="I721" t="s">
        <v>26</v>
      </c>
      <c r="J721" t="s">
        <v>48</v>
      </c>
    </row>
    <row r="722" spans="1:10">
      <c r="A722" t="s">
        <v>1416</v>
      </c>
      <c r="B722" t="s">
        <v>1136</v>
      </c>
      <c r="C722" t="s">
        <v>271</v>
      </c>
      <c r="D722" t="s">
        <v>187</v>
      </c>
      <c r="E722">
        <v>-89015</v>
      </c>
      <c r="F722" t="s">
        <v>74</v>
      </c>
      <c r="G722" t="s">
        <v>32</v>
      </c>
      <c r="H722" t="s">
        <v>25</v>
      </c>
      <c r="I722" t="s">
        <v>26</v>
      </c>
      <c r="J722" t="s">
        <v>48</v>
      </c>
    </row>
    <row r="723" spans="1:10">
      <c r="A723" t="s">
        <v>1417</v>
      </c>
      <c r="B723" t="s">
        <v>36</v>
      </c>
      <c r="C723" t="s">
        <v>283</v>
      </c>
      <c r="D723" t="s">
        <v>44</v>
      </c>
      <c r="E723">
        <v>-44105</v>
      </c>
      <c r="F723" t="s">
        <v>23</v>
      </c>
      <c r="G723" t="s">
        <v>24</v>
      </c>
      <c r="H723" t="s">
        <v>33</v>
      </c>
      <c r="I723" t="s">
        <v>39</v>
      </c>
      <c r="J723" t="s">
        <v>40</v>
      </c>
    </row>
    <row r="724" spans="1:10">
      <c r="A724" t="s">
        <v>1418</v>
      </c>
      <c r="B724" t="s">
        <v>1419</v>
      </c>
      <c r="C724" t="s">
        <v>215</v>
      </c>
      <c r="D724" t="s">
        <v>61</v>
      </c>
      <c r="E724">
        <v>-48272</v>
      </c>
      <c r="F724" t="s">
        <v>62</v>
      </c>
      <c r="G724" t="s">
        <v>24</v>
      </c>
      <c r="H724" t="s">
        <v>63</v>
      </c>
      <c r="I724" t="s">
        <v>26</v>
      </c>
      <c r="J724" t="s">
        <v>34</v>
      </c>
    </row>
    <row r="725" spans="1:10">
      <c r="A725" t="s">
        <v>1420</v>
      </c>
      <c r="B725" t="s">
        <v>923</v>
      </c>
      <c r="C725" t="s">
        <v>305</v>
      </c>
      <c r="D725" t="s">
        <v>38</v>
      </c>
      <c r="E725">
        <v>-28476</v>
      </c>
      <c r="F725" t="s">
        <v>23</v>
      </c>
      <c r="G725" t="s">
        <v>32</v>
      </c>
      <c r="H725" t="s">
        <v>33</v>
      </c>
      <c r="I725" t="s">
        <v>26</v>
      </c>
      <c r="J725" t="s">
        <v>48</v>
      </c>
    </row>
    <row r="726" spans="1:10">
      <c r="A726" t="s">
        <v>1421</v>
      </c>
      <c r="B726" t="s">
        <v>1422</v>
      </c>
      <c r="C726" t="s">
        <v>174</v>
      </c>
      <c r="D726" t="s">
        <v>22</v>
      </c>
      <c r="E726">
        <v>-146901</v>
      </c>
      <c r="F726" t="s">
        <v>23</v>
      </c>
      <c r="G726" t="s">
        <v>24</v>
      </c>
      <c r="H726" t="s">
        <v>25</v>
      </c>
      <c r="I726" t="s">
        <v>26</v>
      </c>
      <c r="J726" t="s">
        <v>27</v>
      </c>
    </row>
    <row r="727" spans="1:10">
      <c r="A727" t="s">
        <v>1423</v>
      </c>
      <c r="B727" t="s">
        <v>201</v>
      </c>
      <c r="C727" t="s">
        <v>166</v>
      </c>
      <c r="D727" t="s">
        <v>31</v>
      </c>
      <c r="E727">
        <v>-8561</v>
      </c>
      <c r="F727" t="s">
        <v>23</v>
      </c>
      <c r="G727" t="s">
        <v>24</v>
      </c>
      <c r="H727" t="s">
        <v>33</v>
      </c>
      <c r="I727" t="s">
        <v>26</v>
      </c>
      <c r="J727" t="s">
        <v>48</v>
      </c>
    </row>
    <row r="728" spans="1:10">
      <c r="A728" t="s">
        <v>1424</v>
      </c>
      <c r="B728" t="s">
        <v>282</v>
      </c>
      <c r="C728" t="s">
        <v>212</v>
      </c>
      <c r="D728" t="s">
        <v>73</v>
      </c>
      <c r="E728">
        <v>-25603</v>
      </c>
      <c r="F728" t="s">
        <v>74</v>
      </c>
      <c r="G728" t="s">
        <v>24</v>
      </c>
      <c r="H728" t="s">
        <v>25</v>
      </c>
      <c r="I728" t="s">
        <v>26</v>
      </c>
      <c r="J728" t="s">
        <v>48</v>
      </c>
    </row>
    <row r="729" spans="1:10">
      <c r="A729" t="s">
        <v>1425</v>
      </c>
      <c r="B729" t="s">
        <v>1426</v>
      </c>
      <c r="C729" t="s">
        <v>60</v>
      </c>
      <c r="D729" t="s">
        <v>61</v>
      </c>
      <c r="E729">
        <v>-38172</v>
      </c>
      <c r="F729" t="s">
        <v>62</v>
      </c>
      <c r="G729" t="s">
        <v>32</v>
      </c>
      <c r="H729" t="s">
        <v>63</v>
      </c>
      <c r="I729" t="s">
        <v>39</v>
      </c>
      <c r="J729" t="s">
        <v>48</v>
      </c>
    </row>
    <row r="730" spans="1:10">
      <c r="A730" t="s">
        <v>1427</v>
      </c>
      <c r="B730" t="s">
        <v>1428</v>
      </c>
      <c r="C730" t="s">
        <v>103</v>
      </c>
      <c r="D730" t="s">
        <v>78</v>
      </c>
      <c r="E730">
        <v>-77391</v>
      </c>
      <c r="F730" t="s">
        <v>23</v>
      </c>
      <c r="G730" t="s">
        <v>24</v>
      </c>
      <c r="H730" t="s">
        <v>79</v>
      </c>
      <c r="I730" t="s">
        <v>39</v>
      </c>
      <c r="J730" t="s">
        <v>34</v>
      </c>
    </row>
    <row r="731" spans="1:10">
      <c r="A731" t="s">
        <v>1429</v>
      </c>
      <c r="B731" t="s">
        <v>1430</v>
      </c>
      <c r="C731" t="s">
        <v>60</v>
      </c>
      <c r="D731" t="s">
        <v>61</v>
      </c>
      <c r="E731">
        <v>-56897</v>
      </c>
      <c r="F731" t="s">
        <v>62</v>
      </c>
      <c r="G731" t="s">
        <v>32</v>
      </c>
      <c r="H731" t="s">
        <v>63</v>
      </c>
      <c r="I731" t="s">
        <v>39</v>
      </c>
      <c r="J731" t="s">
        <v>34</v>
      </c>
    </row>
    <row r="732" spans="1:10">
      <c r="A732" t="s">
        <v>1431</v>
      </c>
      <c r="B732" t="s">
        <v>115</v>
      </c>
      <c r="C732" t="s">
        <v>51</v>
      </c>
      <c r="E732">
        <v>-34789</v>
      </c>
      <c r="F732" t="s">
        <v>23</v>
      </c>
      <c r="G732" t="s">
        <v>24</v>
      </c>
      <c r="H732" t="s">
        <v>33</v>
      </c>
      <c r="I732" t="s">
        <v>45</v>
      </c>
      <c r="J732" t="s">
        <v>48</v>
      </c>
    </row>
    <row r="733" spans="1:10">
      <c r="A733" t="s">
        <v>1432</v>
      </c>
      <c r="B733" t="s">
        <v>1433</v>
      </c>
      <c r="C733" t="s">
        <v>255</v>
      </c>
      <c r="D733" t="s">
        <v>320</v>
      </c>
      <c r="E733">
        <v>-135120</v>
      </c>
      <c r="F733" t="s">
        <v>23</v>
      </c>
      <c r="G733" t="s">
        <v>24</v>
      </c>
      <c r="H733" t="s">
        <v>25</v>
      </c>
      <c r="I733" t="s">
        <v>45</v>
      </c>
      <c r="J733" t="s">
        <v>40</v>
      </c>
    </row>
    <row r="734" spans="1:10">
      <c r="A734" t="s">
        <v>1434</v>
      </c>
      <c r="B734" t="s">
        <v>1435</v>
      </c>
      <c r="C734" t="s">
        <v>106</v>
      </c>
      <c r="D734" t="s">
        <v>31</v>
      </c>
      <c r="E734">
        <v>-24299</v>
      </c>
      <c r="F734" t="s">
        <v>23</v>
      </c>
      <c r="G734" t="s">
        <v>24</v>
      </c>
      <c r="H734" t="s">
        <v>33</v>
      </c>
      <c r="I734" t="s">
        <v>45</v>
      </c>
      <c r="J734" t="s">
        <v>48</v>
      </c>
    </row>
    <row r="735" spans="1:10">
      <c r="A735" t="s">
        <v>1436</v>
      </c>
      <c r="B735" t="s">
        <v>1437</v>
      </c>
      <c r="C735" t="s">
        <v>60</v>
      </c>
      <c r="D735" t="s">
        <v>61</v>
      </c>
      <c r="E735">
        <v>-46454</v>
      </c>
      <c r="F735" t="s">
        <v>62</v>
      </c>
      <c r="G735" t="s">
        <v>24</v>
      </c>
      <c r="H735" t="s">
        <v>63</v>
      </c>
      <c r="I735" t="s">
        <v>26</v>
      </c>
      <c r="J735" t="s">
        <v>48</v>
      </c>
    </row>
    <row r="736" spans="1:10">
      <c r="A736" t="s">
        <v>1438</v>
      </c>
      <c r="B736" t="s">
        <v>1439</v>
      </c>
      <c r="C736" t="s">
        <v>161</v>
      </c>
      <c r="D736" t="s">
        <v>22</v>
      </c>
      <c r="E736">
        <v>-127200</v>
      </c>
      <c r="F736" t="s">
        <v>23</v>
      </c>
      <c r="G736" t="s">
        <v>24</v>
      </c>
      <c r="H736" t="s">
        <v>25</v>
      </c>
      <c r="I736" t="s">
        <v>26</v>
      </c>
      <c r="J736" t="s">
        <v>48</v>
      </c>
    </row>
    <row r="737" spans="1:10">
      <c r="A737" t="s">
        <v>1440</v>
      </c>
      <c r="B737" t="s">
        <v>1441</v>
      </c>
      <c r="C737" t="s">
        <v>177</v>
      </c>
      <c r="D737" t="s">
        <v>78</v>
      </c>
      <c r="E737">
        <v>-118944</v>
      </c>
      <c r="F737" t="s">
        <v>23</v>
      </c>
      <c r="G737" t="s">
        <v>32</v>
      </c>
      <c r="H737" t="s">
        <v>79</v>
      </c>
      <c r="I737" t="s">
        <v>39</v>
      </c>
      <c r="J737" t="s">
        <v>40</v>
      </c>
    </row>
    <row r="738" spans="1:10">
      <c r="A738" t="s">
        <v>1442</v>
      </c>
      <c r="B738" t="s">
        <v>1443</v>
      </c>
      <c r="C738" t="s">
        <v>305</v>
      </c>
      <c r="D738" t="s">
        <v>38</v>
      </c>
      <c r="E738">
        <v>-27719</v>
      </c>
      <c r="F738" t="s">
        <v>23</v>
      </c>
      <c r="G738" t="s">
        <v>32</v>
      </c>
      <c r="H738" t="s">
        <v>33</v>
      </c>
      <c r="I738" t="s">
        <v>26</v>
      </c>
      <c r="J738" t="s">
        <v>27</v>
      </c>
    </row>
    <row r="739" spans="1:10">
      <c r="A739" t="s">
        <v>1444</v>
      </c>
      <c r="B739" t="s">
        <v>147</v>
      </c>
      <c r="C739" t="s">
        <v>129</v>
      </c>
      <c r="D739" t="s">
        <v>38</v>
      </c>
      <c r="E739">
        <v>-32432</v>
      </c>
      <c r="F739" t="s">
        <v>23</v>
      </c>
      <c r="G739" t="s">
        <v>24</v>
      </c>
      <c r="H739" t="s">
        <v>33</v>
      </c>
      <c r="I739" t="s">
        <v>26</v>
      </c>
      <c r="J739" t="s">
        <v>27</v>
      </c>
    </row>
    <row r="740" spans="1:10">
      <c r="A740" t="s">
        <v>1445</v>
      </c>
      <c r="B740" t="s">
        <v>1309</v>
      </c>
      <c r="C740" t="s">
        <v>890</v>
      </c>
      <c r="D740" t="s">
        <v>440</v>
      </c>
      <c r="E740">
        <v>-111828</v>
      </c>
      <c r="F740" t="s">
        <v>23</v>
      </c>
      <c r="G740" t="s">
        <v>24</v>
      </c>
      <c r="H740" t="s">
        <v>33</v>
      </c>
      <c r="I740" t="s">
        <v>39</v>
      </c>
      <c r="J740" t="s">
        <v>27</v>
      </c>
    </row>
    <row r="741" spans="1:10">
      <c r="A741" t="s">
        <v>1446</v>
      </c>
      <c r="B741" t="s">
        <v>1383</v>
      </c>
      <c r="C741" t="s">
        <v>51</v>
      </c>
      <c r="D741" t="s">
        <v>31</v>
      </c>
      <c r="E741">
        <v>-15492</v>
      </c>
      <c r="F741" t="s">
        <v>23</v>
      </c>
      <c r="G741" t="s">
        <v>32</v>
      </c>
      <c r="H741" t="s">
        <v>33</v>
      </c>
      <c r="I741" t="s">
        <v>26</v>
      </c>
      <c r="J741" t="s">
        <v>27</v>
      </c>
    </row>
    <row r="742" spans="1:10">
      <c r="A742" t="s">
        <v>1447</v>
      </c>
      <c r="B742" t="s">
        <v>1080</v>
      </c>
      <c r="C742" t="s">
        <v>72</v>
      </c>
      <c r="E742">
        <v>-45501</v>
      </c>
      <c r="F742" t="s">
        <v>74</v>
      </c>
      <c r="G742" t="s">
        <v>24</v>
      </c>
      <c r="H742" t="s">
        <v>25</v>
      </c>
      <c r="I742" t="s">
        <v>26</v>
      </c>
      <c r="J742" t="s">
        <v>34</v>
      </c>
    </row>
    <row r="743" spans="1:10">
      <c r="A743" t="s">
        <v>1448</v>
      </c>
      <c r="B743" t="s">
        <v>1066</v>
      </c>
      <c r="C743" t="s">
        <v>305</v>
      </c>
      <c r="D743" t="s">
        <v>38</v>
      </c>
      <c r="E743">
        <v>-46603</v>
      </c>
      <c r="F743" t="s">
        <v>23</v>
      </c>
      <c r="G743" t="s">
        <v>32</v>
      </c>
      <c r="H743" t="s">
        <v>33</v>
      </c>
      <c r="I743" t="s">
        <v>26</v>
      </c>
      <c r="J743" t="s">
        <v>48</v>
      </c>
    </row>
    <row r="744" spans="1:10">
      <c r="A744" t="s">
        <v>1449</v>
      </c>
      <c r="B744" t="s">
        <v>1450</v>
      </c>
      <c r="C744" t="s">
        <v>60</v>
      </c>
      <c r="D744" t="s">
        <v>61</v>
      </c>
      <c r="E744">
        <v>-29496</v>
      </c>
      <c r="F744" t="s">
        <v>62</v>
      </c>
      <c r="G744" t="s">
        <v>32</v>
      </c>
      <c r="H744" t="s">
        <v>63</v>
      </c>
      <c r="I744" t="s">
        <v>26</v>
      </c>
      <c r="J744" t="s">
        <v>48</v>
      </c>
    </row>
    <row r="745" spans="1:10">
      <c r="A745" t="s">
        <v>1451</v>
      </c>
      <c r="B745" t="s">
        <v>1452</v>
      </c>
      <c r="C745" t="s">
        <v>100</v>
      </c>
      <c r="D745" t="s">
        <v>31</v>
      </c>
      <c r="E745">
        <v>-37944</v>
      </c>
      <c r="F745" t="s">
        <v>23</v>
      </c>
      <c r="G745" t="s">
        <v>32</v>
      </c>
      <c r="H745" t="s">
        <v>33</v>
      </c>
      <c r="I745" t="s">
        <v>39</v>
      </c>
      <c r="J745" t="s">
        <v>34</v>
      </c>
    </row>
    <row r="746" spans="1:10">
      <c r="A746" t="s">
        <v>1453</v>
      </c>
      <c r="B746" t="s">
        <v>474</v>
      </c>
      <c r="C746" t="s">
        <v>57</v>
      </c>
      <c r="D746" t="s">
        <v>44</v>
      </c>
      <c r="E746">
        <v>-149500</v>
      </c>
      <c r="F746" t="s">
        <v>23</v>
      </c>
      <c r="G746" t="s">
        <v>32</v>
      </c>
      <c r="H746" t="s">
        <v>33</v>
      </c>
      <c r="I746" t="s">
        <v>45</v>
      </c>
      <c r="J746" t="s">
        <v>40</v>
      </c>
    </row>
    <row r="747" spans="1:10">
      <c r="A747" t="s">
        <v>1454</v>
      </c>
      <c r="B747" t="s">
        <v>1455</v>
      </c>
      <c r="C747" t="s">
        <v>180</v>
      </c>
      <c r="D747" t="s">
        <v>44</v>
      </c>
      <c r="E747">
        <v>-132437</v>
      </c>
      <c r="F747" t="s">
        <v>23</v>
      </c>
      <c r="G747" t="s">
        <v>24</v>
      </c>
      <c r="H747" t="s">
        <v>33</v>
      </c>
      <c r="I747" t="s">
        <v>39</v>
      </c>
      <c r="J747" t="s">
        <v>27</v>
      </c>
    </row>
    <row r="748" spans="1:10">
      <c r="A748" t="s">
        <v>1456</v>
      </c>
      <c r="B748" t="s">
        <v>1071</v>
      </c>
      <c r="C748" t="s">
        <v>1366</v>
      </c>
      <c r="D748" t="s">
        <v>31</v>
      </c>
      <c r="E748">
        <v>-8519</v>
      </c>
      <c r="F748" t="s">
        <v>23</v>
      </c>
      <c r="G748" t="s">
        <v>24</v>
      </c>
      <c r="H748" t="s">
        <v>33</v>
      </c>
      <c r="I748" t="s">
        <v>26</v>
      </c>
      <c r="J748" t="s">
        <v>34</v>
      </c>
    </row>
    <row r="749" spans="1:10">
      <c r="A749" t="s">
        <v>1457</v>
      </c>
      <c r="B749" t="s">
        <v>1422</v>
      </c>
      <c r="C749" t="s">
        <v>161</v>
      </c>
      <c r="D749" t="s">
        <v>22</v>
      </c>
      <c r="E749">
        <v>-178035</v>
      </c>
      <c r="F749" t="s">
        <v>23</v>
      </c>
      <c r="G749" t="s">
        <v>24</v>
      </c>
      <c r="H749" t="s">
        <v>25</v>
      </c>
      <c r="I749" t="s">
        <v>26</v>
      </c>
      <c r="J749" t="s">
        <v>27</v>
      </c>
    </row>
    <row r="750" spans="1:10">
      <c r="A750" t="s">
        <v>1458</v>
      </c>
      <c r="B750" t="s">
        <v>1459</v>
      </c>
      <c r="C750" t="s">
        <v>339</v>
      </c>
      <c r="D750" t="s">
        <v>157</v>
      </c>
      <c r="E750">
        <v>688463</v>
      </c>
      <c r="F750" t="s">
        <v>62</v>
      </c>
      <c r="G750" t="s">
        <v>32</v>
      </c>
      <c r="H750" t="s">
        <v>25</v>
      </c>
      <c r="I750" t="s">
        <v>39</v>
      </c>
      <c r="J750" t="s">
        <v>40</v>
      </c>
    </row>
    <row r="751" spans="1:10">
      <c r="A751" t="s">
        <v>1460</v>
      </c>
      <c r="B751" t="s">
        <v>1461</v>
      </c>
      <c r="C751" t="s">
        <v>293</v>
      </c>
      <c r="D751" t="s">
        <v>157</v>
      </c>
      <c r="E751">
        <v>693564</v>
      </c>
      <c r="F751" t="s">
        <v>62</v>
      </c>
      <c r="G751" t="s">
        <v>32</v>
      </c>
      <c r="H751" t="s">
        <v>25</v>
      </c>
      <c r="I751" t="s">
        <v>39</v>
      </c>
      <c r="J751" t="s">
        <v>27</v>
      </c>
    </row>
    <row r="752" spans="1:10">
      <c r="A752" t="s">
        <v>1462</v>
      </c>
      <c r="B752" t="s">
        <v>1463</v>
      </c>
      <c r="C752" t="s">
        <v>169</v>
      </c>
      <c r="D752" t="s">
        <v>73</v>
      </c>
      <c r="E752">
        <v>-94991</v>
      </c>
      <c r="F752" t="s">
        <v>74</v>
      </c>
      <c r="G752" t="s">
        <v>24</v>
      </c>
      <c r="H752" t="s">
        <v>25</v>
      </c>
      <c r="I752" t="s">
        <v>26</v>
      </c>
      <c r="J752" t="s">
        <v>34</v>
      </c>
    </row>
    <row r="753" spans="1:10">
      <c r="A753" t="s">
        <v>1464</v>
      </c>
      <c r="B753" t="s">
        <v>868</v>
      </c>
      <c r="C753" t="s">
        <v>132</v>
      </c>
      <c r="D753" t="s">
        <v>73</v>
      </c>
      <c r="E753">
        <v>-78402</v>
      </c>
      <c r="F753" t="s">
        <v>74</v>
      </c>
      <c r="G753" t="s">
        <v>24</v>
      </c>
      <c r="H753" t="s">
        <v>25</v>
      </c>
      <c r="I753" t="s">
        <v>26</v>
      </c>
      <c r="J753" t="s">
        <v>27</v>
      </c>
    </row>
    <row r="754" spans="1:10">
      <c r="A754" t="s">
        <v>1465</v>
      </c>
      <c r="B754" t="s">
        <v>863</v>
      </c>
      <c r="C754" t="s">
        <v>66</v>
      </c>
      <c r="D754" t="s">
        <v>61</v>
      </c>
      <c r="E754">
        <v>-30362</v>
      </c>
      <c r="F754" t="s">
        <v>62</v>
      </c>
      <c r="G754" t="s">
        <v>32</v>
      </c>
      <c r="H754" t="s">
        <v>63</v>
      </c>
      <c r="I754" t="s">
        <v>26</v>
      </c>
      <c r="J754" t="s">
        <v>48</v>
      </c>
    </row>
    <row r="755" spans="1:10">
      <c r="A755" t="s">
        <v>1466</v>
      </c>
      <c r="B755" t="s">
        <v>1090</v>
      </c>
      <c r="C755" t="s">
        <v>192</v>
      </c>
      <c r="D755" t="s">
        <v>22</v>
      </c>
      <c r="E755">
        <v>-38834</v>
      </c>
      <c r="F755" t="s">
        <v>23</v>
      </c>
      <c r="G755" t="s">
        <v>24</v>
      </c>
      <c r="H755" t="s">
        <v>25</v>
      </c>
      <c r="I755" t="s">
        <v>26</v>
      </c>
      <c r="J755" t="s">
        <v>48</v>
      </c>
    </row>
    <row r="756" spans="1:10">
      <c r="A756" t="s">
        <v>1467</v>
      </c>
      <c r="B756" t="s">
        <v>1468</v>
      </c>
      <c r="C756" t="s">
        <v>43</v>
      </c>
      <c r="D756" t="s">
        <v>44</v>
      </c>
      <c r="E756">
        <v>-155257</v>
      </c>
      <c r="F756" t="s">
        <v>23</v>
      </c>
      <c r="G756" t="s">
        <v>24</v>
      </c>
      <c r="H756" t="s">
        <v>33</v>
      </c>
      <c r="I756" t="s">
        <v>39</v>
      </c>
      <c r="J756" t="s">
        <v>34</v>
      </c>
    </row>
    <row r="757" spans="1:10">
      <c r="A757" t="s">
        <v>1469</v>
      </c>
      <c r="B757" t="s">
        <v>145</v>
      </c>
      <c r="C757" t="s">
        <v>1039</v>
      </c>
      <c r="D757" t="s">
        <v>440</v>
      </c>
      <c r="E757">
        <v>-112824</v>
      </c>
      <c r="F757" t="s">
        <v>23</v>
      </c>
      <c r="G757" t="s">
        <v>32</v>
      </c>
      <c r="H757" t="s">
        <v>33</v>
      </c>
      <c r="I757" t="s">
        <v>26</v>
      </c>
      <c r="J757" t="s">
        <v>40</v>
      </c>
    </row>
    <row r="758" spans="1:10">
      <c r="A758" t="s">
        <v>1470</v>
      </c>
      <c r="B758" t="s">
        <v>1045</v>
      </c>
      <c r="C758" t="s">
        <v>21</v>
      </c>
      <c r="D758" t="s">
        <v>22</v>
      </c>
      <c r="E758">
        <v>-40341</v>
      </c>
      <c r="F758" t="s">
        <v>23</v>
      </c>
      <c r="G758" t="s">
        <v>32</v>
      </c>
      <c r="H758" t="s">
        <v>25</v>
      </c>
      <c r="I758" t="s">
        <v>39</v>
      </c>
      <c r="J758" t="s">
        <v>34</v>
      </c>
    </row>
    <row r="759" spans="1:10">
      <c r="A759" t="s">
        <v>1471</v>
      </c>
      <c r="B759" t="s">
        <v>1472</v>
      </c>
      <c r="C759" t="s">
        <v>129</v>
      </c>
      <c r="D759" t="s">
        <v>38</v>
      </c>
      <c r="E759">
        <v>-46378</v>
      </c>
      <c r="F759" t="s">
        <v>23</v>
      </c>
      <c r="G759" t="s">
        <v>24</v>
      </c>
      <c r="H759" t="s">
        <v>33</v>
      </c>
      <c r="I759" t="s">
        <v>39</v>
      </c>
      <c r="J759" t="s">
        <v>27</v>
      </c>
    </row>
    <row r="760" spans="1:10">
      <c r="A760" t="s">
        <v>1473</v>
      </c>
      <c r="B760" t="s">
        <v>1474</v>
      </c>
      <c r="C760" t="s">
        <v>37</v>
      </c>
      <c r="D760" t="s">
        <v>38</v>
      </c>
      <c r="E760">
        <v>-49328</v>
      </c>
      <c r="F760" t="s">
        <v>23</v>
      </c>
      <c r="G760" t="s">
        <v>24</v>
      </c>
      <c r="H760" t="s">
        <v>33</v>
      </c>
      <c r="I760" t="s">
        <v>39</v>
      </c>
      <c r="J760" t="s">
        <v>40</v>
      </c>
    </row>
    <row r="761" spans="1:10">
      <c r="A761" t="s">
        <v>1475</v>
      </c>
      <c r="B761" t="s">
        <v>1476</v>
      </c>
      <c r="C761" t="s">
        <v>30</v>
      </c>
      <c r="D761" t="s">
        <v>31</v>
      </c>
      <c r="E761">
        <v>-41910</v>
      </c>
      <c r="F761" t="s">
        <v>23</v>
      </c>
      <c r="G761" t="s">
        <v>24</v>
      </c>
      <c r="H761" t="s">
        <v>33</v>
      </c>
      <c r="I761" t="s">
        <v>26</v>
      </c>
      <c r="J761" t="s">
        <v>34</v>
      </c>
    </row>
    <row r="762" spans="1:10">
      <c r="A762" t="s">
        <v>1477</v>
      </c>
      <c r="B762" t="s">
        <v>1478</v>
      </c>
      <c r="C762" t="s">
        <v>237</v>
      </c>
      <c r="D762" t="s">
        <v>22</v>
      </c>
      <c r="E762">
        <v>-154698</v>
      </c>
      <c r="F762" t="s">
        <v>23</v>
      </c>
      <c r="G762" t="s">
        <v>24</v>
      </c>
      <c r="H762" t="s">
        <v>25</v>
      </c>
      <c r="I762" t="s">
        <v>39</v>
      </c>
      <c r="J762" t="s">
        <v>40</v>
      </c>
    </row>
    <row r="763" spans="1:10">
      <c r="A763" t="s">
        <v>1479</v>
      </c>
      <c r="B763" t="s">
        <v>1480</v>
      </c>
      <c r="C763" t="s">
        <v>1481</v>
      </c>
      <c r="D763" t="s">
        <v>22</v>
      </c>
      <c r="E763">
        <v>-67574</v>
      </c>
      <c r="F763" t="s">
        <v>23</v>
      </c>
      <c r="G763" t="s">
        <v>24</v>
      </c>
      <c r="H763" t="s">
        <v>25</v>
      </c>
      <c r="I763" t="s">
        <v>39</v>
      </c>
      <c r="J763" t="s">
        <v>27</v>
      </c>
    </row>
    <row r="764" spans="1:10">
      <c r="A764" t="s">
        <v>1482</v>
      </c>
      <c r="B764" t="s">
        <v>1483</v>
      </c>
      <c r="C764" t="s">
        <v>116</v>
      </c>
      <c r="D764" t="s">
        <v>73</v>
      </c>
      <c r="E764">
        <v>-54200</v>
      </c>
      <c r="F764" t="s">
        <v>74</v>
      </c>
      <c r="G764" t="s">
        <v>32</v>
      </c>
      <c r="H764" t="s">
        <v>25</v>
      </c>
      <c r="I764" t="s">
        <v>45</v>
      </c>
      <c r="J764" t="s">
        <v>27</v>
      </c>
    </row>
    <row r="765" spans="1:10">
      <c r="A765" t="s">
        <v>1484</v>
      </c>
      <c r="B765" t="s">
        <v>1151</v>
      </c>
      <c r="C765" t="s">
        <v>212</v>
      </c>
      <c r="D765" t="s">
        <v>73</v>
      </c>
      <c r="E765">
        <v>-51573</v>
      </c>
      <c r="F765" t="s">
        <v>74</v>
      </c>
      <c r="G765" t="s">
        <v>32</v>
      </c>
      <c r="H765" t="s">
        <v>25</v>
      </c>
      <c r="I765" t="s">
        <v>26</v>
      </c>
      <c r="J765" t="s">
        <v>34</v>
      </c>
    </row>
    <row r="766" spans="1:10">
      <c r="A766" t="s">
        <v>1485</v>
      </c>
      <c r="B766" t="s">
        <v>608</v>
      </c>
      <c r="C766" t="s">
        <v>72</v>
      </c>
      <c r="D766" t="s">
        <v>73</v>
      </c>
      <c r="E766">
        <v>-56608</v>
      </c>
      <c r="F766" t="s">
        <v>74</v>
      </c>
      <c r="G766" t="s">
        <v>24</v>
      </c>
      <c r="H766" t="s">
        <v>25</v>
      </c>
      <c r="I766" t="s">
        <v>45</v>
      </c>
      <c r="J766" t="s">
        <v>48</v>
      </c>
    </row>
    <row r="767" spans="1:10">
      <c r="A767" t="s">
        <v>1486</v>
      </c>
      <c r="B767" t="s">
        <v>756</v>
      </c>
      <c r="C767" t="s">
        <v>54</v>
      </c>
      <c r="D767" t="s">
        <v>38</v>
      </c>
      <c r="E767">
        <v>-42245</v>
      </c>
      <c r="F767" t="s">
        <v>23</v>
      </c>
      <c r="G767" t="s">
        <v>24</v>
      </c>
      <c r="H767" t="s">
        <v>33</v>
      </c>
      <c r="I767" t="s">
        <v>26</v>
      </c>
      <c r="J767" t="s">
        <v>48</v>
      </c>
    </row>
    <row r="768" spans="1:10">
      <c r="A768" t="s">
        <v>1487</v>
      </c>
      <c r="B768" t="s">
        <v>1488</v>
      </c>
      <c r="C768" t="s">
        <v>1489</v>
      </c>
      <c r="D768" t="s">
        <v>136</v>
      </c>
      <c r="E768">
        <v>-10314245</v>
      </c>
      <c r="F768" t="s">
        <v>62</v>
      </c>
      <c r="G768" t="s">
        <v>32</v>
      </c>
      <c r="H768" t="s">
        <v>63</v>
      </c>
      <c r="I768" t="s">
        <v>45</v>
      </c>
      <c r="J768" t="s">
        <v>34</v>
      </c>
    </row>
    <row r="769" spans="1:10">
      <c r="A769" t="s">
        <v>1490</v>
      </c>
      <c r="B769" t="s">
        <v>1491</v>
      </c>
      <c r="C769" t="s">
        <v>339</v>
      </c>
      <c r="D769" t="s">
        <v>157</v>
      </c>
      <c r="E769">
        <v>566360</v>
      </c>
      <c r="F769" t="s">
        <v>62</v>
      </c>
      <c r="G769" t="s">
        <v>32</v>
      </c>
      <c r="H769" t="s">
        <v>25</v>
      </c>
      <c r="I769" t="s">
        <v>45</v>
      </c>
      <c r="J769" t="s">
        <v>34</v>
      </c>
    </row>
    <row r="770" spans="1:10">
      <c r="A770" t="s">
        <v>1492</v>
      </c>
      <c r="B770" t="s">
        <v>1493</v>
      </c>
      <c r="C770" t="s">
        <v>439</v>
      </c>
      <c r="D770" t="s">
        <v>440</v>
      </c>
      <c r="E770">
        <v>-139886</v>
      </c>
      <c r="F770" t="s">
        <v>23</v>
      </c>
      <c r="G770" t="s">
        <v>32</v>
      </c>
      <c r="H770" t="s">
        <v>33</v>
      </c>
      <c r="I770" t="s">
        <v>39</v>
      </c>
      <c r="J770" t="s">
        <v>34</v>
      </c>
    </row>
    <row r="771" spans="1:10">
      <c r="A771" t="s">
        <v>1494</v>
      </c>
      <c r="B771" t="s">
        <v>1388</v>
      </c>
      <c r="C771" t="s">
        <v>43</v>
      </c>
      <c r="D771" t="s">
        <v>44</v>
      </c>
      <c r="E771">
        <v>-108498</v>
      </c>
      <c r="F771" t="s">
        <v>23</v>
      </c>
      <c r="G771" t="s">
        <v>32</v>
      </c>
      <c r="H771" t="s">
        <v>33</v>
      </c>
      <c r="I771" t="s">
        <v>26</v>
      </c>
      <c r="J771" t="s">
        <v>40</v>
      </c>
    </row>
    <row r="772" spans="1:10">
      <c r="A772" t="s">
        <v>1495</v>
      </c>
      <c r="B772" t="s">
        <v>1496</v>
      </c>
      <c r="C772" t="s">
        <v>224</v>
      </c>
      <c r="D772" t="s">
        <v>78</v>
      </c>
      <c r="E772">
        <v>-73783</v>
      </c>
      <c r="F772" t="s">
        <v>23</v>
      </c>
      <c r="G772" t="s">
        <v>32</v>
      </c>
      <c r="H772" t="s">
        <v>79</v>
      </c>
      <c r="I772" t="s">
        <v>45</v>
      </c>
      <c r="J772" t="s">
        <v>34</v>
      </c>
    </row>
    <row r="773" spans="1:10">
      <c r="A773" t="s">
        <v>1497</v>
      </c>
      <c r="B773" t="s">
        <v>444</v>
      </c>
      <c r="C773" t="s">
        <v>60</v>
      </c>
      <c r="D773" t="s">
        <v>61</v>
      </c>
      <c r="E773">
        <v>-29090</v>
      </c>
      <c r="F773" t="s">
        <v>62</v>
      </c>
      <c r="G773" t="s">
        <v>24</v>
      </c>
      <c r="H773" t="s">
        <v>63</v>
      </c>
      <c r="I773" t="s">
        <v>26</v>
      </c>
      <c r="J773" t="s">
        <v>40</v>
      </c>
    </row>
    <row r="774" spans="1:10">
      <c r="A774" t="s">
        <v>1498</v>
      </c>
      <c r="B774" t="s">
        <v>1499</v>
      </c>
      <c r="C774" t="s">
        <v>106</v>
      </c>
      <c r="D774" t="s">
        <v>31</v>
      </c>
      <c r="E774">
        <v>-7765</v>
      </c>
      <c r="F774" t="s">
        <v>23</v>
      </c>
      <c r="G774" t="s">
        <v>32</v>
      </c>
      <c r="H774" t="s">
        <v>33</v>
      </c>
      <c r="I774" t="s">
        <v>26</v>
      </c>
      <c r="J774" t="s">
        <v>48</v>
      </c>
    </row>
    <row r="775" spans="1:10">
      <c r="A775" t="s">
        <v>1500</v>
      </c>
      <c r="B775" t="s">
        <v>861</v>
      </c>
      <c r="C775" t="s">
        <v>51</v>
      </c>
      <c r="D775" t="s">
        <v>31</v>
      </c>
      <c r="E775">
        <v>-13779</v>
      </c>
      <c r="F775" t="s">
        <v>23</v>
      </c>
      <c r="G775" t="s">
        <v>32</v>
      </c>
      <c r="H775" t="s">
        <v>33</v>
      </c>
      <c r="I775" t="s">
        <v>26</v>
      </c>
      <c r="J775" t="s">
        <v>48</v>
      </c>
    </row>
    <row r="776" spans="1:10">
      <c r="A776" t="s">
        <v>1501</v>
      </c>
      <c r="B776" t="s">
        <v>788</v>
      </c>
      <c r="C776" t="s">
        <v>132</v>
      </c>
      <c r="D776" t="s">
        <v>187</v>
      </c>
      <c r="E776">
        <v>-12887</v>
      </c>
      <c r="F776" t="s">
        <v>74</v>
      </c>
      <c r="G776" t="s">
        <v>32</v>
      </c>
      <c r="H776" t="s">
        <v>25</v>
      </c>
      <c r="I776" t="s">
        <v>39</v>
      </c>
      <c r="J776" t="s">
        <v>48</v>
      </c>
    </row>
    <row r="777" spans="1:10">
      <c r="A777" t="s">
        <v>1502</v>
      </c>
      <c r="B777" t="s">
        <v>1180</v>
      </c>
      <c r="C777" t="s">
        <v>69</v>
      </c>
      <c r="D777" t="s">
        <v>38</v>
      </c>
      <c r="E777">
        <v>-38672</v>
      </c>
      <c r="F777" t="s">
        <v>23</v>
      </c>
      <c r="G777" t="s">
        <v>32</v>
      </c>
      <c r="H777" t="s">
        <v>33</v>
      </c>
      <c r="I777" t="s">
        <v>39</v>
      </c>
      <c r="J777" t="s">
        <v>40</v>
      </c>
    </row>
    <row r="778" spans="1:10">
      <c r="A778" t="s">
        <v>1503</v>
      </c>
      <c r="B778" t="s">
        <v>583</v>
      </c>
      <c r="C778" t="s">
        <v>174</v>
      </c>
      <c r="D778" t="s">
        <v>22</v>
      </c>
      <c r="E778">
        <v>-182716</v>
      </c>
      <c r="F778" t="s">
        <v>23</v>
      </c>
      <c r="G778" t="s">
        <v>24</v>
      </c>
      <c r="H778" t="s">
        <v>25</v>
      </c>
      <c r="I778" t="s">
        <v>39</v>
      </c>
      <c r="J778" t="s">
        <v>27</v>
      </c>
    </row>
    <row r="779" spans="1:10">
      <c r="A779" t="s">
        <v>1504</v>
      </c>
      <c r="B779" t="s">
        <v>593</v>
      </c>
      <c r="C779" t="s">
        <v>37</v>
      </c>
      <c r="D779" t="s">
        <v>38</v>
      </c>
      <c r="E779">
        <v>-24970</v>
      </c>
      <c r="F779" t="s">
        <v>23</v>
      </c>
      <c r="G779" t="s">
        <v>32</v>
      </c>
      <c r="H779" t="s">
        <v>33</v>
      </c>
      <c r="I779" t="s">
        <v>39</v>
      </c>
      <c r="J779" t="s">
        <v>48</v>
      </c>
    </row>
    <row r="780" spans="1:10">
      <c r="A780" t="s">
        <v>1505</v>
      </c>
      <c r="B780" t="s">
        <v>1506</v>
      </c>
      <c r="C780" t="s">
        <v>218</v>
      </c>
      <c r="D780" t="s">
        <v>157</v>
      </c>
      <c r="E780">
        <v>598393</v>
      </c>
      <c r="F780" t="s">
        <v>62</v>
      </c>
      <c r="G780" t="s">
        <v>32</v>
      </c>
      <c r="H780" t="s">
        <v>25</v>
      </c>
      <c r="I780" t="s">
        <v>26</v>
      </c>
      <c r="J780" t="s">
        <v>48</v>
      </c>
    </row>
    <row r="781" spans="1:10">
      <c r="A781" t="s">
        <v>1507</v>
      </c>
      <c r="B781" t="s">
        <v>392</v>
      </c>
      <c r="C781" t="s">
        <v>60</v>
      </c>
      <c r="D781" t="s">
        <v>61</v>
      </c>
      <c r="E781">
        <v>-39070</v>
      </c>
      <c r="F781" t="s">
        <v>62</v>
      </c>
      <c r="G781" t="s">
        <v>32</v>
      </c>
      <c r="H781" t="s">
        <v>63</v>
      </c>
      <c r="I781" t="s">
        <v>45</v>
      </c>
      <c r="J781" t="s">
        <v>40</v>
      </c>
    </row>
    <row r="782" spans="1:10">
      <c r="A782" t="s">
        <v>1508</v>
      </c>
      <c r="B782" t="s">
        <v>840</v>
      </c>
      <c r="C782" t="s">
        <v>87</v>
      </c>
      <c r="D782" t="s">
        <v>22</v>
      </c>
      <c r="E782">
        <v>-36610</v>
      </c>
      <c r="F782" t="s">
        <v>23</v>
      </c>
      <c r="G782" t="s">
        <v>32</v>
      </c>
      <c r="H782" t="s">
        <v>25</v>
      </c>
      <c r="I782" t="s">
        <v>26</v>
      </c>
      <c r="J782" t="s">
        <v>34</v>
      </c>
    </row>
    <row r="783" spans="1:10">
      <c r="A783" t="s">
        <v>1509</v>
      </c>
      <c r="B783" t="s">
        <v>1510</v>
      </c>
      <c r="C783" t="s">
        <v>132</v>
      </c>
      <c r="D783" t="s">
        <v>73</v>
      </c>
      <c r="E783">
        <v>-48696</v>
      </c>
      <c r="F783" t="s">
        <v>74</v>
      </c>
      <c r="G783" t="s">
        <v>24</v>
      </c>
      <c r="H783" t="s">
        <v>25</v>
      </c>
      <c r="I783" t="s">
        <v>45</v>
      </c>
      <c r="J783" t="s">
        <v>48</v>
      </c>
    </row>
    <row r="784" spans="1:10">
      <c r="A784" t="s">
        <v>1511</v>
      </c>
      <c r="B784" t="s">
        <v>649</v>
      </c>
      <c r="C784" t="s">
        <v>100</v>
      </c>
      <c r="D784" t="s">
        <v>31</v>
      </c>
      <c r="E784">
        <v>-15315</v>
      </c>
      <c r="F784" t="s">
        <v>23</v>
      </c>
      <c r="G784" t="s">
        <v>24</v>
      </c>
      <c r="H784" t="s">
        <v>33</v>
      </c>
      <c r="I784" t="s">
        <v>39</v>
      </c>
      <c r="J784" t="s">
        <v>48</v>
      </c>
    </row>
    <row r="785" spans="1:10">
      <c r="A785" t="s">
        <v>1512</v>
      </c>
      <c r="B785" t="s">
        <v>1513</v>
      </c>
      <c r="C785" t="s">
        <v>274</v>
      </c>
      <c r="D785" t="s">
        <v>78</v>
      </c>
      <c r="E785">
        <v>-93532</v>
      </c>
      <c r="F785" t="s">
        <v>23</v>
      </c>
      <c r="G785" t="s">
        <v>32</v>
      </c>
      <c r="H785" t="s">
        <v>79</v>
      </c>
      <c r="I785" t="s">
        <v>45</v>
      </c>
      <c r="J785" t="s">
        <v>34</v>
      </c>
    </row>
    <row r="786" spans="1:10">
      <c r="A786" t="s">
        <v>1514</v>
      </c>
      <c r="B786" t="s">
        <v>349</v>
      </c>
      <c r="C786" t="s">
        <v>21</v>
      </c>
      <c r="D786" t="s">
        <v>22</v>
      </c>
      <c r="E786">
        <v>-100893</v>
      </c>
      <c r="F786" t="s">
        <v>23</v>
      </c>
      <c r="G786" t="s">
        <v>32</v>
      </c>
      <c r="H786" t="s">
        <v>25</v>
      </c>
      <c r="I786" t="s">
        <v>45</v>
      </c>
      <c r="J786" t="s">
        <v>27</v>
      </c>
    </row>
    <row r="787" spans="1:10">
      <c r="A787" t="s">
        <v>1515</v>
      </c>
      <c r="B787" t="s">
        <v>1516</v>
      </c>
      <c r="C787" t="s">
        <v>305</v>
      </c>
      <c r="D787" t="s">
        <v>38</v>
      </c>
      <c r="E787">
        <v>-12055</v>
      </c>
      <c r="F787" t="s">
        <v>23</v>
      </c>
      <c r="G787" t="s">
        <v>24</v>
      </c>
      <c r="H787" t="s">
        <v>33</v>
      </c>
      <c r="I787" t="s">
        <v>45</v>
      </c>
      <c r="J787" t="s">
        <v>34</v>
      </c>
    </row>
    <row r="788" spans="1:10">
      <c r="A788" t="s">
        <v>1517</v>
      </c>
      <c r="B788" t="s">
        <v>895</v>
      </c>
      <c r="C788" t="s">
        <v>616</v>
      </c>
      <c r="D788" t="s">
        <v>22</v>
      </c>
      <c r="E788">
        <v>-90806</v>
      </c>
      <c r="F788" t="s">
        <v>23</v>
      </c>
      <c r="G788" t="s">
        <v>24</v>
      </c>
      <c r="H788" t="s">
        <v>25</v>
      </c>
      <c r="I788" t="s">
        <v>39</v>
      </c>
      <c r="J788" t="s">
        <v>27</v>
      </c>
    </row>
    <row r="789" spans="1:10">
      <c r="A789" t="s">
        <v>1518</v>
      </c>
      <c r="B789" t="s">
        <v>1519</v>
      </c>
      <c r="C789" t="s">
        <v>106</v>
      </c>
      <c r="D789" t="s">
        <v>31</v>
      </c>
      <c r="E789">
        <v>-41607</v>
      </c>
      <c r="F789" t="s">
        <v>23</v>
      </c>
      <c r="G789" t="s">
        <v>32</v>
      </c>
      <c r="H789" t="s">
        <v>33</v>
      </c>
      <c r="I789" t="s">
        <v>39</v>
      </c>
      <c r="J789" t="s">
        <v>34</v>
      </c>
    </row>
    <row r="790" spans="1:10">
      <c r="A790" t="s">
        <v>1520</v>
      </c>
      <c r="B790" t="s">
        <v>1521</v>
      </c>
      <c r="C790" t="s">
        <v>266</v>
      </c>
      <c r="D790" t="s">
        <v>73</v>
      </c>
      <c r="E790">
        <v>-93834</v>
      </c>
      <c r="F790" t="s">
        <v>74</v>
      </c>
      <c r="G790" t="s">
        <v>24</v>
      </c>
      <c r="H790" t="s">
        <v>25</v>
      </c>
      <c r="I790" t="s">
        <v>39</v>
      </c>
      <c r="J790" t="s">
        <v>27</v>
      </c>
    </row>
    <row r="791" spans="1:10">
      <c r="A791" t="s">
        <v>1522</v>
      </c>
      <c r="B791" t="s">
        <v>604</v>
      </c>
      <c r="C791" t="s">
        <v>51</v>
      </c>
      <c r="D791" t="s">
        <v>31</v>
      </c>
      <c r="E791">
        <v>-14891</v>
      </c>
      <c r="F791" t="s">
        <v>23</v>
      </c>
      <c r="G791" t="s">
        <v>24</v>
      </c>
      <c r="H791" t="s">
        <v>33</v>
      </c>
      <c r="I791" t="s">
        <v>39</v>
      </c>
      <c r="J791" t="s">
        <v>34</v>
      </c>
    </row>
    <row r="792" spans="1:10">
      <c r="A792" t="s">
        <v>1523</v>
      </c>
      <c r="B792" t="s">
        <v>1524</v>
      </c>
      <c r="C792" t="s">
        <v>283</v>
      </c>
      <c r="D792" t="s">
        <v>44</v>
      </c>
      <c r="E792">
        <v>-123127</v>
      </c>
      <c r="F792" t="s">
        <v>23</v>
      </c>
      <c r="G792" t="s">
        <v>24</v>
      </c>
      <c r="H792" t="s">
        <v>33</v>
      </c>
      <c r="I792" t="s">
        <v>45</v>
      </c>
      <c r="J792" t="s">
        <v>34</v>
      </c>
    </row>
    <row r="793" spans="1:10">
      <c r="A793" t="s">
        <v>1525</v>
      </c>
      <c r="B793" t="s">
        <v>1526</v>
      </c>
      <c r="C793" t="s">
        <v>60</v>
      </c>
      <c r="D793" t="s">
        <v>61</v>
      </c>
      <c r="E793">
        <v>-33969</v>
      </c>
      <c r="F793" t="s">
        <v>62</v>
      </c>
      <c r="G793" t="s">
        <v>24</v>
      </c>
      <c r="H793" t="s">
        <v>63</v>
      </c>
      <c r="I793" t="s">
        <v>39</v>
      </c>
      <c r="J793" t="s">
        <v>48</v>
      </c>
    </row>
    <row r="794" spans="1:10">
      <c r="A794" t="s">
        <v>1527</v>
      </c>
      <c r="B794" t="s">
        <v>875</v>
      </c>
      <c r="C794" t="s">
        <v>687</v>
      </c>
      <c r="D794" t="s">
        <v>44</v>
      </c>
      <c r="E794">
        <v>-65846</v>
      </c>
      <c r="F794" t="s">
        <v>23</v>
      </c>
      <c r="G794" t="s">
        <v>32</v>
      </c>
      <c r="H794" t="s">
        <v>33</v>
      </c>
      <c r="I794" t="s">
        <v>45</v>
      </c>
      <c r="J794" t="s">
        <v>27</v>
      </c>
    </row>
    <row r="795" spans="1:10">
      <c r="A795" t="s">
        <v>1528</v>
      </c>
      <c r="B795" t="s">
        <v>1483</v>
      </c>
      <c r="C795" t="s">
        <v>60</v>
      </c>
      <c r="D795" t="s">
        <v>61</v>
      </c>
      <c r="E795">
        <v>-26282</v>
      </c>
      <c r="F795" t="s">
        <v>62</v>
      </c>
      <c r="G795" t="s">
        <v>32</v>
      </c>
      <c r="H795" t="s">
        <v>63</v>
      </c>
      <c r="I795" t="s">
        <v>45</v>
      </c>
      <c r="J795" t="s">
        <v>27</v>
      </c>
    </row>
    <row r="796" spans="1:10">
      <c r="A796" t="s">
        <v>1529</v>
      </c>
      <c r="B796" t="s">
        <v>1530</v>
      </c>
      <c r="C796" t="s">
        <v>21</v>
      </c>
      <c r="D796" t="s">
        <v>22</v>
      </c>
      <c r="E796">
        <v>-98427</v>
      </c>
      <c r="F796" t="s">
        <v>23</v>
      </c>
      <c r="G796" t="s">
        <v>24</v>
      </c>
      <c r="H796" t="s">
        <v>25</v>
      </c>
      <c r="I796" t="s">
        <v>26</v>
      </c>
      <c r="J796" t="s">
        <v>40</v>
      </c>
    </row>
    <row r="797" spans="1:10">
      <c r="A797" t="s">
        <v>1531</v>
      </c>
      <c r="B797" t="s">
        <v>1532</v>
      </c>
      <c r="C797" t="s">
        <v>51</v>
      </c>
      <c r="D797" t="s">
        <v>31</v>
      </c>
      <c r="E797">
        <v>-39307</v>
      </c>
      <c r="F797" t="s">
        <v>23</v>
      </c>
      <c r="G797" t="s">
        <v>32</v>
      </c>
      <c r="H797" t="s">
        <v>33</v>
      </c>
      <c r="I797" t="s">
        <v>39</v>
      </c>
      <c r="J797" t="s">
        <v>27</v>
      </c>
    </row>
    <row r="798" spans="1:10">
      <c r="A798" t="s">
        <v>1533</v>
      </c>
      <c r="B798" t="s">
        <v>1270</v>
      </c>
      <c r="C798" t="s">
        <v>1534</v>
      </c>
      <c r="D798" t="s">
        <v>73</v>
      </c>
      <c r="E798">
        <v>-85113</v>
      </c>
      <c r="F798" t="s">
        <v>74</v>
      </c>
      <c r="G798" t="s">
        <v>24</v>
      </c>
      <c r="H798" t="s">
        <v>25</v>
      </c>
      <c r="I798" t="s">
        <v>39</v>
      </c>
      <c r="J798" t="s">
        <v>40</v>
      </c>
    </row>
    <row r="799" spans="1:10">
      <c r="A799" t="s">
        <v>1535</v>
      </c>
      <c r="B799" t="s">
        <v>1536</v>
      </c>
      <c r="C799" t="s">
        <v>90</v>
      </c>
      <c r="D799" t="s">
        <v>73</v>
      </c>
      <c r="E799">
        <v>-57808</v>
      </c>
      <c r="F799" t="s">
        <v>74</v>
      </c>
      <c r="G799" t="s">
        <v>32</v>
      </c>
      <c r="H799" t="s">
        <v>25</v>
      </c>
      <c r="I799" t="s">
        <v>26</v>
      </c>
      <c r="J799" t="s">
        <v>34</v>
      </c>
    </row>
    <row r="800" spans="1:10">
      <c r="A800" t="s">
        <v>1537</v>
      </c>
      <c r="B800" t="s">
        <v>633</v>
      </c>
      <c r="C800" t="s">
        <v>519</v>
      </c>
      <c r="D800" t="s">
        <v>44</v>
      </c>
      <c r="E800">
        <v>-154654</v>
      </c>
      <c r="F800" t="s">
        <v>23</v>
      </c>
      <c r="G800" t="s">
        <v>24</v>
      </c>
      <c r="H800" t="s">
        <v>33</v>
      </c>
      <c r="I800" t="s">
        <v>45</v>
      </c>
      <c r="J800" t="s">
        <v>48</v>
      </c>
    </row>
    <row r="801" spans="1:10">
      <c r="A801" t="s">
        <v>1538</v>
      </c>
      <c r="B801" t="s">
        <v>1539</v>
      </c>
      <c r="C801" t="s">
        <v>180</v>
      </c>
      <c r="D801" t="s">
        <v>465</v>
      </c>
      <c r="E801">
        <v>-67541</v>
      </c>
      <c r="F801" t="s">
        <v>23</v>
      </c>
      <c r="G801" t="s">
        <v>32</v>
      </c>
      <c r="H801" t="s">
        <v>33</v>
      </c>
      <c r="I801" t="s">
        <v>39</v>
      </c>
      <c r="J801" t="s">
        <v>34</v>
      </c>
    </row>
    <row r="802" spans="1:10">
      <c r="A802" t="s">
        <v>1540</v>
      </c>
      <c r="B802" t="s">
        <v>825</v>
      </c>
      <c r="C802" t="s">
        <v>215</v>
      </c>
      <c r="D802" t="s">
        <v>61</v>
      </c>
      <c r="E802">
        <v>-56979</v>
      </c>
      <c r="F802" t="s">
        <v>62</v>
      </c>
      <c r="G802" t="s">
        <v>24</v>
      </c>
      <c r="H802" t="s">
        <v>63</v>
      </c>
      <c r="I802" t="s">
        <v>26</v>
      </c>
      <c r="J802" t="s">
        <v>48</v>
      </c>
    </row>
    <row r="803" spans="1:10">
      <c r="A803" t="s">
        <v>1541</v>
      </c>
      <c r="B803" t="s">
        <v>1542</v>
      </c>
      <c r="C803" t="s">
        <v>935</v>
      </c>
      <c r="D803" t="s">
        <v>22</v>
      </c>
      <c r="E803">
        <v>-166871</v>
      </c>
      <c r="F803" t="s">
        <v>23</v>
      </c>
      <c r="G803" t="s">
        <v>32</v>
      </c>
      <c r="H803" t="s">
        <v>25</v>
      </c>
      <c r="I803" t="s">
        <v>39</v>
      </c>
      <c r="J803" t="s">
        <v>40</v>
      </c>
    </row>
    <row r="804" spans="1:10">
      <c r="A804" t="s">
        <v>1543</v>
      </c>
      <c r="B804" t="s">
        <v>772</v>
      </c>
      <c r="C804" t="s">
        <v>212</v>
      </c>
      <c r="D804" t="s">
        <v>73</v>
      </c>
      <c r="E804">
        <v>-33297</v>
      </c>
      <c r="F804" t="s">
        <v>74</v>
      </c>
      <c r="G804" t="s">
        <v>32</v>
      </c>
      <c r="H804" t="s">
        <v>25</v>
      </c>
      <c r="I804" t="s">
        <v>39</v>
      </c>
      <c r="J804" t="s">
        <v>48</v>
      </c>
    </row>
    <row r="805" spans="1:10">
      <c r="A805" t="s">
        <v>1544</v>
      </c>
      <c r="B805" t="s">
        <v>1209</v>
      </c>
      <c r="C805" t="s">
        <v>290</v>
      </c>
      <c r="E805">
        <v>-113243</v>
      </c>
      <c r="F805" t="s">
        <v>23</v>
      </c>
      <c r="G805" t="s">
        <v>32</v>
      </c>
      <c r="H805" t="s">
        <v>33</v>
      </c>
      <c r="I805" t="s">
        <v>45</v>
      </c>
      <c r="J805" t="s">
        <v>40</v>
      </c>
    </row>
    <row r="806" spans="1:10">
      <c r="A806" t="s">
        <v>1545</v>
      </c>
      <c r="B806" t="s">
        <v>705</v>
      </c>
      <c r="C806" t="s">
        <v>30</v>
      </c>
      <c r="D806" t="s">
        <v>31</v>
      </c>
      <c r="E806">
        <v>-41201</v>
      </c>
      <c r="F806" t="s">
        <v>23</v>
      </c>
      <c r="G806" t="s">
        <v>24</v>
      </c>
      <c r="H806" t="s">
        <v>33</v>
      </c>
      <c r="I806" t="s">
        <v>26</v>
      </c>
      <c r="J806" t="s">
        <v>40</v>
      </c>
    </row>
    <row r="807" spans="1:10">
      <c r="A807" t="s">
        <v>1546</v>
      </c>
      <c r="B807" t="s">
        <v>953</v>
      </c>
      <c r="C807" t="s">
        <v>293</v>
      </c>
      <c r="D807" t="s">
        <v>157</v>
      </c>
      <c r="E807">
        <v>633192</v>
      </c>
      <c r="F807" t="s">
        <v>62</v>
      </c>
      <c r="G807" t="s">
        <v>32</v>
      </c>
      <c r="H807" t="s">
        <v>25</v>
      </c>
      <c r="I807" t="s">
        <v>45</v>
      </c>
      <c r="J807" t="s">
        <v>40</v>
      </c>
    </row>
    <row r="808" spans="1:10">
      <c r="A808" t="s">
        <v>1547</v>
      </c>
      <c r="B808" t="s">
        <v>1548</v>
      </c>
      <c r="C808" t="s">
        <v>616</v>
      </c>
      <c r="D808" t="s">
        <v>22</v>
      </c>
      <c r="E808">
        <v>-20292</v>
      </c>
      <c r="F808" t="s">
        <v>23</v>
      </c>
      <c r="G808" t="s">
        <v>32</v>
      </c>
      <c r="H808" t="s">
        <v>25</v>
      </c>
      <c r="I808" t="s">
        <v>45</v>
      </c>
      <c r="J808" t="s">
        <v>27</v>
      </c>
    </row>
    <row r="809" spans="1:10">
      <c r="A809" t="s">
        <v>1549</v>
      </c>
      <c r="B809" t="s">
        <v>1550</v>
      </c>
      <c r="C809" t="s">
        <v>406</v>
      </c>
      <c r="D809" t="s">
        <v>73</v>
      </c>
      <c r="E809">
        <v>-25046</v>
      </c>
      <c r="F809" t="s">
        <v>74</v>
      </c>
      <c r="G809" t="s">
        <v>32</v>
      </c>
      <c r="H809" t="s">
        <v>25</v>
      </c>
      <c r="I809" t="s">
        <v>39</v>
      </c>
      <c r="J809" t="s">
        <v>34</v>
      </c>
    </row>
    <row r="810" spans="1:10">
      <c r="A810" t="s">
        <v>1551</v>
      </c>
      <c r="B810" t="s">
        <v>71</v>
      </c>
      <c r="C810" t="s">
        <v>90</v>
      </c>
      <c r="E810">
        <v>-60621</v>
      </c>
      <c r="F810" t="s">
        <v>74</v>
      </c>
      <c r="G810" t="s">
        <v>32</v>
      </c>
      <c r="H810" t="s">
        <v>25</v>
      </c>
      <c r="I810" t="s">
        <v>39</v>
      </c>
      <c r="J810" t="s">
        <v>27</v>
      </c>
    </row>
    <row r="811" spans="1:10">
      <c r="A811" t="s">
        <v>1552</v>
      </c>
      <c r="B811" t="s">
        <v>1553</v>
      </c>
      <c r="C811" t="s">
        <v>103</v>
      </c>
      <c r="D811" t="s">
        <v>78</v>
      </c>
      <c r="E811">
        <v>-117029</v>
      </c>
      <c r="F811" t="s">
        <v>23</v>
      </c>
      <c r="G811" t="s">
        <v>32</v>
      </c>
      <c r="H811" t="s">
        <v>79</v>
      </c>
      <c r="I811" t="s">
        <v>26</v>
      </c>
      <c r="J811" t="s">
        <v>34</v>
      </c>
    </row>
    <row r="812" spans="1:10">
      <c r="A812" t="s">
        <v>1554</v>
      </c>
      <c r="B812" t="s">
        <v>1555</v>
      </c>
      <c r="C812" t="s">
        <v>54</v>
      </c>
      <c r="D812" t="s">
        <v>38</v>
      </c>
      <c r="E812">
        <v>-23382</v>
      </c>
      <c r="F812" t="s">
        <v>23</v>
      </c>
      <c r="G812" t="s">
        <v>24</v>
      </c>
      <c r="H812" t="s">
        <v>33</v>
      </c>
      <c r="I812" t="s">
        <v>45</v>
      </c>
      <c r="J812" t="s">
        <v>40</v>
      </c>
    </row>
    <row r="813" spans="1:10">
      <c r="A813" t="s">
        <v>1556</v>
      </c>
      <c r="B813" t="s">
        <v>53</v>
      </c>
      <c r="C813" t="s">
        <v>72</v>
      </c>
      <c r="D813" t="s">
        <v>73</v>
      </c>
      <c r="E813">
        <v>-61967</v>
      </c>
      <c r="F813" t="s">
        <v>74</v>
      </c>
      <c r="G813" t="s">
        <v>24</v>
      </c>
      <c r="H813" t="s">
        <v>25</v>
      </c>
      <c r="I813" t="s">
        <v>26</v>
      </c>
      <c r="J813" t="s">
        <v>48</v>
      </c>
    </row>
    <row r="814" spans="1:10">
      <c r="A814" t="s">
        <v>1557</v>
      </c>
      <c r="B814" t="s">
        <v>1530</v>
      </c>
      <c r="C814" t="s">
        <v>54</v>
      </c>
      <c r="D814" t="s">
        <v>38</v>
      </c>
      <c r="E814">
        <v>-43758</v>
      </c>
      <c r="F814" t="s">
        <v>23</v>
      </c>
      <c r="G814" t="s">
        <v>24</v>
      </c>
      <c r="H814" t="s">
        <v>33</v>
      </c>
      <c r="I814" t="s">
        <v>26</v>
      </c>
      <c r="J814" t="s">
        <v>40</v>
      </c>
    </row>
    <row r="815" spans="1:10">
      <c r="A815" t="s">
        <v>1558</v>
      </c>
      <c r="B815" t="s">
        <v>182</v>
      </c>
      <c r="C815" t="s">
        <v>66</v>
      </c>
      <c r="D815" t="s">
        <v>61</v>
      </c>
      <c r="E815">
        <v>-38287</v>
      </c>
      <c r="F815" t="s">
        <v>62</v>
      </c>
      <c r="G815" t="s">
        <v>24</v>
      </c>
      <c r="H815" t="s">
        <v>63</v>
      </c>
      <c r="I815" t="s">
        <v>45</v>
      </c>
      <c r="J815" t="s">
        <v>48</v>
      </c>
    </row>
    <row r="816" spans="1:10">
      <c r="A816" t="s">
        <v>1559</v>
      </c>
      <c r="B816" t="s">
        <v>1560</v>
      </c>
      <c r="C816" t="s">
        <v>51</v>
      </c>
      <c r="D816" t="s">
        <v>31</v>
      </c>
      <c r="E816">
        <v>-21036</v>
      </c>
      <c r="F816" t="s">
        <v>23</v>
      </c>
      <c r="G816" t="s">
        <v>32</v>
      </c>
      <c r="H816" t="s">
        <v>33</v>
      </c>
      <c r="I816" t="s">
        <v>39</v>
      </c>
      <c r="J816" t="s">
        <v>48</v>
      </c>
    </row>
    <row r="817" spans="1:10">
      <c r="A817" t="s">
        <v>1561</v>
      </c>
      <c r="B817" t="s">
        <v>1562</v>
      </c>
      <c r="C817" t="s">
        <v>60</v>
      </c>
      <c r="D817" t="s">
        <v>61</v>
      </c>
      <c r="E817">
        <v>-14617</v>
      </c>
      <c r="F817" t="s">
        <v>62</v>
      </c>
      <c r="G817" t="s">
        <v>24</v>
      </c>
      <c r="H817" t="s">
        <v>63</v>
      </c>
      <c r="I817" t="s">
        <v>45</v>
      </c>
      <c r="J817" t="s">
        <v>27</v>
      </c>
    </row>
    <row r="818" spans="1:10">
      <c r="A818" t="s">
        <v>1563</v>
      </c>
      <c r="B818" t="s">
        <v>1564</v>
      </c>
      <c r="C818" t="s">
        <v>69</v>
      </c>
      <c r="D818" t="s">
        <v>38</v>
      </c>
      <c r="E818">
        <v>-15880</v>
      </c>
      <c r="F818" t="s">
        <v>23</v>
      </c>
      <c r="G818" t="s">
        <v>24</v>
      </c>
      <c r="H818" t="s">
        <v>33</v>
      </c>
      <c r="I818" t="s">
        <v>39</v>
      </c>
      <c r="J818" t="s">
        <v>40</v>
      </c>
    </row>
    <row r="819" spans="1:10">
      <c r="A819" t="s">
        <v>1565</v>
      </c>
      <c r="B819" t="s">
        <v>1315</v>
      </c>
      <c r="C819" t="s">
        <v>177</v>
      </c>
      <c r="D819" t="s">
        <v>371</v>
      </c>
      <c r="E819">
        <v>-88351</v>
      </c>
      <c r="F819" t="s">
        <v>23</v>
      </c>
      <c r="G819" t="s">
        <v>24</v>
      </c>
      <c r="H819" t="s">
        <v>79</v>
      </c>
      <c r="I819" t="s">
        <v>26</v>
      </c>
      <c r="J819" t="s">
        <v>48</v>
      </c>
    </row>
    <row r="820" spans="1:10">
      <c r="A820" t="s">
        <v>1566</v>
      </c>
      <c r="B820" t="s">
        <v>186</v>
      </c>
      <c r="C820" t="s">
        <v>215</v>
      </c>
      <c r="D820" t="s">
        <v>61</v>
      </c>
      <c r="E820">
        <v>-56872</v>
      </c>
      <c r="F820" t="s">
        <v>62</v>
      </c>
      <c r="G820" t="s">
        <v>32</v>
      </c>
      <c r="H820" t="s">
        <v>63</v>
      </c>
      <c r="I820" t="s">
        <v>26</v>
      </c>
      <c r="J820" t="s">
        <v>40</v>
      </c>
    </row>
    <row r="821" spans="1:10">
      <c r="A821" t="s">
        <v>1567</v>
      </c>
      <c r="B821" t="s">
        <v>1568</v>
      </c>
      <c r="C821" t="s">
        <v>266</v>
      </c>
      <c r="E821">
        <v>-40088</v>
      </c>
      <c r="F821" t="s">
        <v>74</v>
      </c>
      <c r="G821" t="s">
        <v>32</v>
      </c>
      <c r="H821" t="s">
        <v>25</v>
      </c>
      <c r="I821" t="s">
        <v>45</v>
      </c>
      <c r="J821" t="s">
        <v>40</v>
      </c>
    </row>
    <row r="822" spans="1:10">
      <c r="A822" t="s">
        <v>1569</v>
      </c>
      <c r="B822" t="s">
        <v>1570</v>
      </c>
      <c r="C822" t="s">
        <v>66</v>
      </c>
      <c r="D822" t="s">
        <v>61</v>
      </c>
      <c r="E822">
        <v>-51031</v>
      </c>
      <c r="F822" t="s">
        <v>62</v>
      </c>
      <c r="G822" t="s">
        <v>32</v>
      </c>
      <c r="H822" t="s">
        <v>63</v>
      </c>
      <c r="I822" t="s">
        <v>39</v>
      </c>
      <c r="J822" t="s">
        <v>48</v>
      </c>
    </row>
    <row r="823" spans="1:10">
      <c r="A823" t="s">
        <v>1571</v>
      </c>
      <c r="B823" t="s">
        <v>1082</v>
      </c>
      <c r="C823" t="s">
        <v>935</v>
      </c>
      <c r="D823" t="s">
        <v>331</v>
      </c>
      <c r="E823">
        <v>-157083</v>
      </c>
      <c r="F823" t="s">
        <v>23</v>
      </c>
      <c r="G823" t="s">
        <v>32</v>
      </c>
      <c r="H823" t="s">
        <v>25</v>
      </c>
      <c r="I823" t="s">
        <v>45</v>
      </c>
      <c r="J823" t="s">
        <v>48</v>
      </c>
    </row>
    <row r="824" spans="1:10">
      <c r="A824" t="s">
        <v>1572</v>
      </c>
      <c r="B824" t="s">
        <v>1573</v>
      </c>
      <c r="C824" t="s">
        <v>255</v>
      </c>
      <c r="D824" t="s">
        <v>320</v>
      </c>
      <c r="E824">
        <v>-129501</v>
      </c>
      <c r="F824" t="s">
        <v>23</v>
      </c>
      <c r="G824" t="s">
        <v>32</v>
      </c>
      <c r="H824" t="s">
        <v>25</v>
      </c>
      <c r="I824" t="s">
        <v>45</v>
      </c>
      <c r="J824" t="s">
        <v>34</v>
      </c>
    </row>
    <row r="825" spans="1:10">
      <c r="A825" t="s">
        <v>1574</v>
      </c>
      <c r="B825" t="s">
        <v>1575</v>
      </c>
      <c r="C825" t="s">
        <v>215</v>
      </c>
      <c r="D825" t="s">
        <v>61</v>
      </c>
      <c r="E825">
        <v>-24690</v>
      </c>
      <c r="F825" t="s">
        <v>62</v>
      </c>
      <c r="G825" t="s">
        <v>32</v>
      </c>
      <c r="H825" t="s">
        <v>63</v>
      </c>
      <c r="I825" t="s">
        <v>45</v>
      </c>
      <c r="J825" t="s">
        <v>40</v>
      </c>
    </row>
    <row r="826" spans="1:10">
      <c r="A826" t="s">
        <v>1576</v>
      </c>
      <c r="B826" t="s">
        <v>1577</v>
      </c>
      <c r="C826" t="s">
        <v>533</v>
      </c>
      <c r="D826" t="s">
        <v>61</v>
      </c>
      <c r="E826">
        <v>-64973</v>
      </c>
      <c r="F826" t="s">
        <v>62</v>
      </c>
      <c r="G826" t="s">
        <v>32</v>
      </c>
      <c r="H826" t="s">
        <v>63</v>
      </c>
      <c r="I826" t="s">
        <v>26</v>
      </c>
      <c r="J826" t="s">
        <v>48</v>
      </c>
    </row>
    <row r="827" spans="1:10">
      <c r="A827" t="s">
        <v>1578</v>
      </c>
      <c r="B827" t="s">
        <v>1579</v>
      </c>
      <c r="C827" t="s">
        <v>100</v>
      </c>
      <c r="E827">
        <v>-6364</v>
      </c>
      <c r="F827" t="s">
        <v>23</v>
      </c>
      <c r="G827" t="s">
        <v>24</v>
      </c>
      <c r="H827" t="s">
        <v>33</v>
      </c>
      <c r="I827" t="s">
        <v>45</v>
      </c>
      <c r="J827" t="s">
        <v>40</v>
      </c>
    </row>
    <row r="828" spans="1:10">
      <c r="A828" t="s">
        <v>1580</v>
      </c>
      <c r="B828" t="s">
        <v>1581</v>
      </c>
      <c r="C828" t="s">
        <v>215</v>
      </c>
      <c r="E828">
        <v>-54910</v>
      </c>
      <c r="F828" t="s">
        <v>62</v>
      </c>
      <c r="G828" t="s">
        <v>24</v>
      </c>
      <c r="H828" t="s">
        <v>63</v>
      </c>
      <c r="I828" t="s">
        <v>26</v>
      </c>
      <c r="J828" t="s">
        <v>48</v>
      </c>
    </row>
    <row r="829" spans="1:10">
      <c r="A829" t="s">
        <v>1582</v>
      </c>
      <c r="B829" t="s">
        <v>1583</v>
      </c>
      <c r="C829" t="s">
        <v>87</v>
      </c>
      <c r="D829" t="s">
        <v>22</v>
      </c>
      <c r="E829">
        <v>-177523</v>
      </c>
      <c r="F829" t="s">
        <v>23</v>
      </c>
      <c r="G829" t="s">
        <v>32</v>
      </c>
      <c r="H829" t="s">
        <v>25</v>
      </c>
      <c r="I829" t="s">
        <v>45</v>
      </c>
      <c r="J829" t="s">
        <v>34</v>
      </c>
    </row>
    <row r="830" spans="1:10">
      <c r="A830" t="s">
        <v>1584</v>
      </c>
      <c r="B830" t="s">
        <v>882</v>
      </c>
      <c r="C830" t="s">
        <v>221</v>
      </c>
      <c r="D830" t="s">
        <v>61</v>
      </c>
      <c r="E830">
        <v>-15254</v>
      </c>
      <c r="F830" t="s">
        <v>62</v>
      </c>
      <c r="G830" t="s">
        <v>32</v>
      </c>
      <c r="H830" t="s">
        <v>63</v>
      </c>
      <c r="I830" t="s">
        <v>45</v>
      </c>
      <c r="J830" t="s">
        <v>40</v>
      </c>
    </row>
    <row r="831" spans="1:10">
      <c r="A831" t="s">
        <v>1585</v>
      </c>
      <c r="B831" t="s">
        <v>1586</v>
      </c>
      <c r="C831" t="s">
        <v>116</v>
      </c>
      <c r="D831" t="s">
        <v>73</v>
      </c>
      <c r="E831">
        <v>-79532</v>
      </c>
      <c r="F831" t="s">
        <v>74</v>
      </c>
      <c r="G831" t="s">
        <v>24</v>
      </c>
      <c r="H831" t="s">
        <v>25</v>
      </c>
      <c r="I831" t="s">
        <v>39</v>
      </c>
      <c r="J831" t="s">
        <v>40</v>
      </c>
    </row>
    <row r="832" spans="1:10">
      <c r="A832" t="s">
        <v>1587</v>
      </c>
      <c r="B832" t="s">
        <v>1043</v>
      </c>
      <c r="C832" t="s">
        <v>271</v>
      </c>
      <c r="D832" t="s">
        <v>73</v>
      </c>
      <c r="E832">
        <v>-84454</v>
      </c>
      <c r="F832" t="s">
        <v>74</v>
      </c>
      <c r="G832" t="s">
        <v>24</v>
      </c>
      <c r="H832" t="s">
        <v>25</v>
      </c>
      <c r="I832" t="s">
        <v>39</v>
      </c>
      <c r="J832" t="s">
        <v>27</v>
      </c>
    </row>
    <row r="833" spans="1:10">
      <c r="A833" t="s">
        <v>1588</v>
      </c>
      <c r="B833" t="s">
        <v>1589</v>
      </c>
      <c r="C833" t="s">
        <v>935</v>
      </c>
      <c r="D833" t="s">
        <v>22</v>
      </c>
      <c r="E833">
        <v>-72454</v>
      </c>
      <c r="F833" t="s">
        <v>23</v>
      </c>
      <c r="G833" t="s">
        <v>32</v>
      </c>
      <c r="H833" t="s">
        <v>25</v>
      </c>
      <c r="I833" t="s">
        <v>39</v>
      </c>
      <c r="J833" t="s">
        <v>48</v>
      </c>
    </row>
    <row r="834" spans="1:10">
      <c r="A834" t="s">
        <v>1590</v>
      </c>
      <c r="B834" t="s">
        <v>482</v>
      </c>
      <c r="C834" t="s">
        <v>93</v>
      </c>
      <c r="D834" t="s">
        <v>73</v>
      </c>
      <c r="E834">
        <v>-63552</v>
      </c>
      <c r="F834" t="s">
        <v>74</v>
      </c>
      <c r="G834" t="s">
        <v>24</v>
      </c>
      <c r="H834" t="s">
        <v>25</v>
      </c>
      <c r="I834" t="s">
        <v>45</v>
      </c>
      <c r="J834" t="s">
        <v>40</v>
      </c>
    </row>
    <row r="835" spans="1:10">
      <c r="A835" t="s">
        <v>1591</v>
      </c>
      <c r="B835" t="s">
        <v>1430</v>
      </c>
      <c r="C835" t="s">
        <v>66</v>
      </c>
      <c r="E835">
        <v>-47818</v>
      </c>
      <c r="F835" t="s">
        <v>62</v>
      </c>
      <c r="G835" t="s">
        <v>24</v>
      </c>
      <c r="H835" t="s">
        <v>63</v>
      </c>
      <c r="I835" t="s">
        <v>39</v>
      </c>
      <c r="J835" t="s">
        <v>34</v>
      </c>
    </row>
    <row r="836" spans="1:10">
      <c r="A836" t="s">
        <v>1592</v>
      </c>
      <c r="B836" t="s">
        <v>992</v>
      </c>
      <c r="C836" t="s">
        <v>212</v>
      </c>
      <c r="D836" t="s">
        <v>73</v>
      </c>
      <c r="E836">
        <v>-85251</v>
      </c>
      <c r="F836" t="s">
        <v>74</v>
      </c>
      <c r="G836" t="s">
        <v>24</v>
      </c>
      <c r="H836" t="s">
        <v>25</v>
      </c>
      <c r="I836" t="s">
        <v>26</v>
      </c>
      <c r="J836" t="s">
        <v>27</v>
      </c>
    </row>
    <row r="837" spans="1:10">
      <c r="A837" t="s">
        <v>1593</v>
      </c>
      <c r="B837" t="s">
        <v>693</v>
      </c>
      <c r="C837" t="s">
        <v>177</v>
      </c>
      <c r="D837" t="s">
        <v>664</v>
      </c>
      <c r="E837">
        <v>-64394</v>
      </c>
      <c r="F837" t="s">
        <v>23</v>
      </c>
      <c r="G837" t="s">
        <v>24</v>
      </c>
      <c r="H837" t="s">
        <v>79</v>
      </c>
      <c r="I837" t="s">
        <v>45</v>
      </c>
      <c r="J837" t="s">
        <v>27</v>
      </c>
    </row>
    <row r="838" spans="1:10">
      <c r="A838" t="s">
        <v>1594</v>
      </c>
      <c r="B838" t="s">
        <v>1595</v>
      </c>
      <c r="C838" t="s">
        <v>161</v>
      </c>
      <c r="D838" t="s">
        <v>22</v>
      </c>
      <c r="E838">
        <v>-154773</v>
      </c>
      <c r="F838" t="s">
        <v>23</v>
      </c>
      <c r="G838" t="s">
        <v>32</v>
      </c>
      <c r="H838" t="s">
        <v>25</v>
      </c>
      <c r="I838" t="s">
        <v>45</v>
      </c>
      <c r="J838" t="s">
        <v>48</v>
      </c>
    </row>
    <row r="839" spans="1:10">
      <c r="A839" t="s">
        <v>1596</v>
      </c>
      <c r="B839" t="s">
        <v>1597</v>
      </c>
      <c r="C839" t="s">
        <v>215</v>
      </c>
      <c r="D839" t="s">
        <v>61</v>
      </c>
      <c r="E839">
        <v>-45248</v>
      </c>
      <c r="F839" t="s">
        <v>62</v>
      </c>
      <c r="G839" t="s">
        <v>24</v>
      </c>
      <c r="H839" t="s">
        <v>63</v>
      </c>
      <c r="I839" t="s">
        <v>26</v>
      </c>
      <c r="J839" t="s">
        <v>34</v>
      </c>
    </row>
    <row r="840" spans="1:10">
      <c r="A840" t="s">
        <v>1598</v>
      </c>
      <c r="B840" t="s">
        <v>355</v>
      </c>
      <c r="C840" t="s">
        <v>180</v>
      </c>
      <c r="D840" t="s">
        <v>44</v>
      </c>
      <c r="E840">
        <v>-157058</v>
      </c>
      <c r="F840" t="s">
        <v>23</v>
      </c>
      <c r="G840" t="s">
        <v>24</v>
      </c>
      <c r="H840" t="s">
        <v>33</v>
      </c>
      <c r="I840" t="s">
        <v>39</v>
      </c>
      <c r="J840" t="s">
        <v>48</v>
      </c>
    </row>
    <row r="841" spans="1:10">
      <c r="A841" t="s">
        <v>1599</v>
      </c>
      <c r="B841" t="s">
        <v>1600</v>
      </c>
      <c r="C841" t="s">
        <v>215</v>
      </c>
      <c r="D841" t="s">
        <v>61</v>
      </c>
      <c r="E841">
        <v>-35026</v>
      </c>
      <c r="F841" t="s">
        <v>62</v>
      </c>
      <c r="G841" t="s">
        <v>24</v>
      </c>
      <c r="H841" t="s">
        <v>63</v>
      </c>
      <c r="I841" t="s">
        <v>26</v>
      </c>
      <c r="J841" t="s">
        <v>27</v>
      </c>
    </row>
    <row r="842" spans="1:10">
      <c r="A842" t="s">
        <v>1601</v>
      </c>
      <c r="B842" t="s">
        <v>1182</v>
      </c>
      <c r="C842" t="s">
        <v>57</v>
      </c>
      <c r="D842" t="s">
        <v>44</v>
      </c>
      <c r="E842">
        <v>-43305</v>
      </c>
      <c r="F842" t="s">
        <v>23</v>
      </c>
      <c r="G842" t="s">
        <v>32</v>
      </c>
      <c r="H842" t="s">
        <v>33</v>
      </c>
      <c r="I842" t="s">
        <v>26</v>
      </c>
      <c r="J842" t="s">
        <v>40</v>
      </c>
    </row>
    <row r="843" spans="1:10">
      <c r="A843" t="s">
        <v>1602</v>
      </c>
      <c r="B843" t="s">
        <v>1603</v>
      </c>
      <c r="C843" t="s">
        <v>174</v>
      </c>
      <c r="D843" t="s">
        <v>22</v>
      </c>
      <c r="E843">
        <v>-193149</v>
      </c>
      <c r="F843" t="s">
        <v>23</v>
      </c>
      <c r="G843" t="s">
        <v>32</v>
      </c>
      <c r="H843" t="s">
        <v>25</v>
      </c>
      <c r="I843" t="s">
        <v>26</v>
      </c>
      <c r="J843" t="s">
        <v>40</v>
      </c>
    </row>
    <row r="844" spans="1:10">
      <c r="A844" t="s">
        <v>1604</v>
      </c>
      <c r="B844" t="s">
        <v>549</v>
      </c>
      <c r="C844" t="s">
        <v>51</v>
      </c>
      <c r="D844" t="s">
        <v>31</v>
      </c>
      <c r="E844">
        <v>-17479</v>
      </c>
      <c r="F844" t="s">
        <v>23</v>
      </c>
      <c r="G844" t="s">
        <v>24</v>
      </c>
      <c r="H844" t="s">
        <v>33</v>
      </c>
      <c r="I844" t="s">
        <v>45</v>
      </c>
      <c r="J844" t="s">
        <v>34</v>
      </c>
    </row>
    <row r="845" spans="1:10">
      <c r="A845" t="s">
        <v>1605</v>
      </c>
      <c r="B845" t="s">
        <v>608</v>
      </c>
      <c r="C845" t="s">
        <v>619</v>
      </c>
      <c r="D845" t="s">
        <v>38</v>
      </c>
      <c r="E845">
        <v>-9061</v>
      </c>
      <c r="F845" t="s">
        <v>23</v>
      </c>
      <c r="G845" t="s">
        <v>24</v>
      </c>
      <c r="H845" t="s">
        <v>33</v>
      </c>
      <c r="I845" t="s">
        <v>45</v>
      </c>
      <c r="J845" t="s">
        <v>48</v>
      </c>
    </row>
    <row r="846" spans="1:10">
      <c r="A846" t="s">
        <v>1606</v>
      </c>
      <c r="B846" t="s">
        <v>245</v>
      </c>
      <c r="C846" t="s">
        <v>66</v>
      </c>
      <c r="D846" t="s">
        <v>61</v>
      </c>
      <c r="E846">
        <v>-59784</v>
      </c>
      <c r="F846" t="s">
        <v>62</v>
      </c>
      <c r="G846" t="s">
        <v>32</v>
      </c>
      <c r="H846" t="s">
        <v>63</v>
      </c>
      <c r="I846" t="s">
        <v>26</v>
      </c>
      <c r="J846" t="s">
        <v>34</v>
      </c>
    </row>
    <row r="847" spans="1:10">
      <c r="A847" t="s">
        <v>1607</v>
      </c>
      <c r="B847" t="s">
        <v>1608</v>
      </c>
      <c r="C847" t="s">
        <v>66</v>
      </c>
      <c r="D847" t="s">
        <v>61</v>
      </c>
      <c r="E847">
        <v>-22069</v>
      </c>
      <c r="F847" t="s">
        <v>62</v>
      </c>
      <c r="G847" t="s">
        <v>24</v>
      </c>
      <c r="H847" t="s">
        <v>63</v>
      </c>
      <c r="I847" t="s">
        <v>39</v>
      </c>
      <c r="J847" t="s">
        <v>48</v>
      </c>
    </row>
    <row r="848" spans="1:10">
      <c r="A848" t="s">
        <v>1609</v>
      </c>
      <c r="B848" t="s">
        <v>236</v>
      </c>
      <c r="C848" t="s">
        <v>519</v>
      </c>
      <c r="D848" t="s">
        <v>44</v>
      </c>
      <c r="E848">
        <v>-159054</v>
      </c>
      <c r="F848" t="s">
        <v>23</v>
      </c>
      <c r="G848" t="s">
        <v>24</v>
      </c>
      <c r="H848" t="s">
        <v>33</v>
      </c>
      <c r="I848" t="s">
        <v>45</v>
      </c>
      <c r="J848" t="s">
        <v>34</v>
      </c>
    </row>
    <row r="849" spans="1:10">
      <c r="A849" t="s">
        <v>1610</v>
      </c>
      <c r="B849" t="s">
        <v>42</v>
      </c>
      <c r="C849" t="s">
        <v>103</v>
      </c>
      <c r="D849" t="s">
        <v>78</v>
      </c>
      <c r="E849">
        <v>-54576</v>
      </c>
      <c r="F849" t="s">
        <v>23</v>
      </c>
      <c r="G849" t="s">
        <v>24</v>
      </c>
      <c r="H849" t="s">
        <v>79</v>
      </c>
      <c r="I849" t="s">
        <v>45</v>
      </c>
      <c r="J849" t="s">
        <v>40</v>
      </c>
    </row>
    <row r="850" spans="1:10">
      <c r="A850" t="s">
        <v>1611</v>
      </c>
      <c r="B850" t="s">
        <v>381</v>
      </c>
      <c r="C850" t="s">
        <v>161</v>
      </c>
      <c r="E850">
        <v>-38178</v>
      </c>
      <c r="F850" t="s">
        <v>23</v>
      </c>
      <c r="G850" t="s">
        <v>32</v>
      </c>
      <c r="H850" t="s">
        <v>25</v>
      </c>
      <c r="I850" t="s">
        <v>39</v>
      </c>
      <c r="J850" t="s">
        <v>27</v>
      </c>
    </row>
    <row r="851" spans="1:10">
      <c r="A851" t="s">
        <v>1612</v>
      </c>
      <c r="B851" t="s">
        <v>1613</v>
      </c>
      <c r="C851" t="s">
        <v>290</v>
      </c>
      <c r="D851" t="s">
        <v>440</v>
      </c>
      <c r="E851">
        <v>-154911</v>
      </c>
      <c r="F851" t="s">
        <v>23</v>
      </c>
      <c r="G851" t="s">
        <v>32</v>
      </c>
      <c r="H851" t="s">
        <v>33</v>
      </c>
      <c r="I851" t="s">
        <v>45</v>
      </c>
      <c r="J851" t="s">
        <v>48</v>
      </c>
    </row>
    <row r="852" spans="1:10">
      <c r="A852" t="s">
        <v>1614</v>
      </c>
      <c r="B852" t="s">
        <v>1615</v>
      </c>
      <c r="C852" t="s">
        <v>169</v>
      </c>
      <c r="D852" t="s">
        <v>73</v>
      </c>
      <c r="E852">
        <v>-39369</v>
      </c>
      <c r="F852" t="s">
        <v>74</v>
      </c>
      <c r="G852" t="s">
        <v>24</v>
      </c>
      <c r="H852" t="s">
        <v>25</v>
      </c>
      <c r="I852" t="s">
        <v>26</v>
      </c>
      <c r="J852" t="s">
        <v>40</v>
      </c>
    </row>
    <row r="853" spans="1:10">
      <c r="A853" t="s">
        <v>1616</v>
      </c>
      <c r="B853" t="s">
        <v>1617</v>
      </c>
      <c r="C853" t="s">
        <v>271</v>
      </c>
      <c r="D853" t="s">
        <v>73</v>
      </c>
      <c r="E853">
        <v>-27669</v>
      </c>
      <c r="F853" t="s">
        <v>74</v>
      </c>
      <c r="G853" t="s">
        <v>24</v>
      </c>
      <c r="H853" t="s">
        <v>25</v>
      </c>
      <c r="I853" t="s">
        <v>45</v>
      </c>
      <c r="J853" t="s">
        <v>40</v>
      </c>
    </row>
    <row r="854" spans="1:10">
      <c r="A854" t="s">
        <v>1618</v>
      </c>
      <c r="B854" t="s">
        <v>927</v>
      </c>
      <c r="C854" t="s">
        <v>192</v>
      </c>
      <c r="D854" t="s">
        <v>193</v>
      </c>
      <c r="E854">
        <v>-32558</v>
      </c>
      <c r="F854" t="s">
        <v>23</v>
      </c>
      <c r="G854" t="s">
        <v>24</v>
      </c>
      <c r="H854" t="s">
        <v>25</v>
      </c>
      <c r="I854" t="s">
        <v>26</v>
      </c>
      <c r="J854" t="s">
        <v>27</v>
      </c>
    </row>
    <row r="855" spans="1:10">
      <c r="A855" t="s">
        <v>1619</v>
      </c>
      <c r="B855" t="s">
        <v>1620</v>
      </c>
      <c r="C855" t="s">
        <v>202</v>
      </c>
      <c r="D855" t="s">
        <v>22</v>
      </c>
      <c r="E855">
        <v>-31699</v>
      </c>
      <c r="F855" t="s">
        <v>23</v>
      </c>
      <c r="G855" t="s">
        <v>24</v>
      </c>
      <c r="H855" t="s">
        <v>25</v>
      </c>
      <c r="I855" t="s">
        <v>45</v>
      </c>
      <c r="J855" t="s">
        <v>40</v>
      </c>
    </row>
    <row r="856" spans="1:10">
      <c r="A856" t="s">
        <v>1621</v>
      </c>
      <c r="B856" t="s">
        <v>448</v>
      </c>
      <c r="C856" t="s">
        <v>468</v>
      </c>
      <c r="D856" t="s">
        <v>440</v>
      </c>
      <c r="E856">
        <v>-95530</v>
      </c>
      <c r="F856" t="s">
        <v>23</v>
      </c>
      <c r="G856" t="s">
        <v>24</v>
      </c>
      <c r="H856" t="s">
        <v>33</v>
      </c>
      <c r="I856" t="s">
        <v>26</v>
      </c>
      <c r="J856" t="s">
        <v>34</v>
      </c>
    </row>
    <row r="857" spans="1:10">
      <c r="A857" t="s">
        <v>1622</v>
      </c>
      <c r="B857" t="s">
        <v>1623</v>
      </c>
      <c r="C857" t="s">
        <v>60</v>
      </c>
      <c r="D857" t="s">
        <v>61</v>
      </c>
      <c r="E857">
        <v>-33284</v>
      </c>
      <c r="F857" t="s">
        <v>62</v>
      </c>
      <c r="G857" t="s">
        <v>24</v>
      </c>
      <c r="H857" t="s">
        <v>63</v>
      </c>
      <c r="I857" t="s">
        <v>26</v>
      </c>
      <c r="J857" t="s">
        <v>34</v>
      </c>
    </row>
    <row r="858" spans="1:10">
      <c r="A858" t="s">
        <v>1624</v>
      </c>
      <c r="B858" t="s">
        <v>1625</v>
      </c>
      <c r="C858" t="s">
        <v>66</v>
      </c>
      <c r="D858" t="s">
        <v>61</v>
      </c>
      <c r="E858">
        <v>-36294</v>
      </c>
      <c r="F858" t="s">
        <v>62</v>
      </c>
      <c r="G858" t="s">
        <v>24</v>
      </c>
      <c r="H858" t="s">
        <v>63</v>
      </c>
      <c r="I858" t="s">
        <v>39</v>
      </c>
      <c r="J858" t="s">
        <v>48</v>
      </c>
    </row>
    <row r="859" spans="1:10">
      <c r="A859" t="s">
        <v>1626</v>
      </c>
      <c r="B859" t="s">
        <v>1627</v>
      </c>
      <c r="C859" t="s">
        <v>129</v>
      </c>
      <c r="D859" t="s">
        <v>38</v>
      </c>
      <c r="E859">
        <v>-30329</v>
      </c>
      <c r="F859" t="s">
        <v>23</v>
      </c>
      <c r="G859" t="s">
        <v>24</v>
      </c>
      <c r="H859" t="s">
        <v>33</v>
      </c>
      <c r="I859" t="s">
        <v>26</v>
      </c>
      <c r="J859" t="s">
        <v>48</v>
      </c>
    </row>
    <row r="860" spans="1:10">
      <c r="A860" t="s">
        <v>1628</v>
      </c>
      <c r="B860" t="s">
        <v>501</v>
      </c>
      <c r="C860" t="s">
        <v>143</v>
      </c>
      <c r="D860" t="s">
        <v>78</v>
      </c>
      <c r="E860">
        <v>-22447</v>
      </c>
      <c r="F860" t="s">
        <v>23</v>
      </c>
      <c r="G860" t="s">
        <v>24</v>
      </c>
      <c r="H860" t="s">
        <v>79</v>
      </c>
      <c r="I860" t="s">
        <v>39</v>
      </c>
      <c r="J860" t="s">
        <v>27</v>
      </c>
    </row>
    <row r="861" spans="1:10">
      <c r="A861" t="s">
        <v>1629</v>
      </c>
      <c r="B861" t="s">
        <v>1630</v>
      </c>
      <c r="C861" t="s">
        <v>116</v>
      </c>
      <c r="D861" t="s">
        <v>73</v>
      </c>
      <c r="E861">
        <v>-65484</v>
      </c>
      <c r="F861" t="s">
        <v>74</v>
      </c>
      <c r="G861" t="s">
        <v>24</v>
      </c>
      <c r="H861" t="s">
        <v>25</v>
      </c>
      <c r="I861" t="s">
        <v>45</v>
      </c>
      <c r="J861" t="s">
        <v>34</v>
      </c>
    </row>
    <row r="862" spans="1:10">
      <c r="A862" t="s">
        <v>1631</v>
      </c>
      <c r="B862" t="s">
        <v>1632</v>
      </c>
      <c r="C862" t="s">
        <v>66</v>
      </c>
      <c r="D862" t="s">
        <v>61</v>
      </c>
      <c r="E862">
        <v>-40686</v>
      </c>
      <c r="F862" t="s">
        <v>62</v>
      </c>
      <c r="G862" t="s">
        <v>32</v>
      </c>
      <c r="H862" t="s">
        <v>63</v>
      </c>
      <c r="I862" t="s">
        <v>45</v>
      </c>
      <c r="J862" t="s">
        <v>34</v>
      </c>
    </row>
    <row r="863" spans="1:10">
      <c r="A863" t="s">
        <v>1633</v>
      </c>
      <c r="B863" t="s">
        <v>1232</v>
      </c>
      <c r="C863" t="s">
        <v>271</v>
      </c>
      <c r="D863" t="s">
        <v>73</v>
      </c>
      <c r="E863">
        <v>-76612</v>
      </c>
      <c r="F863" t="s">
        <v>74</v>
      </c>
      <c r="G863" t="s">
        <v>32</v>
      </c>
      <c r="H863" t="s">
        <v>25</v>
      </c>
      <c r="I863" t="s">
        <v>45</v>
      </c>
      <c r="J863" t="s">
        <v>27</v>
      </c>
    </row>
    <row r="864" spans="1:10">
      <c r="A864" t="s">
        <v>1634</v>
      </c>
      <c r="B864" t="s">
        <v>1603</v>
      </c>
      <c r="C864" t="s">
        <v>519</v>
      </c>
      <c r="D864" t="s">
        <v>44</v>
      </c>
      <c r="E864">
        <v>-121852</v>
      </c>
      <c r="F864" t="s">
        <v>23</v>
      </c>
      <c r="G864" t="s">
        <v>32</v>
      </c>
      <c r="H864" t="s">
        <v>33</v>
      </c>
      <c r="I864" t="s">
        <v>26</v>
      </c>
      <c r="J864" t="s">
        <v>40</v>
      </c>
    </row>
    <row r="865" spans="1:10">
      <c r="A865" t="s">
        <v>1635</v>
      </c>
      <c r="B865" t="s">
        <v>1636</v>
      </c>
      <c r="C865" t="s">
        <v>215</v>
      </c>
      <c r="E865">
        <v>-57700</v>
      </c>
      <c r="F865" t="s">
        <v>62</v>
      </c>
      <c r="G865" t="s">
        <v>24</v>
      </c>
      <c r="H865" t="s">
        <v>63</v>
      </c>
      <c r="I865" t="s">
        <v>39</v>
      </c>
      <c r="J865" t="s">
        <v>27</v>
      </c>
    </row>
    <row r="866" spans="1:10">
      <c r="A866" t="s">
        <v>1637</v>
      </c>
      <c r="B866" t="s">
        <v>1638</v>
      </c>
      <c r="C866" t="s">
        <v>255</v>
      </c>
      <c r="D866" t="s">
        <v>22</v>
      </c>
      <c r="E866">
        <v>-107085</v>
      </c>
      <c r="F866" t="s">
        <v>23</v>
      </c>
      <c r="G866" t="s">
        <v>32</v>
      </c>
      <c r="H866" t="s">
        <v>25</v>
      </c>
      <c r="I866" t="s">
        <v>45</v>
      </c>
      <c r="J866" t="s">
        <v>48</v>
      </c>
    </row>
    <row r="867" spans="1:10">
      <c r="A867" t="s">
        <v>1639</v>
      </c>
      <c r="B867" t="s">
        <v>186</v>
      </c>
      <c r="C867" t="s">
        <v>266</v>
      </c>
      <c r="D867" t="s">
        <v>73</v>
      </c>
      <c r="E867">
        <v>-29473</v>
      </c>
      <c r="F867" t="s">
        <v>74</v>
      </c>
      <c r="G867" t="s">
        <v>32</v>
      </c>
      <c r="H867" t="s">
        <v>25</v>
      </c>
      <c r="I867" t="s">
        <v>26</v>
      </c>
      <c r="J867" t="s">
        <v>40</v>
      </c>
    </row>
    <row r="868" spans="1:10">
      <c r="A868" t="s">
        <v>1640</v>
      </c>
      <c r="B868" t="s">
        <v>1641</v>
      </c>
      <c r="C868" t="s">
        <v>161</v>
      </c>
      <c r="D868" t="s">
        <v>22</v>
      </c>
      <c r="E868">
        <v>-154991</v>
      </c>
      <c r="F868" t="s">
        <v>23</v>
      </c>
      <c r="G868" t="s">
        <v>32</v>
      </c>
      <c r="H868" t="s">
        <v>25</v>
      </c>
      <c r="I868" t="s">
        <v>26</v>
      </c>
      <c r="J868" t="s">
        <v>40</v>
      </c>
    </row>
    <row r="869" spans="1:10">
      <c r="A869" t="s">
        <v>1642</v>
      </c>
      <c r="B869" t="s">
        <v>580</v>
      </c>
      <c r="C869" t="s">
        <v>215</v>
      </c>
      <c r="D869" t="s">
        <v>61</v>
      </c>
      <c r="E869">
        <v>-18698</v>
      </c>
      <c r="F869" t="s">
        <v>62</v>
      </c>
      <c r="G869" t="s">
        <v>24</v>
      </c>
      <c r="H869" t="s">
        <v>63</v>
      </c>
      <c r="I869" t="s">
        <v>26</v>
      </c>
      <c r="J869" t="s">
        <v>34</v>
      </c>
    </row>
    <row r="870" spans="1:10">
      <c r="A870" t="s">
        <v>1643</v>
      </c>
      <c r="B870" t="s">
        <v>547</v>
      </c>
      <c r="C870" t="s">
        <v>283</v>
      </c>
      <c r="D870" t="s">
        <v>44</v>
      </c>
      <c r="E870">
        <v>-127358</v>
      </c>
      <c r="F870" t="s">
        <v>23</v>
      </c>
      <c r="G870" t="s">
        <v>32</v>
      </c>
      <c r="H870" t="s">
        <v>33</v>
      </c>
      <c r="I870" t="s">
        <v>26</v>
      </c>
      <c r="J870" t="s">
        <v>34</v>
      </c>
    </row>
    <row r="871" spans="1:10">
      <c r="A871" t="s">
        <v>1644</v>
      </c>
      <c r="B871" t="s">
        <v>1645</v>
      </c>
      <c r="C871" t="s">
        <v>106</v>
      </c>
      <c r="D871" t="s">
        <v>31</v>
      </c>
      <c r="E871">
        <v>-40853</v>
      </c>
      <c r="F871" t="s">
        <v>23</v>
      </c>
      <c r="G871" t="s">
        <v>32</v>
      </c>
      <c r="H871" t="s">
        <v>33</v>
      </c>
      <c r="I871" t="s">
        <v>26</v>
      </c>
      <c r="J871" t="s">
        <v>40</v>
      </c>
    </row>
    <row r="872" spans="1:10">
      <c r="A872" t="s">
        <v>1646</v>
      </c>
      <c r="B872" t="s">
        <v>259</v>
      </c>
      <c r="C872" t="s">
        <v>132</v>
      </c>
      <c r="D872" t="s">
        <v>187</v>
      </c>
      <c r="E872">
        <v>-10919</v>
      </c>
      <c r="F872" t="s">
        <v>74</v>
      </c>
      <c r="G872" t="s">
        <v>32</v>
      </c>
      <c r="H872" t="s">
        <v>25</v>
      </c>
      <c r="I872" t="s">
        <v>39</v>
      </c>
      <c r="J872" t="s">
        <v>40</v>
      </c>
    </row>
    <row r="873" spans="1:10">
      <c r="A873" t="s">
        <v>1647</v>
      </c>
      <c r="B873" t="s">
        <v>1289</v>
      </c>
      <c r="C873" t="s">
        <v>132</v>
      </c>
      <c r="D873" t="s">
        <v>73</v>
      </c>
      <c r="E873">
        <v>-33265</v>
      </c>
      <c r="F873" t="s">
        <v>74</v>
      </c>
      <c r="G873" t="s">
        <v>24</v>
      </c>
      <c r="H873" t="s">
        <v>25</v>
      </c>
      <c r="I873" t="s">
        <v>26</v>
      </c>
      <c r="J873" t="s">
        <v>40</v>
      </c>
    </row>
    <row r="874" spans="1:10">
      <c r="A874" t="s">
        <v>1648</v>
      </c>
      <c r="B874" t="s">
        <v>448</v>
      </c>
      <c r="C874" t="s">
        <v>215</v>
      </c>
      <c r="D874" t="s">
        <v>61</v>
      </c>
      <c r="E874">
        <v>-59486</v>
      </c>
      <c r="F874" t="s">
        <v>62</v>
      </c>
      <c r="G874" t="s">
        <v>32</v>
      </c>
      <c r="H874" t="s">
        <v>63</v>
      </c>
      <c r="I874" t="s">
        <v>26</v>
      </c>
      <c r="J874" t="s">
        <v>34</v>
      </c>
    </row>
    <row r="875" spans="1:10">
      <c r="A875" t="s">
        <v>1649</v>
      </c>
      <c r="B875" t="s">
        <v>1650</v>
      </c>
      <c r="C875" t="s">
        <v>129</v>
      </c>
      <c r="D875" t="s">
        <v>38</v>
      </c>
      <c r="E875">
        <v>-31482</v>
      </c>
      <c r="F875" t="s">
        <v>23</v>
      </c>
      <c r="G875" t="s">
        <v>32</v>
      </c>
      <c r="H875" t="s">
        <v>33</v>
      </c>
      <c r="I875" t="s">
        <v>45</v>
      </c>
      <c r="J875" t="s">
        <v>48</v>
      </c>
    </row>
    <row r="876" spans="1:10">
      <c r="A876" t="s">
        <v>1651</v>
      </c>
      <c r="B876" t="s">
        <v>1652</v>
      </c>
      <c r="C876" t="s">
        <v>339</v>
      </c>
      <c r="D876" t="s">
        <v>157</v>
      </c>
      <c r="E876">
        <v>558800</v>
      </c>
      <c r="F876" t="s">
        <v>62</v>
      </c>
      <c r="G876" t="s">
        <v>32</v>
      </c>
      <c r="H876" t="s">
        <v>25</v>
      </c>
      <c r="I876" t="s">
        <v>26</v>
      </c>
      <c r="J876" t="s">
        <v>27</v>
      </c>
    </row>
    <row r="877" spans="1:10">
      <c r="A877" t="s">
        <v>1653</v>
      </c>
      <c r="B877" t="s">
        <v>1293</v>
      </c>
      <c r="C877" t="s">
        <v>293</v>
      </c>
      <c r="D877" t="s">
        <v>157</v>
      </c>
      <c r="E877">
        <v>547699</v>
      </c>
      <c r="F877" t="s">
        <v>62</v>
      </c>
      <c r="G877" t="s">
        <v>32</v>
      </c>
      <c r="H877" t="s">
        <v>25</v>
      </c>
      <c r="I877" t="s">
        <v>26</v>
      </c>
      <c r="J877" t="s">
        <v>40</v>
      </c>
    </row>
    <row r="878" spans="1:10">
      <c r="A878" t="s">
        <v>1654</v>
      </c>
      <c r="B878" t="s">
        <v>1655</v>
      </c>
      <c r="C878" t="s">
        <v>106</v>
      </c>
      <c r="D878" t="s">
        <v>31</v>
      </c>
      <c r="E878">
        <v>-39271</v>
      </c>
      <c r="F878" t="s">
        <v>23</v>
      </c>
      <c r="G878" t="s">
        <v>24</v>
      </c>
      <c r="H878" t="s">
        <v>33</v>
      </c>
      <c r="I878" t="s">
        <v>39</v>
      </c>
      <c r="J878" t="s">
        <v>27</v>
      </c>
    </row>
    <row r="879" spans="1:10">
      <c r="A879" t="s">
        <v>1656</v>
      </c>
      <c r="B879" t="s">
        <v>115</v>
      </c>
      <c r="C879" t="s">
        <v>237</v>
      </c>
      <c r="D879" t="s">
        <v>22</v>
      </c>
      <c r="E879">
        <v>-86812</v>
      </c>
      <c r="F879" t="s">
        <v>23</v>
      </c>
      <c r="G879" t="s">
        <v>24</v>
      </c>
      <c r="H879" t="s">
        <v>25</v>
      </c>
      <c r="I879" t="s">
        <v>45</v>
      </c>
      <c r="J879" t="s">
        <v>48</v>
      </c>
    </row>
    <row r="880" spans="1:10">
      <c r="A880" t="s">
        <v>1657</v>
      </c>
      <c r="B880" t="s">
        <v>1658</v>
      </c>
      <c r="C880" t="s">
        <v>180</v>
      </c>
      <c r="D880" t="s">
        <v>44</v>
      </c>
      <c r="E880">
        <v>-108612</v>
      </c>
      <c r="F880" t="s">
        <v>23</v>
      </c>
      <c r="G880" t="s">
        <v>32</v>
      </c>
      <c r="H880" t="s">
        <v>33</v>
      </c>
      <c r="I880" t="s">
        <v>26</v>
      </c>
      <c r="J880" t="s">
        <v>48</v>
      </c>
    </row>
    <row r="881" spans="1:10">
      <c r="A881" t="s">
        <v>1659</v>
      </c>
      <c r="B881" t="s">
        <v>929</v>
      </c>
      <c r="C881" t="s">
        <v>132</v>
      </c>
      <c r="D881" t="s">
        <v>73</v>
      </c>
      <c r="E881">
        <v>-34082</v>
      </c>
      <c r="F881" t="s">
        <v>74</v>
      </c>
      <c r="G881" t="s">
        <v>24</v>
      </c>
      <c r="H881" t="s">
        <v>25</v>
      </c>
      <c r="I881" t="s">
        <v>45</v>
      </c>
      <c r="J881" t="s">
        <v>34</v>
      </c>
    </row>
    <row r="882" spans="1:10">
      <c r="A882" t="s">
        <v>1660</v>
      </c>
      <c r="B882" t="s">
        <v>1155</v>
      </c>
      <c r="C882" t="s">
        <v>212</v>
      </c>
      <c r="D882" t="s">
        <v>73</v>
      </c>
      <c r="E882">
        <v>-24637</v>
      </c>
      <c r="F882" t="s">
        <v>74</v>
      </c>
      <c r="G882" t="s">
        <v>32</v>
      </c>
      <c r="H882" t="s">
        <v>25</v>
      </c>
      <c r="I882" t="s">
        <v>26</v>
      </c>
      <c r="J882" t="s">
        <v>40</v>
      </c>
    </row>
    <row r="883" spans="1:10">
      <c r="A883" t="s">
        <v>1661</v>
      </c>
      <c r="B883" t="s">
        <v>1662</v>
      </c>
      <c r="C883" t="s">
        <v>1663</v>
      </c>
      <c r="D883" t="s">
        <v>136</v>
      </c>
      <c r="E883">
        <v>-10325241</v>
      </c>
      <c r="F883" t="s">
        <v>62</v>
      </c>
      <c r="G883" t="s">
        <v>32</v>
      </c>
      <c r="H883" t="s">
        <v>63</v>
      </c>
      <c r="I883" t="s">
        <v>39</v>
      </c>
      <c r="J883" t="s">
        <v>40</v>
      </c>
    </row>
    <row r="884" spans="1:10">
      <c r="A884" t="s">
        <v>1664</v>
      </c>
      <c r="B884" t="s">
        <v>1665</v>
      </c>
      <c r="C884" t="s">
        <v>310</v>
      </c>
      <c r="D884" t="s">
        <v>22</v>
      </c>
      <c r="E884">
        <v>-142174</v>
      </c>
      <c r="F884" t="s">
        <v>23</v>
      </c>
      <c r="G884" t="s">
        <v>32</v>
      </c>
      <c r="H884" t="s">
        <v>25</v>
      </c>
      <c r="I884" t="s">
        <v>39</v>
      </c>
      <c r="J884" t="s">
        <v>27</v>
      </c>
    </row>
    <row r="885" spans="1:10">
      <c r="A885" t="s">
        <v>1666</v>
      </c>
      <c r="B885" t="s">
        <v>1667</v>
      </c>
      <c r="C885" t="s">
        <v>60</v>
      </c>
      <c r="D885" t="s">
        <v>61</v>
      </c>
      <c r="E885">
        <v>-38834</v>
      </c>
      <c r="F885" t="s">
        <v>62</v>
      </c>
      <c r="G885" t="s">
        <v>32</v>
      </c>
      <c r="H885" t="s">
        <v>63</v>
      </c>
      <c r="I885" t="s">
        <v>26</v>
      </c>
      <c r="J885" t="s">
        <v>27</v>
      </c>
    </row>
    <row r="886" spans="1:10">
      <c r="A886" t="s">
        <v>1668</v>
      </c>
      <c r="B886" t="s">
        <v>414</v>
      </c>
      <c r="C886" t="s">
        <v>215</v>
      </c>
      <c r="D886" t="s">
        <v>61</v>
      </c>
      <c r="E886">
        <v>-43169</v>
      </c>
      <c r="F886" t="s">
        <v>62</v>
      </c>
      <c r="G886" t="s">
        <v>24</v>
      </c>
      <c r="H886" t="s">
        <v>63</v>
      </c>
      <c r="I886" t="s">
        <v>45</v>
      </c>
      <c r="J886" t="s">
        <v>48</v>
      </c>
    </row>
    <row r="887" spans="1:10">
      <c r="A887" t="s">
        <v>1669</v>
      </c>
      <c r="B887" t="s">
        <v>1670</v>
      </c>
      <c r="C887" t="s">
        <v>935</v>
      </c>
      <c r="D887" t="s">
        <v>22</v>
      </c>
      <c r="E887">
        <v>-83547</v>
      </c>
      <c r="F887" t="s">
        <v>23</v>
      </c>
      <c r="G887" t="s">
        <v>24</v>
      </c>
      <c r="H887" t="s">
        <v>25</v>
      </c>
      <c r="I887" t="s">
        <v>45</v>
      </c>
      <c r="J887" t="s">
        <v>27</v>
      </c>
    </row>
    <row r="888" spans="1:10">
      <c r="A888" t="s">
        <v>1671</v>
      </c>
      <c r="B888" t="s">
        <v>392</v>
      </c>
      <c r="C888" t="s">
        <v>224</v>
      </c>
      <c r="D888" t="s">
        <v>78</v>
      </c>
      <c r="E888">
        <v>-25363</v>
      </c>
      <c r="F888" t="s">
        <v>23</v>
      </c>
      <c r="G888" t="s">
        <v>24</v>
      </c>
      <c r="H888" t="s">
        <v>79</v>
      </c>
      <c r="I888" t="s">
        <v>45</v>
      </c>
      <c r="J888" t="s">
        <v>40</v>
      </c>
    </row>
    <row r="889" spans="1:10">
      <c r="A889" t="s">
        <v>1672</v>
      </c>
      <c r="B889" t="s">
        <v>1673</v>
      </c>
      <c r="C889" t="s">
        <v>106</v>
      </c>
      <c r="D889" t="s">
        <v>31</v>
      </c>
      <c r="E889">
        <v>-11559</v>
      </c>
      <c r="F889" t="s">
        <v>23</v>
      </c>
      <c r="G889" t="s">
        <v>32</v>
      </c>
      <c r="H889" t="s">
        <v>33</v>
      </c>
      <c r="I889" t="s">
        <v>39</v>
      </c>
      <c r="J889" t="s">
        <v>34</v>
      </c>
    </row>
    <row r="890" spans="1:10">
      <c r="A890" t="s">
        <v>1674</v>
      </c>
      <c r="B890" t="s">
        <v>1675</v>
      </c>
      <c r="C890" t="s">
        <v>1676</v>
      </c>
      <c r="D890" t="s">
        <v>73</v>
      </c>
      <c r="E890">
        <v>-47441</v>
      </c>
      <c r="F890" t="s">
        <v>74</v>
      </c>
      <c r="G890" t="s">
        <v>32</v>
      </c>
      <c r="H890" t="s">
        <v>25</v>
      </c>
      <c r="I890" t="s">
        <v>26</v>
      </c>
      <c r="J890" t="s">
        <v>27</v>
      </c>
    </row>
    <row r="891" spans="1:10">
      <c r="A891" t="s">
        <v>1677</v>
      </c>
      <c r="B891" t="s">
        <v>452</v>
      </c>
      <c r="C891" t="s">
        <v>215</v>
      </c>
      <c r="D891" t="s">
        <v>61</v>
      </c>
      <c r="E891">
        <v>-59132</v>
      </c>
      <c r="F891" t="s">
        <v>62</v>
      </c>
      <c r="G891" t="s">
        <v>32</v>
      </c>
      <c r="H891" t="s">
        <v>63</v>
      </c>
      <c r="I891" t="s">
        <v>39</v>
      </c>
      <c r="J891" t="s">
        <v>40</v>
      </c>
    </row>
    <row r="892" spans="1:10">
      <c r="A892" t="s">
        <v>1678</v>
      </c>
      <c r="B892" t="s">
        <v>1679</v>
      </c>
      <c r="C892" t="s">
        <v>169</v>
      </c>
      <c r="D892" t="s">
        <v>73</v>
      </c>
      <c r="E892">
        <v>-61612</v>
      </c>
      <c r="F892" t="s">
        <v>74</v>
      </c>
      <c r="G892" t="s">
        <v>24</v>
      </c>
      <c r="H892" t="s">
        <v>25</v>
      </c>
      <c r="I892" t="s">
        <v>45</v>
      </c>
      <c r="J892" t="s">
        <v>40</v>
      </c>
    </row>
    <row r="893" spans="1:10">
      <c r="A893" t="s">
        <v>1680</v>
      </c>
      <c r="B893" t="s">
        <v>1681</v>
      </c>
      <c r="C893" t="s">
        <v>116</v>
      </c>
      <c r="E893">
        <v>-20989</v>
      </c>
      <c r="F893" t="s">
        <v>74</v>
      </c>
      <c r="G893" t="s">
        <v>24</v>
      </c>
      <c r="H893" t="s">
        <v>25</v>
      </c>
      <c r="I893" t="s">
        <v>26</v>
      </c>
      <c r="J893" t="s">
        <v>27</v>
      </c>
    </row>
    <row r="894" spans="1:10">
      <c r="A894" t="s">
        <v>1682</v>
      </c>
      <c r="B894" t="s">
        <v>1683</v>
      </c>
      <c r="C894" t="s">
        <v>802</v>
      </c>
      <c r="D894" t="s">
        <v>440</v>
      </c>
      <c r="E894">
        <v>-145901</v>
      </c>
      <c r="F894" t="s">
        <v>23</v>
      </c>
      <c r="G894" t="s">
        <v>24</v>
      </c>
      <c r="H894" t="s">
        <v>33</v>
      </c>
      <c r="I894" t="s">
        <v>45</v>
      </c>
      <c r="J894" t="s">
        <v>34</v>
      </c>
    </row>
    <row r="895" spans="1:10">
      <c r="A895" t="s">
        <v>1684</v>
      </c>
      <c r="B895" t="s">
        <v>613</v>
      </c>
      <c r="C895" t="s">
        <v>72</v>
      </c>
      <c r="D895" t="s">
        <v>302</v>
      </c>
      <c r="E895">
        <v>-42814</v>
      </c>
      <c r="F895" t="s">
        <v>74</v>
      </c>
      <c r="G895" t="s">
        <v>32</v>
      </c>
      <c r="H895" t="s">
        <v>25</v>
      </c>
      <c r="I895" t="s">
        <v>26</v>
      </c>
      <c r="J895" t="s">
        <v>34</v>
      </c>
    </row>
    <row r="896" spans="1:10">
      <c r="A896" t="s">
        <v>1685</v>
      </c>
      <c r="B896" t="s">
        <v>714</v>
      </c>
      <c r="C896" t="s">
        <v>106</v>
      </c>
      <c r="D896" t="s">
        <v>31</v>
      </c>
      <c r="E896">
        <v>-23647</v>
      </c>
      <c r="F896" t="s">
        <v>23</v>
      </c>
      <c r="G896" t="s">
        <v>24</v>
      </c>
      <c r="H896" t="s">
        <v>33</v>
      </c>
      <c r="I896" t="s">
        <v>26</v>
      </c>
      <c r="J896" t="s">
        <v>34</v>
      </c>
    </row>
    <row r="897" spans="1:10">
      <c r="A897" t="s">
        <v>1686</v>
      </c>
      <c r="B897" t="s">
        <v>1045</v>
      </c>
      <c r="C897" t="s">
        <v>100</v>
      </c>
      <c r="D897" t="s">
        <v>31</v>
      </c>
      <c r="E897">
        <v>-37944</v>
      </c>
      <c r="F897" t="s">
        <v>23</v>
      </c>
      <c r="G897" t="s">
        <v>32</v>
      </c>
      <c r="H897" t="s">
        <v>33</v>
      </c>
      <c r="I897" t="s">
        <v>39</v>
      </c>
      <c r="J897" t="s">
        <v>34</v>
      </c>
    </row>
    <row r="898" spans="1:10">
      <c r="A898" t="s">
        <v>1687</v>
      </c>
      <c r="B898" t="s">
        <v>1688</v>
      </c>
      <c r="C898" t="s">
        <v>283</v>
      </c>
      <c r="D898" t="s">
        <v>44</v>
      </c>
      <c r="E898">
        <v>-148946</v>
      </c>
      <c r="F898" t="s">
        <v>23</v>
      </c>
      <c r="G898" t="s">
        <v>32</v>
      </c>
      <c r="H898" t="s">
        <v>33</v>
      </c>
      <c r="I898" t="s">
        <v>26</v>
      </c>
      <c r="J898" t="s">
        <v>27</v>
      </c>
    </row>
    <row r="899" spans="1:10">
      <c r="A899" t="s">
        <v>1689</v>
      </c>
      <c r="B899" t="s">
        <v>618</v>
      </c>
      <c r="C899" t="s">
        <v>57</v>
      </c>
      <c r="D899" t="s">
        <v>44</v>
      </c>
      <c r="E899">
        <v>-132646</v>
      </c>
      <c r="F899" t="s">
        <v>23</v>
      </c>
      <c r="G899" t="s">
        <v>24</v>
      </c>
      <c r="H899" t="s">
        <v>33</v>
      </c>
      <c r="I899" t="s">
        <v>26</v>
      </c>
      <c r="J899" t="s">
        <v>40</v>
      </c>
    </row>
    <row r="900" spans="1:10">
      <c r="A900" t="s">
        <v>1690</v>
      </c>
      <c r="B900" t="s">
        <v>1691</v>
      </c>
      <c r="C900" t="s">
        <v>87</v>
      </c>
      <c r="D900" t="s">
        <v>22</v>
      </c>
      <c r="E900">
        <v>-108868</v>
      </c>
      <c r="F900" t="s">
        <v>23</v>
      </c>
      <c r="G900" t="s">
        <v>32</v>
      </c>
      <c r="H900" t="s">
        <v>25</v>
      </c>
      <c r="I900" t="s">
        <v>45</v>
      </c>
      <c r="J900" t="s">
        <v>40</v>
      </c>
    </row>
    <row r="901" spans="1:10">
      <c r="A901" t="s">
        <v>1692</v>
      </c>
      <c r="B901" t="s">
        <v>1595</v>
      </c>
      <c r="C901" t="s">
        <v>345</v>
      </c>
      <c r="D901" t="s">
        <v>22</v>
      </c>
      <c r="E901">
        <v>-136637</v>
      </c>
      <c r="F901" t="s">
        <v>23</v>
      </c>
      <c r="G901" t="s">
        <v>32</v>
      </c>
      <c r="H901" t="s">
        <v>25</v>
      </c>
      <c r="I901" t="s">
        <v>45</v>
      </c>
      <c r="J901" t="s">
        <v>48</v>
      </c>
    </row>
    <row r="902" spans="1:10">
      <c r="A902" t="s">
        <v>1693</v>
      </c>
      <c r="B902" t="s">
        <v>784</v>
      </c>
      <c r="C902" t="s">
        <v>60</v>
      </c>
      <c r="D902" t="s">
        <v>61</v>
      </c>
      <c r="E902">
        <v>-25754</v>
      </c>
      <c r="F902" t="s">
        <v>62</v>
      </c>
      <c r="G902" t="s">
        <v>24</v>
      </c>
      <c r="H902" t="s">
        <v>63</v>
      </c>
      <c r="I902" t="s">
        <v>26</v>
      </c>
      <c r="J902" t="s">
        <v>40</v>
      </c>
    </row>
    <row r="903" spans="1:10">
      <c r="A903" t="s">
        <v>1694</v>
      </c>
      <c r="B903" t="s">
        <v>1695</v>
      </c>
      <c r="C903" t="s">
        <v>93</v>
      </c>
      <c r="D903" t="s">
        <v>73</v>
      </c>
      <c r="E903">
        <v>-31356</v>
      </c>
      <c r="F903" t="s">
        <v>74</v>
      </c>
      <c r="G903" t="s">
        <v>24</v>
      </c>
      <c r="H903" t="s">
        <v>25</v>
      </c>
      <c r="I903" t="s">
        <v>39</v>
      </c>
      <c r="J903" t="s">
        <v>48</v>
      </c>
    </row>
    <row r="904" spans="1:10">
      <c r="A904" t="s">
        <v>1696</v>
      </c>
      <c r="B904" t="s">
        <v>1086</v>
      </c>
      <c r="C904" t="s">
        <v>215</v>
      </c>
      <c r="D904" t="s">
        <v>61</v>
      </c>
      <c r="E904">
        <v>-35528</v>
      </c>
      <c r="F904" t="s">
        <v>62</v>
      </c>
      <c r="G904" t="s">
        <v>32</v>
      </c>
      <c r="H904" t="s">
        <v>63</v>
      </c>
      <c r="I904" t="s">
        <v>39</v>
      </c>
      <c r="J904" t="s">
        <v>40</v>
      </c>
    </row>
    <row r="905" spans="1:10">
      <c r="A905" t="s">
        <v>1697</v>
      </c>
      <c r="B905" t="s">
        <v>1698</v>
      </c>
      <c r="C905" t="s">
        <v>66</v>
      </c>
      <c r="D905" t="s">
        <v>61</v>
      </c>
      <c r="E905">
        <v>-45340</v>
      </c>
      <c r="F905" t="s">
        <v>62</v>
      </c>
      <c r="G905" t="s">
        <v>32</v>
      </c>
      <c r="H905" t="s">
        <v>63</v>
      </c>
      <c r="I905" t="s">
        <v>26</v>
      </c>
      <c r="J905" t="s">
        <v>27</v>
      </c>
    </row>
    <row r="906" spans="1:10">
      <c r="A906" t="s">
        <v>1699</v>
      </c>
      <c r="B906" t="s">
        <v>1491</v>
      </c>
      <c r="C906" t="s">
        <v>116</v>
      </c>
      <c r="D906" t="s">
        <v>73</v>
      </c>
      <c r="E906">
        <v>-86638</v>
      </c>
      <c r="F906" t="s">
        <v>74</v>
      </c>
      <c r="G906" t="s">
        <v>32</v>
      </c>
      <c r="H906" t="s">
        <v>25</v>
      </c>
      <c r="I906" t="s">
        <v>45</v>
      </c>
      <c r="J906" t="s">
        <v>34</v>
      </c>
    </row>
    <row r="907" spans="1:10">
      <c r="A907" t="s">
        <v>1700</v>
      </c>
      <c r="B907" t="s">
        <v>1701</v>
      </c>
      <c r="C907" t="s">
        <v>255</v>
      </c>
      <c r="D907" t="s">
        <v>22</v>
      </c>
      <c r="E907">
        <v>-172609</v>
      </c>
      <c r="F907" t="s">
        <v>23</v>
      </c>
      <c r="G907" t="s">
        <v>32</v>
      </c>
      <c r="H907" t="s">
        <v>25</v>
      </c>
      <c r="I907" t="s">
        <v>26</v>
      </c>
      <c r="J907" t="s">
        <v>34</v>
      </c>
    </row>
    <row r="908" spans="1:10">
      <c r="A908" t="s">
        <v>1702</v>
      </c>
      <c r="B908" t="s">
        <v>1703</v>
      </c>
      <c r="C908" t="s">
        <v>132</v>
      </c>
      <c r="D908" t="s">
        <v>73</v>
      </c>
      <c r="E908">
        <v>-38803</v>
      </c>
      <c r="F908" t="s">
        <v>74</v>
      </c>
      <c r="G908" t="s">
        <v>32</v>
      </c>
      <c r="H908" t="s">
        <v>25</v>
      </c>
      <c r="I908" t="s">
        <v>39</v>
      </c>
      <c r="J908" t="s">
        <v>34</v>
      </c>
    </row>
    <row r="909" spans="1:10">
      <c r="A909" t="s">
        <v>1704</v>
      </c>
      <c r="B909" t="s">
        <v>653</v>
      </c>
      <c r="C909" t="s">
        <v>177</v>
      </c>
      <c r="D909" t="s">
        <v>371</v>
      </c>
      <c r="E909">
        <v>-86668</v>
      </c>
      <c r="F909" t="s">
        <v>23</v>
      </c>
      <c r="G909" t="s">
        <v>24</v>
      </c>
      <c r="H909" t="s">
        <v>79</v>
      </c>
      <c r="I909" t="s">
        <v>39</v>
      </c>
      <c r="J909" t="s">
        <v>27</v>
      </c>
    </row>
    <row r="910" spans="1:10">
      <c r="A910" t="s">
        <v>1705</v>
      </c>
      <c r="B910" t="s">
        <v>105</v>
      </c>
      <c r="C910" t="s">
        <v>339</v>
      </c>
      <c r="D910" t="s">
        <v>157</v>
      </c>
      <c r="E910">
        <v>587579</v>
      </c>
      <c r="F910" t="s">
        <v>62</v>
      </c>
      <c r="G910" t="s">
        <v>32</v>
      </c>
      <c r="H910" t="s">
        <v>25</v>
      </c>
      <c r="I910" t="s">
        <v>45</v>
      </c>
      <c r="J910" t="s">
        <v>40</v>
      </c>
    </row>
    <row r="911" spans="1:10">
      <c r="A911" t="s">
        <v>1706</v>
      </c>
      <c r="B911" t="s">
        <v>1707</v>
      </c>
      <c r="C911" t="s">
        <v>116</v>
      </c>
      <c r="D911" t="s">
        <v>111</v>
      </c>
      <c r="E911">
        <v>-74445</v>
      </c>
      <c r="F911" t="s">
        <v>74</v>
      </c>
      <c r="G911" t="s">
        <v>24</v>
      </c>
      <c r="H911" t="s">
        <v>25</v>
      </c>
      <c r="I911" t="s">
        <v>45</v>
      </c>
      <c r="J911" t="s">
        <v>40</v>
      </c>
    </row>
    <row r="912" spans="1:10">
      <c r="A912" t="s">
        <v>1708</v>
      </c>
      <c r="B912" t="s">
        <v>1709</v>
      </c>
      <c r="C912" t="s">
        <v>30</v>
      </c>
      <c r="E912">
        <v>-7142</v>
      </c>
      <c r="F912" t="s">
        <v>23</v>
      </c>
      <c r="G912" t="s">
        <v>24</v>
      </c>
      <c r="H912" t="s">
        <v>33</v>
      </c>
      <c r="I912" t="s">
        <v>45</v>
      </c>
      <c r="J912" t="s">
        <v>48</v>
      </c>
    </row>
    <row r="913" spans="1:10">
      <c r="A913" t="s">
        <v>1710</v>
      </c>
      <c r="B913" t="s">
        <v>545</v>
      </c>
      <c r="C913" t="s">
        <v>132</v>
      </c>
      <c r="D913" t="s">
        <v>111</v>
      </c>
      <c r="E913">
        <v>-53745</v>
      </c>
      <c r="F913" t="s">
        <v>74</v>
      </c>
      <c r="G913" t="s">
        <v>24</v>
      </c>
      <c r="H913" t="s">
        <v>25</v>
      </c>
      <c r="I913" t="s">
        <v>26</v>
      </c>
      <c r="J913" t="s">
        <v>34</v>
      </c>
    </row>
    <row r="914" spans="1:10">
      <c r="A914" t="s">
        <v>1711</v>
      </c>
      <c r="B914" t="s">
        <v>232</v>
      </c>
      <c r="C914" t="s">
        <v>103</v>
      </c>
      <c r="D914" t="s">
        <v>78</v>
      </c>
      <c r="E914">
        <v>-83755</v>
      </c>
      <c r="F914" t="s">
        <v>23</v>
      </c>
      <c r="G914" t="s">
        <v>24</v>
      </c>
      <c r="H914" t="s">
        <v>79</v>
      </c>
      <c r="I914" t="s">
        <v>45</v>
      </c>
      <c r="J914" t="s">
        <v>27</v>
      </c>
    </row>
    <row r="915" spans="1:10">
      <c r="A915" t="s">
        <v>1712</v>
      </c>
      <c r="B915" t="s">
        <v>1038</v>
      </c>
      <c r="C915" t="s">
        <v>132</v>
      </c>
      <c r="D915" t="s">
        <v>73</v>
      </c>
      <c r="E915">
        <v>-17547</v>
      </c>
      <c r="F915" t="s">
        <v>74</v>
      </c>
      <c r="G915" t="s">
        <v>24</v>
      </c>
      <c r="H915" t="s">
        <v>25</v>
      </c>
      <c r="I915" t="s">
        <v>39</v>
      </c>
      <c r="J915" t="s">
        <v>40</v>
      </c>
    </row>
    <row r="916" spans="1:10">
      <c r="A916" t="s">
        <v>1713</v>
      </c>
      <c r="B916" t="s">
        <v>735</v>
      </c>
      <c r="C916" t="s">
        <v>129</v>
      </c>
      <c r="D916" t="s">
        <v>38</v>
      </c>
      <c r="E916">
        <v>-9930</v>
      </c>
      <c r="F916" t="s">
        <v>23</v>
      </c>
      <c r="G916" t="s">
        <v>32</v>
      </c>
      <c r="H916" t="s">
        <v>33</v>
      </c>
      <c r="I916" t="s">
        <v>39</v>
      </c>
      <c r="J916" t="s">
        <v>34</v>
      </c>
    </row>
    <row r="917" spans="1:10">
      <c r="A917" t="s">
        <v>1714</v>
      </c>
      <c r="B917" t="s">
        <v>523</v>
      </c>
      <c r="C917" t="s">
        <v>305</v>
      </c>
      <c r="D917" t="s">
        <v>38</v>
      </c>
      <c r="E917">
        <v>-19168</v>
      </c>
      <c r="F917" t="s">
        <v>23</v>
      </c>
      <c r="G917" t="s">
        <v>24</v>
      </c>
      <c r="H917" t="s">
        <v>33</v>
      </c>
      <c r="I917" t="s">
        <v>45</v>
      </c>
      <c r="J917" t="s">
        <v>40</v>
      </c>
    </row>
    <row r="918" spans="1:10">
      <c r="A918" t="s">
        <v>1715</v>
      </c>
      <c r="B918" t="s">
        <v>1168</v>
      </c>
      <c r="C918" t="s">
        <v>1039</v>
      </c>
      <c r="D918" t="s">
        <v>440</v>
      </c>
      <c r="E918">
        <v>-112450</v>
      </c>
      <c r="F918" t="s">
        <v>23</v>
      </c>
      <c r="G918" t="s">
        <v>32</v>
      </c>
      <c r="H918" t="s">
        <v>33</v>
      </c>
      <c r="I918" t="s">
        <v>39</v>
      </c>
      <c r="J918" t="s">
        <v>40</v>
      </c>
    </row>
    <row r="919" spans="1:10">
      <c r="A919" t="s">
        <v>1716</v>
      </c>
      <c r="B919" t="s">
        <v>1717</v>
      </c>
      <c r="C919" t="s">
        <v>156</v>
      </c>
      <c r="D919" t="s">
        <v>157</v>
      </c>
      <c r="E919">
        <v>493197</v>
      </c>
      <c r="F919" t="s">
        <v>62</v>
      </c>
      <c r="G919" t="s">
        <v>32</v>
      </c>
      <c r="H919" t="s">
        <v>25</v>
      </c>
      <c r="I919" t="s">
        <v>26</v>
      </c>
      <c r="J919" t="s">
        <v>34</v>
      </c>
    </row>
    <row r="920" spans="1:10">
      <c r="A920" t="s">
        <v>1718</v>
      </c>
      <c r="B920" t="s">
        <v>110</v>
      </c>
      <c r="C920" t="s">
        <v>69</v>
      </c>
      <c r="D920" t="s">
        <v>38</v>
      </c>
      <c r="E920">
        <v>-10962</v>
      </c>
      <c r="F920" t="s">
        <v>23</v>
      </c>
      <c r="G920" t="s">
        <v>24</v>
      </c>
      <c r="H920" t="s">
        <v>33</v>
      </c>
      <c r="I920" t="s">
        <v>39</v>
      </c>
      <c r="J920" t="s">
        <v>34</v>
      </c>
    </row>
    <row r="921" spans="1:10">
      <c r="A921" t="s">
        <v>1719</v>
      </c>
      <c r="B921" t="s">
        <v>470</v>
      </c>
      <c r="C921" t="s">
        <v>100</v>
      </c>
      <c r="D921" t="s">
        <v>31</v>
      </c>
      <c r="E921">
        <v>-13223</v>
      </c>
      <c r="F921" t="s">
        <v>23</v>
      </c>
      <c r="G921" t="s">
        <v>32</v>
      </c>
      <c r="H921" t="s">
        <v>33</v>
      </c>
      <c r="I921" t="s">
        <v>45</v>
      </c>
      <c r="J921" t="s">
        <v>48</v>
      </c>
    </row>
    <row r="922" spans="1:10">
      <c r="A922" t="s">
        <v>1720</v>
      </c>
      <c r="B922" t="s">
        <v>973</v>
      </c>
      <c r="C922" t="s">
        <v>60</v>
      </c>
      <c r="D922" t="s">
        <v>61</v>
      </c>
      <c r="E922">
        <v>-34801</v>
      </c>
      <c r="F922" t="s">
        <v>62</v>
      </c>
      <c r="G922" t="s">
        <v>24</v>
      </c>
      <c r="H922" t="s">
        <v>63</v>
      </c>
      <c r="I922" t="s">
        <v>26</v>
      </c>
      <c r="J922" t="s">
        <v>40</v>
      </c>
    </row>
    <row r="923" spans="1:10">
      <c r="A923" t="s">
        <v>1721</v>
      </c>
      <c r="B923" t="s">
        <v>494</v>
      </c>
      <c r="C923" t="s">
        <v>224</v>
      </c>
      <c r="E923">
        <v>-117089</v>
      </c>
      <c r="F923" t="s">
        <v>23</v>
      </c>
      <c r="G923" t="s">
        <v>24</v>
      </c>
      <c r="H923" t="s">
        <v>79</v>
      </c>
      <c r="I923" t="s">
        <v>39</v>
      </c>
      <c r="J923" t="s">
        <v>27</v>
      </c>
    </row>
    <row r="924" spans="1:10">
      <c r="A924" t="s">
        <v>1722</v>
      </c>
      <c r="B924" t="s">
        <v>1361</v>
      </c>
      <c r="C924" t="s">
        <v>116</v>
      </c>
      <c r="D924" t="s">
        <v>73</v>
      </c>
      <c r="E924">
        <v>-26135</v>
      </c>
      <c r="F924" t="s">
        <v>74</v>
      </c>
      <c r="G924" t="s">
        <v>32</v>
      </c>
      <c r="H924" t="s">
        <v>25</v>
      </c>
      <c r="I924" t="s">
        <v>39</v>
      </c>
      <c r="J924" t="s">
        <v>48</v>
      </c>
    </row>
    <row r="925" spans="1:10">
      <c r="A925" t="s">
        <v>1723</v>
      </c>
      <c r="B925" t="s">
        <v>123</v>
      </c>
      <c r="C925" t="s">
        <v>345</v>
      </c>
      <c r="D925" t="s">
        <v>207</v>
      </c>
      <c r="E925">
        <v>-139043</v>
      </c>
      <c r="F925" t="s">
        <v>23</v>
      </c>
      <c r="G925" t="s">
        <v>32</v>
      </c>
      <c r="H925" t="s">
        <v>25</v>
      </c>
      <c r="I925" t="s">
        <v>39</v>
      </c>
      <c r="J925" t="s">
        <v>40</v>
      </c>
    </row>
    <row r="926" spans="1:10">
      <c r="A926" t="s">
        <v>1724</v>
      </c>
      <c r="B926" t="s">
        <v>1725</v>
      </c>
      <c r="C926" t="s">
        <v>116</v>
      </c>
      <c r="D926" t="s">
        <v>73</v>
      </c>
      <c r="E926">
        <v>-64010</v>
      </c>
      <c r="F926" t="s">
        <v>74</v>
      </c>
      <c r="G926" t="s">
        <v>24</v>
      </c>
      <c r="H926" t="s">
        <v>25</v>
      </c>
      <c r="I926" t="s">
        <v>26</v>
      </c>
      <c r="J926" t="s">
        <v>48</v>
      </c>
    </row>
    <row r="927" spans="1:10">
      <c r="A927" t="s">
        <v>1726</v>
      </c>
      <c r="B927" t="s">
        <v>1021</v>
      </c>
      <c r="C927" t="s">
        <v>519</v>
      </c>
      <c r="D927" t="s">
        <v>465</v>
      </c>
      <c r="E927">
        <v>-114591</v>
      </c>
      <c r="F927" t="s">
        <v>23</v>
      </c>
      <c r="G927" t="s">
        <v>24</v>
      </c>
      <c r="H927" t="s">
        <v>33</v>
      </c>
      <c r="I927" t="s">
        <v>45</v>
      </c>
      <c r="J927" t="s">
        <v>48</v>
      </c>
    </row>
    <row r="928" spans="1:10">
      <c r="A928" t="s">
        <v>1727</v>
      </c>
      <c r="B928" t="s">
        <v>1228</v>
      </c>
      <c r="C928" t="s">
        <v>100</v>
      </c>
      <c r="D928" t="s">
        <v>31</v>
      </c>
      <c r="E928">
        <v>-34566</v>
      </c>
      <c r="F928" t="s">
        <v>23</v>
      </c>
      <c r="G928" t="s">
        <v>32</v>
      </c>
      <c r="H928" t="s">
        <v>33</v>
      </c>
      <c r="I928" t="s">
        <v>39</v>
      </c>
      <c r="J928" t="s">
        <v>27</v>
      </c>
    </row>
    <row r="929" spans="1:10">
      <c r="A929" t="s">
        <v>1728</v>
      </c>
      <c r="B929" t="s">
        <v>1586</v>
      </c>
      <c r="C929" t="s">
        <v>66</v>
      </c>
      <c r="D929" t="s">
        <v>61</v>
      </c>
      <c r="E929">
        <v>-59287</v>
      </c>
      <c r="F929" t="s">
        <v>62</v>
      </c>
      <c r="G929" t="s">
        <v>24</v>
      </c>
      <c r="H929" t="s">
        <v>63</v>
      </c>
      <c r="I929" t="s">
        <v>39</v>
      </c>
      <c r="J929" t="s">
        <v>40</v>
      </c>
    </row>
    <row r="930" spans="1:10">
      <c r="A930" t="s">
        <v>1729</v>
      </c>
      <c r="B930" t="s">
        <v>470</v>
      </c>
      <c r="C930" t="s">
        <v>60</v>
      </c>
      <c r="D930" t="s">
        <v>61</v>
      </c>
      <c r="E930">
        <v>-42274</v>
      </c>
      <c r="F930" t="s">
        <v>62</v>
      </c>
      <c r="G930" t="s">
        <v>24</v>
      </c>
      <c r="H930" t="s">
        <v>63</v>
      </c>
      <c r="I930" t="s">
        <v>45</v>
      </c>
      <c r="J930" t="s">
        <v>48</v>
      </c>
    </row>
    <row r="931" spans="1:10">
      <c r="A931" t="s">
        <v>1730</v>
      </c>
      <c r="B931" t="s">
        <v>1731</v>
      </c>
      <c r="C931" t="s">
        <v>116</v>
      </c>
      <c r="D931" t="s">
        <v>73</v>
      </c>
      <c r="E931">
        <v>-50830</v>
      </c>
      <c r="F931" t="s">
        <v>74</v>
      </c>
      <c r="G931" t="s">
        <v>32</v>
      </c>
      <c r="H931" t="s">
        <v>25</v>
      </c>
      <c r="I931" t="s">
        <v>39</v>
      </c>
      <c r="J931" t="s">
        <v>34</v>
      </c>
    </row>
    <row r="932" spans="1:10">
      <c r="A932" t="s">
        <v>1732</v>
      </c>
      <c r="B932" t="s">
        <v>1733</v>
      </c>
      <c r="C932" t="s">
        <v>237</v>
      </c>
      <c r="D932" t="s">
        <v>22</v>
      </c>
      <c r="E932">
        <v>-173561</v>
      </c>
      <c r="F932" t="s">
        <v>23</v>
      </c>
      <c r="G932" t="s">
        <v>32</v>
      </c>
      <c r="H932" t="s">
        <v>25</v>
      </c>
      <c r="I932" t="s">
        <v>39</v>
      </c>
      <c r="J932" t="s">
        <v>40</v>
      </c>
    </row>
    <row r="933" spans="1:10">
      <c r="A933" t="s">
        <v>1734</v>
      </c>
      <c r="B933" t="s">
        <v>1735</v>
      </c>
      <c r="C933" t="s">
        <v>66</v>
      </c>
      <c r="E933">
        <v>-57793</v>
      </c>
      <c r="F933" t="s">
        <v>62</v>
      </c>
      <c r="G933" t="s">
        <v>32</v>
      </c>
      <c r="H933" t="s">
        <v>63</v>
      </c>
      <c r="I933" t="s">
        <v>26</v>
      </c>
      <c r="J933" t="s">
        <v>48</v>
      </c>
    </row>
    <row r="934" spans="1:10">
      <c r="A934" t="s">
        <v>1736</v>
      </c>
      <c r="B934" t="s">
        <v>1074</v>
      </c>
      <c r="C934" t="s">
        <v>84</v>
      </c>
      <c r="D934" t="s">
        <v>78</v>
      </c>
      <c r="E934">
        <v>-108276</v>
      </c>
      <c r="F934" t="s">
        <v>23</v>
      </c>
      <c r="G934" t="s">
        <v>24</v>
      </c>
      <c r="H934" t="s">
        <v>79</v>
      </c>
      <c r="I934" t="s">
        <v>26</v>
      </c>
      <c r="J934" t="s">
        <v>27</v>
      </c>
    </row>
    <row r="935" spans="1:10">
      <c r="A935" t="s">
        <v>1737</v>
      </c>
      <c r="B935" t="s">
        <v>1738</v>
      </c>
      <c r="C935" t="s">
        <v>90</v>
      </c>
      <c r="D935" t="s">
        <v>73</v>
      </c>
      <c r="E935">
        <v>-86025</v>
      </c>
      <c r="F935" t="s">
        <v>74</v>
      </c>
      <c r="G935" t="s">
        <v>24</v>
      </c>
      <c r="H935" t="s">
        <v>25</v>
      </c>
      <c r="I935" t="s">
        <v>39</v>
      </c>
      <c r="J935" t="s">
        <v>48</v>
      </c>
    </row>
    <row r="936" spans="1:10">
      <c r="A936" t="s">
        <v>1739</v>
      </c>
      <c r="B936" t="s">
        <v>261</v>
      </c>
      <c r="C936" t="s">
        <v>266</v>
      </c>
      <c r="D936" t="s">
        <v>73</v>
      </c>
      <c r="E936">
        <v>-71897</v>
      </c>
      <c r="F936" t="s">
        <v>74</v>
      </c>
      <c r="G936" t="s">
        <v>24</v>
      </c>
      <c r="H936" t="s">
        <v>25</v>
      </c>
      <c r="I936" t="s">
        <v>26</v>
      </c>
      <c r="J936" t="s">
        <v>27</v>
      </c>
    </row>
    <row r="937" spans="1:10">
      <c r="A937" t="s">
        <v>1740</v>
      </c>
      <c r="B937" t="s">
        <v>113</v>
      </c>
      <c r="C937" t="s">
        <v>90</v>
      </c>
      <c r="D937" t="s">
        <v>73</v>
      </c>
      <c r="E937">
        <v>-26000</v>
      </c>
      <c r="F937" t="s">
        <v>74</v>
      </c>
      <c r="G937" t="s">
        <v>24</v>
      </c>
      <c r="H937" t="s">
        <v>25</v>
      </c>
      <c r="I937" t="s">
        <v>26</v>
      </c>
      <c r="J937" t="s">
        <v>27</v>
      </c>
    </row>
    <row r="938" spans="1:10">
      <c r="A938" t="s">
        <v>1741</v>
      </c>
      <c r="B938" t="s">
        <v>1742</v>
      </c>
      <c r="C938" t="s">
        <v>180</v>
      </c>
      <c r="E938">
        <v>-130885</v>
      </c>
      <c r="F938" t="s">
        <v>23</v>
      </c>
      <c r="G938" t="s">
        <v>24</v>
      </c>
      <c r="H938" t="s">
        <v>33</v>
      </c>
      <c r="I938" t="s">
        <v>26</v>
      </c>
      <c r="J938" t="s">
        <v>34</v>
      </c>
    </row>
    <row r="939" spans="1:10">
      <c r="A939" t="s">
        <v>1743</v>
      </c>
      <c r="B939" t="s">
        <v>278</v>
      </c>
      <c r="C939" t="s">
        <v>100</v>
      </c>
      <c r="D939" t="s">
        <v>31</v>
      </c>
      <c r="E939">
        <v>-23213</v>
      </c>
      <c r="F939" t="s">
        <v>23</v>
      </c>
      <c r="G939" t="s">
        <v>24</v>
      </c>
      <c r="H939" t="s">
        <v>33</v>
      </c>
      <c r="I939" t="s">
        <v>26</v>
      </c>
      <c r="J939" t="s">
        <v>27</v>
      </c>
    </row>
    <row r="940" spans="1:10">
      <c r="A940" t="s">
        <v>1744</v>
      </c>
      <c r="B940" t="s">
        <v>460</v>
      </c>
      <c r="C940" t="s">
        <v>202</v>
      </c>
      <c r="D940" t="s">
        <v>22</v>
      </c>
      <c r="E940">
        <v>-139209</v>
      </c>
      <c r="F940" t="s">
        <v>23</v>
      </c>
      <c r="G940" t="s">
        <v>32</v>
      </c>
      <c r="H940" t="s">
        <v>25</v>
      </c>
      <c r="I940" t="s">
        <v>26</v>
      </c>
      <c r="J940" t="s">
        <v>40</v>
      </c>
    </row>
    <row r="941" spans="1:10">
      <c r="A941" t="s">
        <v>1745</v>
      </c>
      <c r="B941" t="s">
        <v>1746</v>
      </c>
      <c r="C941" t="s">
        <v>57</v>
      </c>
      <c r="D941" t="s">
        <v>465</v>
      </c>
      <c r="E941">
        <v>-82279</v>
      </c>
      <c r="F941" t="s">
        <v>23</v>
      </c>
      <c r="G941" t="s">
        <v>32</v>
      </c>
      <c r="H941" t="s">
        <v>33</v>
      </c>
      <c r="I941" t="s">
        <v>26</v>
      </c>
      <c r="J941" t="s">
        <v>40</v>
      </c>
    </row>
    <row r="942" spans="1:10">
      <c r="A942" t="s">
        <v>1747</v>
      </c>
      <c r="B942" t="s">
        <v>1748</v>
      </c>
      <c r="C942" t="s">
        <v>174</v>
      </c>
      <c r="D942" t="s">
        <v>22</v>
      </c>
      <c r="E942">
        <v>-77539</v>
      </c>
      <c r="F942" t="s">
        <v>23</v>
      </c>
      <c r="G942" t="s">
        <v>24</v>
      </c>
      <c r="H942" t="s">
        <v>25</v>
      </c>
      <c r="I942" t="s">
        <v>45</v>
      </c>
      <c r="J942" t="s">
        <v>48</v>
      </c>
    </row>
    <row r="943" spans="1:10">
      <c r="A943" t="s">
        <v>1749</v>
      </c>
      <c r="B943" t="s">
        <v>1750</v>
      </c>
      <c r="C943" t="s">
        <v>180</v>
      </c>
      <c r="D943" t="s">
        <v>44</v>
      </c>
      <c r="E943">
        <v>-87598</v>
      </c>
      <c r="F943" t="s">
        <v>23</v>
      </c>
      <c r="G943" t="s">
        <v>24</v>
      </c>
      <c r="H943" t="s">
        <v>33</v>
      </c>
      <c r="I943" t="s">
        <v>26</v>
      </c>
      <c r="J943" t="s">
        <v>27</v>
      </c>
    </row>
    <row r="944" spans="1:10">
      <c r="A944" t="s">
        <v>1751</v>
      </c>
      <c r="B944" t="s">
        <v>1752</v>
      </c>
      <c r="C944" t="s">
        <v>1753</v>
      </c>
      <c r="D944" t="s">
        <v>73</v>
      </c>
      <c r="E944">
        <v>-72351</v>
      </c>
      <c r="F944" t="s">
        <v>74</v>
      </c>
      <c r="G944" t="s">
        <v>32</v>
      </c>
      <c r="H944" t="s">
        <v>25</v>
      </c>
      <c r="I944" t="s">
        <v>39</v>
      </c>
      <c r="J944" t="s">
        <v>48</v>
      </c>
    </row>
    <row r="945" spans="1:10">
      <c r="A945" t="s">
        <v>1754</v>
      </c>
      <c r="B945" t="s">
        <v>814</v>
      </c>
      <c r="C945" t="s">
        <v>129</v>
      </c>
      <c r="D945" t="s">
        <v>38</v>
      </c>
      <c r="E945">
        <v>-29421</v>
      </c>
      <c r="F945" t="s">
        <v>23</v>
      </c>
      <c r="G945" t="s">
        <v>24</v>
      </c>
      <c r="H945" t="s">
        <v>33</v>
      </c>
      <c r="I945" t="s">
        <v>45</v>
      </c>
      <c r="J945" t="s">
        <v>48</v>
      </c>
    </row>
    <row r="946" spans="1:10">
      <c r="A946" t="s">
        <v>1755</v>
      </c>
      <c r="B946" t="s">
        <v>899</v>
      </c>
      <c r="C946" t="s">
        <v>212</v>
      </c>
      <c r="D946" t="s">
        <v>73</v>
      </c>
      <c r="E946">
        <v>-49480</v>
      </c>
      <c r="F946" t="s">
        <v>74</v>
      </c>
      <c r="G946" t="s">
        <v>32</v>
      </c>
      <c r="H946" t="s">
        <v>25</v>
      </c>
      <c r="I946" t="s">
        <v>26</v>
      </c>
      <c r="J946" t="s">
        <v>40</v>
      </c>
    </row>
    <row r="947" spans="1:10">
      <c r="A947" t="s">
        <v>1756</v>
      </c>
      <c r="B947" t="s">
        <v>56</v>
      </c>
      <c r="C947" t="s">
        <v>215</v>
      </c>
      <c r="D947" t="s">
        <v>61</v>
      </c>
      <c r="E947">
        <v>-22672</v>
      </c>
      <c r="F947" t="s">
        <v>62</v>
      </c>
      <c r="G947" t="s">
        <v>32</v>
      </c>
      <c r="H947" t="s">
        <v>63</v>
      </c>
      <c r="I947" t="s">
        <v>26</v>
      </c>
      <c r="J947" t="s">
        <v>27</v>
      </c>
    </row>
    <row r="948" spans="1:10">
      <c r="A948" t="s">
        <v>1757</v>
      </c>
      <c r="B948" t="s">
        <v>1758</v>
      </c>
      <c r="C948" t="s">
        <v>536</v>
      </c>
      <c r="D948" t="s">
        <v>31</v>
      </c>
      <c r="E948">
        <v>-21156</v>
      </c>
      <c r="F948" t="s">
        <v>23</v>
      </c>
      <c r="G948" t="s">
        <v>24</v>
      </c>
      <c r="H948" t="s">
        <v>33</v>
      </c>
      <c r="I948" t="s">
        <v>26</v>
      </c>
      <c r="J948" t="s">
        <v>27</v>
      </c>
    </row>
    <row r="949" spans="1:10">
      <c r="A949" t="s">
        <v>1759</v>
      </c>
      <c r="B949" t="s">
        <v>1760</v>
      </c>
      <c r="C949" t="s">
        <v>1761</v>
      </c>
      <c r="D949" t="s">
        <v>136</v>
      </c>
      <c r="E949">
        <v>-10602215</v>
      </c>
      <c r="F949" t="s">
        <v>62</v>
      </c>
      <c r="G949" t="s">
        <v>32</v>
      </c>
      <c r="H949" t="s">
        <v>63</v>
      </c>
      <c r="I949" t="s">
        <v>39</v>
      </c>
      <c r="J949" t="s">
        <v>40</v>
      </c>
    </row>
    <row r="950" spans="1:10">
      <c r="A950" t="s">
        <v>1762</v>
      </c>
      <c r="B950" t="s">
        <v>1763</v>
      </c>
      <c r="C950" t="s">
        <v>156</v>
      </c>
      <c r="D950" t="s">
        <v>157</v>
      </c>
      <c r="E950">
        <v>550663</v>
      </c>
      <c r="F950" t="s">
        <v>62</v>
      </c>
      <c r="G950" t="s">
        <v>32</v>
      </c>
      <c r="H950" t="s">
        <v>25</v>
      </c>
      <c r="I950" t="s">
        <v>26</v>
      </c>
      <c r="J950" t="s">
        <v>40</v>
      </c>
    </row>
    <row r="951" spans="1:10">
      <c r="A951" t="s">
        <v>1764</v>
      </c>
      <c r="B951" t="s">
        <v>557</v>
      </c>
      <c r="C951" t="s">
        <v>60</v>
      </c>
      <c r="D951" t="s">
        <v>61</v>
      </c>
      <c r="E951">
        <v>-29865</v>
      </c>
      <c r="F951" t="s">
        <v>62</v>
      </c>
      <c r="G951" t="s">
        <v>32</v>
      </c>
      <c r="H951" t="s">
        <v>63</v>
      </c>
      <c r="I951" t="s">
        <v>39</v>
      </c>
      <c r="J951" t="s">
        <v>48</v>
      </c>
    </row>
    <row r="952" spans="1:10">
      <c r="A952" t="s">
        <v>1765</v>
      </c>
      <c r="B952" t="s">
        <v>1141</v>
      </c>
      <c r="C952" t="s">
        <v>305</v>
      </c>
      <c r="D952" t="s">
        <v>38</v>
      </c>
      <c r="E952">
        <v>-40317</v>
      </c>
      <c r="F952" t="s">
        <v>23</v>
      </c>
      <c r="G952" t="s">
        <v>24</v>
      </c>
      <c r="H952" t="s">
        <v>33</v>
      </c>
      <c r="I952" t="s">
        <v>26</v>
      </c>
      <c r="J952" t="s">
        <v>40</v>
      </c>
    </row>
    <row r="953" spans="1:10">
      <c r="A953" t="s">
        <v>1766</v>
      </c>
      <c r="B953" t="s">
        <v>1767</v>
      </c>
      <c r="C953" t="s">
        <v>66</v>
      </c>
      <c r="D953" t="s">
        <v>61</v>
      </c>
      <c r="E953">
        <v>-35062</v>
      </c>
      <c r="F953" t="s">
        <v>62</v>
      </c>
      <c r="G953" t="s">
        <v>24</v>
      </c>
      <c r="H953" t="s">
        <v>63</v>
      </c>
      <c r="I953" t="s">
        <v>26</v>
      </c>
      <c r="J953" t="s">
        <v>48</v>
      </c>
    </row>
    <row r="954" spans="1:10">
      <c r="A954" t="s">
        <v>1768</v>
      </c>
      <c r="B954" t="s">
        <v>110</v>
      </c>
      <c r="C954" t="s">
        <v>202</v>
      </c>
      <c r="D954" t="s">
        <v>207</v>
      </c>
      <c r="E954">
        <v>-83608</v>
      </c>
      <c r="F954" t="s">
        <v>23</v>
      </c>
      <c r="G954" t="s">
        <v>32</v>
      </c>
      <c r="H954" t="s">
        <v>25</v>
      </c>
      <c r="I954" t="s">
        <v>39</v>
      </c>
      <c r="J954" t="s">
        <v>34</v>
      </c>
    </row>
    <row r="955" spans="1:10">
      <c r="A955" t="s">
        <v>1769</v>
      </c>
      <c r="B955" t="s">
        <v>1499</v>
      </c>
      <c r="C955" t="s">
        <v>100</v>
      </c>
      <c r="D955" t="s">
        <v>31</v>
      </c>
      <c r="E955">
        <v>-37638</v>
      </c>
      <c r="F955" t="s">
        <v>23</v>
      </c>
      <c r="G955" t="s">
        <v>24</v>
      </c>
      <c r="H955" t="s">
        <v>33</v>
      </c>
      <c r="I955" t="s">
        <v>26</v>
      </c>
      <c r="J955" t="s">
        <v>48</v>
      </c>
    </row>
    <row r="956" spans="1:10">
      <c r="A956" t="s">
        <v>1770</v>
      </c>
      <c r="B956" t="s">
        <v>1771</v>
      </c>
      <c r="C956" t="s">
        <v>1039</v>
      </c>
      <c r="D956" t="s">
        <v>440</v>
      </c>
      <c r="E956">
        <v>-127841</v>
      </c>
      <c r="F956" t="s">
        <v>23</v>
      </c>
      <c r="G956" t="s">
        <v>32</v>
      </c>
      <c r="H956" t="s">
        <v>33</v>
      </c>
      <c r="I956" t="s">
        <v>26</v>
      </c>
      <c r="J956" t="s">
        <v>48</v>
      </c>
    </row>
    <row r="957" spans="1:10">
      <c r="A957" t="s">
        <v>1772</v>
      </c>
      <c r="B957" t="s">
        <v>1773</v>
      </c>
      <c r="C957" t="s">
        <v>310</v>
      </c>
      <c r="D957" t="s">
        <v>22</v>
      </c>
      <c r="E957">
        <v>-77441</v>
      </c>
      <c r="F957" t="s">
        <v>23</v>
      </c>
      <c r="G957" t="s">
        <v>24</v>
      </c>
      <c r="H957" t="s">
        <v>25</v>
      </c>
      <c r="I957" t="s">
        <v>39</v>
      </c>
      <c r="J957" t="s">
        <v>34</v>
      </c>
    </row>
    <row r="958" spans="1:10">
      <c r="A958" t="s">
        <v>1774</v>
      </c>
      <c r="B958" t="s">
        <v>1775</v>
      </c>
      <c r="C958" t="s">
        <v>192</v>
      </c>
      <c r="E958">
        <v>-186434</v>
      </c>
      <c r="F958" t="s">
        <v>23</v>
      </c>
      <c r="G958" t="s">
        <v>24</v>
      </c>
      <c r="H958" t="s">
        <v>25</v>
      </c>
      <c r="I958" t="s">
        <v>39</v>
      </c>
      <c r="J958" t="s">
        <v>34</v>
      </c>
    </row>
    <row r="959" spans="1:10">
      <c r="A959" t="s">
        <v>1776</v>
      </c>
      <c r="B959" t="s">
        <v>1777</v>
      </c>
      <c r="C959" t="s">
        <v>616</v>
      </c>
      <c r="D959" t="s">
        <v>22</v>
      </c>
      <c r="E959">
        <v>-141987</v>
      </c>
      <c r="F959" t="s">
        <v>23</v>
      </c>
      <c r="G959" t="s">
        <v>24</v>
      </c>
      <c r="H959" t="s">
        <v>25</v>
      </c>
      <c r="I959" t="s">
        <v>26</v>
      </c>
      <c r="J959" t="s">
        <v>34</v>
      </c>
    </row>
    <row r="960" spans="1:10">
      <c r="A960" t="s">
        <v>1778</v>
      </c>
      <c r="B960" t="s">
        <v>1779</v>
      </c>
      <c r="C960" t="s">
        <v>72</v>
      </c>
      <c r="D960" t="s">
        <v>73</v>
      </c>
      <c r="E960">
        <v>-70616</v>
      </c>
      <c r="F960" t="s">
        <v>74</v>
      </c>
      <c r="G960" t="s">
        <v>32</v>
      </c>
      <c r="H960" t="s">
        <v>25</v>
      </c>
      <c r="I960" t="s">
        <v>45</v>
      </c>
      <c r="J960" t="s">
        <v>34</v>
      </c>
    </row>
    <row r="961" spans="1:10">
      <c r="A961" t="s">
        <v>1780</v>
      </c>
      <c r="B961" t="s">
        <v>1781</v>
      </c>
      <c r="C961" t="s">
        <v>1753</v>
      </c>
      <c r="D961" t="s">
        <v>73</v>
      </c>
      <c r="E961">
        <v>-25675</v>
      </c>
      <c r="F961" t="s">
        <v>74</v>
      </c>
      <c r="G961" t="s">
        <v>32</v>
      </c>
      <c r="H961" t="s">
        <v>25</v>
      </c>
      <c r="I961" t="s">
        <v>26</v>
      </c>
      <c r="J961" t="s">
        <v>34</v>
      </c>
    </row>
    <row r="962" spans="1:10">
      <c r="A962" t="s">
        <v>1782</v>
      </c>
      <c r="B962" t="s">
        <v>1783</v>
      </c>
      <c r="C962" t="s">
        <v>468</v>
      </c>
      <c r="D962" t="s">
        <v>440</v>
      </c>
      <c r="E962">
        <v>-143099</v>
      </c>
      <c r="F962" t="s">
        <v>23</v>
      </c>
      <c r="G962" t="s">
        <v>32</v>
      </c>
      <c r="H962" t="s">
        <v>33</v>
      </c>
      <c r="I962" t="s">
        <v>45</v>
      </c>
      <c r="J962" t="s">
        <v>34</v>
      </c>
    </row>
    <row r="963" spans="1:10">
      <c r="A963" t="s">
        <v>1784</v>
      </c>
      <c r="B963" t="s">
        <v>1785</v>
      </c>
      <c r="C963" t="s">
        <v>87</v>
      </c>
      <c r="D963" t="s">
        <v>22</v>
      </c>
      <c r="E963">
        <v>-153493</v>
      </c>
      <c r="F963" t="s">
        <v>23</v>
      </c>
      <c r="G963" t="s">
        <v>24</v>
      </c>
      <c r="H963" t="s">
        <v>25</v>
      </c>
      <c r="I963" t="s">
        <v>26</v>
      </c>
      <c r="J963" t="s">
        <v>48</v>
      </c>
    </row>
    <row r="964" spans="1:10">
      <c r="A964" t="s">
        <v>1786</v>
      </c>
      <c r="B964" t="s">
        <v>907</v>
      </c>
      <c r="C964" t="s">
        <v>283</v>
      </c>
      <c r="D964" t="s">
        <v>44</v>
      </c>
      <c r="E964">
        <v>-148694</v>
      </c>
      <c r="F964" t="s">
        <v>23</v>
      </c>
      <c r="G964" t="s">
        <v>32</v>
      </c>
      <c r="H964" t="s">
        <v>33</v>
      </c>
      <c r="I964" t="s">
        <v>26</v>
      </c>
      <c r="J964" t="s">
        <v>40</v>
      </c>
    </row>
    <row r="965" spans="1:10">
      <c r="A965" t="s">
        <v>1787</v>
      </c>
      <c r="B965" t="s">
        <v>1788</v>
      </c>
      <c r="C965" t="s">
        <v>103</v>
      </c>
      <c r="D965" t="s">
        <v>78</v>
      </c>
      <c r="E965">
        <v>-15004</v>
      </c>
      <c r="F965" t="s">
        <v>23</v>
      </c>
      <c r="G965" t="s">
        <v>24</v>
      </c>
      <c r="H965" t="s">
        <v>79</v>
      </c>
      <c r="I965" t="s">
        <v>45</v>
      </c>
      <c r="J965" t="s">
        <v>40</v>
      </c>
    </row>
    <row r="966" spans="1:10">
      <c r="A966" t="s">
        <v>1789</v>
      </c>
      <c r="B966" t="s">
        <v>668</v>
      </c>
      <c r="C966" t="s">
        <v>77</v>
      </c>
      <c r="E966">
        <v>-55749</v>
      </c>
      <c r="F966" t="s">
        <v>23</v>
      </c>
      <c r="G966" t="s">
        <v>32</v>
      </c>
      <c r="H966" t="s">
        <v>79</v>
      </c>
      <c r="I966" t="s">
        <v>45</v>
      </c>
      <c r="J966" t="s">
        <v>40</v>
      </c>
    </row>
    <row r="967" spans="1:10">
      <c r="A967" t="s">
        <v>1790</v>
      </c>
      <c r="B967" t="s">
        <v>1791</v>
      </c>
      <c r="C967" t="s">
        <v>757</v>
      </c>
      <c r="D967" t="s">
        <v>157</v>
      </c>
      <c r="E967">
        <v>720416</v>
      </c>
      <c r="F967" t="s">
        <v>62</v>
      </c>
      <c r="G967" t="s">
        <v>32</v>
      </c>
      <c r="H967" t="s">
        <v>25</v>
      </c>
      <c r="I967" t="s">
        <v>39</v>
      </c>
      <c r="J967" t="s">
        <v>48</v>
      </c>
    </row>
    <row r="968" spans="1:10">
      <c r="A968" t="s">
        <v>1792</v>
      </c>
      <c r="B968" t="s">
        <v>1074</v>
      </c>
      <c r="C968" t="s">
        <v>266</v>
      </c>
      <c r="D968" t="s">
        <v>73</v>
      </c>
      <c r="E968">
        <v>-18917</v>
      </c>
      <c r="F968" t="s">
        <v>74</v>
      </c>
      <c r="G968" t="s">
        <v>24</v>
      </c>
      <c r="H968" t="s">
        <v>25</v>
      </c>
      <c r="I968" t="s">
        <v>26</v>
      </c>
      <c r="J968" t="s">
        <v>27</v>
      </c>
    </row>
    <row r="969" spans="1:10">
      <c r="A969" t="s">
        <v>1793</v>
      </c>
      <c r="B969" t="s">
        <v>151</v>
      </c>
      <c r="C969" t="s">
        <v>21</v>
      </c>
      <c r="D969" t="s">
        <v>22</v>
      </c>
      <c r="E969">
        <v>-144040</v>
      </c>
      <c r="F969" t="s">
        <v>23</v>
      </c>
      <c r="G969" t="s">
        <v>32</v>
      </c>
      <c r="H969" t="s">
        <v>25</v>
      </c>
      <c r="I969" t="s">
        <v>45</v>
      </c>
      <c r="J969" t="s">
        <v>48</v>
      </c>
    </row>
    <row r="970" spans="1:10">
      <c r="A970" t="s">
        <v>1794</v>
      </c>
      <c r="B970" t="s">
        <v>1452</v>
      </c>
      <c r="C970" t="s">
        <v>30</v>
      </c>
      <c r="D970" t="s">
        <v>31</v>
      </c>
      <c r="E970">
        <v>-34205</v>
      </c>
      <c r="F970" t="s">
        <v>23</v>
      </c>
      <c r="G970" t="s">
        <v>32</v>
      </c>
      <c r="H970" t="s">
        <v>33</v>
      </c>
      <c r="I970" t="s">
        <v>39</v>
      </c>
      <c r="J970" t="s">
        <v>34</v>
      </c>
    </row>
    <row r="971" spans="1:10">
      <c r="A971" t="s">
        <v>1795</v>
      </c>
      <c r="B971" t="s">
        <v>1796</v>
      </c>
      <c r="C971" t="s">
        <v>215</v>
      </c>
      <c r="D971" t="s">
        <v>61</v>
      </c>
      <c r="E971">
        <v>-23755</v>
      </c>
      <c r="F971" t="s">
        <v>62</v>
      </c>
      <c r="G971" t="s">
        <v>24</v>
      </c>
      <c r="H971" t="s">
        <v>63</v>
      </c>
      <c r="I971" t="s">
        <v>26</v>
      </c>
      <c r="J971" t="s">
        <v>27</v>
      </c>
    </row>
    <row r="972" spans="1:10">
      <c r="A972" t="s">
        <v>1797</v>
      </c>
      <c r="B972" t="s">
        <v>1798</v>
      </c>
      <c r="C972" t="s">
        <v>51</v>
      </c>
      <c r="D972" t="s">
        <v>31</v>
      </c>
      <c r="E972">
        <v>-23017</v>
      </c>
      <c r="F972" t="s">
        <v>23</v>
      </c>
      <c r="G972" t="s">
        <v>32</v>
      </c>
      <c r="H972" t="s">
        <v>33</v>
      </c>
      <c r="I972" t="s">
        <v>45</v>
      </c>
      <c r="J972" t="s">
        <v>40</v>
      </c>
    </row>
    <row r="973" spans="1:10">
      <c r="A973" t="s">
        <v>1799</v>
      </c>
      <c r="B973" t="s">
        <v>1579</v>
      </c>
      <c r="C973" t="s">
        <v>21</v>
      </c>
      <c r="D973" t="s">
        <v>22</v>
      </c>
      <c r="E973">
        <v>-22941</v>
      </c>
      <c r="F973" t="s">
        <v>23</v>
      </c>
      <c r="G973" t="s">
        <v>24</v>
      </c>
      <c r="H973" t="s">
        <v>25</v>
      </c>
      <c r="I973" t="s">
        <v>45</v>
      </c>
      <c r="J973" t="s">
        <v>40</v>
      </c>
    </row>
    <row r="974" spans="1:10">
      <c r="A974" t="s">
        <v>1800</v>
      </c>
      <c r="B974" t="s">
        <v>1801</v>
      </c>
      <c r="C974" t="s">
        <v>66</v>
      </c>
      <c r="D974" t="s">
        <v>61</v>
      </c>
      <c r="E974">
        <v>-54277</v>
      </c>
      <c r="F974" t="s">
        <v>62</v>
      </c>
      <c r="G974" t="s">
        <v>32</v>
      </c>
      <c r="H974" t="s">
        <v>63</v>
      </c>
      <c r="I974" t="s">
        <v>45</v>
      </c>
      <c r="J974" t="s">
        <v>40</v>
      </c>
    </row>
    <row r="975" spans="1:10">
      <c r="A975" t="s">
        <v>1802</v>
      </c>
      <c r="B975" t="s">
        <v>1803</v>
      </c>
      <c r="C975" t="s">
        <v>77</v>
      </c>
      <c r="D975" t="s">
        <v>78</v>
      </c>
      <c r="E975">
        <v>-81757</v>
      </c>
      <c r="F975" t="s">
        <v>23</v>
      </c>
      <c r="G975" t="s">
        <v>32</v>
      </c>
      <c r="H975" t="s">
        <v>79</v>
      </c>
      <c r="I975" t="s">
        <v>39</v>
      </c>
      <c r="J975" t="s">
        <v>48</v>
      </c>
    </row>
    <row r="976" spans="1:10">
      <c r="A976" t="s">
        <v>1804</v>
      </c>
      <c r="B976" t="s">
        <v>464</v>
      </c>
      <c r="C976" t="s">
        <v>69</v>
      </c>
      <c r="D976" t="s">
        <v>38</v>
      </c>
      <c r="E976">
        <v>-24793</v>
      </c>
      <c r="F976" t="s">
        <v>23</v>
      </c>
      <c r="G976" t="s">
        <v>32</v>
      </c>
      <c r="H976" t="s">
        <v>33</v>
      </c>
      <c r="I976" t="s">
        <v>26</v>
      </c>
      <c r="J976" t="s">
        <v>48</v>
      </c>
    </row>
    <row r="977" spans="1:10">
      <c r="A977" t="s">
        <v>1805</v>
      </c>
      <c r="B977" t="s">
        <v>1806</v>
      </c>
      <c r="C977" t="s">
        <v>51</v>
      </c>
      <c r="D977" t="s">
        <v>31</v>
      </c>
      <c r="E977">
        <v>-9836</v>
      </c>
      <c r="F977" t="s">
        <v>23</v>
      </c>
      <c r="G977" t="s">
        <v>24</v>
      </c>
      <c r="H977" t="s">
        <v>33</v>
      </c>
      <c r="I977" t="s">
        <v>26</v>
      </c>
      <c r="J977" t="s">
        <v>27</v>
      </c>
    </row>
    <row r="978" spans="1:10">
      <c r="A978" t="s">
        <v>1807</v>
      </c>
      <c r="B978" t="s">
        <v>1808</v>
      </c>
      <c r="C978" t="s">
        <v>166</v>
      </c>
      <c r="D978" t="s">
        <v>31</v>
      </c>
      <c r="E978">
        <v>-23601</v>
      </c>
      <c r="F978" t="s">
        <v>23</v>
      </c>
      <c r="G978" t="s">
        <v>24</v>
      </c>
      <c r="H978" t="s">
        <v>33</v>
      </c>
      <c r="I978" t="s">
        <v>45</v>
      </c>
      <c r="J978" t="s">
        <v>34</v>
      </c>
    </row>
    <row r="979" spans="1:10">
      <c r="A979" t="s">
        <v>1809</v>
      </c>
      <c r="B979" t="s">
        <v>365</v>
      </c>
      <c r="C979" t="s">
        <v>103</v>
      </c>
      <c r="D979" t="s">
        <v>78</v>
      </c>
      <c r="E979">
        <v>-78198</v>
      </c>
      <c r="F979" t="s">
        <v>23</v>
      </c>
      <c r="G979" t="s">
        <v>32</v>
      </c>
      <c r="H979" t="s">
        <v>79</v>
      </c>
      <c r="I979" t="s">
        <v>45</v>
      </c>
      <c r="J979" t="s">
        <v>34</v>
      </c>
    </row>
    <row r="980" spans="1:10">
      <c r="A980" t="s">
        <v>1810</v>
      </c>
      <c r="B980" t="s">
        <v>410</v>
      </c>
      <c r="C980" t="s">
        <v>132</v>
      </c>
      <c r="D980" t="s">
        <v>73</v>
      </c>
      <c r="E980">
        <v>-53003</v>
      </c>
      <c r="F980" t="s">
        <v>74</v>
      </c>
      <c r="G980" t="s">
        <v>32</v>
      </c>
      <c r="H980" t="s">
        <v>25</v>
      </c>
      <c r="I980" t="s">
        <v>39</v>
      </c>
      <c r="J980" t="s">
        <v>34</v>
      </c>
    </row>
    <row r="981" spans="1:10">
      <c r="A981" t="s">
        <v>1811</v>
      </c>
      <c r="B981" t="s">
        <v>53</v>
      </c>
      <c r="C981" t="s">
        <v>30</v>
      </c>
      <c r="D981" t="s">
        <v>31</v>
      </c>
      <c r="E981">
        <v>-26801</v>
      </c>
      <c r="F981" t="s">
        <v>23</v>
      </c>
      <c r="G981" t="s">
        <v>32</v>
      </c>
      <c r="H981" t="s">
        <v>33</v>
      </c>
      <c r="I981" t="s">
        <v>26</v>
      </c>
      <c r="J981" t="s">
        <v>48</v>
      </c>
    </row>
    <row r="982" spans="1:10">
      <c r="A982" t="s">
        <v>1812</v>
      </c>
      <c r="B982" t="s">
        <v>1796</v>
      </c>
      <c r="C982" t="s">
        <v>90</v>
      </c>
      <c r="D982" t="s">
        <v>73</v>
      </c>
      <c r="E982">
        <v>-25814</v>
      </c>
      <c r="F982" t="s">
        <v>74</v>
      </c>
      <c r="G982" t="s">
        <v>24</v>
      </c>
      <c r="H982" t="s">
        <v>25</v>
      </c>
      <c r="I982" t="s">
        <v>26</v>
      </c>
      <c r="J982" t="s">
        <v>27</v>
      </c>
    </row>
    <row r="983" spans="1:10">
      <c r="A983" t="s">
        <v>1813</v>
      </c>
      <c r="B983" t="s">
        <v>1159</v>
      </c>
      <c r="C983" t="s">
        <v>202</v>
      </c>
      <c r="D983" t="s">
        <v>22</v>
      </c>
      <c r="E983">
        <v>-90233</v>
      </c>
      <c r="F983" t="s">
        <v>23</v>
      </c>
      <c r="G983" t="s">
        <v>32</v>
      </c>
      <c r="H983" t="s">
        <v>25</v>
      </c>
      <c r="I983" t="s">
        <v>39</v>
      </c>
      <c r="J983" t="s">
        <v>40</v>
      </c>
    </row>
    <row r="984" spans="1:10">
      <c r="A984" t="s">
        <v>1814</v>
      </c>
      <c r="B984" t="s">
        <v>1815</v>
      </c>
      <c r="C984" t="s">
        <v>1534</v>
      </c>
      <c r="D984" t="s">
        <v>111</v>
      </c>
      <c r="E984">
        <v>-70105</v>
      </c>
      <c r="F984" t="s">
        <v>74</v>
      </c>
      <c r="G984" t="s">
        <v>24</v>
      </c>
      <c r="H984" t="s">
        <v>25</v>
      </c>
      <c r="I984" t="s">
        <v>45</v>
      </c>
      <c r="J984" t="s">
        <v>40</v>
      </c>
    </row>
    <row r="985" spans="1:10">
      <c r="A985" t="s">
        <v>1816</v>
      </c>
      <c r="B985" t="s">
        <v>1817</v>
      </c>
      <c r="C985" t="s">
        <v>66</v>
      </c>
      <c r="D985" t="s">
        <v>61</v>
      </c>
      <c r="E985">
        <v>-36498</v>
      </c>
      <c r="F985" t="s">
        <v>62</v>
      </c>
      <c r="G985" t="s">
        <v>32</v>
      </c>
      <c r="H985" t="s">
        <v>63</v>
      </c>
      <c r="I985" t="s">
        <v>26</v>
      </c>
      <c r="J985" t="s">
        <v>48</v>
      </c>
    </row>
    <row r="986" spans="1:10">
      <c r="A986" t="s">
        <v>1818</v>
      </c>
      <c r="B986" t="s">
        <v>1819</v>
      </c>
      <c r="C986" t="s">
        <v>132</v>
      </c>
      <c r="D986" t="s">
        <v>73</v>
      </c>
      <c r="E986">
        <v>-84049</v>
      </c>
      <c r="F986" t="s">
        <v>74</v>
      </c>
      <c r="G986" t="s">
        <v>24</v>
      </c>
      <c r="H986" t="s">
        <v>25</v>
      </c>
      <c r="I986" t="s">
        <v>45</v>
      </c>
      <c r="J986" t="s">
        <v>27</v>
      </c>
    </row>
    <row r="987" spans="1:10">
      <c r="A987" t="s">
        <v>1820</v>
      </c>
      <c r="B987" t="s">
        <v>1821</v>
      </c>
      <c r="C987" t="s">
        <v>93</v>
      </c>
      <c r="D987" t="s">
        <v>73</v>
      </c>
      <c r="E987">
        <v>-64807</v>
      </c>
      <c r="F987" t="s">
        <v>74</v>
      </c>
      <c r="G987" t="s">
        <v>32</v>
      </c>
      <c r="H987" t="s">
        <v>25</v>
      </c>
      <c r="I987" t="s">
        <v>45</v>
      </c>
      <c r="J987" t="s">
        <v>27</v>
      </c>
    </row>
    <row r="988" spans="1:10">
      <c r="A988" t="s">
        <v>1822</v>
      </c>
      <c r="B988" t="s">
        <v>1823</v>
      </c>
      <c r="C988" t="s">
        <v>293</v>
      </c>
      <c r="D988" t="s">
        <v>157</v>
      </c>
      <c r="E988">
        <v>554693</v>
      </c>
      <c r="F988" t="s">
        <v>62</v>
      </c>
      <c r="G988" t="s">
        <v>32</v>
      </c>
      <c r="H988" t="s">
        <v>25</v>
      </c>
      <c r="I988" t="s">
        <v>26</v>
      </c>
      <c r="J988" t="s">
        <v>40</v>
      </c>
    </row>
    <row r="989" spans="1:10">
      <c r="A989" t="s">
        <v>1824</v>
      </c>
      <c r="B989" t="s">
        <v>1575</v>
      </c>
      <c r="C989" t="s">
        <v>215</v>
      </c>
      <c r="D989" t="s">
        <v>61</v>
      </c>
      <c r="E989">
        <v>-14865</v>
      </c>
      <c r="F989" t="s">
        <v>62</v>
      </c>
      <c r="G989" t="s">
        <v>24</v>
      </c>
      <c r="H989" t="s">
        <v>63</v>
      </c>
      <c r="I989" t="s">
        <v>45</v>
      </c>
      <c r="J989" t="s">
        <v>40</v>
      </c>
    </row>
    <row r="990" spans="1:10">
      <c r="A990" t="s">
        <v>1825</v>
      </c>
      <c r="B990" t="s">
        <v>1826</v>
      </c>
      <c r="C990" t="s">
        <v>1039</v>
      </c>
      <c r="D990" t="s">
        <v>440</v>
      </c>
      <c r="E990">
        <v>-132481</v>
      </c>
      <c r="F990" t="s">
        <v>23</v>
      </c>
      <c r="G990" t="s">
        <v>24</v>
      </c>
      <c r="H990" t="s">
        <v>33</v>
      </c>
      <c r="I990" t="s">
        <v>26</v>
      </c>
      <c r="J990" t="s">
        <v>34</v>
      </c>
    </row>
    <row r="991" spans="1:10">
      <c r="A991" t="s">
        <v>1716</v>
      </c>
      <c r="B991" t="s">
        <v>1717</v>
      </c>
      <c r="C991" t="s">
        <v>156</v>
      </c>
      <c r="D991" t="s">
        <v>157</v>
      </c>
      <c r="E991">
        <v>493197</v>
      </c>
      <c r="F991" t="s">
        <v>62</v>
      </c>
      <c r="G991" t="s">
        <v>32</v>
      </c>
      <c r="H991" t="s">
        <v>25</v>
      </c>
      <c r="I991" t="s">
        <v>26</v>
      </c>
      <c r="J991" t="s">
        <v>34</v>
      </c>
    </row>
    <row r="992" spans="1:10">
      <c r="A992" t="s">
        <v>1827</v>
      </c>
      <c r="B992" t="s">
        <v>1828</v>
      </c>
      <c r="C992" t="s">
        <v>192</v>
      </c>
      <c r="D992" t="s">
        <v>22</v>
      </c>
      <c r="E992">
        <v>-172753</v>
      </c>
      <c r="F992" t="s">
        <v>23</v>
      </c>
      <c r="G992" t="s">
        <v>24</v>
      </c>
      <c r="H992" t="s">
        <v>25</v>
      </c>
      <c r="I992" t="s">
        <v>26</v>
      </c>
      <c r="J992" t="s">
        <v>27</v>
      </c>
    </row>
    <row r="993" spans="1:10">
      <c r="A993" t="s">
        <v>1829</v>
      </c>
      <c r="B993" t="s">
        <v>1830</v>
      </c>
      <c r="C993" t="s">
        <v>69</v>
      </c>
      <c r="D993" t="s">
        <v>38</v>
      </c>
      <c r="E993">
        <v>-25201</v>
      </c>
      <c r="F993" t="s">
        <v>23</v>
      </c>
      <c r="G993" t="s">
        <v>24</v>
      </c>
      <c r="H993" t="s">
        <v>33</v>
      </c>
      <c r="I993" t="s">
        <v>45</v>
      </c>
      <c r="J993" t="s">
        <v>27</v>
      </c>
    </row>
    <row r="994" spans="1:10">
      <c r="A994" t="s">
        <v>1831</v>
      </c>
      <c r="B994" t="s">
        <v>1832</v>
      </c>
      <c r="C994" t="s">
        <v>180</v>
      </c>
      <c r="D994" t="s">
        <v>44</v>
      </c>
      <c r="E994">
        <v>-143077</v>
      </c>
      <c r="F994" t="s">
        <v>23</v>
      </c>
      <c r="G994" t="s">
        <v>32</v>
      </c>
      <c r="H994" t="s">
        <v>33</v>
      </c>
      <c r="I994" t="s">
        <v>45</v>
      </c>
      <c r="J994" t="s">
        <v>27</v>
      </c>
    </row>
    <row r="995" spans="1:10">
      <c r="A995" t="s">
        <v>1833</v>
      </c>
      <c r="B995" t="s">
        <v>99</v>
      </c>
      <c r="C995" t="s">
        <v>290</v>
      </c>
      <c r="D995" t="s">
        <v>440</v>
      </c>
      <c r="E995">
        <v>-157762</v>
      </c>
      <c r="F995" t="s">
        <v>23</v>
      </c>
      <c r="G995" t="s">
        <v>32</v>
      </c>
      <c r="H995" t="s">
        <v>33</v>
      </c>
      <c r="I995" t="s">
        <v>45</v>
      </c>
      <c r="J995" t="s">
        <v>34</v>
      </c>
    </row>
    <row r="996" spans="1:10">
      <c r="A996" t="s">
        <v>1834</v>
      </c>
      <c r="B996" t="s">
        <v>338</v>
      </c>
      <c r="C996" t="s">
        <v>439</v>
      </c>
      <c r="D996" t="s">
        <v>440</v>
      </c>
      <c r="E996">
        <v>-142270</v>
      </c>
      <c r="F996" t="s">
        <v>23</v>
      </c>
      <c r="G996" t="s">
        <v>24</v>
      </c>
      <c r="H996" t="s">
        <v>33</v>
      </c>
      <c r="I996" t="s">
        <v>26</v>
      </c>
      <c r="J996" t="s">
        <v>40</v>
      </c>
    </row>
    <row r="997" spans="1:10">
      <c r="A997" t="s">
        <v>1835</v>
      </c>
      <c r="B997" t="s">
        <v>1836</v>
      </c>
      <c r="C997" t="s">
        <v>290</v>
      </c>
      <c r="D997" t="s">
        <v>440</v>
      </c>
      <c r="E997">
        <v>-120111</v>
      </c>
      <c r="F997" t="s">
        <v>23</v>
      </c>
      <c r="G997" t="s">
        <v>24</v>
      </c>
      <c r="H997" t="s">
        <v>33</v>
      </c>
      <c r="I997" t="s">
        <v>39</v>
      </c>
      <c r="J997" t="s">
        <v>40</v>
      </c>
    </row>
    <row r="998" spans="1:10">
      <c r="A998" t="s">
        <v>1837</v>
      </c>
      <c r="B998" t="s">
        <v>1838</v>
      </c>
      <c r="C998" t="s">
        <v>255</v>
      </c>
      <c r="D998" t="s">
        <v>22</v>
      </c>
      <c r="E998">
        <v>-129207</v>
      </c>
      <c r="F998" t="s">
        <v>23</v>
      </c>
      <c r="G998" t="s">
        <v>24</v>
      </c>
      <c r="H998" t="s">
        <v>25</v>
      </c>
      <c r="I998" t="s">
        <v>45</v>
      </c>
      <c r="J998" t="s">
        <v>40</v>
      </c>
    </row>
    <row r="999" spans="1:10">
      <c r="A999" t="s">
        <v>1839</v>
      </c>
      <c r="B999" t="s">
        <v>1840</v>
      </c>
      <c r="C999" t="s">
        <v>180</v>
      </c>
      <c r="D999" t="s">
        <v>44</v>
      </c>
      <c r="E999">
        <v>-81960</v>
      </c>
      <c r="F999" t="s">
        <v>23</v>
      </c>
      <c r="G999" t="s">
        <v>32</v>
      </c>
      <c r="H999" t="s">
        <v>33</v>
      </c>
      <c r="I999" t="s">
        <v>39</v>
      </c>
      <c r="J999" t="s">
        <v>48</v>
      </c>
    </row>
    <row r="1000" spans="1:10">
      <c r="A1000" t="s">
        <v>1841</v>
      </c>
      <c r="B1000" t="s">
        <v>1483</v>
      </c>
      <c r="C1000" t="s">
        <v>132</v>
      </c>
      <c r="D1000" t="s">
        <v>73</v>
      </c>
      <c r="E1000">
        <v>-57535</v>
      </c>
      <c r="F1000" t="s">
        <v>74</v>
      </c>
      <c r="G1000" t="s">
        <v>32</v>
      </c>
      <c r="H1000" t="s">
        <v>25</v>
      </c>
      <c r="I1000" t="s">
        <v>45</v>
      </c>
      <c r="J1000" t="s">
        <v>27</v>
      </c>
    </row>
    <row r="1001" spans="1:10">
      <c r="A1001" t="s">
        <v>1842</v>
      </c>
      <c r="B1001" t="s">
        <v>1823</v>
      </c>
      <c r="C1001" t="s">
        <v>100</v>
      </c>
      <c r="D1001" t="s">
        <v>31</v>
      </c>
      <c r="E1001">
        <v>-20243</v>
      </c>
      <c r="F1001" t="s">
        <v>23</v>
      </c>
      <c r="G1001" t="s">
        <v>32</v>
      </c>
      <c r="H1001" t="s">
        <v>33</v>
      </c>
      <c r="I1001" t="s">
        <v>26</v>
      </c>
      <c r="J1001" t="s">
        <v>40</v>
      </c>
    </row>
    <row r="1002" spans="1:10">
      <c r="A1002" t="s">
        <v>1843</v>
      </c>
      <c r="B1002" t="s">
        <v>510</v>
      </c>
      <c r="C1002" t="s">
        <v>84</v>
      </c>
      <c r="D1002" t="s">
        <v>78</v>
      </c>
      <c r="E1002">
        <v>-71489</v>
      </c>
      <c r="F1002" t="s">
        <v>23</v>
      </c>
      <c r="G1002" t="s">
        <v>32</v>
      </c>
      <c r="H1002" t="s">
        <v>79</v>
      </c>
      <c r="I1002" t="s">
        <v>26</v>
      </c>
      <c r="J1002" t="s">
        <v>40</v>
      </c>
    </row>
    <row r="1003" spans="1:10">
      <c r="A1003" t="s">
        <v>1408</v>
      </c>
      <c r="B1003" t="s">
        <v>1409</v>
      </c>
      <c r="C1003" t="s">
        <v>84</v>
      </c>
      <c r="D1003" t="s">
        <v>78</v>
      </c>
      <c r="E1003">
        <v>-71704</v>
      </c>
      <c r="F1003" t="s">
        <v>23</v>
      </c>
      <c r="G1003" t="s">
        <v>32</v>
      </c>
      <c r="H1003" t="s">
        <v>79</v>
      </c>
      <c r="I1003" t="s">
        <v>26</v>
      </c>
      <c r="J1003" t="s">
        <v>34</v>
      </c>
    </row>
    <row r="1004" spans="1:10">
      <c r="A1004" t="s">
        <v>1844</v>
      </c>
      <c r="B1004" t="s">
        <v>1845</v>
      </c>
      <c r="C1004" t="s">
        <v>66</v>
      </c>
      <c r="D1004" t="s">
        <v>61</v>
      </c>
      <c r="E1004">
        <v>-53529</v>
      </c>
      <c r="F1004" t="s">
        <v>62</v>
      </c>
      <c r="G1004" t="s">
        <v>24</v>
      </c>
      <c r="H1004" t="s">
        <v>63</v>
      </c>
      <c r="I1004" t="s">
        <v>26</v>
      </c>
      <c r="J1004" t="s">
        <v>27</v>
      </c>
    </row>
    <row r="1005" spans="1:10">
      <c r="A1005" t="s">
        <v>1846</v>
      </c>
      <c r="B1005" t="s">
        <v>1847</v>
      </c>
      <c r="C1005" t="s">
        <v>69</v>
      </c>
      <c r="D1005" t="s">
        <v>38</v>
      </c>
      <c r="E1005">
        <v>-25332</v>
      </c>
      <c r="F1005" t="s">
        <v>23</v>
      </c>
      <c r="G1005" t="s">
        <v>32</v>
      </c>
      <c r="H1005" t="s">
        <v>33</v>
      </c>
      <c r="I1005" t="s">
        <v>26</v>
      </c>
      <c r="J1005" t="s">
        <v>34</v>
      </c>
    </row>
    <row r="1006" spans="1:10">
      <c r="A1006" t="s">
        <v>1848</v>
      </c>
      <c r="B1006" t="s">
        <v>1849</v>
      </c>
      <c r="C1006" t="s">
        <v>72</v>
      </c>
      <c r="D1006" t="s">
        <v>73</v>
      </c>
      <c r="E1006">
        <v>-91616</v>
      </c>
      <c r="F1006" t="s">
        <v>74</v>
      </c>
      <c r="G1006" t="s">
        <v>32</v>
      </c>
      <c r="H1006" t="s">
        <v>25</v>
      </c>
      <c r="I1006" t="s">
        <v>45</v>
      </c>
      <c r="J1006" t="s">
        <v>48</v>
      </c>
    </row>
    <row r="1007" spans="1:10">
      <c r="A1007" t="s">
        <v>1850</v>
      </c>
      <c r="B1007" t="s">
        <v>651</v>
      </c>
      <c r="C1007" t="s">
        <v>802</v>
      </c>
      <c r="D1007" t="s">
        <v>440</v>
      </c>
      <c r="E1007">
        <v>-97750</v>
      </c>
      <c r="F1007" t="s">
        <v>23</v>
      </c>
      <c r="G1007" t="s">
        <v>24</v>
      </c>
      <c r="H1007" t="s">
        <v>33</v>
      </c>
      <c r="I1007" t="s">
        <v>26</v>
      </c>
      <c r="J1007" t="s">
        <v>27</v>
      </c>
    </row>
    <row r="1008" spans="1:10">
      <c r="A1008" t="s">
        <v>1851</v>
      </c>
      <c r="B1008" t="s">
        <v>1852</v>
      </c>
      <c r="C1008" t="s">
        <v>51</v>
      </c>
      <c r="D1008" t="s">
        <v>31</v>
      </c>
      <c r="E1008">
        <v>-20423</v>
      </c>
      <c r="F1008" t="s">
        <v>23</v>
      </c>
      <c r="G1008" t="s">
        <v>32</v>
      </c>
      <c r="H1008" t="s">
        <v>33</v>
      </c>
      <c r="I1008" t="s">
        <v>45</v>
      </c>
      <c r="J1008" t="s">
        <v>27</v>
      </c>
    </row>
    <row r="1009" spans="1:10">
      <c r="A1009" t="s">
        <v>1853</v>
      </c>
      <c r="B1009" t="s">
        <v>1854</v>
      </c>
      <c r="C1009" t="s">
        <v>1855</v>
      </c>
      <c r="D1009" t="s">
        <v>136</v>
      </c>
      <c r="E1009">
        <v>-10469726</v>
      </c>
      <c r="F1009" t="s">
        <v>62</v>
      </c>
      <c r="G1009" t="s">
        <v>32</v>
      </c>
      <c r="H1009" t="s">
        <v>63</v>
      </c>
      <c r="I1009" t="s">
        <v>45</v>
      </c>
      <c r="J1009" t="s">
        <v>48</v>
      </c>
    </row>
    <row r="1010" spans="1:10">
      <c r="A1010" t="s">
        <v>1856</v>
      </c>
      <c r="B1010" t="s">
        <v>1857</v>
      </c>
      <c r="C1010" t="s">
        <v>100</v>
      </c>
      <c r="D1010" t="s">
        <v>31</v>
      </c>
      <c r="E1010">
        <v>-37990</v>
      </c>
      <c r="F1010" t="s">
        <v>23</v>
      </c>
      <c r="G1010" t="s">
        <v>24</v>
      </c>
      <c r="H1010" t="s">
        <v>33</v>
      </c>
      <c r="I1010" t="s">
        <v>45</v>
      </c>
      <c r="J1010" t="s">
        <v>40</v>
      </c>
    </row>
    <row r="1011" spans="1:10">
      <c r="A1011" t="s">
        <v>1858</v>
      </c>
      <c r="B1011" t="s">
        <v>1433</v>
      </c>
      <c r="C1011" t="s">
        <v>116</v>
      </c>
      <c r="D1011" t="s">
        <v>73</v>
      </c>
      <c r="E1011">
        <v>-43381</v>
      </c>
      <c r="F1011" t="s">
        <v>74</v>
      </c>
      <c r="G1011" t="s">
        <v>32</v>
      </c>
      <c r="H1011" t="s">
        <v>25</v>
      </c>
      <c r="I1011" t="s">
        <v>45</v>
      </c>
      <c r="J1011" t="s">
        <v>40</v>
      </c>
    </row>
    <row r="1012" spans="1:10">
      <c r="A1012" t="s">
        <v>1859</v>
      </c>
      <c r="B1012" t="s">
        <v>189</v>
      </c>
      <c r="C1012" t="s">
        <v>132</v>
      </c>
      <c r="D1012" t="s">
        <v>73</v>
      </c>
      <c r="E1012">
        <v>-22674</v>
      </c>
      <c r="F1012" t="s">
        <v>74</v>
      </c>
      <c r="G1012" t="s">
        <v>24</v>
      </c>
      <c r="H1012" t="s">
        <v>25</v>
      </c>
      <c r="I1012" t="s">
        <v>39</v>
      </c>
      <c r="J1012" t="s">
        <v>40</v>
      </c>
    </row>
    <row r="1013" spans="1:10">
      <c r="A1013" t="s">
        <v>1860</v>
      </c>
      <c r="B1013" t="s">
        <v>1861</v>
      </c>
      <c r="C1013" t="s">
        <v>87</v>
      </c>
      <c r="D1013" t="s">
        <v>22</v>
      </c>
      <c r="E1013">
        <v>-20510</v>
      </c>
      <c r="F1013" t="s">
        <v>23</v>
      </c>
      <c r="G1013" t="s">
        <v>24</v>
      </c>
      <c r="H1013" t="s">
        <v>25</v>
      </c>
      <c r="I1013" t="s">
        <v>45</v>
      </c>
      <c r="J1013" t="s">
        <v>34</v>
      </c>
    </row>
    <row r="1014" spans="1:10">
      <c r="A1014" t="s">
        <v>1862</v>
      </c>
      <c r="B1014" t="s">
        <v>1863</v>
      </c>
      <c r="C1014" t="s">
        <v>93</v>
      </c>
      <c r="D1014" t="s">
        <v>73</v>
      </c>
      <c r="E1014">
        <v>-90712</v>
      </c>
      <c r="F1014" t="s">
        <v>74</v>
      </c>
      <c r="G1014" t="s">
        <v>24</v>
      </c>
      <c r="H1014" t="s">
        <v>25</v>
      </c>
      <c r="I1014" t="s">
        <v>26</v>
      </c>
      <c r="J1014" t="s">
        <v>48</v>
      </c>
    </row>
    <row r="1015" spans="1:10">
      <c r="A1015" t="s">
        <v>1864</v>
      </c>
      <c r="B1015" t="s">
        <v>1865</v>
      </c>
      <c r="C1015" t="s">
        <v>60</v>
      </c>
      <c r="D1015" t="s">
        <v>61</v>
      </c>
      <c r="E1015">
        <v>-19416</v>
      </c>
      <c r="F1015" t="s">
        <v>62</v>
      </c>
      <c r="G1015" t="s">
        <v>24</v>
      </c>
      <c r="H1015" t="s">
        <v>63</v>
      </c>
      <c r="I1015" t="s">
        <v>45</v>
      </c>
      <c r="J1015" t="s">
        <v>40</v>
      </c>
    </row>
    <row r="1016" spans="1:10">
      <c r="A1016" t="s">
        <v>1866</v>
      </c>
      <c r="B1016" t="s">
        <v>1867</v>
      </c>
      <c r="C1016" t="s">
        <v>57</v>
      </c>
      <c r="D1016" t="s">
        <v>44</v>
      </c>
      <c r="E1016">
        <v>-140889</v>
      </c>
      <c r="F1016" t="s">
        <v>23</v>
      </c>
      <c r="G1016" t="s">
        <v>24</v>
      </c>
      <c r="H1016" t="s">
        <v>33</v>
      </c>
      <c r="I1016" t="s">
        <v>26</v>
      </c>
      <c r="J1016" t="s">
        <v>27</v>
      </c>
    </row>
    <row r="1017" spans="1:10">
      <c r="A1017" t="s">
        <v>1868</v>
      </c>
      <c r="B1017" t="s">
        <v>1491</v>
      </c>
      <c r="C1017" t="s">
        <v>143</v>
      </c>
      <c r="D1017" t="s">
        <v>78</v>
      </c>
      <c r="E1017">
        <v>-82143</v>
      </c>
      <c r="F1017" t="s">
        <v>23</v>
      </c>
      <c r="G1017" t="s">
        <v>24</v>
      </c>
      <c r="H1017" t="s">
        <v>79</v>
      </c>
      <c r="I1017" t="s">
        <v>45</v>
      </c>
      <c r="J1017" t="s">
        <v>34</v>
      </c>
    </row>
    <row r="1018" spans="1:10">
      <c r="A1018" t="s">
        <v>1869</v>
      </c>
      <c r="B1018" t="s">
        <v>151</v>
      </c>
      <c r="C1018" t="s">
        <v>30</v>
      </c>
      <c r="D1018" t="s">
        <v>31</v>
      </c>
      <c r="E1018">
        <v>-24314</v>
      </c>
      <c r="F1018" t="s">
        <v>23</v>
      </c>
      <c r="G1018" t="s">
        <v>32</v>
      </c>
      <c r="H1018" t="s">
        <v>33</v>
      </c>
      <c r="I1018" t="s">
        <v>45</v>
      </c>
      <c r="J1018" t="s">
        <v>48</v>
      </c>
    </row>
    <row r="1019" spans="1:10">
      <c r="A1019" t="s">
        <v>1870</v>
      </c>
      <c r="B1019" t="s">
        <v>646</v>
      </c>
      <c r="C1019" t="s">
        <v>169</v>
      </c>
      <c r="D1019" t="s">
        <v>73</v>
      </c>
      <c r="E1019">
        <v>-69621</v>
      </c>
      <c r="F1019" t="s">
        <v>74</v>
      </c>
      <c r="G1019" t="s">
        <v>32</v>
      </c>
      <c r="H1019" t="s">
        <v>25</v>
      </c>
      <c r="I1019" t="s">
        <v>26</v>
      </c>
      <c r="J1019" t="s">
        <v>34</v>
      </c>
    </row>
    <row r="1020" spans="1:10">
      <c r="A1020" t="s">
        <v>1871</v>
      </c>
      <c r="B1020" t="s">
        <v>1182</v>
      </c>
      <c r="C1020" t="s">
        <v>77</v>
      </c>
      <c r="D1020" t="s">
        <v>78</v>
      </c>
      <c r="E1020">
        <v>-24634</v>
      </c>
      <c r="F1020" t="s">
        <v>23</v>
      </c>
      <c r="G1020" t="s">
        <v>24</v>
      </c>
      <c r="H1020" t="s">
        <v>79</v>
      </c>
      <c r="I1020" t="s">
        <v>26</v>
      </c>
      <c r="J1020" t="s">
        <v>40</v>
      </c>
    </row>
    <row r="1021" spans="1:10">
      <c r="A1021" t="s">
        <v>1872</v>
      </c>
      <c r="B1021" t="s">
        <v>1201</v>
      </c>
      <c r="C1021" t="s">
        <v>192</v>
      </c>
      <c r="D1021" t="s">
        <v>22</v>
      </c>
      <c r="E1021">
        <v>-63513</v>
      </c>
      <c r="F1021" t="s">
        <v>23</v>
      </c>
      <c r="G1021" t="s">
        <v>32</v>
      </c>
      <c r="H1021" t="s">
        <v>25</v>
      </c>
      <c r="I1021" t="s">
        <v>45</v>
      </c>
      <c r="J1021" t="s">
        <v>34</v>
      </c>
    </row>
    <row r="1022" spans="1:10">
      <c r="A1022" t="s">
        <v>1873</v>
      </c>
      <c r="B1022" t="s">
        <v>966</v>
      </c>
      <c r="C1022" t="s">
        <v>66</v>
      </c>
      <c r="D1022" t="s">
        <v>61</v>
      </c>
      <c r="E1022">
        <v>-37123</v>
      </c>
      <c r="F1022" t="s">
        <v>62</v>
      </c>
      <c r="G1022" t="s">
        <v>24</v>
      </c>
      <c r="H1022" t="s">
        <v>63</v>
      </c>
      <c r="I1022" t="s">
        <v>39</v>
      </c>
      <c r="J1022" t="s">
        <v>27</v>
      </c>
    </row>
    <row r="1023" spans="1:10">
      <c r="A1023" t="s">
        <v>1874</v>
      </c>
      <c r="B1023" t="s">
        <v>1875</v>
      </c>
      <c r="C1023" t="s">
        <v>106</v>
      </c>
      <c r="D1023" t="s">
        <v>31</v>
      </c>
      <c r="E1023">
        <v>-36174</v>
      </c>
      <c r="F1023" t="s">
        <v>23</v>
      </c>
      <c r="G1023" t="s">
        <v>24</v>
      </c>
      <c r="H1023" t="s">
        <v>33</v>
      </c>
      <c r="I1023" t="s">
        <v>45</v>
      </c>
      <c r="J1023" t="s">
        <v>27</v>
      </c>
    </row>
    <row r="1024" spans="1:10">
      <c r="A1024" t="s">
        <v>1876</v>
      </c>
      <c r="B1024" t="s">
        <v>1455</v>
      </c>
      <c r="C1024" t="s">
        <v>215</v>
      </c>
      <c r="D1024" t="s">
        <v>61</v>
      </c>
      <c r="E1024">
        <v>-64789</v>
      </c>
      <c r="F1024" t="s">
        <v>62</v>
      </c>
      <c r="G1024" t="s">
        <v>32</v>
      </c>
      <c r="H1024" t="s">
        <v>63</v>
      </c>
      <c r="I1024" t="s">
        <v>39</v>
      </c>
      <c r="J1024" t="s">
        <v>27</v>
      </c>
    </row>
    <row r="1025" spans="1:10">
      <c r="A1025" t="s">
        <v>1877</v>
      </c>
      <c r="B1025" t="s">
        <v>1151</v>
      </c>
      <c r="C1025" t="s">
        <v>77</v>
      </c>
      <c r="D1025" t="s">
        <v>78</v>
      </c>
      <c r="E1025">
        <v>-63147</v>
      </c>
      <c r="F1025" t="s">
        <v>23</v>
      </c>
      <c r="G1025" t="s">
        <v>32</v>
      </c>
      <c r="H1025" t="s">
        <v>79</v>
      </c>
      <c r="I1025" t="s">
        <v>26</v>
      </c>
      <c r="J1025" t="s">
        <v>34</v>
      </c>
    </row>
    <row r="1026" spans="1:10">
      <c r="A1026" t="s">
        <v>1878</v>
      </c>
      <c r="B1026" t="s">
        <v>1043</v>
      </c>
      <c r="C1026" t="s">
        <v>224</v>
      </c>
      <c r="D1026" t="s">
        <v>78</v>
      </c>
      <c r="E1026">
        <v>-23006</v>
      </c>
      <c r="F1026" t="s">
        <v>23</v>
      </c>
      <c r="G1026" t="s">
        <v>24</v>
      </c>
      <c r="H1026" t="s">
        <v>79</v>
      </c>
      <c r="I1026" t="s">
        <v>39</v>
      </c>
      <c r="J1026" t="s">
        <v>27</v>
      </c>
    </row>
    <row r="1027" spans="1:10">
      <c r="A1027" t="s">
        <v>1879</v>
      </c>
      <c r="B1027" t="s">
        <v>1880</v>
      </c>
      <c r="C1027" t="s">
        <v>202</v>
      </c>
      <c r="D1027" t="s">
        <v>331</v>
      </c>
      <c r="E1027">
        <v>-215167</v>
      </c>
      <c r="F1027" t="s">
        <v>23</v>
      </c>
      <c r="G1027" t="s">
        <v>32</v>
      </c>
      <c r="H1027" t="s">
        <v>25</v>
      </c>
      <c r="I1027" t="s">
        <v>26</v>
      </c>
      <c r="J1027" t="s">
        <v>48</v>
      </c>
    </row>
    <row r="1028" spans="1:10">
      <c r="A1028" t="s">
        <v>1881</v>
      </c>
      <c r="B1028" t="s">
        <v>464</v>
      </c>
      <c r="C1028" t="s">
        <v>129</v>
      </c>
      <c r="D1028" t="s">
        <v>38</v>
      </c>
      <c r="E1028">
        <v>-18932</v>
      </c>
      <c r="F1028" t="s">
        <v>23</v>
      </c>
      <c r="G1028" t="s">
        <v>32</v>
      </c>
      <c r="H1028" t="s">
        <v>33</v>
      </c>
      <c r="I1028" t="s">
        <v>26</v>
      </c>
      <c r="J1028" t="s">
        <v>48</v>
      </c>
    </row>
    <row r="1029" spans="1:10">
      <c r="A1029" t="s">
        <v>1882</v>
      </c>
      <c r="B1029" t="s">
        <v>1883</v>
      </c>
      <c r="C1029" t="s">
        <v>30</v>
      </c>
      <c r="D1029" t="s">
        <v>31</v>
      </c>
      <c r="E1029">
        <v>-32640</v>
      </c>
      <c r="F1029" t="s">
        <v>23</v>
      </c>
      <c r="G1029" t="s">
        <v>24</v>
      </c>
      <c r="H1029" t="s">
        <v>33</v>
      </c>
      <c r="I1029" t="s">
        <v>26</v>
      </c>
      <c r="J1029" t="s">
        <v>27</v>
      </c>
    </row>
    <row r="1030" spans="1:10">
      <c r="A1030" t="s">
        <v>1884</v>
      </c>
      <c r="B1030" t="s">
        <v>381</v>
      </c>
      <c r="C1030" t="s">
        <v>339</v>
      </c>
      <c r="D1030" t="s">
        <v>157</v>
      </c>
      <c r="E1030">
        <v>690349</v>
      </c>
      <c r="F1030" t="s">
        <v>62</v>
      </c>
      <c r="G1030" t="s">
        <v>32</v>
      </c>
      <c r="H1030" t="s">
        <v>25</v>
      </c>
      <c r="I1030" t="s">
        <v>39</v>
      </c>
      <c r="J1030" t="s">
        <v>27</v>
      </c>
    </row>
    <row r="1031" spans="1:10">
      <c r="A1031" t="s">
        <v>1885</v>
      </c>
      <c r="B1031" t="s">
        <v>925</v>
      </c>
      <c r="C1031" t="s">
        <v>215</v>
      </c>
      <c r="D1031" t="s">
        <v>61</v>
      </c>
      <c r="E1031">
        <v>-50889</v>
      </c>
      <c r="F1031" t="s">
        <v>62</v>
      </c>
      <c r="G1031" t="s">
        <v>32</v>
      </c>
      <c r="H1031" t="s">
        <v>63</v>
      </c>
      <c r="I1031" t="s">
        <v>45</v>
      </c>
      <c r="J1031" t="s">
        <v>48</v>
      </c>
    </row>
    <row r="1032" spans="1:10">
      <c r="A1032" t="s">
        <v>1886</v>
      </c>
      <c r="B1032" t="s">
        <v>1887</v>
      </c>
      <c r="C1032" t="s">
        <v>177</v>
      </c>
      <c r="D1032" t="s">
        <v>78</v>
      </c>
      <c r="E1032">
        <v>-93386</v>
      </c>
      <c r="F1032" t="s">
        <v>23</v>
      </c>
      <c r="G1032" t="s">
        <v>32</v>
      </c>
      <c r="H1032" t="s">
        <v>79</v>
      </c>
      <c r="I1032" t="s">
        <v>26</v>
      </c>
      <c r="J1032" t="s">
        <v>40</v>
      </c>
    </row>
    <row r="1033" spans="1:10">
      <c r="A1033" t="s">
        <v>1888</v>
      </c>
      <c r="B1033" t="s">
        <v>1391</v>
      </c>
      <c r="C1033" t="s">
        <v>166</v>
      </c>
      <c r="D1033" t="s">
        <v>31</v>
      </c>
      <c r="E1033">
        <v>-23103</v>
      </c>
      <c r="F1033" t="s">
        <v>23</v>
      </c>
      <c r="G1033" t="s">
        <v>32</v>
      </c>
      <c r="H1033" t="s">
        <v>33</v>
      </c>
      <c r="I1033" t="s">
        <v>45</v>
      </c>
      <c r="J1033" t="s">
        <v>34</v>
      </c>
    </row>
    <row r="1034" spans="1:10">
      <c r="A1034" t="s">
        <v>1889</v>
      </c>
      <c r="B1034" t="s">
        <v>115</v>
      </c>
      <c r="C1034" t="s">
        <v>1039</v>
      </c>
      <c r="D1034" t="s">
        <v>440</v>
      </c>
      <c r="E1034">
        <v>-102305</v>
      </c>
      <c r="F1034" t="s">
        <v>23</v>
      </c>
      <c r="G1034" t="s">
        <v>24</v>
      </c>
      <c r="H1034" t="s">
        <v>33</v>
      </c>
      <c r="I1034" t="s">
        <v>45</v>
      </c>
      <c r="J1034" t="s">
        <v>48</v>
      </c>
    </row>
    <row r="1035" spans="1:10">
      <c r="A1035" t="s">
        <v>713</v>
      </c>
      <c r="B1035" t="s">
        <v>714</v>
      </c>
      <c r="C1035" t="s">
        <v>77</v>
      </c>
      <c r="D1035" t="s">
        <v>78</v>
      </c>
      <c r="E1035">
        <v>-54596</v>
      </c>
      <c r="F1035" t="s">
        <v>23</v>
      </c>
      <c r="G1035" t="s">
        <v>32</v>
      </c>
      <c r="H1035" t="s">
        <v>79</v>
      </c>
      <c r="I1035" t="s">
        <v>26</v>
      </c>
      <c r="J1035" t="s">
        <v>34</v>
      </c>
    </row>
    <row r="1036" spans="1:10">
      <c r="A1036" t="s">
        <v>1890</v>
      </c>
      <c r="B1036" t="s">
        <v>721</v>
      </c>
      <c r="C1036" t="s">
        <v>177</v>
      </c>
      <c r="D1036" t="s">
        <v>1001</v>
      </c>
      <c r="E1036">
        <v>-56144</v>
      </c>
      <c r="F1036" t="s">
        <v>23</v>
      </c>
      <c r="G1036" t="s">
        <v>32</v>
      </c>
      <c r="H1036" t="s">
        <v>79</v>
      </c>
      <c r="I1036" t="s">
        <v>39</v>
      </c>
      <c r="J1036" t="s">
        <v>40</v>
      </c>
    </row>
    <row r="1037" spans="1:10">
      <c r="A1037" t="s">
        <v>1891</v>
      </c>
      <c r="B1037" t="s">
        <v>282</v>
      </c>
      <c r="C1037" t="s">
        <v>77</v>
      </c>
      <c r="D1037" t="s">
        <v>78</v>
      </c>
      <c r="E1037">
        <v>-110417</v>
      </c>
      <c r="F1037" t="s">
        <v>23</v>
      </c>
      <c r="G1037" t="s">
        <v>24</v>
      </c>
      <c r="H1037" t="s">
        <v>79</v>
      </c>
      <c r="I1037" t="s">
        <v>26</v>
      </c>
      <c r="J1037" t="s">
        <v>48</v>
      </c>
    </row>
    <row r="1038" spans="1:10">
      <c r="A1038" t="s">
        <v>1892</v>
      </c>
      <c r="B1038" t="s">
        <v>1893</v>
      </c>
      <c r="C1038" t="s">
        <v>218</v>
      </c>
      <c r="D1038" t="s">
        <v>157</v>
      </c>
      <c r="E1038">
        <v>552239</v>
      </c>
      <c r="F1038" t="s">
        <v>62</v>
      </c>
      <c r="G1038" t="s">
        <v>32</v>
      </c>
      <c r="H1038" t="s">
        <v>25</v>
      </c>
      <c r="I1038" t="s">
        <v>26</v>
      </c>
      <c r="J1038" t="s">
        <v>27</v>
      </c>
    </row>
    <row r="1039" spans="1:10">
      <c r="A1039" t="s">
        <v>1894</v>
      </c>
      <c r="B1039" t="s">
        <v>1895</v>
      </c>
      <c r="C1039" t="s">
        <v>103</v>
      </c>
      <c r="D1039" t="s">
        <v>78</v>
      </c>
      <c r="E1039">
        <v>-28606</v>
      </c>
      <c r="F1039" t="s">
        <v>23</v>
      </c>
      <c r="G1039" t="s">
        <v>32</v>
      </c>
      <c r="H1039" t="s">
        <v>79</v>
      </c>
      <c r="I1039" t="s">
        <v>45</v>
      </c>
      <c r="J1039" t="s">
        <v>40</v>
      </c>
    </row>
    <row r="1040" spans="1:10">
      <c r="A1040" t="s">
        <v>1896</v>
      </c>
      <c r="B1040" t="s">
        <v>1675</v>
      </c>
      <c r="C1040" t="s">
        <v>687</v>
      </c>
      <c r="D1040" t="s">
        <v>44</v>
      </c>
      <c r="E1040">
        <v>-140290</v>
      </c>
      <c r="F1040" t="s">
        <v>23</v>
      </c>
      <c r="G1040" t="s">
        <v>32</v>
      </c>
      <c r="H1040" t="s">
        <v>33</v>
      </c>
      <c r="I1040" t="s">
        <v>26</v>
      </c>
      <c r="J1040" t="s">
        <v>27</v>
      </c>
    </row>
    <row r="1041" spans="1:10">
      <c r="A1041" t="s">
        <v>1897</v>
      </c>
      <c r="B1041" t="s">
        <v>931</v>
      </c>
      <c r="C1041" t="s">
        <v>174</v>
      </c>
      <c r="D1041" t="s">
        <v>207</v>
      </c>
      <c r="E1041">
        <v>-126643</v>
      </c>
      <c r="F1041" t="s">
        <v>23</v>
      </c>
      <c r="G1041" t="s">
        <v>24</v>
      </c>
      <c r="H1041" t="s">
        <v>25</v>
      </c>
      <c r="I1041" t="s">
        <v>26</v>
      </c>
      <c r="J1041" t="s">
        <v>40</v>
      </c>
    </row>
    <row r="1042" spans="1:10">
      <c r="A1042" t="s">
        <v>1898</v>
      </c>
      <c r="B1042" t="s">
        <v>1742</v>
      </c>
      <c r="C1042" t="s">
        <v>57</v>
      </c>
      <c r="D1042" t="s">
        <v>44</v>
      </c>
      <c r="E1042">
        <v>-69448</v>
      </c>
      <c r="F1042" t="s">
        <v>23</v>
      </c>
      <c r="G1042" t="s">
        <v>24</v>
      </c>
      <c r="H1042" t="s">
        <v>33</v>
      </c>
      <c r="I1042" t="s">
        <v>26</v>
      </c>
      <c r="J1042" t="s">
        <v>34</v>
      </c>
    </row>
    <row r="1043" spans="1:10">
      <c r="A1043" t="s">
        <v>1899</v>
      </c>
      <c r="B1043" t="s">
        <v>1312</v>
      </c>
      <c r="C1043" t="s">
        <v>935</v>
      </c>
      <c r="D1043" t="s">
        <v>22</v>
      </c>
      <c r="E1043">
        <v>-19702</v>
      </c>
      <c r="F1043" t="s">
        <v>23</v>
      </c>
      <c r="G1043" t="s">
        <v>24</v>
      </c>
      <c r="H1043" t="s">
        <v>25</v>
      </c>
      <c r="I1043" t="s">
        <v>39</v>
      </c>
      <c r="J1043" t="s">
        <v>40</v>
      </c>
    </row>
    <row r="1044" spans="1:10">
      <c r="A1044" t="s">
        <v>1900</v>
      </c>
      <c r="B1044" t="s">
        <v>1901</v>
      </c>
      <c r="C1044" t="s">
        <v>180</v>
      </c>
      <c r="D1044" t="s">
        <v>44</v>
      </c>
      <c r="E1044">
        <v>-44862</v>
      </c>
      <c r="F1044" t="s">
        <v>23</v>
      </c>
      <c r="G1044" t="s">
        <v>24</v>
      </c>
      <c r="H1044" t="s">
        <v>33</v>
      </c>
      <c r="I1044" t="s">
        <v>26</v>
      </c>
      <c r="J1044" t="s">
        <v>27</v>
      </c>
    </row>
    <row r="1045" spans="1:10">
      <c r="A1045" t="s">
        <v>1902</v>
      </c>
      <c r="B1045" t="s">
        <v>1903</v>
      </c>
      <c r="C1045" t="s">
        <v>290</v>
      </c>
      <c r="D1045" t="s">
        <v>440</v>
      </c>
      <c r="E1045">
        <v>-131149</v>
      </c>
      <c r="F1045" t="s">
        <v>23</v>
      </c>
      <c r="G1045" t="s">
        <v>32</v>
      </c>
      <c r="H1045" t="s">
        <v>33</v>
      </c>
      <c r="I1045" t="s">
        <v>26</v>
      </c>
      <c r="J1045" t="s">
        <v>48</v>
      </c>
    </row>
    <row r="1046" spans="1:10">
      <c r="A1046" t="s">
        <v>1904</v>
      </c>
      <c r="B1046" t="s">
        <v>1905</v>
      </c>
      <c r="C1046" t="s">
        <v>212</v>
      </c>
      <c r="D1046" t="s">
        <v>73</v>
      </c>
      <c r="E1046">
        <v>-77081</v>
      </c>
      <c r="F1046" t="s">
        <v>74</v>
      </c>
      <c r="G1046" t="s">
        <v>32</v>
      </c>
      <c r="H1046" t="s">
        <v>25</v>
      </c>
      <c r="I1046" t="s">
        <v>26</v>
      </c>
      <c r="J1046" t="s">
        <v>48</v>
      </c>
    </row>
    <row r="1047" spans="1:10">
      <c r="A1047" t="s">
        <v>1906</v>
      </c>
      <c r="B1047" t="s">
        <v>1284</v>
      </c>
      <c r="C1047" t="s">
        <v>54</v>
      </c>
      <c r="D1047" t="s">
        <v>38</v>
      </c>
      <c r="E1047">
        <v>-43895</v>
      </c>
      <c r="F1047" t="s">
        <v>23</v>
      </c>
      <c r="G1047" t="s">
        <v>32</v>
      </c>
      <c r="H1047" t="s">
        <v>33</v>
      </c>
      <c r="I1047" t="s">
        <v>26</v>
      </c>
      <c r="J1047" t="s">
        <v>27</v>
      </c>
    </row>
    <row r="1048" spans="1:10">
      <c r="A1048" t="s">
        <v>1907</v>
      </c>
      <c r="B1048" t="s">
        <v>1908</v>
      </c>
      <c r="C1048" t="s">
        <v>57</v>
      </c>
      <c r="D1048" t="s">
        <v>44</v>
      </c>
      <c r="E1048">
        <v>-70256</v>
      </c>
      <c r="F1048" t="s">
        <v>23</v>
      </c>
      <c r="G1048" t="s">
        <v>32</v>
      </c>
      <c r="H1048" t="s">
        <v>33</v>
      </c>
      <c r="I1048" t="s">
        <v>45</v>
      </c>
      <c r="J1048" t="s">
        <v>48</v>
      </c>
    </row>
    <row r="1049" spans="1:10">
      <c r="A1049" t="s">
        <v>1909</v>
      </c>
      <c r="B1049" t="s">
        <v>844</v>
      </c>
      <c r="C1049" t="s">
        <v>345</v>
      </c>
      <c r="D1049" t="s">
        <v>22</v>
      </c>
      <c r="E1049">
        <v>-165602</v>
      </c>
      <c r="F1049" t="s">
        <v>23</v>
      </c>
      <c r="G1049" t="s">
        <v>24</v>
      </c>
      <c r="H1049" t="s">
        <v>25</v>
      </c>
      <c r="I1049" t="s">
        <v>26</v>
      </c>
      <c r="J1049" t="s">
        <v>27</v>
      </c>
    </row>
    <row r="1050" spans="1:10">
      <c r="A1050" t="s">
        <v>1910</v>
      </c>
      <c r="B1050" t="s">
        <v>1911</v>
      </c>
      <c r="C1050" t="s">
        <v>266</v>
      </c>
      <c r="D1050" t="s">
        <v>73</v>
      </c>
      <c r="E1050">
        <v>-57465</v>
      </c>
      <c r="F1050" t="s">
        <v>74</v>
      </c>
      <c r="G1050" t="s">
        <v>24</v>
      </c>
      <c r="H1050" t="s">
        <v>25</v>
      </c>
      <c r="I1050" t="s">
        <v>45</v>
      </c>
      <c r="J1050" t="s">
        <v>34</v>
      </c>
    </row>
    <row r="1051" spans="1:10">
      <c r="A1051" t="s">
        <v>1912</v>
      </c>
      <c r="B1051" t="s">
        <v>1913</v>
      </c>
      <c r="C1051" t="s">
        <v>169</v>
      </c>
      <c r="D1051" t="s">
        <v>73</v>
      </c>
      <c r="E1051">
        <v>-18714</v>
      </c>
      <c r="F1051" t="s">
        <v>74</v>
      </c>
      <c r="G1051" t="s">
        <v>32</v>
      </c>
      <c r="H1051" t="s">
        <v>25</v>
      </c>
      <c r="I1051" t="s">
        <v>45</v>
      </c>
      <c r="J1051" t="s">
        <v>27</v>
      </c>
    </row>
    <row r="1052" spans="1:10">
      <c r="A1052" t="s">
        <v>1914</v>
      </c>
      <c r="B1052" t="s">
        <v>36</v>
      </c>
      <c r="C1052" t="s">
        <v>935</v>
      </c>
      <c r="D1052" t="s">
        <v>22</v>
      </c>
      <c r="E1052">
        <v>-163878</v>
      </c>
      <c r="F1052" t="s">
        <v>23</v>
      </c>
      <c r="G1052" t="s">
        <v>32</v>
      </c>
      <c r="H1052" t="s">
        <v>25</v>
      </c>
      <c r="I1052" t="s">
        <v>39</v>
      </c>
      <c r="J1052" t="s">
        <v>40</v>
      </c>
    </row>
    <row r="1053" spans="1:10">
      <c r="A1053" t="s">
        <v>1915</v>
      </c>
      <c r="B1053" t="s">
        <v>1916</v>
      </c>
      <c r="C1053" t="s">
        <v>21</v>
      </c>
      <c r="D1053" t="s">
        <v>22</v>
      </c>
      <c r="E1053">
        <v>-176011</v>
      </c>
      <c r="F1053" t="s">
        <v>23</v>
      </c>
      <c r="G1053" t="s">
        <v>24</v>
      </c>
      <c r="H1053" t="s">
        <v>25</v>
      </c>
      <c r="I1053" t="s">
        <v>39</v>
      </c>
      <c r="J1053" t="s">
        <v>40</v>
      </c>
    </row>
    <row r="1054" spans="1:10">
      <c r="A1054" t="s">
        <v>1917</v>
      </c>
      <c r="B1054" t="s">
        <v>870</v>
      </c>
      <c r="C1054" t="s">
        <v>224</v>
      </c>
      <c r="D1054" t="s">
        <v>78</v>
      </c>
      <c r="E1054">
        <v>-103037</v>
      </c>
      <c r="F1054" t="s">
        <v>23</v>
      </c>
      <c r="G1054" t="s">
        <v>32</v>
      </c>
      <c r="H1054" t="s">
        <v>79</v>
      </c>
      <c r="I1054" t="s">
        <v>26</v>
      </c>
      <c r="J1054" t="s">
        <v>27</v>
      </c>
    </row>
    <row r="1055" spans="1:10">
      <c r="A1055" t="s">
        <v>1918</v>
      </c>
      <c r="B1055" t="s">
        <v>1919</v>
      </c>
      <c r="C1055" t="s">
        <v>72</v>
      </c>
      <c r="D1055" t="s">
        <v>73</v>
      </c>
      <c r="E1055">
        <v>-37771</v>
      </c>
      <c r="F1055" t="s">
        <v>74</v>
      </c>
      <c r="G1055" t="s">
        <v>24</v>
      </c>
      <c r="H1055" t="s">
        <v>25</v>
      </c>
      <c r="I1055" t="s">
        <v>39</v>
      </c>
      <c r="J1055" t="s">
        <v>48</v>
      </c>
    </row>
    <row r="1056" spans="1:10">
      <c r="A1056" t="s">
        <v>1920</v>
      </c>
      <c r="B1056" t="s">
        <v>1921</v>
      </c>
      <c r="C1056" t="s">
        <v>1922</v>
      </c>
      <c r="D1056" t="s">
        <v>136</v>
      </c>
      <c r="E1056">
        <v>-10667430</v>
      </c>
      <c r="F1056" t="s">
        <v>62</v>
      </c>
      <c r="G1056" t="s">
        <v>32</v>
      </c>
      <c r="H1056" t="s">
        <v>63</v>
      </c>
      <c r="I1056" t="s">
        <v>26</v>
      </c>
      <c r="J1056" t="s">
        <v>48</v>
      </c>
    </row>
    <row r="1057" spans="1:10">
      <c r="A1057" t="s">
        <v>1923</v>
      </c>
      <c r="B1057" t="s">
        <v>1361</v>
      </c>
      <c r="C1057" t="s">
        <v>77</v>
      </c>
      <c r="D1057" t="s">
        <v>78</v>
      </c>
      <c r="E1057">
        <v>-117952</v>
      </c>
      <c r="F1057" t="s">
        <v>23</v>
      </c>
      <c r="G1057" t="s">
        <v>32</v>
      </c>
      <c r="H1057" t="s">
        <v>79</v>
      </c>
      <c r="I1057" t="s">
        <v>39</v>
      </c>
      <c r="J1057" t="s">
        <v>48</v>
      </c>
    </row>
    <row r="1058" spans="1:10">
      <c r="A1058" t="s">
        <v>1924</v>
      </c>
      <c r="B1058" t="s">
        <v>1925</v>
      </c>
      <c r="C1058" t="s">
        <v>237</v>
      </c>
      <c r="D1058" t="s">
        <v>22</v>
      </c>
      <c r="E1058">
        <v>-31864</v>
      </c>
      <c r="F1058" t="s">
        <v>23</v>
      </c>
      <c r="G1058" t="s">
        <v>24</v>
      </c>
      <c r="H1058" t="s">
        <v>25</v>
      </c>
      <c r="I1058" t="s">
        <v>26</v>
      </c>
      <c r="J1058" t="s">
        <v>27</v>
      </c>
    </row>
    <row r="1059" spans="1:10">
      <c r="A1059" t="s">
        <v>1926</v>
      </c>
      <c r="B1059" t="s">
        <v>1927</v>
      </c>
      <c r="C1059" t="s">
        <v>60</v>
      </c>
      <c r="D1059" t="s">
        <v>61</v>
      </c>
      <c r="E1059">
        <v>-47347</v>
      </c>
      <c r="F1059" t="s">
        <v>62</v>
      </c>
      <c r="G1059" t="s">
        <v>24</v>
      </c>
      <c r="H1059" t="s">
        <v>63</v>
      </c>
      <c r="I1059" t="s">
        <v>39</v>
      </c>
      <c r="J1059" t="s">
        <v>34</v>
      </c>
    </row>
    <row r="1060" spans="1:10">
      <c r="A1060" t="s">
        <v>1928</v>
      </c>
      <c r="B1060" t="s">
        <v>163</v>
      </c>
      <c r="C1060" t="s">
        <v>77</v>
      </c>
      <c r="D1060" t="s">
        <v>78</v>
      </c>
      <c r="E1060">
        <v>-24720</v>
      </c>
      <c r="F1060" t="s">
        <v>23</v>
      </c>
      <c r="G1060" t="s">
        <v>32</v>
      </c>
      <c r="H1060" t="s">
        <v>79</v>
      </c>
      <c r="I1060" t="s">
        <v>26</v>
      </c>
      <c r="J1060" t="s">
        <v>34</v>
      </c>
    </row>
    <row r="1061" spans="1:10">
      <c r="A1061" t="s">
        <v>1929</v>
      </c>
      <c r="B1061" t="s">
        <v>1930</v>
      </c>
      <c r="C1061" t="s">
        <v>180</v>
      </c>
      <c r="D1061" t="s">
        <v>388</v>
      </c>
      <c r="E1061">
        <v>-142638</v>
      </c>
      <c r="F1061" t="s">
        <v>23</v>
      </c>
      <c r="G1061" t="s">
        <v>24</v>
      </c>
      <c r="H1061" t="s">
        <v>33</v>
      </c>
      <c r="I1061" t="s">
        <v>45</v>
      </c>
      <c r="J1061" t="s">
        <v>27</v>
      </c>
    </row>
    <row r="1062" spans="1:10">
      <c r="A1062" t="s">
        <v>1931</v>
      </c>
      <c r="B1062" t="s">
        <v>643</v>
      </c>
      <c r="C1062" t="s">
        <v>757</v>
      </c>
      <c r="D1062" t="s">
        <v>157</v>
      </c>
      <c r="E1062">
        <v>629239</v>
      </c>
      <c r="F1062" t="s">
        <v>62</v>
      </c>
      <c r="G1062" t="s">
        <v>32</v>
      </c>
      <c r="H1062" t="s">
        <v>25</v>
      </c>
      <c r="I1062" t="s">
        <v>45</v>
      </c>
      <c r="J1062" t="s">
        <v>40</v>
      </c>
    </row>
    <row r="1063" spans="1:10">
      <c r="A1063" t="s">
        <v>1932</v>
      </c>
      <c r="B1063" t="s">
        <v>1933</v>
      </c>
      <c r="C1063" t="s">
        <v>174</v>
      </c>
      <c r="D1063" t="s">
        <v>22</v>
      </c>
      <c r="E1063">
        <v>-114132</v>
      </c>
      <c r="F1063" t="s">
        <v>23</v>
      </c>
      <c r="G1063" t="s">
        <v>24</v>
      </c>
      <c r="H1063" t="s">
        <v>25</v>
      </c>
      <c r="I1063" t="s">
        <v>39</v>
      </c>
      <c r="J1063" t="s">
        <v>48</v>
      </c>
    </row>
    <row r="1064" spans="1:10">
      <c r="A1064" t="s">
        <v>1934</v>
      </c>
      <c r="B1064" t="s">
        <v>1013</v>
      </c>
      <c r="C1064" t="s">
        <v>215</v>
      </c>
      <c r="D1064" t="s">
        <v>61</v>
      </c>
      <c r="E1064">
        <v>-49318</v>
      </c>
      <c r="F1064" t="s">
        <v>62</v>
      </c>
      <c r="G1064" t="s">
        <v>32</v>
      </c>
      <c r="H1064" t="s">
        <v>63</v>
      </c>
      <c r="I1064" t="s">
        <v>39</v>
      </c>
      <c r="J1064" t="s">
        <v>34</v>
      </c>
    </row>
    <row r="1065" spans="1:10">
      <c r="A1065" t="s">
        <v>1935</v>
      </c>
      <c r="B1065" t="s">
        <v>1632</v>
      </c>
      <c r="C1065" t="s">
        <v>266</v>
      </c>
      <c r="D1065" t="s">
        <v>73</v>
      </c>
      <c r="E1065">
        <v>-91147</v>
      </c>
      <c r="F1065" t="s">
        <v>74</v>
      </c>
      <c r="G1065" t="s">
        <v>32</v>
      </c>
      <c r="H1065" t="s">
        <v>25</v>
      </c>
      <c r="I1065" t="s">
        <v>45</v>
      </c>
      <c r="J1065" t="s">
        <v>34</v>
      </c>
    </row>
    <row r="1066" spans="1:10">
      <c r="A1066" t="s">
        <v>1936</v>
      </c>
      <c r="B1066" t="s">
        <v>1937</v>
      </c>
      <c r="C1066" t="s">
        <v>77</v>
      </c>
      <c r="D1066" t="s">
        <v>78</v>
      </c>
      <c r="E1066">
        <v>-32765</v>
      </c>
      <c r="F1066" t="s">
        <v>23</v>
      </c>
      <c r="G1066" t="s">
        <v>32</v>
      </c>
      <c r="H1066" t="s">
        <v>79</v>
      </c>
      <c r="I1066" t="s">
        <v>39</v>
      </c>
      <c r="J1066" t="s">
        <v>48</v>
      </c>
    </row>
    <row r="1067" spans="1:10">
      <c r="A1067" t="s">
        <v>1938</v>
      </c>
      <c r="B1067" t="s">
        <v>756</v>
      </c>
      <c r="C1067" t="s">
        <v>84</v>
      </c>
      <c r="D1067" t="s">
        <v>78</v>
      </c>
      <c r="E1067">
        <v>-94365</v>
      </c>
      <c r="F1067" t="s">
        <v>23</v>
      </c>
      <c r="G1067" t="s">
        <v>32</v>
      </c>
      <c r="H1067" t="s">
        <v>79</v>
      </c>
      <c r="I1067" t="s">
        <v>26</v>
      </c>
      <c r="J1067" t="s">
        <v>48</v>
      </c>
    </row>
    <row r="1068" spans="1:10">
      <c r="A1068" t="s">
        <v>1939</v>
      </c>
      <c r="B1068" t="s">
        <v>1940</v>
      </c>
      <c r="C1068" t="s">
        <v>30</v>
      </c>
      <c r="D1068" t="s">
        <v>31</v>
      </c>
      <c r="E1068">
        <v>-7868</v>
      </c>
      <c r="F1068" t="s">
        <v>23</v>
      </c>
      <c r="G1068" t="s">
        <v>24</v>
      </c>
      <c r="H1068" t="s">
        <v>33</v>
      </c>
      <c r="I1068" t="s">
        <v>45</v>
      </c>
      <c r="J1068" t="s">
        <v>27</v>
      </c>
    </row>
    <row r="1069" spans="1:10">
      <c r="A1069" t="s">
        <v>1941</v>
      </c>
      <c r="B1069" t="s">
        <v>521</v>
      </c>
      <c r="C1069" t="s">
        <v>283</v>
      </c>
      <c r="D1069" t="s">
        <v>44</v>
      </c>
      <c r="E1069">
        <v>-122332</v>
      </c>
      <c r="F1069" t="s">
        <v>23</v>
      </c>
      <c r="G1069" t="s">
        <v>24</v>
      </c>
      <c r="H1069" t="s">
        <v>33</v>
      </c>
      <c r="I1069" t="s">
        <v>45</v>
      </c>
      <c r="J1069" t="s">
        <v>48</v>
      </c>
    </row>
    <row r="1070" spans="1:10">
      <c r="A1070" t="s">
        <v>1942</v>
      </c>
      <c r="B1070" t="s">
        <v>1943</v>
      </c>
      <c r="C1070" t="s">
        <v>1039</v>
      </c>
      <c r="D1070" t="s">
        <v>440</v>
      </c>
      <c r="E1070">
        <v>-132489</v>
      </c>
      <c r="F1070" t="s">
        <v>23</v>
      </c>
      <c r="G1070" t="s">
        <v>32</v>
      </c>
      <c r="H1070" t="s">
        <v>33</v>
      </c>
      <c r="I1070" t="s">
        <v>39</v>
      </c>
      <c r="J1070" t="s">
        <v>34</v>
      </c>
    </row>
    <row r="1071" spans="1:10">
      <c r="A1071" t="s">
        <v>1944</v>
      </c>
      <c r="B1071" t="s">
        <v>1409</v>
      </c>
      <c r="C1071" t="s">
        <v>935</v>
      </c>
      <c r="D1071" t="s">
        <v>22</v>
      </c>
      <c r="E1071">
        <v>-142683</v>
      </c>
      <c r="F1071" t="s">
        <v>23</v>
      </c>
      <c r="G1071" t="s">
        <v>24</v>
      </c>
      <c r="H1071" t="s">
        <v>25</v>
      </c>
      <c r="I1071" t="s">
        <v>26</v>
      </c>
      <c r="J1071" t="s">
        <v>34</v>
      </c>
    </row>
    <row r="1072" spans="1:10">
      <c r="A1072" t="s">
        <v>1945</v>
      </c>
      <c r="B1072" t="s">
        <v>657</v>
      </c>
      <c r="C1072" t="s">
        <v>271</v>
      </c>
      <c r="D1072" t="s">
        <v>73</v>
      </c>
      <c r="E1072">
        <v>-55027</v>
      </c>
      <c r="F1072" t="s">
        <v>74</v>
      </c>
      <c r="G1072" t="s">
        <v>32</v>
      </c>
      <c r="H1072" t="s">
        <v>25</v>
      </c>
      <c r="I1072" t="s">
        <v>39</v>
      </c>
      <c r="J1072" t="s">
        <v>27</v>
      </c>
    </row>
    <row r="1073" spans="1:10">
      <c r="A1073" t="s">
        <v>1946</v>
      </c>
      <c r="B1073" t="s">
        <v>1947</v>
      </c>
      <c r="C1073" t="s">
        <v>687</v>
      </c>
      <c r="D1073" t="s">
        <v>44</v>
      </c>
      <c r="E1073">
        <v>-132904</v>
      </c>
      <c r="F1073" t="s">
        <v>23</v>
      </c>
      <c r="G1073" t="s">
        <v>32</v>
      </c>
      <c r="H1073" t="s">
        <v>33</v>
      </c>
      <c r="I1073" t="s">
        <v>45</v>
      </c>
      <c r="J1073" t="s">
        <v>48</v>
      </c>
    </row>
    <row r="1074" spans="1:10">
      <c r="A1074" t="s">
        <v>1948</v>
      </c>
      <c r="B1074" t="s">
        <v>703</v>
      </c>
      <c r="C1074" t="s">
        <v>116</v>
      </c>
      <c r="E1074">
        <v>-20362</v>
      </c>
      <c r="F1074" t="s">
        <v>74</v>
      </c>
      <c r="G1074" t="s">
        <v>32</v>
      </c>
      <c r="H1074" t="s">
        <v>25</v>
      </c>
      <c r="I1074" t="s">
        <v>39</v>
      </c>
      <c r="J1074" t="s">
        <v>34</v>
      </c>
    </row>
    <row r="1075" spans="1:10">
      <c r="A1075" t="s">
        <v>1949</v>
      </c>
      <c r="B1075" t="s">
        <v>1579</v>
      </c>
      <c r="C1075" t="s">
        <v>1950</v>
      </c>
      <c r="D1075" t="s">
        <v>136</v>
      </c>
      <c r="E1075">
        <v>-10642481</v>
      </c>
      <c r="F1075" t="s">
        <v>62</v>
      </c>
      <c r="G1075" t="s">
        <v>32</v>
      </c>
      <c r="H1075" t="s">
        <v>63</v>
      </c>
      <c r="I1075" t="s">
        <v>45</v>
      </c>
      <c r="J1075" t="s">
        <v>40</v>
      </c>
    </row>
    <row r="1076" spans="1:10">
      <c r="A1076" t="s">
        <v>1951</v>
      </c>
      <c r="B1076" t="s">
        <v>295</v>
      </c>
      <c r="C1076" t="s">
        <v>84</v>
      </c>
      <c r="D1076" t="s">
        <v>78</v>
      </c>
      <c r="E1076">
        <v>-38697</v>
      </c>
      <c r="F1076" t="s">
        <v>23</v>
      </c>
      <c r="G1076" t="s">
        <v>24</v>
      </c>
      <c r="H1076" t="s">
        <v>79</v>
      </c>
      <c r="I1076" t="s">
        <v>39</v>
      </c>
      <c r="J1076" t="s">
        <v>48</v>
      </c>
    </row>
    <row r="1077" spans="1:10">
      <c r="A1077" t="s">
        <v>1952</v>
      </c>
      <c r="B1077" t="s">
        <v>947</v>
      </c>
      <c r="C1077" t="s">
        <v>69</v>
      </c>
      <c r="D1077" t="s">
        <v>38</v>
      </c>
      <c r="E1077">
        <v>-29127</v>
      </c>
      <c r="F1077" t="s">
        <v>23</v>
      </c>
      <c r="G1077" t="s">
        <v>24</v>
      </c>
      <c r="H1077" t="s">
        <v>33</v>
      </c>
      <c r="I1077" t="s">
        <v>45</v>
      </c>
      <c r="J1077" t="s">
        <v>48</v>
      </c>
    </row>
    <row r="1078" spans="1:10">
      <c r="A1078" t="s">
        <v>1953</v>
      </c>
      <c r="B1078" t="s">
        <v>1954</v>
      </c>
      <c r="C1078" t="s">
        <v>57</v>
      </c>
      <c r="D1078" t="s">
        <v>44</v>
      </c>
      <c r="E1078">
        <v>-170325</v>
      </c>
      <c r="F1078" t="s">
        <v>23</v>
      </c>
      <c r="G1078" t="s">
        <v>24</v>
      </c>
      <c r="H1078" t="s">
        <v>33</v>
      </c>
      <c r="I1078" t="s">
        <v>26</v>
      </c>
      <c r="J1078" t="s">
        <v>27</v>
      </c>
    </row>
    <row r="1079" spans="1:10">
      <c r="A1079" t="s">
        <v>1955</v>
      </c>
      <c r="B1079" t="s">
        <v>1956</v>
      </c>
      <c r="C1079" t="s">
        <v>51</v>
      </c>
      <c r="D1079" t="s">
        <v>31</v>
      </c>
      <c r="E1079">
        <v>-4833</v>
      </c>
      <c r="F1079" t="s">
        <v>23</v>
      </c>
      <c r="G1079" t="s">
        <v>24</v>
      </c>
      <c r="H1079" t="s">
        <v>33</v>
      </c>
      <c r="I1079" t="s">
        <v>39</v>
      </c>
      <c r="J1079" t="s">
        <v>27</v>
      </c>
    </row>
    <row r="1080" spans="1:10">
      <c r="A1080" t="s">
        <v>1957</v>
      </c>
      <c r="B1080" t="s">
        <v>1958</v>
      </c>
      <c r="C1080" t="s">
        <v>166</v>
      </c>
      <c r="D1080" t="s">
        <v>31</v>
      </c>
      <c r="E1080">
        <v>-30435</v>
      </c>
      <c r="F1080" t="s">
        <v>23</v>
      </c>
      <c r="G1080" t="s">
        <v>32</v>
      </c>
      <c r="H1080" t="s">
        <v>33</v>
      </c>
      <c r="I1080" t="s">
        <v>45</v>
      </c>
      <c r="J1080" t="s">
        <v>34</v>
      </c>
    </row>
    <row r="1081" spans="1:10">
      <c r="A1081" t="s">
        <v>1959</v>
      </c>
      <c r="B1081" t="s">
        <v>593</v>
      </c>
      <c r="C1081" t="s">
        <v>60</v>
      </c>
      <c r="D1081" t="s">
        <v>61</v>
      </c>
      <c r="E1081">
        <v>-53039</v>
      </c>
      <c r="F1081" t="s">
        <v>62</v>
      </c>
      <c r="G1081" t="s">
        <v>24</v>
      </c>
      <c r="H1081" t="s">
        <v>63</v>
      </c>
      <c r="I1081" t="s">
        <v>39</v>
      </c>
      <c r="J1081" t="s">
        <v>48</v>
      </c>
    </row>
    <row r="1082" spans="1:10">
      <c r="A1082" t="s">
        <v>1960</v>
      </c>
      <c r="B1082" t="s">
        <v>344</v>
      </c>
      <c r="C1082" t="s">
        <v>802</v>
      </c>
      <c r="D1082" t="s">
        <v>440</v>
      </c>
      <c r="E1082">
        <v>-135647</v>
      </c>
      <c r="F1082" t="s">
        <v>23</v>
      </c>
      <c r="G1082" t="s">
        <v>24</v>
      </c>
      <c r="H1082" t="s">
        <v>33</v>
      </c>
      <c r="I1082" t="s">
        <v>45</v>
      </c>
      <c r="J1082" t="s">
        <v>27</v>
      </c>
    </row>
    <row r="1083" spans="1:10">
      <c r="A1083" t="s">
        <v>1961</v>
      </c>
      <c r="B1083" t="s">
        <v>385</v>
      </c>
      <c r="C1083" t="s">
        <v>266</v>
      </c>
      <c r="D1083" t="s">
        <v>73</v>
      </c>
      <c r="E1083">
        <v>-29745</v>
      </c>
      <c r="F1083" t="s">
        <v>74</v>
      </c>
      <c r="G1083" t="s">
        <v>32</v>
      </c>
      <c r="H1083" t="s">
        <v>25</v>
      </c>
      <c r="I1083" t="s">
        <v>39</v>
      </c>
      <c r="J1083" t="s">
        <v>27</v>
      </c>
    </row>
    <row r="1084" spans="1:10">
      <c r="A1084" t="s">
        <v>1962</v>
      </c>
      <c r="B1084" t="s">
        <v>353</v>
      </c>
      <c r="C1084" t="s">
        <v>30</v>
      </c>
      <c r="D1084" t="s">
        <v>31</v>
      </c>
      <c r="E1084">
        <v>-43749</v>
      </c>
      <c r="F1084" t="s">
        <v>23</v>
      </c>
      <c r="G1084" t="s">
        <v>24</v>
      </c>
      <c r="H1084" t="s">
        <v>33</v>
      </c>
      <c r="I1084" t="s">
        <v>45</v>
      </c>
      <c r="J1084" t="s">
        <v>40</v>
      </c>
    </row>
    <row r="1085" spans="1:10">
      <c r="A1085" t="s">
        <v>1963</v>
      </c>
      <c r="B1085" t="s">
        <v>335</v>
      </c>
      <c r="C1085" t="s">
        <v>1964</v>
      </c>
      <c r="D1085" t="s">
        <v>31</v>
      </c>
      <c r="E1085">
        <v>-29609</v>
      </c>
      <c r="F1085" t="s">
        <v>23</v>
      </c>
      <c r="G1085" t="s">
        <v>24</v>
      </c>
      <c r="H1085" t="s">
        <v>33</v>
      </c>
      <c r="I1085" t="s">
        <v>39</v>
      </c>
      <c r="J1085" t="s">
        <v>40</v>
      </c>
    </row>
    <row r="1086" spans="1:10">
      <c r="A1086" t="s">
        <v>1965</v>
      </c>
      <c r="B1086" t="s">
        <v>1966</v>
      </c>
      <c r="C1086" t="s">
        <v>687</v>
      </c>
      <c r="D1086" t="s">
        <v>44</v>
      </c>
      <c r="E1086">
        <v>-42776</v>
      </c>
      <c r="F1086" t="s">
        <v>23</v>
      </c>
      <c r="G1086" t="s">
        <v>24</v>
      </c>
      <c r="H1086" t="s">
        <v>33</v>
      </c>
      <c r="I1086" t="s">
        <v>45</v>
      </c>
      <c r="J1086" t="s">
        <v>34</v>
      </c>
    </row>
    <row r="1087" spans="1:10">
      <c r="A1087" t="s">
        <v>1967</v>
      </c>
      <c r="B1087" t="s">
        <v>1968</v>
      </c>
      <c r="C1087" t="s">
        <v>935</v>
      </c>
      <c r="D1087" t="s">
        <v>22</v>
      </c>
      <c r="E1087">
        <v>-46117</v>
      </c>
      <c r="F1087" t="s">
        <v>23</v>
      </c>
      <c r="G1087" t="s">
        <v>32</v>
      </c>
      <c r="H1087" t="s">
        <v>25</v>
      </c>
      <c r="I1087" t="s">
        <v>45</v>
      </c>
      <c r="J1087" t="s">
        <v>27</v>
      </c>
    </row>
    <row r="1088" spans="1:10">
      <c r="A1088" t="s">
        <v>1969</v>
      </c>
      <c r="B1088" t="s">
        <v>905</v>
      </c>
      <c r="C1088" t="s">
        <v>116</v>
      </c>
      <c r="D1088" t="s">
        <v>73</v>
      </c>
      <c r="E1088">
        <v>-92896</v>
      </c>
      <c r="F1088" t="s">
        <v>74</v>
      </c>
      <c r="G1088" t="s">
        <v>24</v>
      </c>
      <c r="H1088" t="s">
        <v>25</v>
      </c>
      <c r="I1088" t="s">
        <v>26</v>
      </c>
      <c r="J1088" t="s">
        <v>34</v>
      </c>
    </row>
    <row r="1089" spans="1:10">
      <c r="A1089" t="s">
        <v>1970</v>
      </c>
      <c r="B1089" t="s">
        <v>1971</v>
      </c>
      <c r="C1089" t="s">
        <v>57</v>
      </c>
      <c r="D1089" t="s">
        <v>44</v>
      </c>
      <c r="E1089">
        <v>-105402</v>
      </c>
      <c r="F1089" t="s">
        <v>23</v>
      </c>
      <c r="G1089" t="s">
        <v>24</v>
      </c>
      <c r="H1089" t="s">
        <v>33</v>
      </c>
      <c r="I1089" t="s">
        <v>39</v>
      </c>
      <c r="J1089" t="s">
        <v>40</v>
      </c>
    </row>
    <row r="1090" spans="1:10">
      <c r="A1090" t="s">
        <v>1972</v>
      </c>
      <c r="B1090" t="s">
        <v>263</v>
      </c>
      <c r="C1090" t="s">
        <v>43</v>
      </c>
      <c r="D1090" t="s">
        <v>44</v>
      </c>
      <c r="E1090">
        <v>-81098</v>
      </c>
      <c r="F1090" t="s">
        <v>23</v>
      </c>
      <c r="G1090" t="s">
        <v>32</v>
      </c>
      <c r="H1090" t="s">
        <v>33</v>
      </c>
      <c r="I1090" t="s">
        <v>45</v>
      </c>
      <c r="J1090" t="s">
        <v>27</v>
      </c>
    </row>
    <row r="1091" spans="1:10">
      <c r="A1091" t="s">
        <v>1973</v>
      </c>
      <c r="B1091" t="s">
        <v>1974</v>
      </c>
      <c r="C1091" t="s">
        <v>60</v>
      </c>
      <c r="D1091" t="s">
        <v>61</v>
      </c>
      <c r="E1091">
        <v>-20511</v>
      </c>
      <c r="F1091" t="s">
        <v>62</v>
      </c>
      <c r="G1091" t="s">
        <v>24</v>
      </c>
      <c r="H1091" t="s">
        <v>63</v>
      </c>
      <c r="I1091" t="s">
        <v>39</v>
      </c>
      <c r="J1091" t="s">
        <v>34</v>
      </c>
    </row>
    <row r="1092" spans="1:10">
      <c r="A1092" t="s">
        <v>1975</v>
      </c>
      <c r="B1092" t="s">
        <v>1976</v>
      </c>
      <c r="C1092" t="s">
        <v>293</v>
      </c>
      <c r="D1092" t="s">
        <v>157</v>
      </c>
      <c r="E1092">
        <v>627554</v>
      </c>
      <c r="F1092" t="s">
        <v>62</v>
      </c>
      <c r="G1092" t="s">
        <v>32</v>
      </c>
      <c r="H1092" t="s">
        <v>25</v>
      </c>
      <c r="I1092" t="s">
        <v>45</v>
      </c>
      <c r="J1092" t="s">
        <v>27</v>
      </c>
    </row>
    <row r="1093" spans="1:10">
      <c r="A1093" t="s">
        <v>1977</v>
      </c>
      <c r="B1093" t="s">
        <v>1978</v>
      </c>
      <c r="C1093" t="s">
        <v>687</v>
      </c>
      <c r="D1093" t="s">
        <v>44</v>
      </c>
      <c r="E1093">
        <v>-35383</v>
      </c>
      <c r="F1093" t="s">
        <v>23</v>
      </c>
      <c r="G1093" t="s">
        <v>32</v>
      </c>
      <c r="H1093" t="s">
        <v>33</v>
      </c>
      <c r="I1093" t="s">
        <v>26</v>
      </c>
      <c r="J1093" t="s">
        <v>40</v>
      </c>
    </row>
    <row r="1094" spans="1:10">
      <c r="A1094" t="s">
        <v>1979</v>
      </c>
      <c r="B1094" t="s">
        <v>353</v>
      </c>
      <c r="C1094" t="s">
        <v>166</v>
      </c>
      <c r="D1094" t="s">
        <v>31</v>
      </c>
      <c r="E1094">
        <v>-12730</v>
      </c>
      <c r="F1094" t="s">
        <v>23</v>
      </c>
      <c r="G1094" t="s">
        <v>24</v>
      </c>
      <c r="H1094" t="s">
        <v>33</v>
      </c>
      <c r="I1094" t="s">
        <v>45</v>
      </c>
      <c r="J1094" t="s">
        <v>40</v>
      </c>
    </row>
    <row r="1095" spans="1:10">
      <c r="A1095" t="s">
        <v>1980</v>
      </c>
      <c r="B1095" t="s">
        <v>1981</v>
      </c>
      <c r="C1095" t="s">
        <v>90</v>
      </c>
      <c r="D1095" t="s">
        <v>73</v>
      </c>
      <c r="E1095">
        <v>-36444</v>
      </c>
      <c r="F1095" t="s">
        <v>74</v>
      </c>
      <c r="G1095" t="s">
        <v>32</v>
      </c>
      <c r="H1095" t="s">
        <v>25</v>
      </c>
      <c r="I1095" t="s">
        <v>26</v>
      </c>
      <c r="J1095" t="s">
        <v>40</v>
      </c>
    </row>
    <row r="1096" spans="1:10">
      <c r="A1096" t="s">
        <v>1982</v>
      </c>
      <c r="B1096" t="s">
        <v>1983</v>
      </c>
      <c r="C1096" t="s">
        <v>129</v>
      </c>
      <c r="D1096" t="s">
        <v>38</v>
      </c>
      <c r="E1096">
        <v>-17069</v>
      </c>
      <c r="F1096" t="s">
        <v>23</v>
      </c>
      <c r="G1096" t="s">
        <v>24</v>
      </c>
      <c r="H1096" t="s">
        <v>33</v>
      </c>
      <c r="I1096" t="s">
        <v>26</v>
      </c>
      <c r="J1096" t="s">
        <v>40</v>
      </c>
    </row>
    <row r="1097" spans="1:10">
      <c r="A1097" t="s">
        <v>1984</v>
      </c>
      <c r="B1097" t="s">
        <v>456</v>
      </c>
      <c r="C1097" t="s">
        <v>84</v>
      </c>
      <c r="D1097" t="s">
        <v>78</v>
      </c>
      <c r="E1097">
        <v>-62250</v>
      </c>
      <c r="F1097" t="s">
        <v>23</v>
      </c>
      <c r="G1097" t="s">
        <v>24</v>
      </c>
      <c r="H1097" t="s">
        <v>79</v>
      </c>
      <c r="I1097" t="s">
        <v>39</v>
      </c>
      <c r="J1097" t="s">
        <v>40</v>
      </c>
    </row>
    <row r="1098" spans="1:10">
      <c r="A1098" t="s">
        <v>1985</v>
      </c>
      <c r="B1098" t="s">
        <v>83</v>
      </c>
      <c r="C1098" t="s">
        <v>310</v>
      </c>
      <c r="D1098" t="s">
        <v>22</v>
      </c>
      <c r="E1098">
        <v>-79506</v>
      </c>
      <c r="F1098" t="s">
        <v>23</v>
      </c>
      <c r="G1098" t="s">
        <v>24</v>
      </c>
      <c r="H1098" t="s">
        <v>25</v>
      </c>
      <c r="I1098" t="s">
        <v>26</v>
      </c>
      <c r="J1098" t="s">
        <v>48</v>
      </c>
    </row>
    <row r="1099" spans="1:10">
      <c r="A1099" t="s">
        <v>1986</v>
      </c>
      <c r="B1099" t="s">
        <v>527</v>
      </c>
      <c r="C1099" t="s">
        <v>106</v>
      </c>
      <c r="D1099" t="s">
        <v>31</v>
      </c>
      <c r="E1099">
        <v>-35412</v>
      </c>
      <c r="F1099" t="s">
        <v>23</v>
      </c>
      <c r="G1099" t="s">
        <v>32</v>
      </c>
      <c r="H1099" t="s">
        <v>33</v>
      </c>
      <c r="I1099" t="s">
        <v>39</v>
      </c>
      <c r="J1099" t="s">
        <v>34</v>
      </c>
    </row>
    <row r="1100" spans="1:10">
      <c r="A1100" t="s">
        <v>1987</v>
      </c>
      <c r="B1100" t="s">
        <v>1673</v>
      </c>
      <c r="C1100" t="s">
        <v>116</v>
      </c>
      <c r="D1100" t="s">
        <v>111</v>
      </c>
      <c r="E1100">
        <v>-90685</v>
      </c>
      <c r="F1100" t="s">
        <v>74</v>
      </c>
      <c r="G1100" t="s">
        <v>32</v>
      </c>
      <c r="H1100" t="s">
        <v>25</v>
      </c>
      <c r="I1100" t="s">
        <v>39</v>
      </c>
      <c r="J1100" t="s">
        <v>34</v>
      </c>
    </row>
    <row r="1101" spans="1:10">
      <c r="A1101" t="s">
        <v>1988</v>
      </c>
      <c r="B1101" t="s">
        <v>1989</v>
      </c>
      <c r="C1101" t="s">
        <v>161</v>
      </c>
      <c r="D1101" t="s">
        <v>320</v>
      </c>
      <c r="E1101">
        <v>-85468</v>
      </c>
      <c r="F1101" t="s">
        <v>23</v>
      </c>
      <c r="G1101" t="s">
        <v>32</v>
      </c>
      <c r="H1101" t="s">
        <v>25</v>
      </c>
      <c r="I1101" t="s">
        <v>39</v>
      </c>
      <c r="J1101" t="s">
        <v>27</v>
      </c>
    </row>
    <row r="1102" spans="1:10">
      <c r="A1102" t="s">
        <v>1990</v>
      </c>
      <c r="B1102" t="s">
        <v>631</v>
      </c>
      <c r="C1102" t="s">
        <v>177</v>
      </c>
      <c r="D1102" t="s">
        <v>78</v>
      </c>
      <c r="E1102">
        <v>-20399</v>
      </c>
      <c r="F1102" t="s">
        <v>23</v>
      </c>
      <c r="G1102" t="s">
        <v>24</v>
      </c>
      <c r="H1102" t="s">
        <v>79</v>
      </c>
      <c r="I1102" t="s">
        <v>26</v>
      </c>
      <c r="J1102" t="s">
        <v>34</v>
      </c>
    </row>
    <row r="1103" spans="1:10">
      <c r="A1103" t="s">
        <v>1991</v>
      </c>
      <c r="B1103" t="s">
        <v>1992</v>
      </c>
      <c r="C1103" t="s">
        <v>66</v>
      </c>
      <c r="D1103" t="s">
        <v>61</v>
      </c>
      <c r="E1103">
        <v>-40080</v>
      </c>
      <c r="F1103" t="s">
        <v>62</v>
      </c>
      <c r="G1103" t="s">
        <v>24</v>
      </c>
      <c r="H1103" t="s">
        <v>63</v>
      </c>
      <c r="I1103" t="s">
        <v>39</v>
      </c>
      <c r="J1103" t="s">
        <v>40</v>
      </c>
    </row>
    <row r="1104" spans="1:10">
      <c r="A1104" t="s">
        <v>1993</v>
      </c>
      <c r="B1104" t="s">
        <v>1994</v>
      </c>
      <c r="C1104" t="s">
        <v>174</v>
      </c>
      <c r="D1104" t="s">
        <v>22</v>
      </c>
      <c r="E1104">
        <v>-83884</v>
      </c>
      <c r="F1104" t="s">
        <v>23</v>
      </c>
      <c r="G1104" t="s">
        <v>32</v>
      </c>
      <c r="H1104" t="s">
        <v>25</v>
      </c>
      <c r="I1104" t="s">
        <v>45</v>
      </c>
      <c r="J1104" t="s">
        <v>48</v>
      </c>
    </row>
    <row r="1105" spans="1:10">
      <c r="A1105" t="s">
        <v>1995</v>
      </c>
      <c r="B1105" t="s">
        <v>1632</v>
      </c>
      <c r="C1105" t="s">
        <v>54</v>
      </c>
      <c r="D1105" t="s">
        <v>38</v>
      </c>
      <c r="E1105">
        <v>-32100</v>
      </c>
      <c r="F1105" t="s">
        <v>23</v>
      </c>
      <c r="G1105" t="s">
        <v>32</v>
      </c>
      <c r="H1105" t="s">
        <v>33</v>
      </c>
      <c r="I1105" t="s">
        <v>45</v>
      </c>
      <c r="J1105" t="s">
        <v>34</v>
      </c>
    </row>
    <row r="1106" spans="1:10">
      <c r="A1106" t="s">
        <v>1996</v>
      </c>
      <c r="B1106" t="s">
        <v>1115</v>
      </c>
      <c r="C1106" t="s">
        <v>37</v>
      </c>
      <c r="D1106" t="s">
        <v>38</v>
      </c>
      <c r="E1106">
        <v>-24950</v>
      </c>
      <c r="F1106" t="s">
        <v>23</v>
      </c>
      <c r="G1106" t="s">
        <v>24</v>
      </c>
      <c r="H1106" t="s">
        <v>33</v>
      </c>
      <c r="I1106" t="s">
        <v>45</v>
      </c>
      <c r="J1106" t="s">
        <v>48</v>
      </c>
    </row>
    <row r="1107" spans="1:10">
      <c r="A1107" t="s">
        <v>1997</v>
      </c>
      <c r="B1107" t="s">
        <v>492</v>
      </c>
      <c r="C1107" t="s">
        <v>100</v>
      </c>
      <c r="D1107" t="s">
        <v>31</v>
      </c>
      <c r="E1107">
        <v>-9015</v>
      </c>
      <c r="F1107" t="s">
        <v>23</v>
      </c>
      <c r="G1107" t="s">
        <v>32</v>
      </c>
      <c r="H1107" t="s">
        <v>33</v>
      </c>
      <c r="I1107" t="s">
        <v>45</v>
      </c>
      <c r="J1107" t="s">
        <v>48</v>
      </c>
    </row>
    <row r="1108" spans="1:10">
      <c r="A1108" t="s">
        <v>1998</v>
      </c>
      <c r="B1108" t="s">
        <v>821</v>
      </c>
      <c r="C1108" t="s">
        <v>283</v>
      </c>
      <c r="D1108" t="s">
        <v>44</v>
      </c>
      <c r="E1108">
        <v>-174606</v>
      </c>
      <c r="F1108" t="s">
        <v>23</v>
      </c>
      <c r="G1108" t="s">
        <v>32</v>
      </c>
      <c r="H1108" t="s">
        <v>33</v>
      </c>
      <c r="I1108" t="s">
        <v>45</v>
      </c>
      <c r="J1108" t="s">
        <v>34</v>
      </c>
    </row>
    <row r="1109" spans="1:10">
      <c r="A1109" t="s">
        <v>1999</v>
      </c>
      <c r="B1109" t="s">
        <v>2000</v>
      </c>
      <c r="C1109" t="s">
        <v>43</v>
      </c>
      <c r="D1109" t="s">
        <v>44</v>
      </c>
      <c r="E1109">
        <v>-119315</v>
      </c>
      <c r="F1109" t="s">
        <v>23</v>
      </c>
      <c r="G1109" t="s">
        <v>24</v>
      </c>
      <c r="H1109" t="s">
        <v>33</v>
      </c>
      <c r="I1109" t="s">
        <v>45</v>
      </c>
      <c r="J1109" t="s">
        <v>34</v>
      </c>
    </row>
    <row r="1110" spans="1:10">
      <c r="A1110" t="s">
        <v>2001</v>
      </c>
      <c r="B1110" t="s">
        <v>2002</v>
      </c>
      <c r="C1110" t="s">
        <v>339</v>
      </c>
      <c r="D1110" t="s">
        <v>157</v>
      </c>
      <c r="E1110">
        <v>666004</v>
      </c>
      <c r="F1110" t="s">
        <v>62</v>
      </c>
      <c r="G1110" t="s">
        <v>32</v>
      </c>
      <c r="H1110" t="s">
        <v>25</v>
      </c>
      <c r="I1110" t="s">
        <v>39</v>
      </c>
      <c r="J1110" t="s">
        <v>34</v>
      </c>
    </row>
    <row r="1111" spans="1:10">
      <c r="A1111" t="s">
        <v>2003</v>
      </c>
      <c r="B1111" t="s">
        <v>138</v>
      </c>
      <c r="C1111" t="s">
        <v>103</v>
      </c>
      <c r="D1111" t="s">
        <v>78</v>
      </c>
      <c r="E1111">
        <v>-57706</v>
      </c>
      <c r="F1111" t="s">
        <v>23</v>
      </c>
      <c r="G1111" t="s">
        <v>24</v>
      </c>
      <c r="H1111" t="s">
        <v>79</v>
      </c>
      <c r="I1111" t="s">
        <v>39</v>
      </c>
      <c r="J1111" t="s">
        <v>34</v>
      </c>
    </row>
    <row r="1112" spans="1:10">
      <c r="A1112" t="s">
        <v>2004</v>
      </c>
      <c r="B1112" t="s">
        <v>587</v>
      </c>
      <c r="C1112" t="s">
        <v>174</v>
      </c>
      <c r="D1112" t="s">
        <v>22</v>
      </c>
      <c r="E1112">
        <v>-200361</v>
      </c>
      <c r="F1112" t="s">
        <v>23</v>
      </c>
      <c r="G1112" t="s">
        <v>24</v>
      </c>
      <c r="H1112" t="s">
        <v>25</v>
      </c>
      <c r="I1112" t="s">
        <v>26</v>
      </c>
      <c r="J1112" t="s">
        <v>27</v>
      </c>
    </row>
    <row r="1113" spans="1:10">
      <c r="A1113" t="s">
        <v>2005</v>
      </c>
      <c r="B1113" t="s">
        <v>651</v>
      </c>
      <c r="C1113" t="s">
        <v>84</v>
      </c>
      <c r="D1113" t="s">
        <v>78</v>
      </c>
      <c r="E1113">
        <v>-27166</v>
      </c>
      <c r="F1113" t="s">
        <v>23</v>
      </c>
      <c r="G1113" t="s">
        <v>32</v>
      </c>
      <c r="H1113" t="s">
        <v>79</v>
      </c>
      <c r="I1113" t="s">
        <v>26</v>
      </c>
      <c r="J1113" t="s">
        <v>27</v>
      </c>
    </row>
    <row r="1114" spans="1:10">
      <c r="A1114" t="s">
        <v>2006</v>
      </c>
      <c r="B1114" t="s">
        <v>2007</v>
      </c>
      <c r="C1114" t="s">
        <v>2008</v>
      </c>
      <c r="D1114" t="s">
        <v>136</v>
      </c>
      <c r="E1114">
        <v>-10306083</v>
      </c>
      <c r="F1114" t="s">
        <v>62</v>
      </c>
      <c r="G1114" t="s">
        <v>32</v>
      </c>
      <c r="H1114" t="s">
        <v>63</v>
      </c>
      <c r="I1114" t="s">
        <v>45</v>
      </c>
      <c r="J1114" t="s">
        <v>34</v>
      </c>
    </row>
    <row r="1115" spans="1:10">
      <c r="A1115" t="s">
        <v>2009</v>
      </c>
      <c r="B1115" t="s">
        <v>613</v>
      </c>
      <c r="C1115" t="s">
        <v>100</v>
      </c>
      <c r="D1115" t="s">
        <v>31</v>
      </c>
      <c r="E1115">
        <v>-21049</v>
      </c>
      <c r="F1115" t="s">
        <v>23</v>
      </c>
      <c r="G1115" t="s">
        <v>24</v>
      </c>
      <c r="H1115" t="s">
        <v>33</v>
      </c>
      <c r="I1115" t="s">
        <v>26</v>
      </c>
      <c r="J1115" t="s">
        <v>34</v>
      </c>
    </row>
    <row r="1116" spans="1:10">
      <c r="A1116" t="s">
        <v>2010</v>
      </c>
      <c r="B1116" t="s">
        <v>1413</v>
      </c>
      <c r="C1116" t="s">
        <v>93</v>
      </c>
      <c r="D1116" t="s">
        <v>73</v>
      </c>
      <c r="E1116">
        <v>-53472</v>
      </c>
      <c r="F1116" t="s">
        <v>74</v>
      </c>
      <c r="G1116" t="s">
        <v>24</v>
      </c>
      <c r="H1116" t="s">
        <v>25</v>
      </c>
      <c r="I1116" t="s">
        <v>45</v>
      </c>
      <c r="J1116" t="s">
        <v>27</v>
      </c>
    </row>
    <row r="1117" spans="1:10">
      <c r="A1117" t="s">
        <v>2011</v>
      </c>
      <c r="B1117" t="s">
        <v>2012</v>
      </c>
      <c r="C1117" t="s">
        <v>106</v>
      </c>
      <c r="E1117">
        <v>-15107</v>
      </c>
      <c r="F1117" t="s">
        <v>23</v>
      </c>
      <c r="G1117" t="s">
        <v>32</v>
      </c>
      <c r="H1117" t="s">
        <v>33</v>
      </c>
      <c r="I1117" t="s">
        <v>26</v>
      </c>
      <c r="J1117" t="s">
        <v>48</v>
      </c>
    </row>
    <row r="1118" spans="1:10">
      <c r="A1118" t="s">
        <v>2013</v>
      </c>
      <c r="B1118" t="s">
        <v>547</v>
      </c>
      <c r="C1118" t="s">
        <v>66</v>
      </c>
      <c r="D1118" t="s">
        <v>61</v>
      </c>
      <c r="E1118">
        <v>-61687</v>
      </c>
      <c r="F1118" t="s">
        <v>62</v>
      </c>
      <c r="G1118" t="s">
        <v>32</v>
      </c>
      <c r="H1118" t="s">
        <v>63</v>
      </c>
      <c r="I1118" t="s">
        <v>26</v>
      </c>
      <c r="J1118" t="s">
        <v>34</v>
      </c>
    </row>
    <row r="1119" spans="1:10">
      <c r="A1119" t="s">
        <v>2014</v>
      </c>
      <c r="B1119" t="s">
        <v>1349</v>
      </c>
      <c r="C1119" t="s">
        <v>126</v>
      </c>
      <c r="D1119" t="s">
        <v>31</v>
      </c>
      <c r="E1119">
        <v>-15156</v>
      </c>
      <c r="F1119" t="s">
        <v>23</v>
      </c>
      <c r="G1119" t="s">
        <v>32</v>
      </c>
      <c r="H1119" t="s">
        <v>33</v>
      </c>
      <c r="I1119" t="s">
        <v>39</v>
      </c>
      <c r="J1119" t="s">
        <v>27</v>
      </c>
    </row>
    <row r="1120" spans="1:10">
      <c r="A1120" t="s">
        <v>2015</v>
      </c>
      <c r="B1120" t="s">
        <v>1337</v>
      </c>
      <c r="C1120" t="s">
        <v>215</v>
      </c>
      <c r="D1120" t="s">
        <v>61</v>
      </c>
      <c r="E1120">
        <v>-32934</v>
      </c>
      <c r="F1120" t="s">
        <v>62</v>
      </c>
      <c r="G1120" t="s">
        <v>32</v>
      </c>
      <c r="H1120" t="s">
        <v>63</v>
      </c>
      <c r="I1120" t="s">
        <v>39</v>
      </c>
      <c r="J1120" t="s">
        <v>40</v>
      </c>
    </row>
    <row r="1121" spans="1:10">
      <c r="A1121" t="s">
        <v>2016</v>
      </c>
      <c r="B1121" t="s">
        <v>2017</v>
      </c>
      <c r="C1121" t="s">
        <v>202</v>
      </c>
      <c r="D1121" t="s">
        <v>22</v>
      </c>
      <c r="E1121">
        <v>-35872</v>
      </c>
      <c r="F1121" t="s">
        <v>23</v>
      </c>
      <c r="G1121" t="s">
        <v>32</v>
      </c>
      <c r="H1121" t="s">
        <v>25</v>
      </c>
      <c r="I1121" t="s">
        <v>26</v>
      </c>
      <c r="J1121" t="s">
        <v>48</v>
      </c>
    </row>
    <row r="1122" spans="1:10">
      <c r="A1122" t="s">
        <v>2018</v>
      </c>
      <c r="B1122" t="s">
        <v>195</v>
      </c>
      <c r="C1122" t="s">
        <v>77</v>
      </c>
      <c r="D1122" t="s">
        <v>1001</v>
      </c>
      <c r="E1122">
        <v>-114751</v>
      </c>
      <c r="F1122" t="s">
        <v>23</v>
      </c>
      <c r="G1122" t="s">
        <v>24</v>
      </c>
      <c r="H1122" t="s">
        <v>79</v>
      </c>
      <c r="I1122" t="s">
        <v>39</v>
      </c>
      <c r="J1122" t="s">
        <v>27</v>
      </c>
    </row>
    <row r="1123" spans="1:10">
      <c r="A1123" t="s">
        <v>2019</v>
      </c>
      <c r="B1123" t="s">
        <v>1940</v>
      </c>
      <c r="C1123" t="s">
        <v>69</v>
      </c>
      <c r="D1123" t="s">
        <v>38</v>
      </c>
      <c r="E1123">
        <v>-20448</v>
      </c>
      <c r="F1123" t="s">
        <v>23</v>
      </c>
      <c r="G1123" t="s">
        <v>32</v>
      </c>
      <c r="H1123" t="s">
        <v>33</v>
      </c>
      <c r="I1123" t="s">
        <v>45</v>
      </c>
      <c r="J1123" t="s">
        <v>27</v>
      </c>
    </row>
    <row r="1124" spans="1:10">
      <c r="A1124" t="s">
        <v>2020</v>
      </c>
      <c r="B1124" t="s">
        <v>1349</v>
      </c>
      <c r="C1124" t="s">
        <v>802</v>
      </c>
      <c r="D1124" t="s">
        <v>440</v>
      </c>
      <c r="E1124">
        <v>-128049</v>
      </c>
      <c r="F1124" t="s">
        <v>23</v>
      </c>
      <c r="G1124" t="s">
        <v>32</v>
      </c>
      <c r="H1124" t="s">
        <v>33</v>
      </c>
      <c r="I1124" t="s">
        <v>39</v>
      </c>
      <c r="J1124" t="s">
        <v>27</v>
      </c>
    </row>
    <row r="1125" spans="1:10">
      <c r="A1125" t="s">
        <v>2021</v>
      </c>
      <c r="B1125" t="s">
        <v>2022</v>
      </c>
      <c r="C1125" t="s">
        <v>180</v>
      </c>
      <c r="D1125" t="s">
        <v>44</v>
      </c>
      <c r="E1125">
        <v>-131532</v>
      </c>
      <c r="F1125" t="s">
        <v>23</v>
      </c>
      <c r="G1125" t="s">
        <v>32</v>
      </c>
      <c r="H1125" t="s">
        <v>33</v>
      </c>
      <c r="I1125" t="s">
        <v>39</v>
      </c>
      <c r="J1125" t="s">
        <v>34</v>
      </c>
    </row>
    <row r="1126" spans="1:10">
      <c r="A1126" t="s">
        <v>2023</v>
      </c>
      <c r="B1126" t="s">
        <v>699</v>
      </c>
      <c r="C1126" t="s">
        <v>54</v>
      </c>
      <c r="D1126" t="s">
        <v>38</v>
      </c>
      <c r="E1126">
        <v>-32433</v>
      </c>
      <c r="F1126" t="s">
        <v>23</v>
      </c>
      <c r="G1126" t="s">
        <v>24</v>
      </c>
      <c r="H1126" t="s">
        <v>33</v>
      </c>
      <c r="I1126" t="s">
        <v>45</v>
      </c>
      <c r="J1126" t="s">
        <v>48</v>
      </c>
    </row>
    <row r="1127" spans="1:10">
      <c r="A1127" t="s">
        <v>2024</v>
      </c>
      <c r="B1127" t="s">
        <v>2025</v>
      </c>
      <c r="C1127" t="s">
        <v>519</v>
      </c>
      <c r="D1127" t="s">
        <v>248</v>
      </c>
      <c r="E1127">
        <v>-85998</v>
      </c>
      <c r="F1127" t="s">
        <v>23</v>
      </c>
      <c r="G1127" t="s">
        <v>32</v>
      </c>
      <c r="H1127" t="s">
        <v>33</v>
      </c>
      <c r="I1127" t="s">
        <v>26</v>
      </c>
      <c r="J1127" t="s">
        <v>40</v>
      </c>
    </row>
    <row r="1128" spans="1:10">
      <c r="A1128" t="s">
        <v>2026</v>
      </c>
      <c r="B1128" t="s">
        <v>1228</v>
      </c>
      <c r="C1128" t="s">
        <v>116</v>
      </c>
      <c r="D1128" t="s">
        <v>302</v>
      </c>
      <c r="E1128">
        <v>-79826</v>
      </c>
      <c r="F1128" t="s">
        <v>74</v>
      </c>
      <c r="G1128" t="s">
        <v>24</v>
      </c>
      <c r="H1128" t="s">
        <v>25</v>
      </c>
      <c r="I1128" t="s">
        <v>39</v>
      </c>
      <c r="J1128" t="s">
        <v>27</v>
      </c>
    </row>
    <row r="1129" spans="1:10">
      <c r="A1129" t="s">
        <v>2027</v>
      </c>
      <c r="B1129" t="s">
        <v>1709</v>
      </c>
      <c r="C1129" t="s">
        <v>84</v>
      </c>
      <c r="D1129" t="s">
        <v>78</v>
      </c>
      <c r="E1129">
        <v>-115440</v>
      </c>
      <c r="F1129" t="s">
        <v>23</v>
      </c>
      <c r="G1129" t="s">
        <v>32</v>
      </c>
      <c r="H1129" t="s">
        <v>79</v>
      </c>
      <c r="I1129" t="s">
        <v>45</v>
      </c>
      <c r="J1129" t="s">
        <v>48</v>
      </c>
    </row>
    <row r="1130" spans="1:10">
      <c r="A1130" t="s">
        <v>2028</v>
      </c>
      <c r="B1130" t="s">
        <v>2029</v>
      </c>
      <c r="C1130" t="s">
        <v>72</v>
      </c>
      <c r="D1130" t="s">
        <v>73</v>
      </c>
      <c r="E1130">
        <v>-84613</v>
      </c>
      <c r="F1130" t="s">
        <v>74</v>
      </c>
      <c r="G1130" t="s">
        <v>32</v>
      </c>
      <c r="H1130" t="s">
        <v>25</v>
      </c>
      <c r="I1130" t="s">
        <v>39</v>
      </c>
      <c r="J1130" t="s">
        <v>27</v>
      </c>
    </row>
    <row r="1131" spans="1:10">
      <c r="A1131" t="s">
        <v>2030</v>
      </c>
      <c r="B1131" t="s">
        <v>992</v>
      </c>
      <c r="C1131" t="s">
        <v>166</v>
      </c>
      <c r="D1131" t="s">
        <v>31</v>
      </c>
      <c r="E1131">
        <v>-28091</v>
      </c>
      <c r="F1131" t="s">
        <v>23</v>
      </c>
      <c r="G1131" t="s">
        <v>32</v>
      </c>
      <c r="H1131" t="s">
        <v>33</v>
      </c>
      <c r="I1131" t="s">
        <v>26</v>
      </c>
      <c r="J1131" t="s">
        <v>27</v>
      </c>
    </row>
    <row r="1132" spans="1:10">
      <c r="A1132" t="s">
        <v>2031</v>
      </c>
      <c r="B1132" t="s">
        <v>1026</v>
      </c>
      <c r="C1132" t="s">
        <v>237</v>
      </c>
      <c r="D1132" t="s">
        <v>320</v>
      </c>
      <c r="E1132">
        <v>-79125</v>
      </c>
      <c r="F1132" t="s">
        <v>23</v>
      </c>
      <c r="G1132" t="s">
        <v>24</v>
      </c>
      <c r="H1132" t="s">
        <v>25</v>
      </c>
      <c r="I1132" t="s">
        <v>39</v>
      </c>
      <c r="J1132" t="s">
        <v>48</v>
      </c>
    </row>
    <row r="1133" spans="1:10">
      <c r="A1133" t="s">
        <v>2032</v>
      </c>
      <c r="B1133" t="s">
        <v>2033</v>
      </c>
      <c r="C1133" t="s">
        <v>57</v>
      </c>
      <c r="E1133">
        <v>-60470</v>
      </c>
      <c r="F1133" t="s">
        <v>23</v>
      </c>
      <c r="G1133" t="s">
        <v>24</v>
      </c>
      <c r="H1133" t="s">
        <v>33</v>
      </c>
      <c r="I1133" t="s">
        <v>26</v>
      </c>
      <c r="J1133" t="s">
        <v>34</v>
      </c>
    </row>
    <row r="1134" spans="1:10">
      <c r="A1134" t="s">
        <v>2034</v>
      </c>
      <c r="B1134" t="s">
        <v>2035</v>
      </c>
      <c r="C1134" t="s">
        <v>224</v>
      </c>
      <c r="D1134" t="s">
        <v>664</v>
      </c>
      <c r="E1134">
        <v>-16301</v>
      </c>
      <c r="F1134" t="s">
        <v>23</v>
      </c>
      <c r="G1134" t="s">
        <v>32</v>
      </c>
      <c r="H1134" t="s">
        <v>79</v>
      </c>
      <c r="I1134" t="s">
        <v>39</v>
      </c>
      <c r="J1134" t="s">
        <v>27</v>
      </c>
    </row>
    <row r="1135" spans="1:10">
      <c r="A1135" t="s">
        <v>2036</v>
      </c>
      <c r="B1135" t="s">
        <v>2037</v>
      </c>
      <c r="C1135" t="s">
        <v>305</v>
      </c>
      <c r="D1135" t="s">
        <v>38</v>
      </c>
      <c r="E1135">
        <v>-10508</v>
      </c>
      <c r="F1135" t="s">
        <v>23</v>
      </c>
      <c r="G1135" t="s">
        <v>24</v>
      </c>
      <c r="H1135" t="s">
        <v>33</v>
      </c>
      <c r="I1135" t="s">
        <v>45</v>
      </c>
      <c r="J1135" t="s">
        <v>34</v>
      </c>
    </row>
    <row r="1136" spans="1:10">
      <c r="A1136" t="s">
        <v>2038</v>
      </c>
      <c r="B1136" t="s">
        <v>268</v>
      </c>
      <c r="C1136" t="s">
        <v>60</v>
      </c>
      <c r="D1136" t="s">
        <v>61</v>
      </c>
      <c r="E1136">
        <v>-53881</v>
      </c>
      <c r="F1136" t="s">
        <v>62</v>
      </c>
      <c r="G1136" t="s">
        <v>32</v>
      </c>
      <c r="H1136" t="s">
        <v>63</v>
      </c>
      <c r="I1136" t="s">
        <v>39</v>
      </c>
      <c r="J1136" t="s">
        <v>34</v>
      </c>
    </row>
    <row r="1137" spans="1:10">
      <c r="A1137" t="s">
        <v>2039</v>
      </c>
      <c r="B1137" t="s">
        <v>2040</v>
      </c>
      <c r="C1137" t="s">
        <v>293</v>
      </c>
      <c r="D1137" t="s">
        <v>157</v>
      </c>
      <c r="E1137">
        <v>711594</v>
      </c>
      <c r="F1137" t="s">
        <v>62</v>
      </c>
      <c r="G1137" t="s">
        <v>32</v>
      </c>
      <c r="H1137" t="s">
        <v>25</v>
      </c>
      <c r="I1137" t="s">
        <v>39</v>
      </c>
      <c r="J1137" t="s">
        <v>40</v>
      </c>
    </row>
    <row r="1138" spans="1:10">
      <c r="A1138" t="s">
        <v>2041</v>
      </c>
      <c r="B1138" t="s">
        <v>838</v>
      </c>
      <c r="C1138" t="s">
        <v>215</v>
      </c>
      <c r="D1138" t="s">
        <v>61</v>
      </c>
      <c r="E1138">
        <v>-25984</v>
      </c>
      <c r="F1138" t="s">
        <v>62</v>
      </c>
      <c r="G1138" t="s">
        <v>24</v>
      </c>
      <c r="H1138" t="s">
        <v>63</v>
      </c>
      <c r="I1138" t="s">
        <v>45</v>
      </c>
      <c r="J1138" t="s">
        <v>27</v>
      </c>
    </row>
    <row r="1139" spans="1:10">
      <c r="A1139" t="s">
        <v>2042</v>
      </c>
      <c r="B1139" t="s">
        <v>1803</v>
      </c>
      <c r="C1139" t="s">
        <v>616</v>
      </c>
      <c r="D1139" t="s">
        <v>22</v>
      </c>
      <c r="E1139">
        <v>-177843</v>
      </c>
      <c r="F1139" t="s">
        <v>23</v>
      </c>
      <c r="G1139" t="s">
        <v>32</v>
      </c>
      <c r="H1139" t="s">
        <v>25</v>
      </c>
      <c r="I1139" t="s">
        <v>39</v>
      </c>
      <c r="J1139" t="s">
        <v>48</v>
      </c>
    </row>
    <row r="1140" spans="1:10">
      <c r="A1140" t="s">
        <v>1229</v>
      </c>
      <c r="B1140" t="s">
        <v>1230</v>
      </c>
      <c r="C1140" t="s">
        <v>237</v>
      </c>
      <c r="D1140" t="s">
        <v>22</v>
      </c>
      <c r="E1140">
        <v>-173986</v>
      </c>
      <c r="F1140" t="s">
        <v>23</v>
      </c>
      <c r="G1140" t="s">
        <v>32</v>
      </c>
      <c r="H1140" t="s">
        <v>25</v>
      </c>
      <c r="I1140" t="s">
        <v>26</v>
      </c>
      <c r="J1140" t="s">
        <v>34</v>
      </c>
    </row>
    <row r="1141" spans="1:10">
      <c r="A1141" t="s">
        <v>2043</v>
      </c>
      <c r="B1141" t="s">
        <v>2044</v>
      </c>
      <c r="C1141" t="s">
        <v>57</v>
      </c>
      <c r="D1141" t="s">
        <v>44</v>
      </c>
      <c r="E1141">
        <v>-46858</v>
      </c>
      <c r="F1141" t="s">
        <v>23</v>
      </c>
      <c r="G1141" t="s">
        <v>24</v>
      </c>
      <c r="H1141" t="s">
        <v>33</v>
      </c>
      <c r="I1141" t="s">
        <v>45</v>
      </c>
      <c r="J1141" t="s">
        <v>40</v>
      </c>
    </row>
    <row r="1142" spans="1:10">
      <c r="A1142" t="s">
        <v>2045</v>
      </c>
      <c r="B1142" t="s">
        <v>1550</v>
      </c>
      <c r="C1142" t="s">
        <v>215</v>
      </c>
      <c r="D1142" t="s">
        <v>61</v>
      </c>
      <c r="E1142">
        <v>-44187</v>
      </c>
      <c r="F1142" t="s">
        <v>62</v>
      </c>
      <c r="G1142" t="s">
        <v>24</v>
      </c>
      <c r="H1142" t="s">
        <v>63</v>
      </c>
      <c r="I1142" t="s">
        <v>39</v>
      </c>
      <c r="J1142" t="s">
        <v>34</v>
      </c>
    </row>
    <row r="1143" spans="1:10">
      <c r="A1143" t="s">
        <v>2046</v>
      </c>
      <c r="B1143" t="s">
        <v>827</v>
      </c>
      <c r="C1143" t="s">
        <v>51</v>
      </c>
      <c r="D1143" t="s">
        <v>31</v>
      </c>
      <c r="E1143">
        <v>-20275</v>
      </c>
      <c r="F1143" t="s">
        <v>23</v>
      </c>
      <c r="G1143" t="s">
        <v>32</v>
      </c>
      <c r="H1143" t="s">
        <v>33</v>
      </c>
      <c r="I1143" t="s">
        <v>45</v>
      </c>
      <c r="J1143" t="s">
        <v>34</v>
      </c>
    </row>
    <row r="1144" spans="1:10">
      <c r="A1144" t="s">
        <v>2047</v>
      </c>
      <c r="B1144" t="s">
        <v>1632</v>
      </c>
      <c r="C1144" t="s">
        <v>116</v>
      </c>
      <c r="D1144" t="s">
        <v>73</v>
      </c>
      <c r="E1144">
        <v>-15854</v>
      </c>
      <c r="F1144" t="s">
        <v>74</v>
      </c>
      <c r="G1144" t="s">
        <v>32</v>
      </c>
      <c r="H1144" t="s">
        <v>25</v>
      </c>
      <c r="I1144" t="s">
        <v>45</v>
      </c>
      <c r="J1144" t="s">
        <v>34</v>
      </c>
    </row>
    <row r="1145" spans="1:10">
      <c r="A1145" t="s">
        <v>2048</v>
      </c>
      <c r="B1145" t="s">
        <v>2049</v>
      </c>
      <c r="C1145" t="s">
        <v>116</v>
      </c>
      <c r="E1145">
        <v>-65878</v>
      </c>
      <c r="F1145" t="s">
        <v>74</v>
      </c>
      <c r="G1145" t="s">
        <v>24</v>
      </c>
      <c r="H1145" t="s">
        <v>25</v>
      </c>
      <c r="I1145" t="s">
        <v>26</v>
      </c>
      <c r="J1145" t="s">
        <v>27</v>
      </c>
    </row>
    <row r="1146" spans="1:10">
      <c r="A1146" t="s">
        <v>2050</v>
      </c>
      <c r="B1146" t="s">
        <v>241</v>
      </c>
      <c r="C1146" t="s">
        <v>93</v>
      </c>
      <c r="D1146" t="s">
        <v>73</v>
      </c>
      <c r="E1146">
        <v>-44223</v>
      </c>
      <c r="F1146" t="s">
        <v>74</v>
      </c>
      <c r="G1146" t="s">
        <v>24</v>
      </c>
      <c r="H1146" t="s">
        <v>25</v>
      </c>
      <c r="I1146" t="s">
        <v>39</v>
      </c>
      <c r="J1146" t="s">
        <v>40</v>
      </c>
    </row>
    <row r="1147" spans="1:10">
      <c r="A1147" t="s">
        <v>2051</v>
      </c>
      <c r="B1147" t="s">
        <v>618</v>
      </c>
      <c r="C1147" t="s">
        <v>69</v>
      </c>
      <c r="D1147" t="s">
        <v>38</v>
      </c>
      <c r="E1147">
        <v>-50335</v>
      </c>
      <c r="F1147" t="s">
        <v>23</v>
      </c>
      <c r="G1147" t="s">
        <v>24</v>
      </c>
      <c r="H1147" t="s">
        <v>33</v>
      </c>
      <c r="I1147" t="s">
        <v>26</v>
      </c>
      <c r="J1147" t="s">
        <v>40</v>
      </c>
    </row>
    <row r="1148" spans="1:10">
      <c r="A1148" t="s">
        <v>2052</v>
      </c>
      <c r="B1148" t="s">
        <v>1415</v>
      </c>
      <c r="C1148" t="s">
        <v>60</v>
      </c>
      <c r="D1148" t="s">
        <v>61</v>
      </c>
      <c r="E1148">
        <v>-28665</v>
      </c>
      <c r="F1148" t="s">
        <v>62</v>
      </c>
      <c r="G1148" t="s">
        <v>32</v>
      </c>
      <c r="H1148" t="s">
        <v>63</v>
      </c>
      <c r="I1148" t="s">
        <v>26</v>
      </c>
      <c r="J1148" t="s">
        <v>48</v>
      </c>
    </row>
    <row r="1149" spans="1:10">
      <c r="A1149" t="s">
        <v>2053</v>
      </c>
      <c r="B1149" t="s">
        <v>1738</v>
      </c>
      <c r="C1149" t="s">
        <v>116</v>
      </c>
      <c r="D1149" t="s">
        <v>73</v>
      </c>
      <c r="E1149">
        <v>-61864</v>
      </c>
      <c r="F1149" t="s">
        <v>74</v>
      </c>
      <c r="G1149" t="s">
        <v>32</v>
      </c>
      <c r="H1149" t="s">
        <v>25</v>
      </c>
      <c r="I1149" t="s">
        <v>39</v>
      </c>
      <c r="J1149" t="s">
        <v>48</v>
      </c>
    </row>
    <row r="1150" spans="1:10">
      <c r="A1150" t="s">
        <v>2054</v>
      </c>
      <c r="B1150" t="s">
        <v>2055</v>
      </c>
      <c r="C1150" t="s">
        <v>255</v>
      </c>
      <c r="D1150" t="s">
        <v>22</v>
      </c>
      <c r="E1150">
        <v>-119201</v>
      </c>
      <c r="F1150" t="s">
        <v>23</v>
      </c>
      <c r="G1150" t="s">
        <v>24</v>
      </c>
      <c r="H1150" t="s">
        <v>25</v>
      </c>
      <c r="I1150" t="s">
        <v>45</v>
      </c>
      <c r="J1150" t="s">
        <v>27</v>
      </c>
    </row>
    <row r="1151" spans="1:10">
      <c r="A1151" t="s">
        <v>2056</v>
      </c>
      <c r="B1151" t="s">
        <v>901</v>
      </c>
      <c r="C1151" t="s">
        <v>156</v>
      </c>
      <c r="D1151" t="s">
        <v>157</v>
      </c>
      <c r="E1151">
        <v>527122</v>
      </c>
      <c r="F1151" t="s">
        <v>62</v>
      </c>
      <c r="G1151" t="s">
        <v>32</v>
      </c>
      <c r="H1151" t="s">
        <v>25</v>
      </c>
      <c r="I1151" t="s">
        <v>26</v>
      </c>
      <c r="J1151" t="s">
        <v>40</v>
      </c>
    </row>
    <row r="1152" spans="1:10">
      <c r="A1152" t="s">
        <v>2057</v>
      </c>
      <c r="B1152" t="s">
        <v>784</v>
      </c>
      <c r="C1152" t="s">
        <v>174</v>
      </c>
      <c r="E1152">
        <v>-182149</v>
      </c>
      <c r="F1152" t="s">
        <v>23</v>
      </c>
      <c r="G1152" t="s">
        <v>24</v>
      </c>
      <c r="H1152" t="s">
        <v>25</v>
      </c>
      <c r="I1152" t="s">
        <v>26</v>
      </c>
      <c r="J1152" t="s">
        <v>40</v>
      </c>
    </row>
    <row r="1153" spans="1:10">
      <c r="A1153" t="s">
        <v>2058</v>
      </c>
      <c r="B1153" t="s">
        <v>301</v>
      </c>
      <c r="C1153" t="s">
        <v>54</v>
      </c>
      <c r="D1153" t="s">
        <v>38</v>
      </c>
      <c r="E1153">
        <v>-22091</v>
      </c>
      <c r="F1153" t="s">
        <v>23</v>
      </c>
      <c r="G1153" t="s">
        <v>24</v>
      </c>
      <c r="H1153" t="s">
        <v>33</v>
      </c>
      <c r="I1153" t="s">
        <v>26</v>
      </c>
      <c r="J1153" t="s">
        <v>34</v>
      </c>
    </row>
    <row r="1154" spans="1:10">
      <c r="A1154" t="s">
        <v>2059</v>
      </c>
      <c r="B1154" t="s">
        <v>693</v>
      </c>
      <c r="C1154" t="s">
        <v>60</v>
      </c>
      <c r="D1154" t="s">
        <v>61</v>
      </c>
      <c r="E1154">
        <v>-28134</v>
      </c>
      <c r="F1154" t="s">
        <v>62</v>
      </c>
      <c r="G1154" t="s">
        <v>32</v>
      </c>
      <c r="H1154" t="s">
        <v>63</v>
      </c>
      <c r="I1154" t="s">
        <v>45</v>
      </c>
      <c r="J1154" t="s">
        <v>27</v>
      </c>
    </row>
    <row r="1155" spans="1:10">
      <c r="A1155" t="s">
        <v>2060</v>
      </c>
      <c r="B1155" t="s">
        <v>1658</v>
      </c>
      <c r="C1155" t="s">
        <v>215</v>
      </c>
      <c r="D1155" t="s">
        <v>61</v>
      </c>
      <c r="E1155">
        <v>-63211</v>
      </c>
      <c r="F1155" t="s">
        <v>62</v>
      </c>
      <c r="G1155" t="s">
        <v>32</v>
      </c>
      <c r="H1155" t="s">
        <v>63</v>
      </c>
      <c r="I1155" t="s">
        <v>26</v>
      </c>
      <c r="J1155" t="s">
        <v>48</v>
      </c>
    </row>
    <row r="1156" spans="1:10">
      <c r="A1156" t="s">
        <v>2061</v>
      </c>
      <c r="B1156" t="s">
        <v>2062</v>
      </c>
      <c r="C1156" t="s">
        <v>215</v>
      </c>
      <c r="D1156" t="s">
        <v>61</v>
      </c>
      <c r="E1156">
        <v>-32270</v>
      </c>
      <c r="F1156" t="s">
        <v>62</v>
      </c>
      <c r="G1156" t="s">
        <v>32</v>
      </c>
      <c r="H1156" t="s">
        <v>63</v>
      </c>
      <c r="I1156" t="s">
        <v>39</v>
      </c>
      <c r="J1156" t="s">
        <v>48</v>
      </c>
    </row>
    <row r="1157" spans="1:10">
      <c r="A1157" t="s">
        <v>2063</v>
      </c>
      <c r="B1157" t="s">
        <v>760</v>
      </c>
      <c r="C1157" t="s">
        <v>166</v>
      </c>
      <c r="D1157" t="s">
        <v>31</v>
      </c>
      <c r="E1157">
        <v>-30609</v>
      </c>
      <c r="F1157" t="s">
        <v>23</v>
      </c>
      <c r="G1157" t="s">
        <v>32</v>
      </c>
      <c r="H1157" t="s">
        <v>33</v>
      </c>
      <c r="I1157" t="s">
        <v>26</v>
      </c>
      <c r="J1157" t="s">
        <v>48</v>
      </c>
    </row>
    <row r="1158" spans="1:10">
      <c r="A1158" t="s">
        <v>2064</v>
      </c>
      <c r="B1158" t="s">
        <v>2065</v>
      </c>
      <c r="C1158" t="s">
        <v>215</v>
      </c>
      <c r="D1158" t="s">
        <v>61</v>
      </c>
      <c r="E1158">
        <v>-49205</v>
      </c>
      <c r="F1158" t="s">
        <v>62</v>
      </c>
      <c r="G1158" t="s">
        <v>24</v>
      </c>
      <c r="H1158" t="s">
        <v>63</v>
      </c>
      <c r="I1158" t="s">
        <v>39</v>
      </c>
      <c r="J1158" t="s">
        <v>27</v>
      </c>
    </row>
    <row r="1159" spans="1:10">
      <c r="A1159" t="s">
        <v>2066</v>
      </c>
      <c r="B1159" t="s">
        <v>2067</v>
      </c>
      <c r="C1159" t="s">
        <v>1039</v>
      </c>
      <c r="D1159" t="s">
        <v>440</v>
      </c>
      <c r="E1159">
        <v>-159130</v>
      </c>
      <c r="F1159" t="s">
        <v>23</v>
      </c>
      <c r="G1159" t="s">
        <v>24</v>
      </c>
      <c r="H1159" t="s">
        <v>33</v>
      </c>
      <c r="I1159" t="s">
        <v>45</v>
      </c>
      <c r="J1159" t="s">
        <v>40</v>
      </c>
    </row>
    <row r="1160" spans="1:10">
      <c r="A1160" t="s">
        <v>2068</v>
      </c>
      <c r="B1160" t="s">
        <v>1368</v>
      </c>
      <c r="C1160" t="s">
        <v>54</v>
      </c>
      <c r="D1160" t="s">
        <v>38</v>
      </c>
      <c r="E1160">
        <v>-43758</v>
      </c>
      <c r="F1160" t="s">
        <v>23</v>
      </c>
      <c r="G1160" t="s">
        <v>24</v>
      </c>
      <c r="H1160" t="s">
        <v>33</v>
      </c>
      <c r="I1160" t="s">
        <v>26</v>
      </c>
      <c r="J1160" t="s">
        <v>48</v>
      </c>
    </row>
    <row r="1161" spans="1:10">
      <c r="A1161" t="s">
        <v>2069</v>
      </c>
      <c r="B1161" t="s">
        <v>2070</v>
      </c>
      <c r="C1161" t="s">
        <v>132</v>
      </c>
      <c r="D1161" t="s">
        <v>302</v>
      </c>
      <c r="E1161">
        <v>-13845</v>
      </c>
      <c r="F1161" t="s">
        <v>74</v>
      </c>
      <c r="G1161" t="s">
        <v>32</v>
      </c>
      <c r="H1161" t="s">
        <v>25</v>
      </c>
      <c r="I1161" t="s">
        <v>39</v>
      </c>
      <c r="J1161" t="s">
        <v>27</v>
      </c>
    </row>
    <row r="1162" spans="1:10">
      <c r="A1162" t="s">
        <v>2071</v>
      </c>
      <c r="B1162" t="s">
        <v>631</v>
      </c>
      <c r="C1162" t="s">
        <v>1676</v>
      </c>
      <c r="D1162" t="s">
        <v>73</v>
      </c>
      <c r="E1162">
        <v>-22530</v>
      </c>
      <c r="F1162" t="s">
        <v>74</v>
      </c>
      <c r="G1162" t="s">
        <v>32</v>
      </c>
      <c r="H1162" t="s">
        <v>25</v>
      </c>
      <c r="I1162" t="s">
        <v>26</v>
      </c>
      <c r="J1162" t="s">
        <v>34</v>
      </c>
    </row>
    <row r="1163" spans="1:10">
      <c r="A1163" t="s">
        <v>2072</v>
      </c>
      <c r="B1163" t="s">
        <v>247</v>
      </c>
      <c r="C1163" t="s">
        <v>66</v>
      </c>
      <c r="D1163" t="s">
        <v>61</v>
      </c>
      <c r="E1163">
        <v>-35724</v>
      </c>
      <c r="F1163" t="s">
        <v>62</v>
      </c>
      <c r="G1163" t="s">
        <v>24</v>
      </c>
      <c r="H1163" t="s">
        <v>63</v>
      </c>
      <c r="I1163" t="s">
        <v>39</v>
      </c>
      <c r="J1163" t="s">
        <v>27</v>
      </c>
    </row>
    <row r="1164" spans="1:10">
      <c r="A1164" t="s">
        <v>2073</v>
      </c>
      <c r="B1164" t="s">
        <v>243</v>
      </c>
      <c r="C1164" t="s">
        <v>66</v>
      </c>
      <c r="D1164" t="s">
        <v>61</v>
      </c>
      <c r="E1164">
        <v>-40459</v>
      </c>
      <c r="F1164" t="s">
        <v>62</v>
      </c>
      <c r="G1164" t="s">
        <v>32</v>
      </c>
      <c r="H1164" t="s">
        <v>63</v>
      </c>
      <c r="I1164" t="s">
        <v>45</v>
      </c>
      <c r="J1164" t="s">
        <v>27</v>
      </c>
    </row>
    <row r="1165" spans="1:10">
      <c r="A1165" t="s">
        <v>2074</v>
      </c>
      <c r="B1165" t="s">
        <v>405</v>
      </c>
      <c r="C1165" t="s">
        <v>93</v>
      </c>
      <c r="D1165" t="s">
        <v>73</v>
      </c>
      <c r="E1165">
        <v>-16294</v>
      </c>
      <c r="F1165" t="s">
        <v>74</v>
      </c>
      <c r="G1165" t="s">
        <v>32</v>
      </c>
      <c r="H1165" t="s">
        <v>25</v>
      </c>
      <c r="I1165" t="s">
        <v>45</v>
      </c>
      <c r="J1165" t="s">
        <v>27</v>
      </c>
    </row>
    <row r="1166" spans="1:10">
      <c r="A1166" t="s">
        <v>2075</v>
      </c>
      <c r="B1166" t="s">
        <v>1034</v>
      </c>
      <c r="C1166" t="s">
        <v>77</v>
      </c>
      <c r="D1166" t="s">
        <v>78</v>
      </c>
      <c r="E1166">
        <v>-47543</v>
      </c>
      <c r="F1166" t="s">
        <v>23</v>
      </c>
      <c r="G1166" t="s">
        <v>32</v>
      </c>
      <c r="H1166" t="s">
        <v>79</v>
      </c>
      <c r="I1166" t="s">
        <v>39</v>
      </c>
      <c r="J1166" t="s">
        <v>40</v>
      </c>
    </row>
    <row r="1167" spans="1:10">
      <c r="A1167" t="s">
        <v>2076</v>
      </c>
      <c r="B1167" t="s">
        <v>2077</v>
      </c>
      <c r="C1167" t="s">
        <v>51</v>
      </c>
      <c r="D1167" t="s">
        <v>31</v>
      </c>
      <c r="E1167">
        <v>-41728</v>
      </c>
      <c r="F1167" t="s">
        <v>23</v>
      </c>
      <c r="G1167" t="s">
        <v>32</v>
      </c>
      <c r="H1167" t="s">
        <v>33</v>
      </c>
      <c r="I1167" t="s">
        <v>26</v>
      </c>
      <c r="J1167" t="s">
        <v>40</v>
      </c>
    </row>
    <row r="1168" spans="1:10">
      <c r="A1168" t="s">
        <v>2078</v>
      </c>
      <c r="B1168" t="s">
        <v>970</v>
      </c>
      <c r="C1168" t="s">
        <v>192</v>
      </c>
      <c r="D1168" t="s">
        <v>22</v>
      </c>
      <c r="E1168">
        <v>-214056</v>
      </c>
      <c r="F1168" t="s">
        <v>23</v>
      </c>
      <c r="G1168" t="s">
        <v>32</v>
      </c>
      <c r="H1168" t="s">
        <v>25</v>
      </c>
      <c r="I1168" t="s">
        <v>26</v>
      </c>
      <c r="J1168" t="s">
        <v>48</v>
      </c>
    </row>
    <row r="1169" spans="1:10">
      <c r="A1169" t="s">
        <v>2079</v>
      </c>
      <c r="B1169" t="s">
        <v>2080</v>
      </c>
      <c r="C1169" t="s">
        <v>66</v>
      </c>
      <c r="D1169" t="s">
        <v>61</v>
      </c>
      <c r="E1169">
        <v>-50707</v>
      </c>
      <c r="F1169" t="s">
        <v>62</v>
      </c>
      <c r="G1169" t="s">
        <v>24</v>
      </c>
      <c r="H1169" t="s">
        <v>63</v>
      </c>
      <c r="I1169" t="s">
        <v>39</v>
      </c>
      <c r="J1169" t="s">
        <v>34</v>
      </c>
    </row>
    <row r="1170" spans="1:10">
      <c r="A1170" t="s">
        <v>2081</v>
      </c>
      <c r="B1170" t="s">
        <v>514</v>
      </c>
      <c r="C1170" t="s">
        <v>283</v>
      </c>
      <c r="D1170" t="s">
        <v>44</v>
      </c>
      <c r="E1170">
        <v>-50461</v>
      </c>
      <c r="F1170" t="s">
        <v>23</v>
      </c>
      <c r="G1170" t="s">
        <v>24</v>
      </c>
      <c r="H1170" t="s">
        <v>33</v>
      </c>
      <c r="I1170" t="s">
        <v>45</v>
      </c>
      <c r="J1170" t="s">
        <v>34</v>
      </c>
    </row>
    <row r="1171" spans="1:10">
      <c r="A1171" t="s">
        <v>2082</v>
      </c>
      <c r="B1171" t="s">
        <v>1491</v>
      </c>
      <c r="C1171" t="s">
        <v>616</v>
      </c>
      <c r="D1171" t="s">
        <v>22</v>
      </c>
      <c r="E1171">
        <v>-138533</v>
      </c>
      <c r="F1171" t="s">
        <v>23</v>
      </c>
      <c r="G1171" t="s">
        <v>24</v>
      </c>
      <c r="H1171" t="s">
        <v>25</v>
      </c>
      <c r="I1171" t="s">
        <v>45</v>
      </c>
      <c r="J1171" t="s">
        <v>34</v>
      </c>
    </row>
    <row r="1172" spans="1:10">
      <c r="A1172" t="s">
        <v>2083</v>
      </c>
      <c r="B1172" t="s">
        <v>474</v>
      </c>
      <c r="C1172" t="s">
        <v>310</v>
      </c>
      <c r="D1172" t="s">
        <v>207</v>
      </c>
      <c r="E1172">
        <v>-129334</v>
      </c>
      <c r="F1172" t="s">
        <v>23</v>
      </c>
      <c r="G1172" t="s">
        <v>32</v>
      </c>
      <c r="H1172" t="s">
        <v>25</v>
      </c>
      <c r="I1172" t="s">
        <v>45</v>
      </c>
      <c r="J1172" t="s">
        <v>40</v>
      </c>
    </row>
    <row r="1173" spans="1:10">
      <c r="A1173" t="s">
        <v>2084</v>
      </c>
      <c r="B1173" t="s">
        <v>2085</v>
      </c>
      <c r="C1173" t="s">
        <v>266</v>
      </c>
      <c r="D1173" t="s">
        <v>73</v>
      </c>
      <c r="E1173">
        <v>-24846</v>
      </c>
      <c r="F1173" t="s">
        <v>74</v>
      </c>
      <c r="G1173" t="s">
        <v>32</v>
      </c>
      <c r="H1173" t="s">
        <v>25</v>
      </c>
      <c r="I1173" t="s">
        <v>45</v>
      </c>
      <c r="J1173" t="s">
        <v>27</v>
      </c>
    </row>
    <row r="1174" spans="1:10">
      <c r="A1174" t="s">
        <v>1693</v>
      </c>
      <c r="B1174" t="s">
        <v>784</v>
      </c>
      <c r="C1174" t="s">
        <v>60</v>
      </c>
      <c r="D1174" t="s">
        <v>61</v>
      </c>
      <c r="E1174">
        <v>-25754</v>
      </c>
      <c r="F1174" t="s">
        <v>62</v>
      </c>
      <c r="G1174" t="s">
        <v>24</v>
      </c>
      <c r="H1174" t="s">
        <v>63</v>
      </c>
      <c r="I1174" t="s">
        <v>26</v>
      </c>
      <c r="J1174" t="s">
        <v>40</v>
      </c>
    </row>
    <row r="1175" spans="1:10">
      <c r="A1175" t="s">
        <v>2086</v>
      </c>
      <c r="B1175" t="s">
        <v>1519</v>
      </c>
      <c r="C1175" t="s">
        <v>126</v>
      </c>
      <c r="D1175" t="s">
        <v>31</v>
      </c>
      <c r="E1175">
        <v>-28922</v>
      </c>
      <c r="F1175" t="s">
        <v>23</v>
      </c>
      <c r="G1175" t="s">
        <v>24</v>
      </c>
      <c r="H1175" t="s">
        <v>33</v>
      </c>
      <c r="I1175" t="s">
        <v>39</v>
      </c>
      <c r="J1175" t="s">
        <v>34</v>
      </c>
    </row>
    <row r="1176" spans="1:10">
      <c r="A1176" t="s">
        <v>2087</v>
      </c>
      <c r="B1176" t="s">
        <v>361</v>
      </c>
      <c r="C1176" t="s">
        <v>935</v>
      </c>
      <c r="D1176" t="s">
        <v>22</v>
      </c>
      <c r="E1176">
        <v>-189605</v>
      </c>
      <c r="F1176" t="s">
        <v>23</v>
      </c>
      <c r="G1176" t="s">
        <v>24</v>
      </c>
      <c r="H1176" t="s">
        <v>25</v>
      </c>
      <c r="I1176" t="s">
        <v>45</v>
      </c>
      <c r="J1176" t="s">
        <v>27</v>
      </c>
    </row>
    <row r="1177" spans="1:10">
      <c r="A1177" t="s">
        <v>2088</v>
      </c>
      <c r="B1177" t="s">
        <v>42</v>
      </c>
      <c r="C1177" t="s">
        <v>212</v>
      </c>
      <c r="D1177" t="s">
        <v>73</v>
      </c>
      <c r="E1177">
        <v>-61383</v>
      </c>
      <c r="F1177" t="s">
        <v>74</v>
      </c>
      <c r="G1177" t="s">
        <v>24</v>
      </c>
      <c r="H1177" t="s">
        <v>25</v>
      </c>
      <c r="I1177" t="s">
        <v>45</v>
      </c>
      <c r="J1177" t="s">
        <v>40</v>
      </c>
    </row>
    <row r="1178" spans="1:10">
      <c r="A1178" t="s">
        <v>2089</v>
      </c>
      <c r="B1178" t="s">
        <v>2090</v>
      </c>
      <c r="C1178" t="s">
        <v>519</v>
      </c>
      <c r="D1178" t="s">
        <v>44</v>
      </c>
      <c r="E1178">
        <v>-64089</v>
      </c>
      <c r="F1178" t="s">
        <v>23</v>
      </c>
      <c r="G1178" t="s">
        <v>32</v>
      </c>
      <c r="H1178" t="s">
        <v>33</v>
      </c>
      <c r="I1178" t="s">
        <v>45</v>
      </c>
      <c r="J1178" t="s">
        <v>34</v>
      </c>
    </row>
    <row r="1179" spans="1:10">
      <c r="A1179" t="s">
        <v>2091</v>
      </c>
      <c r="B1179" t="s">
        <v>482</v>
      </c>
      <c r="C1179" t="s">
        <v>116</v>
      </c>
      <c r="D1179" t="s">
        <v>73</v>
      </c>
      <c r="E1179">
        <v>-48225</v>
      </c>
      <c r="F1179" t="s">
        <v>74</v>
      </c>
      <c r="G1179" t="s">
        <v>32</v>
      </c>
      <c r="H1179" t="s">
        <v>25</v>
      </c>
      <c r="I1179" t="s">
        <v>45</v>
      </c>
      <c r="J1179" t="s">
        <v>40</v>
      </c>
    </row>
    <row r="1180" spans="1:10">
      <c r="A1180" t="s">
        <v>2092</v>
      </c>
      <c r="B1180" t="s">
        <v>2093</v>
      </c>
      <c r="C1180" t="s">
        <v>180</v>
      </c>
      <c r="D1180" t="s">
        <v>465</v>
      </c>
      <c r="E1180">
        <v>-143693</v>
      </c>
      <c r="F1180" t="s">
        <v>23</v>
      </c>
      <c r="G1180" t="s">
        <v>32</v>
      </c>
      <c r="H1180" t="s">
        <v>33</v>
      </c>
      <c r="I1180" t="s">
        <v>26</v>
      </c>
      <c r="J1180" t="s">
        <v>48</v>
      </c>
    </row>
    <row r="1181" spans="1:10">
      <c r="A1181" t="s">
        <v>2094</v>
      </c>
      <c r="B1181" t="s">
        <v>2035</v>
      </c>
      <c r="C1181" t="s">
        <v>757</v>
      </c>
      <c r="D1181" t="s">
        <v>157</v>
      </c>
      <c r="E1181">
        <v>707288</v>
      </c>
      <c r="F1181" t="s">
        <v>62</v>
      </c>
      <c r="G1181" t="s">
        <v>32</v>
      </c>
      <c r="H1181" t="s">
        <v>25</v>
      </c>
      <c r="I1181" t="s">
        <v>39</v>
      </c>
      <c r="J1181" t="s">
        <v>27</v>
      </c>
    </row>
    <row r="1182" spans="1:10">
      <c r="A1182" t="s">
        <v>2095</v>
      </c>
      <c r="B1182" t="s">
        <v>2096</v>
      </c>
      <c r="C1182" t="s">
        <v>84</v>
      </c>
      <c r="D1182" t="s">
        <v>664</v>
      </c>
      <c r="E1182">
        <v>-102350</v>
      </c>
      <c r="F1182" t="s">
        <v>23</v>
      </c>
      <c r="G1182" t="s">
        <v>32</v>
      </c>
      <c r="H1182" t="s">
        <v>79</v>
      </c>
      <c r="I1182" t="s">
        <v>45</v>
      </c>
      <c r="J1182" t="s">
        <v>40</v>
      </c>
    </row>
    <row r="1183" spans="1:10">
      <c r="A1183" t="s">
        <v>2097</v>
      </c>
      <c r="B1183" t="s">
        <v>252</v>
      </c>
      <c r="C1183" t="s">
        <v>212</v>
      </c>
      <c r="D1183" t="s">
        <v>73</v>
      </c>
      <c r="E1183">
        <v>-39604</v>
      </c>
      <c r="F1183" t="s">
        <v>74</v>
      </c>
      <c r="G1183" t="s">
        <v>32</v>
      </c>
      <c r="H1183" t="s">
        <v>25</v>
      </c>
      <c r="I1183" t="s">
        <v>26</v>
      </c>
      <c r="J1183" t="s">
        <v>34</v>
      </c>
    </row>
    <row r="1184" spans="1:10">
      <c r="A1184" t="s">
        <v>2098</v>
      </c>
      <c r="B1184" t="s">
        <v>859</v>
      </c>
      <c r="C1184" t="s">
        <v>37</v>
      </c>
      <c r="D1184" t="s">
        <v>38</v>
      </c>
      <c r="E1184">
        <v>-37347</v>
      </c>
      <c r="F1184" t="s">
        <v>23</v>
      </c>
      <c r="G1184" t="s">
        <v>24</v>
      </c>
      <c r="H1184" t="s">
        <v>33</v>
      </c>
      <c r="I1184" t="s">
        <v>39</v>
      </c>
      <c r="J1184" t="s">
        <v>40</v>
      </c>
    </row>
    <row r="1185" spans="1:10">
      <c r="A1185" t="s">
        <v>2099</v>
      </c>
      <c r="B1185" t="s">
        <v>432</v>
      </c>
      <c r="C1185" t="s">
        <v>66</v>
      </c>
      <c r="D1185" t="s">
        <v>61</v>
      </c>
      <c r="E1185">
        <v>-62256</v>
      </c>
      <c r="F1185" t="s">
        <v>62</v>
      </c>
      <c r="G1185" t="s">
        <v>24</v>
      </c>
      <c r="H1185" t="s">
        <v>63</v>
      </c>
      <c r="I1185" t="s">
        <v>26</v>
      </c>
      <c r="J1185" t="s">
        <v>27</v>
      </c>
    </row>
    <row r="1186" spans="1:10">
      <c r="A1186" t="s">
        <v>2100</v>
      </c>
      <c r="B1186" t="s">
        <v>2101</v>
      </c>
      <c r="C1186" t="s">
        <v>129</v>
      </c>
      <c r="D1186" t="s">
        <v>38</v>
      </c>
      <c r="E1186">
        <v>-16684</v>
      </c>
      <c r="F1186" t="s">
        <v>23</v>
      </c>
      <c r="G1186" t="s">
        <v>32</v>
      </c>
      <c r="H1186" t="s">
        <v>33</v>
      </c>
      <c r="I1186" t="s">
        <v>26</v>
      </c>
      <c r="J1186" t="s">
        <v>40</v>
      </c>
    </row>
    <row r="1187" spans="1:10">
      <c r="A1187" t="s">
        <v>2102</v>
      </c>
      <c r="B1187" t="s">
        <v>1617</v>
      </c>
      <c r="C1187" t="s">
        <v>802</v>
      </c>
      <c r="D1187" t="s">
        <v>440</v>
      </c>
      <c r="E1187">
        <v>-141621</v>
      </c>
      <c r="F1187" t="s">
        <v>23</v>
      </c>
      <c r="G1187" t="s">
        <v>24</v>
      </c>
      <c r="H1187" t="s">
        <v>33</v>
      </c>
      <c r="I1187" t="s">
        <v>45</v>
      </c>
      <c r="J1187" t="s">
        <v>40</v>
      </c>
    </row>
    <row r="1188" spans="1:10">
      <c r="A1188" t="s">
        <v>2103</v>
      </c>
      <c r="B1188" t="s">
        <v>2104</v>
      </c>
      <c r="C1188" t="s">
        <v>60</v>
      </c>
      <c r="E1188">
        <v>-61949</v>
      </c>
      <c r="F1188" t="s">
        <v>62</v>
      </c>
      <c r="G1188" t="s">
        <v>24</v>
      </c>
      <c r="H1188" t="s">
        <v>63</v>
      </c>
      <c r="I1188" t="s">
        <v>45</v>
      </c>
      <c r="J1188" t="s">
        <v>27</v>
      </c>
    </row>
    <row r="1189" spans="1:10">
      <c r="A1189" t="s">
        <v>2105</v>
      </c>
      <c r="B1189" t="s">
        <v>2106</v>
      </c>
      <c r="C1189" t="s">
        <v>129</v>
      </c>
      <c r="D1189" t="s">
        <v>38</v>
      </c>
      <c r="E1189">
        <v>-46163</v>
      </c>
      <c r="F1189" t="s">
        <v>23</v>
      </c>
      <c r="G1189" t="s">
        <v>32</v>
      </c>
      <c r="H1189" t="s">
        <v>33</v>
      </c>
      <c r="I1189" t="s">
        <v>26</v>
      </c>
      <c r="J1189" t="s">
        <v>40</v>
      </c>
    </row>
    <row r="1190" spans="1:10">
      <c r="A1190" t="s">
        <v>2107</v>
      </c>
      <c r="B1190" t="s">
        <v>1519</v>
      </c>
      <c r="C1190" t="s">
        <v>60</v>
      </c>
      <c r="D1190" t="s">
        <v>61</v>
      </c>
      <c r="E1190">
        <v>-62940</v>
      </c>
      <c r="F1190" t="s">
        <v>62</v>
      </c>
      <c r="G1190" t="s">
        <v>24</v>
      </c>
      <c r="H1190" t="s">
        <v>63</v>
      </c>
      <c r="I1190" t="s">
        <v>39</v>
      </c>
      <c r="J1190" t="s">
        <v>34</v>
      </c>
    </row>
    <row r="1191" spans="1:10">
      <c r="A1191" t="s">
        <v>2108</v>
      </c>
      <c r="B1191" t="s">
        <v>2109</v>
      </c>
      <c r="C1191" t="s">
        <v>72</v>
      </c>
      <c r="D1191" t="s">
        <v>73</v>
      </c>
      <c r="E1191">
        <v>-84050</v>
      </c>
      <c r="F1191" t="s">
        <v>74</v>
      </c>
      <c r="G1191" t="s">
        <v>32</v>
      </c>
      <c r="H1191" t="s">
        <v>25</v>
      </c>
      <c r="I1191" t="s">
        <v>39</v>
      </c>
      <c r="J1191" t="s">
        <v>27</v>
      </c>
    </row>
    <row r="1192" spans="1:10">
      <c r="A1192" t="s">
        <v>2110</v>
      </c>
      <c r="B1192" t="s">
        <v>988</v>
      </c>
      <c r="C1192" t="s">
        <v>66</v>
      </c>
      <c r="D1192" t="s">
        <v>61</v>
      </c>
      <c r="E1192">
        <v>-60663</v>
      </c>
      <c r="F1192" t="s">
        <v>62</v>
      </c>
      <c r="G1192" t="s">
        <v>32</v>
      </c>
      <c r="H1192" t="s">
        <v>63</v>
      </c>
      <c r="I1192" t="s">
        <v>39</v>
      </c>
      <c r="J1192" t="s">
        <v>27</v>
      </c>
    </row>
    <row r="1193" spans="1:10">
      <c r="A1193" t="s">
        <v>2111</v>
      </c>
      <c r="B1193" t="s">
        <v>1954</v>
      </c>
      <c r="C1193" t="s">
        <v>202</v>
      </c>
      <c r="D1193" t="s">
        <v>22</v>
      </c>
      <c r="E1193">
        <v>-102569</v>
      </c>
      <c r="F1193" t="s">
        <v>23</v>
      </c>
      <c r="G1193" t="s">
        <v>24</v>
      </c>
      <c r="H1193" t="s">
        <v>25</v>
      </c>
      <c r="I1193" t="s">
        <v>26</v>
      </c>
      <c r="J1193" t="s">
        <v>27</v>
      </c>
    </row>
    <row r="1194" spans="1:10">
      <c r="A1194" t="s">
        <v>2112</v>
      </c>
      <c r="B1194" t="s">
        <v>2113</v>
      </c>
      <c r="C1194" t="s">
        <v>21</v>
      </c>
      <c r="D1194" t="s">
        <v>22</v>
      </c>
      <c r="E1194">
        <v>-117126</v>
      </c>
      <c r="F1194" t="s">
        <v>23</v>
      </c>
      <c r="G1194" t="s">
        <v>24</v>
      </c>
      <c r="H1194" t="s">
        <v>25</v>
      </c>
      <c r="I1194" t="s">
        <v>39</v>
      </c>
      <c r="J1194" t="s">
        <v>48</v>
      </c>
    </row>
    <row r="1195" spans="1:10">
      <c r="A1195" t="s">
        <v>783</v>
      </c>
      <c r="B1195" t="s">
        <v>784</v>
      </c>
      <c r="C1195" t="s">
        <v>60</v>
      </c>
      <c r="D1195" t="s">
        <v>61</v>
      </c>
      <c r="E1195">
        <v>-61158</v>
      </c>
      <c r="F1195" t="s">
        <v>62</v>
      </c>
      <c r="G1195" t="s">
        <v>32</v>
      </c>
      <c r="H1195" t="s">
        <v>63</v>
      </c>
      <c r="I1195" t="s">
        <v>26</v>
      </c>
      <c r="J1195" t="s">
        <v>40</v>
      </c>
    </row>
    <row r="1196" spans="1:10">
      <c r="A1196" t="s">
        <v>2114</v>
      </c>
      <c r="B1196" t="s">
        <v>2115</v>
      </c>
      <c r="C1196" t="s">
        <v>60</v>
      </c>
      <c r="D1196" t="s">
        <v>61</v>
      </c>
      <c r="E1196">
        <v>-33140</v>
      </c>
      <c r="F1196" t="s">
        <v>62</v>
      </c>
      <c r="G1196" t="s">
        <v>32</v>
      </c>
      <c r="H1196" t="s">
        <v>63</v>
      </c>
      <c r="I1196" t="s">
        <v>39</v>
      </c>
      <c r="J1196" t="s">
        <v>48</v>
      </c>
    </row>
    <row r="1197" spans="1:10">
      <c r="A1197" t="s">
        <v>2116</v>
      </c>
      <c r="B1197" t="s">
        <v>882</v>
      </c>
      <c r="C1197" t="s">
        <v>468</v>
      </c>
      <c r="D1197" t="s">
        <v>440</v>
      </c>
      <c r="E1197">
        <v>-99234</v>
      </c>
      <c r="F1197" t="s">
        <v>23</v>
      </c>
      <c r="G1197" t="s">
        <v>32</v>
      </c>
      <c r="H1197" t="s">
        <v>33</v>
      </c>
      <c r="I1197" t="s">
        <v>45</v>
      </c>
      <c r="J1197" t="s">
        <v>40</v>
      </c>
    </row>
    <row r="1198" spans="1:10">
      <c r="A1198" t="s">
        <v>2117</v>
      </c>
      <c r="B1198" t="s">
        <v>1927</v>
      </c>
      <c r="C1198" t="s">
        <v>310</v>
      </c>
      <c r="D1198" t="s">
        <v>22</v>
      </c>
      <c r="E1198">
        <v>-209269</v>
      </c>
      <c r="F1198" t="s">
        <v>23</v>
      </c>
      <c r="G1198" t="s">
        <v>24</v>
      </c>
      <c r="H1198" t="s">
        <v>25</v>
      </c>
      <c r="I1198" t="s">
        <v>39</v>
      </c>
      <c r="J1198" t="s">
        <v>34</v>
      </c>
    </row>
    <row r="1199" spans="1:10">
      <c r="A1199" t="s">
        <v>2118</v>
      </c>
      <c r="B1199" t="s">
        <v>1439</v>
      </c>
      <c r="C1199" t="s">
        <v>57</v>
      </c>
      <c r="D1199" t="s">
        <v>44</v>
      </c>
      <c r="E1199">
        <v>-161747</v>
      </c>
      <c r="F1199" t="s">
        <v>23</v>
      </c>
      <c r="G1199" t="s">
        <v>24</v>
      </c>
      <c r="H1199" t="s">
        <v>33</v>
      </c>
      <c r="I1199" t="s">
        <v>26</v>
      </c>
      <c r="J1199" t="s">
        <v>48</v>
      </c>
    </row>
    <row r="1200" spans="1:10">
      <c r="A1200" t="s">
        <v>2119</v>
      </c>
      <c r="B1200" t="s">
        <v>2120</v>
      </c>
      <c r="C1200" t="s">
        <v>283</v>
      </c>
      <c r="D1200" t="s">
        <v>248</v>
      </c>
      <c r="E1200">
        <v>-51976</v>
      </c>
      <c r="F1200" t="s">
        <v>23</v>
      </c>
      <c r="G1200" t="s">
        <v>24</v>
      </c>
      <c r="H1200" t="s">
        <v>33</v>
      </c>
      <c r="I1200" t="s">
        <v>39</v>
      </c>
      <c r="J1200" t="s">
        <v>40</v>
      </c>
    </row>
    <row r="1201" spans="1:10">
      <c r="A1201" t="s">
        <v>2121</v>
      </c>
      <c r="B1201" t="s">
        <v>2122</v>
      </c>
      <c r="C1201" t="s">
        <v>166</v>
      </c>
      <c r="D1201" t="s">
        <v>31</v>
      </c>
      <c r="E1201">
        <v>-26053</v>
      </c>
      <c r="F1201" t="s">
        <v>23</v>
      </c>
      <c r="G1201" t="s">
        <v>24</v>
      </c>
      <c r="H1201" t="s">
        <v>33</v>
      </c>
      <c r="I1201" t="s">
        <v>39</v>
      </c>
      <c r="J1201" t="s">
        <v>40</v>
      </c>
    </row>
    <row r="1202" spans="1:10">
      <c r="A1202" t="s">
        <v>2123</v>
      </c>
      <c r="B1202" t="s">
        <v>959</v>
      </c>
      <c r="C1202" t="s">
        <v>2124</v>
      </c>
      <c r="D1202" t="s">
        <v>136</v>
      </c>
      <c r="E1202">
        <v>-10479020</v>
      </c>
      <c r="F1202" t="s">
        <v>62</v>
      </c>
      <c r="G1202" t="s">
        <v>32</v>
      </c>
      <c r="H1202" t="s">
        <v>63</v>
      </c>
      <c r="I1202" t="s">
        <v>39</v>
      </c>
      <c r="J1202" t="s">
        <v>48</v>
      </c>
    </row>
    <row r="1203" spans="1:10">
      <c r="A1203" t="s">
        <v>2125</v>
      </c>
      <c r="B1203" t="s">
        <v>2126</v>
      </c>
      <c r="C1203" t="s">
        <v>66</v>
      </c>
      <c r="E1203">
        <v>-59374</v>
      </c>
      <c r="F1203" t="s">
        <v>62</v>
      </c>
      <c r="G1203" t="s">
        <v>32</v>
      </c>
      <c r="H1203" t="s">
        <v>63</v>
      </c>
      <c r="I1203" t="s">
        <v>26</v>
      </c>
      <c r="J1203" t="s">
        <v>40</v>
      </c>
    </row>
    <row r="1204" spans="1:10">
      <c r="A1204" t="s">
        <v>2127</v>
      </c>
      <c r="B1204" t="s">
        <v>1188</v>
      </c>
      <c r="C1204" t="s">
        <v>77</v>
      </c>
      <c r="E1204">
        <v>-73209</v>
      </c>
      <c r="F1204" t="s">
        <v>23</v>
      </c>
      <c r="G1204" t="s">
        <v>32</v>
      </c>
      <c r="H1204" t="s">
        <v>79</v>
      </c>
      <c r="I1204" t="s">
        <v>45</v>
      </c>
      <c r="J1204" t="s">
        <v>40</v>
      </c>
    </row>
    <row r="1205" spans="1:10">
      <c r="A1205" t="s">
        <v>2128</v>
      </c>
      <c r="B1205" t="s">
        <v>2129</v>
      </c>
      <c r="C1205" t="s">
        <v>60</v>
      </c>
      <c r="D1205" t="s">
        <v>61</v>
      </c>
      <c r="E1205">
        <v>-49327</v>
      </c>
      <c r="F1205" t="s">
        <v>62</v>
      </c>
      <c r="G1205" t="s">
        <v>32</v>
      </c>
      <c r="H1205" t="s">
        <v>63</v>
      </c>
      <c r="I1205" t="s">
        <v>39</v>
      </c>
      <c r="J1205" t="s">
        <v>48</v>
      </c>
    </row>
    <row r="1206" spans="1:10">
      <c r="A1206" t="s">
        <v>2130</v>
      </c>
      <c r="B1206" t="s">
        <v>2131</v>
      </c>
      <c r="C1206" t="s">
        <v>84</v>
      </c>
      <c r="D1206" t="s">
        <v>78</v>
      </c>
      <c r="E1206">
        <v>-72350</v>
      </c>
      <c r="F1206" t="s">
        <v>23</v>
      </c>
      <c r="G1206" t="s">
        <v>32</v>
      </c>
      <c r="H1206" t="s">
        <v>79</v>
      </c>
      <c r="I1206" t="s">
        <v>39</v>
      </c>
      <c r="J1206" t="s">
        <v>27</v>
      </c>
    </row>
    <row r="1207" spans="1:10">
      <c r="A1207" t="s">
        <v>1710</v>
      </c>
      <c r="B1207" t="s">
        <v>545</v>
      </c>
      <c r="C1207" t="s">
        <v>132</v>
      </c>
      <c r="D1207" t="s">
        <v>111</v>
      </c>
      <c r="E1207">
        <v>-53745</v>
      </c>
      <c r="F1207" t="s">
        <v>74</v>
      </c>
      <c r="G1207" t="s">
        <v>24</v>
      </c>
      <c r="H1207" t="s">
        <v>25</v>
      </c>
      <c r="I1207" t="s">
        <v>26</v>
      </c>
      <c r="J1207" t="s">
        <v>34</v>
      </c>
    </row>
    <row r="1208" spans="1:10">
      <c r="A1208" t="s">
        <v>2132</v>
      </c>
      <c r="B1208" t="s">
        <v>1104</v>
      </c>
      <c r="C1208" t="s">
        <v>215</v>
      </c>
      <c r="D1208" t="s">
        <v>61</v>
      </c>
      <c r="E1208">
        <v>-53909</v>
      </c>
      <c r="F1208" t="s">
        <v>62</v>
      </c>
      <c r="G1208" t="s">
        <v>32</v>
      </c>
      <c r="H1208" t="s">
        <v>63</v>
      </c>
      <c r="I1208" t="s">
        <v>39</v>
      </c>
      <c r="J1208" t="s">
        <v>27</v>
      </c>
    </row>
    <row r="1209" spans="1:10">
      <c r="A1209" t="s">
        <v>2133</v>
      </c>
      <c r="B1209" t="s">
        <v>1496</v>
      </c>
      <c r="C1209" t="s">
        <v>757</v>
      </c>
      <c r="D1209" t="s">
        <v>157</v>
      </c>
      <c r="E1209">
        <v>593036</v>
      </c>
      <c r="F1209" t="s">
        <v>62</v>
      </c>
      <c r="G1209" t="s">
        <v>32</v>
      </c>
      <c r="H1209" t="s">
        <v>25</v>
      </c>
      <c r="I1209" t="s">
        <v>45</v>
      </c>
      <c r="J1209" t="s">
        <v>34</v>
      </c>
    </row>
    <row r="1210" spans="1:10">
      <c r="A1210" t="s">
        <v>2134</v>
      </c>
      <c r="B1210" t="s">
        <v>2135</v>
      </c>
      <c r="C1210" t="s">
        <v>90</v>
      </c>
      <c r="D1210" t="s">
        <v>73</v>
      </c>
      <c r="E1210">
        <v>-32749</v>
      </c>
      <c r="F1210" t="s">
        <v>74</v>
      </c>
      <c r="G1210" t="s">
        <v>24</v>
      </c>
      <c r="H1210" t="s">
        <v>25</v>
      </c>
      <c r="I1210" t="s">
        <v>45</v>
      </c>
      <c r="J1210" t="s">
        <v>34</v>
      </c>
    </row>
    <row r="1211" spans="1:10">
      <c r="A1211" t="s">
        <v>2136</v>
      </c>
      <c r="B1211" t="s">
        <v>2137</v>
      </c>
      <c r="C1211" t="s">
        <v>54</v>
      </c>
      <c r="D1211" t="s">
        <v>38</v>
      </c>
      <c r="E1211">
        <v>-47368</v>
      </c>
      <c r="F1211" t="s">
        <v>23</v>
      </c>
      <c r="G1211" t="s">
        <v>24</v>
      </c>
      <c r="H1211" t="s">
        <v>33</v>
      </c>
      <c r="I1211" t="s">
        <v>39</v>
      </c>
      <c r="J1211" t="s">
        <v>48</v>
      </c>
    </row>
    <row r="1212" spans="1:10">
      <c r="A1212" t="s">
        <v>2138</v>
      </c>
      <c r="B1212" t="s">
        <v>2044</v>
      </c>
      <c r="C1212" t="s">
        <v>60</v>
      </c>
      <c r="D1212" t="s">
        <v>61</v>
      </c>
      <c r="E1212">
        <v>-44345</v>
      </c>
      <c r="F1212" t="s">
        <v>62</v>
      </c>
      <c r="G1212" t="s">
        <v>32</v>
      </c>
      <c r="H1212" t="s">
        <v>63</v>
      </c>
      <c r="I1212" t="s">
        <v>45</v>
      </c>
      <c r="J1212" t="s">
        <v>40</v>
      </c>
    </row>
    <row r="1213" spans="1:10">
      <c r="A1213" t="s">
        <v>2139</v>
      </c>
      <c r="B1213" t="s">
        <v>458</v>
      </c>
      <c r="C1213" t="s">
        <v>616</v>
      </c>
      <c r="D1213" t="s">
        <v>22</v>
      </c>
      <c r="E1213">
        <v>-136801</v>
      </c>
      <c r="F1213" t="s">
        <v>23</v>
      </c>
      <c r="G1213" t="s">
        <v>24</v>
      </c>
      <c r="H1213" t="s">
        <v>25</v>
      </c>
      <c r="I1213" t="s">
        <v>45</v>
      </c>
      <c r="J1213" t="s">
        <v>48</v>
      </c>
    </row>
    <row r="1214" spans="1:10">
      <c r="A1214" t="s">
        <v>2140</v>
      </c>
      <c r="B1214" t="s">
        <v>2141</v>
      </c>
      <c r="C1214" t="s">
        <v>103</v>
      </c>
      <c r="D1214" t="s">
        <v>78</v>
      </c>
      <c r="E1214">
        <v>-61128</v>
      </c>
      <c r="F1214" t="s">
        <v>23</v>
      </c>
      <c r="G1214" t="s">
        <v>24</v>
      </c>
      <c r="H1214" t="s">
        <v>79</v>
      </c>
      <c r="I1214" t="s">
        <v>39</v>
      </c>
      <c r="J1214" t="s">
        <v>27</v>
      </c>
    </row>
    <row r="1215" spans="1:10">
      <c r="A1215" t="s">
        <v>2142</v>
      </c>
      <c r="B1215" t="s">
        <v>2143</v>
      </c>
      <c r="C1215" t="s">
        <v>687</v>
      </c>
      <c r="D1215" t="s">
        <v>388</v>
      </c>
      <c r="E1215">
        <v>-168367</v>
      </c>
      <c r="F1215" t="s">
        <v>23</v>
      </c>
      <c r="G1215" t="s">
        <v>24</v>
      </c>
      <c r="H1215" t="s">
        <v>33</v>
      </c>
      <c r="I1215" t="s">
        <v>26</v>
      </c>
      <c r="J1215" t="s">
        <v>34</v>
      </c>
    </row>
    <row r="1216" spans="1:10">
      <c r="A1216" t="s">
        <v>2144</v>
      </c>
      <c r="B1216" t="s">
        <v>2145</v>
      </c>
      <c r="C1216" t="s">
        <v>212</v>
      </c>
      <c r="D1216" t="s">
        <v>73</v>
      </c>
      <c r="E1216">
        <v>-18943</v>
      </c>
      <c r="F1216" t="s">
        <v>74</v>
      </c>
      <c r="G1216" t="s">
        <v>32</v>
      </c>
      <c r="H1216" t="s">
        <v>25</v>
      </c>
      <c r="I1216" t="s">
        <v>45</v>
      </c>
      <c r="J1216" t="s">
        <v>40</v>
      </c>
    </row>
    <row r="1217" spans="1:10">
      <c r="A1217" t="s">
        <v>2146</v>
      </c>
      <c r="B1217" t="s">
        <v>2147</v>
      </c>
      <c r="C1217" t="s">
        <v>305</v>
      </c>
      <c r="D1217" t="s">
        <v>38</v>
      </c>
      <c r="E1217">
        <v>-20493</v>
      </c>
      <c r="F1217" t="s">
        <v>23</v>
      </c>
      <c r="G1217" t="s">
        <v>24</v>
      </c>
      <c r="H1217" t="s">
        <v>33</v>
      </c>
      <c r="I1217" t="s">
        <v>45</v>
      </c>
      <c r="J1217" t="s">
        <v>34</v>
      </c>
    </row>
    <row r="1218" spans="1:10">
      <c r="A1218" t="s">
        <v>2148</v>
      </c>
      <c r="B1218" t="s">
        <v>2070</v>
      </c>
      <c r="C1218" t="s">
        <v>54</v>
      </c>
      <c r="D1218" t="s">
        <v>38</v>
      </c>
      <c r="E1218">
        <v>-46637</v>
      </c>
      <c r="F1218" t="s">
        <v>23</v>
      </c>
      <c r="G1218" t="s">
        <v>32</v>
      </c>
      <c r="H1218" t="s">
        <v>33</v>
      </c>
      <c r="I1218" t="s">
        <v>39</v>
      </c>
      <c r="J1218" t="s">
        <v>27</v>
      </c>
    </row>
    <row r="1219" spans="1:10">
      <c r="A1219" t="s">
        <v>2149</v>
      </c>
      <c r="B1219" t="s">
        <v>538</v>
      </c>
      <c r="C1219" t="s">
        <v>224</v>
      </c>
      <c r="D1219" t="s">
        <v>78</v>
      </c>
      <c r="E1219">
        <v>-41081</v>
      </c>
      <c r="F1219" t="s">
        <v>23</v>
      </c>
      <c r="G1219" t="s">
        <v>32</v>
      </c>
      <c r="H1219" t="s">
        <v>79</v>
      </c>
      <c r="I1219" t="s">
        <v>45</v>
      </c>
      <c r="J1219" t="s">
        <v>48</v>
      </c>
    </row>
    <row r="1220" spans="1:10">
      <c r="A1220" t="s">
        <v>2150</v>
      </c>
      <c r="B1220" t="s">
        <v>1207</v>
      </c>
      <c r="C1220" t="s">
        <v>57</v>
      </c>
      <c r="E1220">
        <v>-71681</v>
      </c>
      <c r="F1220" t="s">
        <v>23</v>
      </c>
      <c r="G1220" t="s">
        <v>24</v>
      </c>
      <c r="H1220" t="s">
        <v>33</v>
      </c>
      <c r="I1220" t="s">
        <v>45</v>
      </c>
      <c r="J1220" t="s">
        <v>48</v>
      </c>
    </row>
    <row r="1221" spans="1:10">
      <c r="A1221" t="s">
        <v>2151</v>
      </c>
      <c r="B1221" t="s">
        <v>2152</v>
      </c>
      <c r="C1221" t="s">
        <v>266</v>
      </c>
      <c r="D1221" t="s">
        <v>73</v>
      </c>
      <c r="E1221">
        <v>-89403</v>
      </c>
      <c r="F1221" t="s">
        <v>74</v>
      </c>
      <c r="G1221" t="s">
        <v>32</v>
      </c>
      <c r="H1221" t="s">
        <v>25</v>
      </c>
      <c r="I1221" t="s">
        <v>39</v>
      </c>
      <c r="J1221" t="s">
        <v>34</v>
      </c>
    </row>
    <row r="1222" spans="1:10">
      <c r="A1222" t="s">
        <v>2153</v>
      </c>
      <c r="B1222" t="s">
        <v>1539</v>
      </c>
      <c r="C1222" t="s">
        <v>30</v>
      </c>
      <c r="D1222" t="s">
        <v>31</v>
      </c>
      <c r="E1222">
        <v>-42833</v>
      </c>
      <c r="F1222" t="s">
        <v>23</v>
      </c>
      <c r="G1222" t="s">
        <v>32</v>
      </c>
      <c r="H1222" t="s">
        <v>33</v>
      </c>
      <c r="I1222" t="s">
        <v>39</v>
      </c>
      <c r="J1222" t="s">
        <v>34</v>
      </c>
    </row>
    <row r="1223" spans="1:10">
      <c r="A1223" t="s">
        <v>2154</v>
      </c>
      <c r="B1223" t="s">
        <v>1849</v>
      </c>
      <c r="C1223" t="s">
        <v>84</v>
      </c>
      <c r="D1223" t="s">
        <v>78</v>
      </c>
      <c r="E1223">
        <v>-63382</v>
      </c>
      <c r="F1223" t="s">
        <v>23</v>
      </c>
      <c r="G1223" t="s">
        <v>32</v>
      </c>
      <c r="H1223" t="s">
        <v>79</v>
      </c>
      <c r="I1223" t="s">
        <v>45</v>
      </c>
      <c r="J1223" t="s">
        <v>48</v>
      </c>
    </row>
    <row r="1224" spans="1:10">
      <c r="A1224" t="s">
        <v>2155</v>
      </c>
      <c r="B1224" t="s">
        <v>153</v>
      </c>
      <c r="C1224" t="s">
        <v>84</v>
      </c>
      <c r="D1224" t="s">
        <v>78</v>
      </c>
      <c r="E1224">
        <v>-77965</v>
      </c>
      <c r="F1224" t="s">
        <v>23</v>
      </c>
      <c r="G1224" t="s">
        <v>32</v>
      </c>
      <c r="H1224" t="s">
        <v>79</v>
      </c>
      <c r="I1224" t="s">
        <v>45</v>
      </c>
      <c r="J1224" t="s">
        <v>27</v>
      </c>
    </row>
    <row r="1225" spans="1:10">
      <c r="A1225" t="s">
        <v>2156</v>
      </c>
      <c r="B1225" t="s">
        <v>2157</v>
      </c>
      <c r="C1225" t="s">
        <v>77</v>
      </c>
      <c r="E1225">
        <v>-45156</v>
      </c>
      <c r="F1225" t="s">
        <v>23</v>
      </c>
      <c r="G1225" t="s">
        <v>24</v>
      </c>
      <c r="H1225" t="s">
        <v>79</v>
      </c>
      <c r="I1225" t="s">
        <v>45</v>
      </c>
      <c r="J1225" t="s">
        <v>48</v>
      </c>
    </row>
    <row r="1226" spans="1:10">
      <c r="A1226" t="s">
        <v>2158</v>
      </c>
      <c r="B1226" t="s">
        <v>2159</v>
      </c>
      <c r="C1226" t="s">
        <v>166</v>
      </c>
      <c r="D1226" t="s">
        <v>31</v>
      </c>
      <c r="E1226">
        <v>-4136</v>
      </c>
      <c r="F1226" t="s">
        <v>23</v>
      </c>
      <c r="G1226" t="s">
        <v>24</v>
      </c>
      <c r="H1226" t="s">
        <v>33</v>
      </c>
      <c r="I1226" t="s">
        <v>26</v>
      </c>
      <c r="J1226" t="s">
        <v>27</v>
      </c>
    </row>
    <row r="1227" spans="1:10">
      <c r="A1227" t="s">
        <v>2160</v>
      </c>
      <c r="B1227" t="s">
        <v>2161</v>
      </c>
      <c r="C1227" t="s">
        <v>54</v>
      </c>
      <c r="D1227" t="s">
        <v>38</v>
      </c>
      <c r="E1227">
        <v>-40244</v>
      </c>
      <c r="F1227" t="s">
        <v>23</v>
      </c>
      <c r="G1227" t="s">
        <v>32</v>
      </c>
      <c r="H1227" t="s">
        <v>33</v>
      </c>
      <c r="I1227" t="s">
        <v>45</v>
      </c>
      <c r="J1227" t="s">
        <v>48</v>
      </c>
    </row>
    <row r="1228" spans="1:10">
      <c r="A1228" t="s">
        <v>2162</v>
      </c>
      <c r="B1228" t="s">
        <v>1088</v>
      </c>
      <c r="C1228" t="s">
        <v>21</v>
      </c>
      <c r="D1228" t="s">
        <v>22</v>
      </c>
      <c r="E1228">
        <v>-31429</v>
      </c>
      <c r="F1228" t="s">
        <v>23</v>
      </c>
      <c r="G1228" t="s">
        <v>24</v>
      </c>
      <c r="H1228" t="s">
        <v>25</v>
      </c>
      <c r="I1228" t="s">
        <v>39</v>
      </c>
      <c r="J1228" t="s">
        <v>27</v>
      </c>
    </row>
    <row r="1229" spans="1:10">
      <c r="A1229" t="s">
        <v>2163</v>
      </c>
      <c r="B1229" t="s">
        <v>678</v>
      </c>
      <c r="C1229" t="s">
        <v>60</v>
      </c>
      <c r="D1229" t="s">
        <v>61</v>
      </c>
      <c r="E1229">
        <v>-59823</v>
      </c>
      <c r="F1229" t="s">
        <v>62</v>
      </c>
      <c r="G1229" t="s">
        <v>24</v>
      </c>
      <c r="H1229" t="s">
        <v>63</v>
      </c>
      <c r="I1229" t="s">
        <v>26</v>
      </c>
      <c r="J1229" t="s">
        <v>34</v>
      </c>
    </row>
    <row r="1230" spans="1:10">
      <c r="A1230" t="s">
        <v>2164</v>
      </c>
      <c r="B1230" t="s">
        <v>2165</v>
      </c>
      <c r="C1230" t="s">
        <v>177</v>
      </c>
      <c r="D1230" t="s">
        <v>1001</v>
      </c>
      <c r="E1230">
        <v>-112708</v>
      </c>
      <c r="F1230" t="s">
        <v>23</v>
      </c>
      <c r="G1230" t="s">
        <v>24</v>
      </c>
      <c r="H1230" t="s">
        <v>79</v>
      </c>
      <c r="I1230" t="s">
        <v>26</v>
      </c>
      <c r="J1230" t="s">
        <v>40</v>
      </c>
    </row>
    <row r="1231" spans="1:10">
      <c r="A1231" t="s">
        <v>2166</v>
      </c>
      <c r="B1231" t="s">
        <v>870</v>
      </c>
      <c r="C1231" t="s">
        <v>116</v>
      </c>
      <c r="D1231" t="s">
        <v>111</v>
      </c>
      <c r="E1231">
        <v>-73291</v>
      </c>
      <c r="F1231" t="s">
        <v>74</v>
      </c>
      <c r="G1231" t="s">
        <v>32</v>
      </c>
      <c r="H1231" t="s">
        <v>25</v>
      </c>
      <c r="I1231" t="s">
        <v>26</v>
      </c>
      <c r="J1231" t="s">
        <v>27</v>
      </c>
    </row>
    <row r="1232" spans="1:10">
      <c r="A1232" t="s">
        <v>2167</v>
      </c>
      <c r="B1232" t="s">
        <v>2168</v>
      </c>
      <c r="C1232" t="s">
        <v>84</v>
      </c>
      <c r="D1232" t="s">
        <v>78</v>
      </c>
      <c r="E1232">
        <v>-93011</v>
      </c>
      <c r="F1232" t="s">
        <v>23</v>
      </c>
      <c r="G1232" t="s">
        <v>32</v>
      </c>
      <c r="H1232" t="s">
        <v>79</v>
      </c>
      <c r="I1232" t="s">
        <v>39</v>
      </c>
      <c r="J1232" t="s">
        <v>40</v>
      </c>
    </row>
    <row r="1233" spans="1:10">
      <c r="A1233" t="s">
        <v>2169</v>
      </c>
      <c r="B1233" t="s">
        <v>2170</v>
      </c>
      <c r="C1233" t="s">
        <v>57</v>
      </c>
      <c r="D1233" t="s">
        <v>44</v>
      </c>
      <c r="E1233">
        <v>-51979</v>
      </c>
      <c r="F1233" t="s">
        <v>23</v>
      </c>
      <c r="G1233" t="s">
        <v>24</v>
      </c>
      <c r="H1233" t="s">
        <v>33</v>
      </c>
      <c r="I1233" t="s">
        <v>39</v>
      </c>
      <c r="J1233" t="s">
        <v>27</v>
      </c>
    </row>
    <row r="1234" spans="1:10">
      <c r="A1234" t="s">
        <v>2171</v>
      </c>
      <c r="B1234" t="s">
        <v>2172</v>
      </c>
      <c r="C1234" t="s">
        <v>177</v>
      </c>
      <c r="D1234" t="s">
        <v>78</v>
      </c>
      <c r="E1234">
        <v>-93027</v>
      </c>
      <c r="F1234" t="s">
        <v>23</v>
      </c>
      <c r="G1234" t="s">
        <v>24</v>
      </c>
      <c r="H1234" t="s">
        <v>79</v>
      </c>
      <c r="I1234" t="s">
        <v>39</v>
      </c>
      <c r="J1234" t="s">
        <v>48</v>
      </c>
    </row>
    <row r="1235" spans="1:10">
      <c r="A1235" t="s">
        <v>2173</v>
      </c>
      <c r="B1235" t="s">
        <v>2174</v>
      </c>
      <c r="C1235" t="s">
        <v>169</v>
      </c>
      <c r="D1235" t="s">
        <v>302</v>
      </c>
      <c r="E1235">
        <v>-71891</v>
      </c>
      <c r="F1235" t="s">
        <v>74</v>
      </c>
      <c r="G1235" t="s">
        <v>24</v>
      </c>
      <c r="H1235" t="s">
        <v>25</v>
      </c>
      <c r="I1235" t="s">
        <v>26</v>
      </c>
      <c r="J1235" t="s">
        <v>27</v>
      </c>
    </row>
    <row r="1236" spans="1:10">
      <c r="A1236" t="s">
        <v>2175</v>
      </c>
      <c r="B1236" t="s">
        <v>2176</v>
      </c>
      <c r="C1236" t="s">
        <v>166</v>
      </c>
      <c r="D1236" t="s">
        <v>31</v>
      </c>
      <c r="E1236">
        <v>-15895</v>
      </c>
      <c r="F1236" t="s">
        <v>23</v>
      </c>
      <c r="G1236" t="s">
        <v>24</v>
      </c>
      <c r="H1236" t="s">
        <v>33</v>
      </c>
      <c r="I1236" t="s">
        <v>45</v>
      </c>
      <c r="J1236" t="s">
        <v>34</v>
      </c>
    </row>
    <row r="1237" spans="1:10">
      <c r="A1237" t="s">
        <v>2177</v>
      </c>
      <c r="B1237" t="s">
        <v>568</v>
      </c>
      <c r="C1237" t="s">
        <v>69</v>
      </c>
      <c r="D1237" t="s">
        <v>38</v>
      </c>
      <c r="E1237">
        <v>-30301</v>
      </c>
      <c r="F1237" t="s">
        <v>23</v>
      </c>
      <c r="G1237" t="s">
        <v>24</v>
      </c>
      <c r="H1237" t="s">
        <v>33</v>
      </c>
      <c r="I1237" t="s">
        <v>39</v>
      </c>
      <c r="J1237" t="s">
        <v>27</v>
      </c>
    </row>
    <row r="1238" spans="1:10">
      <c r="A1238" t="s">
        <v>2178</v>
      </c>
      <c r="B1238" t="s">
        <v>2179</v>
      </c>
      <c r="C1238" t="s">
        <v>169</v>
      </c>
      <c r="D1238" t="s">
        <v>111</v>
      </c>
      <c r="E1238">
        <v>-44265</v>
      </c>
      <c r="F1238" t="s">
        <v>74</v>
      </c>
      <c r="G1238" t="s">
        <v>24</v>
      </c>
      <c r="H1238" t="s">
        <v>25</v>
      </c>
      <c r="I1238" t="s">
        <v>26</v>
      </c>
      <c r="J1238" t="s">
        <v>34</v>
      </c>
    </row>
    <row r="1239" spans="1:10">
      <c r="A1239" t="s">
        <v>2180</v>
      </c>
      <c r="B1239" t="s">
        <v>1763</v>
      </c>
      <c r="C1239" t="s">
        <v>266</v>
      </c>
      <c r="D1239" t="s">
        <v>73</v>
      </c>
      <c r="E1239">
        <v>-29352</v>
      </c>
      <c r="F1239" t="s">
        <v>74</v>
      </c>
      <c r="G1239" t="s">
        <v>32</v>
      </c>
      <c r="H1239" t="s">
        <v>25</v>
      </c>
      <c r="I1239" t="s">
        <v>26</v>
      </c>
      <c r="J1239" t="s">
        <v>40</v>
      </c>
    </row>
    <row r="1240" spans="1:10">
      <c r="A1240" t="s">
        <v>2181</v>
      </c>
      <c r="B1240" t="s">
        <v>580</v>
      </c>
      <c r="C1240" t="s">
        <v>687</v>
      </c>
      <c r="D1240" t="s">
        <v>44</v>
      </c>
      <c r="E1240">
        <v>-148062</v>
      </c>
      <c r="F1240" t="s">
        <v>23</v>
      </c>
      <c r="G1240" t="s">
        <v>32</v>
      </c>
      <c r="H1240" t="s">
        <v>33</v>
      </c>
      <c r="I1240" t="s">
        <v>26</v>
      </c>
      <c r="J1240" t="s">
        <v>34</v>
      </c>
    </row>
    <row r="1241" spans="1:10">
      <c r="A1241" t="s">
        <v>2182</v>
      </c>
      <c r="B1241" t="s">
        <v>1347</v>
      </c>
      <c r="C1241" t="s">
        <v>103</v>
      </c>
      <c r="D1241" t="s">
        <v>78</v>
      </c>
      <c r="E1241">
        <v>-37458</v>
      </c>
      <c r="F1241" t="s">
        <v>23</v>
      </c>
      <c r="G1241" t="s">
        <v>32</v>
      </c>
      <c r="H1241" t="s">
        <v>79</v>
      </c>
      <c r="I1241" t="s">
        <v>45</v>
      </c>
      <c r="J1241" t="s">
        <v>48</v>
      </c>
    </row>
    <row r="1242" spans="1:10">
      <c r="A1242" t="s">
        <v>2183</v>
      </c>
      <c r="B1242" t="s">
        <v>1443</v>
      </c>
      <c r="C1242" t="s">
        <v>161</v>
      </c>
      <c r="D1242" t="s">
        <v>320</v>
      </c>
      <c r="E1242">
        <v>-138715</v>
      </c>
      <c r="F1242" t="s">
        <v>23</v>
      </c>
      <c r="G1242" t="s">
        <v>24</v>
      </c>
      <c r="H1242" t="s">
        <v>25</v>
      </c>
      <c r="I1242" t="s">
        <v>26</v>
      </c>
      <c r="J1242" t="s">
        <v>27</v>
      </c>
    </row>
    <row r="1243" spans="1:10">
      <c r="A1243" t="s">
        <v>2184</v>
      </c>
      <c r="B1243" t="s">
        <v>2185</v>
      </c>
      <c r="C1243" t="s">
        <v>84</v>
      </c>
      <c r="D1243" t="s">
        <v>78</v>
      </c>
      <c r="E1243">
        <v>-27252</v>
      </c>
      <c r="F1243" t="s">
        <v>23</v>
      </c>
      <c r="G1243" t="s">
        <v>32</v>
      </c>
      <c r="H1243" t="s">
        <v>79</v>
      </c>
      <c r="I1243" t="s">
        <v>39</v>
      </c>
      <c r="J1243" t="s">
        <v>34</v>
      </c>
    </row>
    <row r="1244" spans="1:10">
      <c r="A1244" t="s">
        <v>2186</v>
      </c>
      <c r="B1244" t="s">
        <v>2187</v>
      </c>
      <c r="C1244" t="s">
        <v>69</v>
      </c>
      <c r="D1244" t="s">
        <v>38</v>
      </c>
      <c r="E1244">
        <v>-33903</v>
      </c>
      <c r="F1244" t="s">
        <v>23</v>
      </c>
      <c r="G1244" t="s">
        <v>32</v>
      </c>
      <c r="H1244" t="s">
        <v>33</v>
      </c>
      <c r="I1244" t="s">
        <v>39</v>
      </c>
      <c r="J1244" t="s">
        <v>27</v>
      </c>
    </row>
    <row r="1245" spans="1:10">
      <c r="A1245" t="s">
        <v>2188</v>
      </c>
      <c r="B1245" t="s">
        <v>2189</v>
      </c>
      <c r="C1245" t="s">
        <v>93</v>
      </c>
      <c r="D1245" t="s">
        <v>73</v>
      </c>
      <c r="E1245">
        <v>-84662</v>
      </c>
      <c r="F1245" t="s">
        <v>74</v>
      </c>
      <c r="G1245" t="s">
        <v>24</v>
      </c>
      <c r="H1245" t="s">
        <v>25</v>
      </c>
      <c r="I1245" t="s">
        <v>45</v>
      </c>
      <c r="J1245" t="s">
        <v>27</v>
      </c>
    </row>
    <row r="1246" spans="1:10">
      <c r="A1246" t="s">
        <v>2190</v>
      </c>
      <c r="B1246" t="s">
        <v>2191</v>
      </c>
      <c r="C1246" t="s">
        <v>77</v>
      </c>
      <c r="D1246" t="s">
        <v>78</v>
      </c>
      <c r="E1246">
        <v>-77429</v>
      </c>
      <c r="F1246" t="s">
        <v>23</v>
      </c>
      <c r="G1246" t="s">
        <v>24</v>
      </c>
      <c r="H1246" t="s">
        <v>79</v>
      </c>
      <c r="I1246" t="s">
        <v>45</v>
      </c>
      <c r="J1246" t="s">
        <v>34</v>
      </c>
    </row>
    <row r="1247" spans="1:10">
      <c r="A1247" t="s">
        <v>2192</v>
      </c>
      <c r="B1247" t="s">
        <v>2115</v>
      </c>
      <c r="C1247" t="s">
        <v>69</v>
      </c>
      <c r="D1247" t="s">
        <v>38</v>
      </c>
      <c r="E1247">
        <v>-13990</v>
      </c>
      <c r="F1247" t="s">
        <v>23</v>
      </c>
      <c r="G1247" t="s">
        <v>32</v>
      </c>
      <c r="H1247" t="s">
        <v>33</v>
      </c>
      <c r="I1247" t="s">
        <v>39</v>
      </c>
      <c r="J1247" t="s">
        <v>48</v>
      </c>
    </row>
    <row r="1248" spans="1:10">
      <c r="A1248" t="s">
        <v>2193</v>
      </c>
      <c r="B1248" t="s">
        <v>401</v>
      </c>
      <c r="C1248" t="s">
        <v>271</v>
      </c>
      <c r="D1248" t="s">
        <v>73</v>
      </c>
      <c r="E1248">
        <v>-61368</v>
      </c>
      <c r="F1248" t="s">
        <v>74</v>
      </c>
      <c r="G1248" t="s">
        <v>24</v>
      </c>
      <c r="H1248" t="s">
        <v>25</v>
      </c>
      <c r="I1248" t="s">
        <v>45</v>
      </c>
      <c r="J1248" t="s">
        <v>48</v>
      </c>
    </row>
    <row r="1249" spans="1:10">
      <c r="A1249" t="s">
        <v>2194</v>
      </c>
      <c r="B1249" t="s">
        <v>385</v>
      </c>
      <c r="C1249" t="s">
        <v>100</v>
      </c>
      <c r="D1249" t="s">
        <v>31</v>
      </c>
      <c r="E1249">
        <v>-38949</v>
      </c>
      <c r="F1249" t="s">
        <v>23</v>
      </c>
      <c r="G1249" t="s">
        <v>24</v>
      </c>
      <c r="H1249" t="s">
        <v>33</v>
      </c>
      <c r="I1249" t="s">
        <v>39</v>
      </c>
      <c r="J1249" t="s">
        <v>27</v>
      </c>
    </row>
    <row r="1250" spans="1:10">
      <c r="A1250" t="s">
        <v>2195</v>
      </c>
      <c r="B1250" t="s">
        <v>2196</v>
      </c>
      <c r="C1250" t="s">
        <v>106</v>
      </c>
      <c r="D1250" t="s">
        <v>31</v>
      </c>
      <c r="E1250">
        <v>-4749</v>
      </c>
      <c r="F1250" t="s">
        <v>23</v>
      </c>
      <c r="G1250" t="s">
        <v>32</v>
      </c>
      <c r="H1250" t="s">
        <v>33</v>
      </c>
      <c r="I1250" t="s">
        <v>26</v>
      </c>
      <c r="J1250" t="s">
        <v>48</v>
      </c>
    </row>
    <row r="1251" spans="1:10">
      <c r="A1251" t="s">
        <v>2197</v>
      </c>
      <c r="B1251" t="s">
        <v>2198</v>
      </c>
      <c r="C1251" t="s">
        <v>166</v>
      </c>
      <c r="D1251" t="s">
        <v>31</v>
      </c>
      <c r="E1251">
        <v>-35060</v>
      </c>
      <c r="F1251" t="s">
        <v>23</v>
      </c>
      <c r="G1251" t="s">
        <v>24</v>
      </c>
      <c r="H1251" t="s">
        <v>33</v>
      </c>
      <c r="I1251" t="s">
        <v>39</v>
      </c>
      <c r="J1251" t="s">
        <v>40</v>
      </c>
    </row>
    <row r="1252" spans="1:10">
      <c r="A1252" t="s">
        <v>2199</v>
      </c>
      <c r="B1252" t="s">
        <v>538</v>
      </c>
      <c r="C1252" t="s">
        <v>215</v>
      </c>
      <c r="D1252" t="s">
        <v>61</v>
      </c>
      <c r="E1252">
        <v>-41589</v>
      </c>
      <c r="F1252" t="s">
        <v>62</v>
      </c>
      <c r="G1252" t="s">
        <v>24</v>
      </c>
      <c r="H1252" t="s">
        <v>63</v>
      </c>
      <c r="I1252" t="s">
        <v>45</v>
      </c>
      <c r="J1252" t="s">
        <v>48</v>
      </c>
    </row>
    <row r="1253" spans="1:10">
      <c r="A1253" t="s">
        <v>2200</v>
      </c>
      <c r="B1253" t="s">
        <v>2201</v>
      </c>
      <c r="C1253" t="s">
        <v>180</v>
      </c>
      <c r="D1253" t="s">
        <v>44</v>
      </c>
      <c r="E1253">
        <v>-83069</v>
      </c>
      <c r="F1253" t="s">
        <v>23</v>
      </c>
      <c r="G1253" t="s">
        <v>24</v>
      </c>
      <c r="H1253" t="s">
        <v>33</v>
      </c>
      <c r="I1253" t="s">
        <v>45</v>
      </c>
      <c r="J1253" t="s">
        <v>40</v>
      </c>
    </row>
    <row r="1254" spans="1:10">
      <c r="A1254" t="s">
        <v>2202</v>
      </c>
      <c r="B1254" t="s">
        <v>2037</v>
      </c>
      <c r="C1254" t="s">
        <v>60</v>
      </c>
      <c r="D1254" t="s">
        <v>61</v>
      </c>
      <c r="E1254">
        <v>-62002</v>
      </c>
      <c r="F1254" t="s">
        <v>62</v>
      </c>
      <c r="G1254" t="s">
        <v>24</v>
      </c>
      <c r="H1254" t="s">
        <v>63</v>
      </c>
      <c r="I1254" t="s">
        <v>45</v>
      </c>
      <c r="J1254" t="s">
        <v>34</v>
      </c>
    </row>
    <row r="1255" spans="1:10">
      <c r="A1255" t="s">
        <v>2203</v>
      </c>
      <c r="B1255" t="s">
        <v>2168</v>
      </c>
      <c r="C1255" t="s">
        <v>255</v>
      </c>
      <c r="E1255">
        <v>-54052</v>
      </c>
      <c r="F1255" t="s">
        <v>23</v>
      </c>
      <c r="G1255" t="s">
        <v>24</v>
      </c>
      <c r="H1255" t="s">
        <v>25</v>
      </c>
      <c r="I1255" t="s">
        <v>39</v>
      </c>
      <c r="J1255" t="s">
        <v>40</v>
      </c>
    </row>
    <row r="1256" spans="1:10">
      <c r="A1256" t="s">
        <v>2204</v>
      </c>
      <c r="B1256" t="s">
        <v>739</v>
      </c>
      <c r="C1256" t="s">
        <v>215</v>
      </c>
      <c r="D1256" t="s">
        <v>61</v>
      </c>
      <c r="E1256">
        <v>-53622</v>
      </c>
      <c r="F1256" t="s">
        <v>62</v>
      </c>
      <c r="G1256" t="s">
        <v>32</v>
      </c>
      <c r="H1256" t="s">
        <v>63</v>
      </c>
      <c r="I1256" t="s">
        <v>39</v>
      </c>
      <c r="J1256" t="s">
        <v>48</v>
      </c>
    </row>
    <row r="1257" spans="1:10">
      <c r="A1257" t="s">
        <v>2205</v>
      </c>
      <c r="B1257" t="s">
        <v>1201</v>
      </c>
      <c r="C1257" t="s">
        <v>66</v>
      </c>
      <c r="D1257" t="s">
        <v>61</v>
      </c>
      <c r="E1257">
        <v>-62042</v>
      </c>
      <c r="F1257" t="s">
        <v>62</v>
      </c>
      <c r="G1257" t="s">
        <v>32</v>
      </c>
      <c r="H1257" t="s">
        <v>63</v>
      </c>
      <c r="I1257" t="s">
        <v>45</v>
      </c>
      <c r="J1257" t="s">
        <v>34</v>
      </c>
    </row>
    <row r="1258" spans="1:10">
      <c r="A1258" t="s">
        <v>2206</v>
      </c>
      <c r="B1258" t="s">
        <v>870</v>
      </c>
      <c r="C1258" t="s">
        <v>212</v>
      </c>
      <c r="D1258" t="s">
        <v>73</v>
      </c>
      <c r="E1258">
        <v>-70367</v>
      </c>
      <c r="F1258" t="s">
        <v>74</v>
      </c>
      <c r="G1258" t="s">
        <v>24</v>
      </c>
      <c r="H1258" t="s">
        <v>25</v>
      </c>
      <c r="I1258" t="s">
        <v>26</v>
      </c>
      <c r="J1258" t="s">
        <v>27</v>
      </c>
    </row>
    <row r="1259" spans="1:10">
      <c r="A1259" t="s">
        <v>2207</v>
      </c>
      <c r="B1259" t="s">
        <v>2208</v>
      </c>
      <c r="C1259" t="s">
        <v>30</v>
      </c>
      <c r="D1259" t="s">
        <v>31</v>
      </c>
      <c r="E1259">
        <v>-18465</v>
      </c>
      <c r="F1259" t="s">
        <v>23</v>
      </c>
      <c r="G1259" t="s">
        <v>32</v>
      </c>
      <c r="H1259" t="s">
        <v>33</v>
      </c>
      <c r="I1259" t="s">
        <v>39</v>
      </c>
      <c r="J1259" t="s">
        <v>40</v>
      </c>
    </row>
    <row r="1260" spans="1:10">
      <c r="A1260" t="s">
        <v>2209</v>
      </c>
      <c r="B1260" t="s">
        <v>1450</v>
      </c>
      <c r="C1260" t="s">
        <v>57</v>
      </c>
      <c r="D1260" t="s">
        <v>44</v>
      </c>
      <c r="E1260">
        <v>-78474</v>
      </c>
      <c r="F1260" t="s">
        <v>23</v>
      </c>
      <c r="G1260" t="s">
        <v>32</v>
      </c>
      <c r="H1260" t="s">
        <v>33</v>
      </c>
      <c r="I1260" t="s">
        <v>26</v>
      </c>
      <c r="J1260" t="s">
        <v>48</v>
      </c>
    </row>
    <row r="1261" spans="1:10">
      <c r="A1261" t="s">
        <v>2210</v>
      </c>
      <c r="B1261" t="s">
        <v>2211</v>
      </c>
      <c r="C1261" t="s">
        <v>305</v>
      </c>
      <c r="D1261" t="s">
        <v>38</v>
      </c>
      <c r="E1261">
        <v>-27099</v>
      </c>
      <c r="F1261" t="s">
        <v>23</v>
      </c>
      <c r="G1261" t="s">
        <v>32</v>
      </c>
      <c r="H1261" t="s">
        <v>33</v>
      </c>
      <c r="I1261" t="s">
        <v>45</v>
      </c>
      <c r="J1261" t="s">
        <v>48</v>
      </c>
    </row>
    <row r="1262" spans="1:10">
      <c r="A1262" t="s">
        <v>2212</v>
      </c>
      <c r="B1262" t="s">
        <v>184</v>
      </c>
      <c r="C1262" t="s">
        <v>984</v>
      </c>
      <c r="D1262" t="s">
        <v>73</v>
      </c>
      <c r="E1262">
        <v>-32225</v>
      </c>
      <c r="F1262" t="s">
        <v>74</v>
      </c>
      <c r="G1262" t="s">
        <v>24</v>
      </c>
      <c r="H1262" t="s">
        <v>25</v>
      </c>
      <c r="I1262" t="s">
        <v>39</v>
      </c>
      <c r="J1262" t="s">
        <v>34</v>
      </c>
    </row>
    <row r="1263" spans="1:10">
      <c r="A1263" t="s">
        <v>2213</v>
      </c>
      <c r="B1263" t="s">
        <v>2152</v>
      </c>
      <c r="C1263" t="s">
        <v>215</v>
      </c>
      <c r="E1263">
        <v>-36219</v>
      </c>
      <c r="F1263" t="s">
        <v>62</v>
      </c>
      <c r="G1263" t="s">
        <v>24</v>
      </c>
      <c r="H1263" t="s">
        <v>63</v>
      </c>
      <c r="I1263" t="s">
        <v>39</v>
      </c>
      <c r="J1263" t="s">
        <v>34</v>
      </c>
    </row>
    <row r="1264" spans="1:10">
      <c r="A1264" t="s">
        <v>2214</v>
      </c>
      <c r="B1264" t="s">
        <v>723</v>
      </c>
      <c r="C1264" t="s">
        <v>271</v>
      </c>
      <c r="D1264" t="s">
        <v>73</v>
      </c>
      <c r="E1264">
        <v>-78955</v>
      </c>
      <c r="F1264" t="s">
        <v>74</v>
      </c>
      <c r="G1264" t="s">
        <v>24</v>
      </c>
      <c r="H1264" t="s">
        <v>25</v>
      </c>
      <c r="I1264" t="s">
        <v>39</v>
      </c>
      <c r="J1264" t="s">
        <v>34</v>
      </c>
    </row>
    <row r="1265" spans="1:10">
      <c r="A1265" t="s">
        <v>2215</v>
      </c>
      <c r="B1265" t="s">
        <v>1295</v>
      </c>
      <c r="C1265" t="s">
        <v>345</v>
      </c>
      <c r="D1265" t="s">
        <v>22</v>
      </c>
      <c r="E1265">
        <v>-142850</v>
      </c>
      <c r="F1265" t="s">
        <v>23</v>
      </c>
      <c r="G1265" t="s">
        <v>24</v>
      </c>
      <c r="H1265" t="s">
        <v>25</v>
      </c>
      <c r="I1265" t="s">
        <v>26</v>
      </c>
      <c r="J1265" t="s">
        <v>27</v>
      </c>
    </row>
    <row r="1266" spans="1:10">
      <c r="A1266" t="s">
        <v>2216</v>
      </c>
      <c r="B1266" t="s">
        <v>2096</v>
      </c>
      <c r="C1266" t="s">
        <v>166</v>
      </c>
      <c r="D1266" t="s">
        <v>31</v>
      </c>
      <c r="E1266">
        <v>-30127</v>
      </c>
      <c r="F1266" t="s">
        <v>23</v>
      </c>
      <c r="G1266" t="s">
        <v>24</v>
      </c>
      <c r="H1266" t="s">
        <v>33</v>
      </c>
      <c r="I1266" t="s">
        <v>45</v>
      </c>
      <c r="J1266" t="s">
        <v>40</v>
      </c>
    </row>
    <row r="1267" spans="1:10">
      <c r="A1267" t="s">
        <v>2217</v>
      </c>
      <c r="B1267" t="s">
        <v>2218</v>
      </c>
      <c r="C1267" t="s">
        <v>106</v>
      </c>
      <c r="D1267" t="s">
        <v>31</v>
      </c>
      <c r="E1267">
        <v>-6110</v>
      </c>
      <c r="F1267" t="s">
        <v>23</v>
      </c>
      <c r="G1267" t="s">
        <v>24</v>
      </c>
      <c r="H1267" t="s">
        <v>33</v>
      </c>
      <c r="I1267" t="s">
        <v>45</v>
      </c>
      <c r="J1267" t="s">
        <v>34</v>
      </c>
    </row>
    <row r="1268" spans="1:10">
      <c r="A1268" t="s">
        <v>2219</v>
      </c>
      <c r="B1268" t="s">
        <v>1703</v>
      </c>
      <c r="C1268" t="s">
        <v>177</v>
      </c>
      <c r="D1268" t="s">
        <v>78</v>
      </c>
      <c r="E1268">
        <v>-116648</v>
      </c>
      <c r="F1268" t="s">
        <v>23</v>
      </c>
      <c r="G1268" t="s">
        <v>32</v>
      </c>
      <c r="H1268" t="s">
        <v>79</v>
      </c>
      <c r="I1268" t="s">
        <v>39</v>
      </c>
      <c r="J1268" t="s">
        <v>34</v>
      </c>
    </row>
    <row r="1269" spans="1:10">
      <c r="A1269" t="s">
        <v>2220</v>
      </c>
      <c r="B1269" t="s">
        <v>2221</v>
      </c>
      <c r="C1269" t="s">
        <v>687</v>
      </c>
      <c r="D1269" t="s">
        <v>44</v>
      </c>
      <c r="E1269">
        <v>-144782</v>
      </c>
      <c r="F1269" t="s">
        <v>23</v>
      </c>
      <c r="G1269" t="s">
        <v>24</v>
      </c>
      <c r="H1269" t="s">
        <v>33</v>
      </c>
      <c r="I1269" t="s">
        <v>26</v>
      </c>
      <c r="J1269" t="s">
        <v>27</v>
      </c>
    </row>
    <row r="1270" spans="1:10">
      <c r="A1270" t="s">
        <v>2222</v>
      </c>
      <c r="B1270" t="s">
        <v>651</v>
      </c>
      <c r="C1270" t="s">
        <v>60</v>
      </c>
      <c r="D1270" t="s">
        <v>61</v>
      </c>
      <c r="E1270">
        <v>-28623</v>
      </c>
      <c r="F1270" t="s">
        <v>62</v>
      </c>
      <c r="G1270" t="s">
        <v>24</v>
      </c>
      <c r="H1270" t="s">
        <v>63</v>
      </c>
      <c r="I1270" t="s">
        <v>26</v>
      </c>
      <c r="J1270" t="s">
        <v>27</v>
      </c>
    </row>
    <row r="1271" spans="1:10">
      <c r="A1271" t="s">
        <v>2223</v>
      </c>
      <c r="B1271" t="s">
        <v>2196</v>
      </c>
      <c r="C1271" t="s">
        <v>192</v>
      </c>
      <c r="D1271" t="s">
        <v>22</v>
      </c>
      <c r="E1271">
        <v>-101067</v>
      </c>
      <c r="F1271" t="s">
        <v>23</v>
      </c>
      <c r="G1271" t="s">
        <v>24</v>
      </c>
      <c r="H1271" t="s">
        <v>25</v>
      </c>
      <c r="I1271" t="s">
        <v>26</v>
      </c>
      <c r="J1271" t="s">
        <v>48</v>
      </c>
    </row>
    <row r="1272" spans="1:10">
      <c r="A1272" t="s">
        <v>2224</v>
      </c>
      <c r="B1272" t="s">
        <v>2225</v>
      </c>
      <c r="C1272" t="s">
        <v>215</v>
      </c>
      <c r="D1272" t="s">
        <v>61</v>
      </c>
      <c r="E1272">
        <v>-14242</v>
      </c>
      <c r="F1272" t="s">
        <v>62</v>
      </c>
      <c r="G1272" t="s">
        <v>24</v>
      </c>
      <c r="H1272" t="s">
        <v>63</v>
      </c>
      <c r="I1272" t="s">
        <v>45</v>
      </c>
      <c r="J1272" t="s">
        <v>48</v>
      </c>
    </row>
    <row r="1273" spans="1:10">
      <c r="A1273" t="s">
        <v>2226</v>
      </c>
      <c r="B1273" t="s">
        <v>1562</v>
      </c>
      <c r="C1273" t="s">
        <v>60</v>
      </c>
      <c r="D1273" t="s">
        <v>61</v>
      </c>
      <c r="E1273">
        <v>-60441</v>
      </c>
      <c r="F1273" t="s">
        <v>62</v>
      </c>
      <c r="G1273" t="s">
        <v>24</v>
      </c>
      <c r="H1273" t="s">
        <v>63</v>
      </c>
      <c r="I1273" t="s">
        <v>45</v>
      </c>
      <c r="J1273" t="s">
        <v>27</v>
      </c>
    </row>
    <row r="1274" spans="1:10">
      <c r="A1274" t="s">
        <v>2227</v>
      </c>
      <c r="B1274" t="s">
        <v>2228</v>
      </c>
      <c r="C1274" t="s">
        <v>2229</v>
      </c>
      <c r="D1274" t="s">
        <v>61</v>
      </c>
      <c r="E1274">
        <v>-50505</v>
      </c>
      <c r="F1274" t="s">
        <v>62</v>
      </c>
      <c r="G1274" t="s">
        <v>32</v>
      </c>
      <c r="H1274" t="s">
        <v>63</v>
      </c>
      <c r="I1274" t="s">
        <v>39</v>
      </c>
      <c r="J1274" t="s">
        <v>48</v>
      </c>
    </row>
    <row r="1275" spans="1:10">
      <c r="A1275" t="s">
        <v>2230</v>
      </c>
      <c r="B1275" t="s">
        <v>973</v>
      </c>
      <c r="C1275" t="s">
        <v>103</v>
      </c>
      <c r="D1275" t="s">
        <v>78</v>
      </c>
      <c r="E1275">
        <v>-85244</v>
      </c>
      <c r="F1275" t="s">
        <v>23</v>
      </c>
      <c r="G1275" t="s">
        <v>32</v>
      </c>
      <c r="H1275" t="s">
        <v>79</v>
      </c>
      <c r="I1275" t="s">
        <v>26</v>
      </c>
      <c r="J1275" t="s">
        <v>40</v>
      </c>
    </row>
    <row r="1276" spans="1:10">
      <c r="A1276" t="s">
        <v>2231</v>
      </c>
      <c r="B1276" t="s">
        <v>953</v>
      </c>
      <c r="C1276" t="s">
        <v>143</v>
      </c>
      <c r="D1276" t="s">
        <v>78</v>
      </c>
      <c r="E1276">
        <v>-71657</v>
      </c>
      <c r="F1276" t="s">
        <v>23</v>
      </c>
      <c r="G1276" t="s">
        <v>32</v>
      </c>
      <c r="H1276" t="s">
        <v>79</v>
      </c>
      <c r="I1276" t="s">
        <v>45</v>
      </c>
      <c r="J1276" t="s">
        <v>40</v>
      </c>
    </row>
    <row r="1277" spans="1:10">
      <c r="A1277" t="s">
        <v>2232</v>
      </c>
      <c r="B1277" t="s">
        <v>2233</v>
      </c>
      <c r="C1277" t="s">
        <v>60</v>
      </c>
      <c r="D1277" t="s">
        <v>61</v>
      </c>
      <c r="E1277">
        <v>-59239</v>
      </c>
      <c r="F1277" t="s">
        <v>62</v>
      </c>
      <c r="G1277" t="s">
        <v>32</v>
      </c>
      <c r="H1277" t="s">
        <v>63</v>
      </c>
      <c r="I1277" t="s">
        <v>26</v>
      </c>
      <c r="J1277" t="s">
        <v>48</v>
      </c>
    </row>
    <row r="1278" spans="1:10">
      <c r="A1278" t="s">
        <v>2234</v>
      </c>
      <c r="B1278" t="s">
        <v>2172</v>
      </c>
      <c r="C1278" t="s">
        <v>37</v>
      </c>
      <c r="D1278" t="s">
        <v>38</v>
      </c>
      <c r="E1278">
        <v>-12362</v>
      </c>
      <c r="F1278" t="s">
        <v>23</v>
      </c>
      <c r="G1278" t="s">
        <v>32</v>
      </c>
      <c r="H1278" t="s">
        <v>33</v>
      </c>
      <c r="I1278" t="s">
        <v>39</v>
      </c>
      <c r="J1278" t="s">
        <v>48</v>
      </c>
    </row>
    <row r="1279" spans="1:10">
      <c r="A1279" t="s">
        <v>2235</v>
      </c>
      <c r="B1279" t="s">
        <v>2236</v>
      </c>
      <c r="C1279" t="s">
        <v>60</v>
      </c>
      <c r="D1279" t="s">
        <v>61</v>
      </c>
      <c r="E1279">
        <v>-47227</v>
      </c>
      <c r="F1279" t="s">
        <v>62</v>
      </c>
      <c r="G1279" t="s">
        <v>24</v>
      </c>
      <c r="H1279" t="s">
        <v>63</v>
      </c>
      <c r="I1279" t="s">
        <v>45</v>
      </c>
      <c r="J1279" t="s">
        <v>34</v>
      </c>
    </row>
    <row r="1280" spans="1:10">
      <c r="A1280" t="s">
        <v>2237</v>
      </c>
      <c r="B1280" t="s">
        <v>153</v>
      </c>
      <c r="C1280" t="s">
        <v>51</v>
      </c>
      <c r="D1280" t="s">
        <v>31</v>
      </c>
      <c r="E1280">
        <v>-43199</v>
      </c>
      <c r="F1280" t="s">
        <v>23</v>
      </c>
      <c r="G1280" t="s">
        <v>24</v>
      </c>
      <c r="H1280" t="s">
        <v>33</v>
      </c>
      <c r="I1280" t="s">
        <v>45</v>
      </c>
      <c r="J1280" t="s">
        <v>27</v>
      </c>
    </row>
    <row r="1281" spans="1:10">
      <c r="A1281" t="s">
        <v>2238</v>
      </c>
      <c r="B1281" t="s">
        <v>2239</v>
      </c>
      <c r="C1281" t="s">
        <v>66</v>
      </c>
      <c r="D1281" t="s">
        <v>61</v>
      </c>
      <c r="E1281">
        <v>-58813</v>
      </c>
      <c r="F1281" t="s">
        <v>62</v>
      </c>
      <c r="G1281" t="s">
        <v>32</v>
      </c>
      <c r="H1281" t="s">
        <v>63</v>
      </c>
      <c r="I1281" t="s">
        <v>39</v>
      </c>
      <c r="J1281" t="s">
        <v>27</v>
      </c>
    </row>
    <row r="1282" spans="1:10">
      <c r="A1282" t="s">
        <v>2240</v>
      </c>
      <c r="B1282" t="s">
        <v>866</v>
      </c>
      <c r="C1282" t="s">
        <v>202</v>
      </c>
      <c r="D1282" t="s">
        <v>22</v>
      </c>
      <c r="E1282">
        <v>-78433</v>
      </c>
      <c r="F1282" t="s">
        <v>23</v>
      </c>
      <c r="G1282" t="s">
        <v>32</v>
      </c>
      <c r="H1282" t="s">
        <v>25</v>
      </c>
      <c r="I1282" t="s">
        <v>45</v>
      </c>
      <c r="J1282" t="s">
        <v>40</v>
      </c>
    </row>
    <row r="1283" spans="1:10">
      <c r="A1283" t="s">
        <v>2241</v>
      </c>
      <c r="B1283" t="s">
        <v>304</v>
      </c>
      <c r="C1283" t="s">
        <v>72</v>
      </c>
      <c r="D1283" t="s">
        <v>73</v>
      </c>
      <c r="E1283">
        <v>-23376</v>
      </c>
      <c r="F1283" t="s">
        <v>74</v>
      </c>
      <c r="G1283" t="s">
        <v>32</v>
      </c>
      <c r="H1283" t="s">
        <v>25</v>
      </c>
      <c r="I1283" t="s">
        <v>26</v>
      </c>
      <c r="J1283" t="s">
        <v>40</v>
      </c>
    </row>
    <row r="1284" spans="1:10">
      <c r="A1284" t="s">
        <v>2242</v>
      </c>
      <c r="B1284" t="s">
        <v>2243</v>
      </c>
      <c r="C1284" t="s">
        <v>103</v>
      </c>
      <c r="D1284" t="s">
        <v>78</v>
      </c>
      <c r="E1284">
        <v>-104254</v>
      </c>
      <c r="F1284" t="s">
        <v>23</v>
      </c>
      <c r="G1284" t="s">
        <v>32</v>
      </c>
      <c r="H1284" t="s">
        <v>79</v>
      </c>
      <c r="I1284" t="s">
        <v>39</v>
      </c>
      <c r="J1284" t="s">
        <v>34</v>
      </c>
    </row>
    <row r="1285" spans="1:10">
      <c r="A1285" t="s">
        <v>2244</v>
      </c>
      <c r="B1285" t="s">
        <v>1600</v>
      </c>
      <c r="C1285" t="s">
        <v>890</v>
      </c>
      <c r="D1285" t="s">
        <v>440</v>
      </c>
      <c r="E1285">
        <v>-145231</v>
      </c>
      <c r="F1285" t="s">
        <v>23</v>
      </c>
      <c r="G1285" t="s">
        <v>24</v>
      </c>
      <c r="H1285" t="s">
        <v>33</v>
      </c>
      <c r="I1285" t="s">
        <v>26</v>
      </c>
      <c r="J1285" t="s">
        <v>27</v>
      </c>
    </row>
    <row r="1286" spans="1:10">
      <c r="A1286" t="s">
        <v>2245</v>
      </c>
      <c r="B1286" t="s">
        <v>880</v>
      </c>
      <c r="C1286" t="s">
        <v>468</v>
      </c>
      <c r="D1286" t="s">
        <v>440</v>
      </c>
      <c r="E1286">
        <v>-156355</v>
      </c>
      <c r="F1286" t="s">
        <v>23</v>
      </c>
      <c r="G1286" t="s">
        <v>32</v>
      </c>
      <c r="H1286" t="s">
        <v>33</v>
      </c>
      <c r="I1286" t="s">
        <v>26</v>
      </c>
      <c r="J1286" t="s">
        <v>48</v>
      </c>
    </row>
    <row r="1287" spans="1:10">
      <c r="A1287" t="s">
        <v>2246</v>
      </c>
      <c r="B1287" t="s">
        <v>474</v>
      </c>
      <c r="C1287" t="s">
        <v>100</v>
      </c>
      <c r="D1287" t="s">
        <v>31</v>
      </c>
      <c r="E1287">
        <v>-26466</v>
      </c>
      <c r="F1287" t="s">
        <v>23</v>
      </c>
      <c r="G1287" t="s">
        <v>32</v>
      </c>
      <c r="H1287" t="s">
        <v>33</v>
      </c>
      <c r="I1287" t="s">
        <v>45</v>
      </c>
      <c r="J1287" t="s">
        <v>40</v>
      </c>
    </row>
    <row r="1288" spans="1:10">
      <c r="A1288" t="s">
        <v>2247</v>
      </c>
      <c r="B1288" t="s">
        <v>1880</v>
      </c>
      <c r="C1288" t="s">
        <v>43</v>
      </c>
      <c r="D1288" t="s">
        <v>44</v>
      </c>
      <c r="E1288">
        <v>-45460</v>
      </c>
      <c r="F1288" t="s">
        <v>23</v>
      </c>
      <c r="G1288" t="s">
        <v>24</v>
      </c>
      <c r="H1288" t="s">
        <v>33</v>
      </c>
      <c r="I1288" t="s">
        <v>26</v>
      </c>
      <c r="J1288" t="s">
        <v>48</v>
      </c>
    </row>
    <row r="1289" spans="1:10">
      <c r="A1289" t="s">
        <v>2248</v>
      </c>
      <c r="B1289" t="s">
        <v>2249</v>
      </c>
      <c r="C1289" t="s">
        <v>224</v>
      </c>
      <c r="D1289" t="s">
        <v>78</v>
      </c>
      <c r="E1289">
        <v>-47653</v>
      </c>
      <c r="F1289" t="s">
        <v>23</v>
      </c>
      <c r="G1289" t="s">
        <v>32</v>
      </c>
      <c r="H1289" t="s">
        <v>79</v>
      </c>
      <c r="I1289" t="s">
        <v>39</v>
      </c>
      <c r="J1289" t="s">
        <v>48</v>
      </c>
    </row>
    <row r="1290" spans="1:10">
      <c r="A1290" t="s">
        <v>2250</v>
      </c>
      <c r="B1290" t="s">
        <v>565</v>
      </c>
      <c r="C1290" t="s">
        <v>106</v>
      </c>
      <c r="D1290" t="s">
        <v>31</v>
      </c>
      <c r="E1290">
        <v>-26895</v>
      </c>
      <c r="F1290" t="s">
        <v>23</v>
      </c>
      <c r="G1290" t="s">
        <v>24</v>
      </c>
      <c r="H1290" t="s">
        <v>33</v>
      </c>
      <c r="I1290" t="s">
        <v>39</v>
      </c>
      <c r="J1290" t="s">
        <v>48</v>
      </c>
    </row>
    <row r="1291" spans="1:10">
      <c r="A1291" t="s">
        <v>2251</v>
      </c>
      <c r="B1291" t="s">
        <v>2252</v>
      </c>
      <c r="C1291" t="s">
        <v>100</v>
      </c>
      <c r="D1291" t="s">
        <v>31</v>
      </c>
      <c r="E1291">
        <v>-5505</v>
      </c>
      <c r="F1291" t="s">
        <v>23</v>
      </c>
      <c r="G1291" t="s">
        <v>24</v>
      </c>
      <c r="H1291" t="s">
        <v>33</v>
      </c>
      <c r="I1291" t="s">
        <v>26</v>
      </c>
      <c r="J1291" t="s">
        <v>27</v>
      </c>
    </row>
    <row r="1292" spans="1:10">
      <c r="A1292" t="s">
        <v>612</v>
      </c>
      <c r="B1292" t="s">
        <v>613</v>
      </c>
      <c r="C1292" t="s">
        <v>143</v>
      </c>
      <c r="D1292" t="s">
        <v>78</v>
      </c>
      <c r="E1292">
        <v>-102153</v>
      </c>
      <c r="F1292" t="s">
        <v>23</v>
      </c>
      <c r="G1292" t="s">
        <v>32</v>
      </c>
      <c r="H1292" t="s">
        <v>79</v>
      </c>
      <c r="I1292" t="s">
        <v>26</v>
      </c>
      <c r="J1292" t="s">
        <v>34</v>
      </c>
    </row>
    <row r="1293" spans="1:10">
      <c r="A1293" t="s">
        <v>2253</v>
      </c>
      <c r="B1293" t="s">
        <v>2254</v>
      </c>
      <c r="C1293" t="s">
        <v>271</v>
      </c>
      <c r="D1293" t="s">
        <v>111</v>
      </c>
      <c r="E1293">
        <v>-18957</v>
      </c>
      <c r="F1293" t="s">
        <v>74</v>
      </c>
      <c r="G1293" t="s">
        <v>32</v>
      </c>
      <c r="H1293" t="s">
        <v>25</v>
      </c>
      <c r="I1293" t="s">
        <v>26</v>
      </c>
      <c r="J1293" t="s">
        <v>40</v>
      </c>
    </row>
    <row r="1294" spans="1:10">
      <c r="A1294" t="s">
        <v>2255</v>
      </c>
      <c r="B1294" t="s">
        <v>1128</v>
      </c>
      <c r="C1294" t="s">
        <v>271</v>
      </c>
      <c r="D1294" t="s">
        <v>73</v>
      </c>
      <c r="E1294">
        <v>-35532</v>
      </c>
      <c r="F1294" t="s">
        <v>74</v>
      </c>
      <c r="G1294" t="s">
        <v>32</v>
      </c>
      <c r="H1294" t="s">
        <v>25</v>
      </c>
      <c r="I1294" t="s">
        <v>26</v>
      </c>
      <c r="J1294" t="s">
        <v>48</v>
      </c>
    </row>
    <row r="1295" spans="1:10">
      <c r="A1295" t="s">
        <v>2256</v>
      </c>
      <c r="B1295" t="s">
        <v>2257</v>
      </c>
      <c r="C1295" t="s">
        <v>2258</v>
      </c>
      <c r="D1295" t="s">
        <v>38</v>
      </c>
      <c r="E1295">
        <v>-11557</v>
      </c>
      <c r="F1295" t="s">
        <v>23</v>
      </c>
      <c r="G1295" t="s">
        <v>24</v>
      </c>
      <c r="H1295" t="s">
        <v>33</v>
      </c>
      <c r="I1295" t="s">
        <v>39</v>
      </c>
      <c r="J1295" t="s">
        <v>34</v>
      </c>
    </row>
    <row r="1296" spans="1:10">
      <c r="A1296" t="s">
        <v>2259</v>
      </c>
      <c r="B1296" t="s">
        <v>1354</v>
      </c>
      <c r="C1296" t="s">
        <v>69</v>
      </c>
      <c r="D1296" t="s">
        <v>38</v>
      </c>
      <c r="E1296">
        <v>-49698</v>
      </c>
      <c r="F1296" t="s">
        <v>23</v>
      </c>
      <c r="G1296" t="s">
        <v>32</v>
      </c>
      <c r="H1296" t="s">
        <v>33</v>
      </c>
      <c r="I1296" t="s">
        <v>45</v>
      </c>
      <c r="J1296" t="s">
        <v>40</v>
      </c>
    </row>
    <row r="1297" spans="1:10">
      <c r="A1297" t="s">
        <v>2260</v>
      </c>
      <c r="B1297" t="s">
        <v>1117</v>
      </c>
      <c r="C1297" t="s">
        <v>43</v>
      </c>
      <c r="D1297" t="s">
        <v>44</v>
      </c>
      <c r="E1297">
        <v>-88369</v>
      </c>
      <c r="F1297" t="s">
        <v>23</v>
      </c>
      <c r="G1297" t="s">
        <v>32</v>
      </c>
      <c r="H1297" t="s">
        <v>33</v>
      </c>
      <c r="I1297" t="s">
        <v>39</v>
      </c>
      <c r="J1297" t="s">
        <v>27</v>
      </c>
    </row>
    <row r="1298" spans="1:10">
      <c r="A1298" t="s">
        <v>2261</v>
      </c>
      <c r="B1298" t="s">
        <v>1655</v>
      </c>
      <c r="C1298" t="s">
        <v>519</v>
      </c>
      <c r="D1298" t="s">
        <v>44</v>
      </c>
      <c r="E1298">
        <v>-103071</v>
      </c>
      <c r="F1298" t="s">
        <v>23</v>
      </c>
      <c r="G1298" t="s">
        <v>32</v>
      </c>
      <c r="H1298" t="s">
        <v>33</v>
      </c>
      <c r="I1298" t="s">
        <v>39</v>
      </c>
      <c r="J1298" t="s">
        <v>27</v>
      </c>
    </row>
    <row r="1299" spans="1:10">
      <c r="A1299" t="s">
        <v>2262</v>
      </c>
      <c r="B1299" t="s">
        <v>807</v>
      </c>
      <c r="C1299" t="s">
        <v>266</v>
      </c>
      <c r="D1299" t="s">
        <v>73</v>
      </c>
      <c r="E1299">
        <v>-12205</v>
      </c>
      <c r="F1299" t="s">
        <v>74</v>
      </c>
      <c r="G1299" t="s">
        <v>24</v>
      </c>
      <c r="H1299" t="s">
        <v>25</v>
      </c>
      <c r="I1299" t="s">
        <v>39</v>
      </c>
      <c r="J1299" t="s">
        <v>40</v>
      </c>
    </row>
    <row r="1300" spans="1:10">
      <c r="A1300" t="s">
        <v>2263</v>
      </c>
      <c r="B1300" t="s">
        <v>314</v>
      </c>
      <c r="C1300" t="s">
        <v>66</v>
      </c>
      <c r="D1300" t="s">
        <v>61</v>
      </c>
      <c r="E1300">
        <v>-32508</v>
      </c>
      <c r="F1300" t="s">
        <v>62</v>
      </c>
      <c r="G1300" t="s">
        <v>32</v>
      </c>
      <c r="H1300" t="s">
        <v>63</v>
      </c>
      <c r="I1300" t="s">
        <v>45</v>
      </c>
      <c r="J1300" t="s">
        <v>34</v>
      </c>
    </row>
    <row r="1301" spans="1:10">
      <c r="A1301" t="s">
        <v>2264</v>
      </c>
      <c r="B1301" t="s">
        <v>232</v>
      </c>
      <c r="C1301" t="s">
        <v>255</v>
      </c>
      <c r="D1301" t="s">
        <v>22</v>
      </c>
      <c r="E1301">
        <v>-213103</v>
      </c>
      <c r="F1301" t="s">
        <v>23</v>
      </c>
      <c r="G1301" t="s">
        <v>32</v>
      </c>
      <c r="H1301" t="s">
        <v>25</v>
      </c>
      <c r="I1301" t="s">
        <v>45</v>
      </c>
      <c r="J1301" t="s">
        <v>27</v>
      </c>
    </row>
    <row r="1302" spans="1:10">
      <c r="A1302" t="s">
        <v>2265</v>
      </c>
      <c r="B1302" t="s">
        <v>2266</v>
      </c>
      <c r="C1302" t="s">
        <v>215</v>
      </c>
      <c r="D1302" t="s">
        <v>61</v>
      </c>
      <c r="E1302">
        <v>-35128</v>
      </c>
      <c r="F1302" t="s">
        <v>62</v>
      </c>
      <c r="G1302" t="s">
        <v>24</v>
      </c>
      <c r="H1302" t="s">
        <v>63</v>
      </c>
      <c r="I1302" t="s">
        <v>26</v>
      </c>
      <c r="J1302" t="s">
        <v>27</v>
      </c>
    </row>
    <row r="1303" spans="1:10">
      <c r="A1303" t="s">
        <v>2267</v>
      </c>
      <c r="B1303" t="s">
        <v>2062</v>
      </c>
      <c r="C1303" t="s">
        <v>224</v>
      </c>
      <c r="D1303" t="s">
        <v>78</v>
      </c>
      <c r="E1303">
        <v>-36605</v>
      </c>
      <c r="F1303" t="s">
        <v>23</v>
      </c>
      <c r="G1303" t="s">
        <v>24</v>
      </c>
      <c r="H1303" t="s">
        <v>79</v>
      </c>
      <c r="I1303" t="s">
        <v>39</v>
      </c>
      <c r="J1303" t="s">
        <v>48</v>
      </c>
    </row>
    <row r="1304" spans="1:10">
      <c r="A1304" t="s">
        <v>2268</v>
      </c>
      <c r="B1304" t="s">
        <v>1232</v>
      </c>
      <c r="C1304" t="s">
        <v>519</v>
      </c>
      <c r="D1304" t="s">
        <v>44</v>
      </c>
      <c r="E1304">
        <v>-78412</v>
      </c>
      <c r="F1304" t="s">
        <v>23</v>
      </c>
      <c r="G1304" t="s">
        <v>24</v>
      </c>
      <c r="H1304" t="s">
        <v>33</v>
      </c>
      <c r="I1304" t="s">
        <v>45</v>
      </c>
      <c r="J1304" t="s">
        <v>27</v>
      </c>
    </row>
    <row r="1305" spans="1:10">
      <c r="A1305" t="s">
        <v>2269</v>
      </c>
      <c r="B1305" t="s">
        <v>392</v>
      </c>
      <c r="C1305" t="s">
        <v>143</v>
      </c>
      <c r="D1305" t="s">
        <v>78</v>
      </c>
      <c r="E1305">
        <v>-97657</v>
      </c>
      <c r="F1305" t="s">
        <v>23</v>
      </c>
      <c r="G1305" t="s">
        <v>32</v>
      </c>
      <c r="H1305" t="s">
        <v>79</v>
      </c>
      <c r="I1305" t="s">
        <v>45</v>
      </c>
      <c r="J1305" t="s">
        <v>40</v>
      </c>
    </row>
    <row r="1306" spans="1:10">
      <c r="A1306" t="s">
        <v>2270</v>
      </c>
      <c r="B1306" t="s">
        <v>825</v>
      </c>
      <c r="C1306" t="s">
        <v>1039</v>
      </c>
      <c r="D1306" t="s">
        <v>440</v>
      </c>
      <c r="E1306">
        <v>-143190</v>
      </c>
      <c r="F1306" t="s">
        <v>23</v>
      </c>
      <c r="G1306" t="s">
        <v>24</v>
      </c>
      <c r="H1306" t="s">
        <v>33</v>
      </c>
      <c r="I1306" t="s">
        <v>26</v>
      </c>
      <c r="J1306" t="s">
        <v>48</v>
      </c>
    </row>
    <row r="1307" spans="1:10">
      <c r="A1307" t="s">
        <v>2271</v>
      </c>
      <c r="B1307" t="s">
        <v>1641</v>
      </c>
      <c r="C1307" t="s">
        <v>215</v>
      </c>
      <c r="D1307" t="s">
        <v>61</v>
      </c>
      <c r="E1307">
        <v>-12250</v>
      </c>
      <c r="F1307" t="s">
        <v>62</v>
      </c>
      <c r="G1307" t="s">
        <v>24</v>
      </c>
      <c r="H1307" t="s">
        <v>63</v>
      </c>
      <c r="I1307" t="s">
        <v>26</v>
      </c>
      <c r="J1307" t="s">
        <v>40</v>
      </c>
    </row>
    <row r="1308" spans="1:10">
      <c r="A1308" t="s">
        <v>2272</v>
      </c>
      <c r="B1308" t="s">
        <v>535</v>
      </c>
      <c r="C1308" t="s">
        <v>116</v>
      </c>
      <c r="D1308" t="s">
        <v>73</v>
      </c>
      <c r="E1308">
        <v>-24749</v>
      </c>
      <c r="F1308" t="s">
        <v>74</v>
      </c>
      <c r="G1308" t="s">
        <v>32</v>
      </c>
      <c r="H1308" t="s">
        <v>25</v>
      </c>
      <c r="I1308" t="s">
        <v>39</v>
      </c>
      <c r="J1308" t="s">
        <v>27</v>
      </c>
    </row>
    <row r="1309" spans="1:10">
      <c r="A1309" t="s">
        <v>2273</v>
      </c>
      <c r="B1309" t="s">
        <v>2274</v>
      </c>
      <c r="C1309" t="s">
        <v>255</v>
      </c>
      <c r="D1309" t="s">
        <v>22</v>
      </c>
      <c r="E1309">
        <v>-49520</v>
      </c>
      <c r="F1309" t="s">
        <v>23</v>
      </c>
      <c r="G1309" t="s">
        <v>24</v>
      </c>
      <c r="H1309" t="s">
        <v>25</v>
      </c>
      <c r="I1309" t="s">
        <v>45</v>
      </c>
      <c r="J1309" t="s">
        <v>48</v>
      </c>
    </row>
    <row r="1310" spans="1:10">
      <c r="A1310" t="s">
        <v>2275</v>
      </c>
      <c r="B1310" t="s">
        <v>816</v>
      </c>
      <c r="C1310" t="s">
        <v>69</v>
      </c>
      <c r="D1310" t="s">
        <v>38</v>
      </c>
      <c r="E1310">
        <v>-48431</v>
      </c>
      <c r="F1310" t="s">
        <v>23</v>
      </c>
      <c r="G1310" t="s">
        <v>24</v>
      </c>
      <c r="H1310" t="s">
        <v>33</v>
      </c>
      <c r="I1310" t="s">
        <v>26</v>
      </c>
      <c r="J1310" t="s">
        <v>48</v>
      </c>
    </row>
    <row r="1311" spans="1:10">
      <c r="A1311" t="s">
        <v>2276</v>
      </c>
      <c r="B1311" t="s">
        <v>2277</v>
      </c>
      <c r="C1311" t="s">
        <v>345</v>
      </c>
      <c r="D1311" t="s">
        <v>22</v>
      </c>
      <c r="E1311">
        <v>-100444</v>
      </c>
      <c r="F1311" t="s">
        <v>23</v>
      </c>
      <c r="G1311" t="s">
        <v>24</v>
      </c>
      <c r="H1311" t="s">
        <v>25</v>
      </c>
      <c r="I1311" t="s">
        <v>39</v>
      </c>
      <c r="J1311" t="s">
        <v>40</v>
      </c>
    </row>
    <row r="1312" spans="1:10">
      <c r="A1312" t="s">
        <v>2278</v>
      </c>
      <c r="B1312" t="s">
        <v>1383</v>
      </c>
      <c r="C1312" t="s">
        <v>54</v>
      </c>
      <c r="D1312" t="s">
        <v>38</v>
      </c>
      <c r="E1312">
        <v>-52453</v>
      </c>
      <c r="F1312" t="s">
        <v>23</v>
      </c>
      <c r="G1312" t="s">
        <v>32</v>
      </c>
      <c r="H1312" t="s">
        <v>33</v>
      </c>
      <c r="I1312" t="s">
        <v>26</v>
      </c>
      <c r="J1312" t="s">
        <v>27</v>
      </c>
    </row>
    <row r="1313" spans="1:10">
      <c r="A1313" t="s">
        <v>2279</v>
      </c>
      <c r="B1313" t="s">
        <v>410</v>
      </c>
      <c r="C1313" t="s">
        <v>218</v>
      </c>
      <c r="D1313" t="s">
        <v>157</v>
      </c>
      <c r="E1313">
        <v>669159</v>
      </c>
      <c r="F1313" t="s">
        <v>62</v>
      </c>
      <c r="G1313" t="s">
        <v>32</v>
      </c>
      <c r="H1313" t="s">
        <v>25</v>
      </c>
      <c r="I1313" t="s">
        <v>39</v>
      </c>
      <c r="J1313" t="s">
        <v>34</v>
      </c>
    </row>
    <row r="1314" spans="1:10">
      <c r="A1314" t="s">
        <v>2280</v>
      </c>
      <c r="B1314" t="s">
        <v>304</v>
      </c>
      <c r="C1314" t="s">
        <v>1039</v>
      </c>
      <c r="D1314" t="s">
        <v>440</v>
      </c>
      <c r="E1314">
        <v>-158341</v>
      </c>
      <c r="F1314" t="s">
        <v>23</v>
      </c>
      <c r="G1314" t="s">
        <v>24</v>
      </c>
      <c r="H1314" t="s">
        <v>33</v>
      </c>
      <c r="I1314" t="s">
        <v>26</v>
      </c>
      <c r="J1314" t="s">
        <v>40</v>
      </c>
    </row>
    <row r="1315" spans="1:10">
      <c r="A1315" t="s">
        <v>2281</v>
      </c>
      <c r="B1315" t="s">
        <v>2282</v>
      </c>
      <c r="C1315" t="s">
        <v>54</v>
      </c>
      <c r="D1315" t="s">
        <v>38</v>
      </c>
      <c r="E1315">
        <v>-18956</v>
      </c>
      <c r="F1315" t="s">
        <v>23</v>
      </c>
      <c r="G1315" t="s">
        <v>32</v>
      </c>
      <c r="H1315" t="s">
        <v>33</v>
      </c>
      <c r="I1315" t="s">
        <v>39</v>
      </c>
      <c r="J1315" t="s">
        <v>48</v>
      </c>
    </row>
    <row r="1316" spans="1:10">
      <c r="A1316" t="s">
        <v>2283</v>
      </c>
      <c r="B1316" t="s">
        <v>2284</v>
      </c>
      <c r="C1316" t="s">
        <v>156</v>
      </c>
      <c r="D1316" t="s">
        <v>157</v>
      </c>
      <c r="E1316">
        <v>583302</v>
      </c>
      <c r="F1316" t="s">
        <v>62</v>
      </c>
      <c r="G1316" t="s">
        <v>32</v>
      </c>
      <c r="H1316" t="s">
        <v>25</v>
      </c>
      <c r="I1316" t="s">
        <v>45</v>
      </c>
      <c r="J1316" t="s">
        <v>34</v>
      </c>
    </row>
    <row r="1317" spans="1:10">
      <c r="A1317" t="s">
        <v>2285</v>
      </c>
      <c r="B1317" t="s">
        <v>234</v>
      </c>
      <c r="C1317" t="s">
        <v>72</v>
      </c>
      <c r="D1317" t="s">
        <v>73</v>
      </c>
      <c r="E1317">
        <v>-46535</v>
      </c>
      <c r="F1317" t="s">
        <v>74</v>
      </c>
      <c r="G1317" t="s">
        <v>24</v>
      </c>
      <c r="H1317" t="s">
        <v>25</v>
      </c>
      <c r="I1317" t="s">
        <v>45</v>
      </c>
      <c r="J1317" t="s">
        <v>40</v>
      </c>
    </row>
    <row r="1318" spans="1:10">
      <c r="A1318" t="s">
        <v>2286</v>
      </c>
      <c r="B1318" t="s">
        <v>2101</v>
      </c>
      <c r="C1318" t="s">
        <v>468</v>
      </c>
      <c r="D1318" t="s">
        <v>440</v>
      </c>
      <c r="E1318">
        <v>-142615</v>
      </c>
      <c r="F1318" t="s">
        <v>23</v>
      </c>
      <c r="G1318" t="s">
        <v>24</v>
      </c>
      <c r="H1318" t="s">
        <v>33</v>
      </c>
      <c r="I1318" t="s">
        <v>26</v>
      </c>
      <c r="J1318" t="s">
        <v>40</v>
      </c>
    </row>
    <row r="1319" spans="1:10">
      <c r="A1319" t="s">
        <v>2287</v>
      </c>
      <c r="B1319" t="s">
        <v>2288</v>
      </c>
      <c r="C1319" t="s">
        <v>616</v>
      </c>
      <c r="D1319" t="s">
        <v>22</v>
      </c>
      <c r="E1319">
        <v>-45287</v>
      </c>
      <c r="F1319" t="s">
        <v>23</v>
      </c>
      <c r="G1319" t="s">
        <v>24</v>
      </c>
      <c r="H1319" t="s">
        <v>25</v>
      </c>
      <c r="I1319" t="s">
        <v>39</v>
      </c>
      <c r="J1319" t="s">
        <v>34</v>
      </c>
    </row>
    <row r="1320" spans="1:10">
      <c r="A1320" t="s">
        <v>2289</v>
      </c>
      <c r="B1320" t="s">
        <v>2290</v>
      </c>
      <c r="C1320" t="s">
        <v>310</v>
      </c>
      <c r="D1320" t="s">
        <v>22</v>
      </c>
      <c r="E1320">
        <v>-184945</v>
      </c>
      <c r="F1320" t="s">
        <v>23</v>
      </c>
      <c r="G1320" t="s">
        <v>32</v>
      </c>
      <c r="H1320" t="s">
        <v>25</v>
      </c>
      <c r="I1320" t="s">
        <v>26</v>
      </c>
      <c r="J1320" t="s">
        <v>48</v>
      </c>
    </row>
    <row r="1321" spans="1:10">
      <c r="A1321" t="s">
        <v>2291</v>
      </c>
      <c r="B1321" t="s">
        <v>2292</v>
      </c>
      <c r="C1321" t="s">
        <v>21</v>
      </c>
      <c r="D1321" t="s">
        <v>22</v>
      </c>
      <c r="E1321">
        <v>-161708</v>
      </c>
      <c r="F1321" t="s">
        <v>23</v>
      </c>
      <c r="G1321" t="s">
        <v>32</v>
      </c>
      <c r="H1321" t="s">
        <v>25</v>
      </c>
      <c r="I1321" t="s">
        <v>45</v>
      </c>
      <c r="J1321" t="s">
        <v>27</v>
      </c>
    </row>
    <row r="1322" spans="1:10">
      <c r="A1322" t="s">
        <v>2293</v>
      </c>
      <c r="B1322" t="s">
        <v>2294</v>
      </c>
      <c r="C1322" t="s">
        <v>519</v>
      </c>
      <c r="D1322" t="s">
        <v>44</v>
      </c>
      <c r="E1322">
        <v>-42337</v>
      </c>
      <c r="F1322" t="s">
        <v>23</v>
      </c>
      <c r="G1322" t="s">
        <v>24</v>
      </c>
      <c r="H1322" t="s">
        <v>33</v>
      </c>
      <c r="I1322" t="s">
        <v>39</v>
      </c>
      <c r="J1322" t="s">
        <v>40</v>
      </c>
    </row>
    <row r="1323" spans="1:10">
      <c r="A1323" t="s">
        <v>2295</v>
      </c>
      <c r="B1323" t="s">
        <v>797</v>
      </c>
      <c r="C1323" t="s">
        <v>72</v>
      </c>
      <c r="E1323">
        <v>-67130</v>
      </c>
      <c r="F1323" t="s">
        <v>74</v>
      </c>
      <c r="G1323" t="s">
        <v>32</v>
      </c>
      <c r="H1323" t="s">
        <v>25</v>
      </c>
      <c r="I1323" t="s">
        <v>26</v>
      </c>
      <c r="J1323" t="s">
        <v>34</v>
      </c>
    </row>
    <row r="1324" spans="1:10">
      <c r="A1324" t="s">
        <v>2296</v>
      </c>
      <c r="B1324" t="s">
        <v>1351</v>
      </c>
      <c r="C1324" t="s">
        <v>54</v>
      </c>
      <c r="D1324" t="s">
        <v>38</v>
      </c>
      <c r="E1324">
        <v>-50609</v>
      </c>
      <c r="F1324" t="s">
        <v>23</v>
      </c>
      <c r="G1324" t="s">
        <v>24</v>
      </c>
      <c r="H1324" t="s">
        <v>33</v>
      </c>
      <c r="I1324" t="s">
        <v>45</v>
      </c>
      <c r="J1324" t="s">
        <v>48</v>
      </c>
    </row>
    <row r="1325" spans="1:10">
      <c r="A1325" t="s">
        <v>2297</v>
      </c>
      <c r="B1325" t="s">
        <v>2221</v>
      </c>
      <c r="C1325" t="s">
        <v>616</v>
      </c>
      <c r="D1325" t="s">
        <v>22</v>
      </c>
      <c r="E1325">
        <v>-26923</v>
      </c>
      <c r="F1325" t="s">
        <v>23</v>
      </c>
      <c r="G1325" t="s">
        <v>32</v>
      </c>
      <c r="H1325" t="s">
        <v>25</v>
      </c>
      <c r="I1325" t="s">
        <v>26</v>
      </c>
      <c r="J1325" t="s">
        <v>27</v>
      </c>
    </row>
    <row r="1326" spans="1:10">
      <c r="A1326" t="s">
        <v>2298</v>
      </c>
      <c r="B1326" t="s">
        <v>2299</v>
      </c>
      <c r="C1326" t="s">
        <v>935</v>
      </c>
      <c r="D1326" t="s">
        <v>22</v>
      </c>
      <c r="E1326">
        <v>-185269</v>
      </c>
      <c r="F1326" t="s">
        <v>23</v>
      </c>
      <c r="G1326" t="s">
        <v>32</v>
      </c>
      <c r="H1326" t="s">
        <v>25</v>
      </c>
      <c r="I1326" t="s">
        <v>26</v>
      </c>
      <c r="J1326" t="s">
        <v>27</v>
      </c>
    </row>
    <row r="1327" spans="1:10">
      <c r="A1327" t="s">
        <v>2300</v>
      </c>
      <c r="B1327" t="s">
        <v>1919</v>
      </c>
      <c r="C1327" t="s">
        <v>215</v>
      </c>
      <c r="D1327" t="s">
        <v>61</v>
      </c>
      <c r="E1327">
        <v>-64087</v>
      </c>
      <c r="F1327" t="s">
        <v>62</v>
      </c>
      <c r="G1327" t="s">
        <v>24</v>
      </c>
      <c r="H1327" t="s">
        <v>63</v>
      </c>
      <c r="I1327" t="s">
        <v>39</v>
      </c>
      <c r="J1327" t="s">
        <v>48</v>
      </c>
    </row>
    <row r="1328" spans="1:10">
      <c r="A1328" t="s">
        <v>2301</v>
      </c>
      <c r="B1328" t="s">
        <v>2302</v>
      </c>
      <c r="C1328" t="s">
        <v>116</v>
      </c>
      <c r="D1328" t="s">
        <v>111</v>
      </c>
      <c r="E1328">
        <v>-48793</v>
      </c>
      <c r="F1328" t="s">
        <v>74</v>
      </c>
      <c r="G1328" t="s">
        <v>32</v>
      </c>
      <c r="H1328" t="s">
        <v>25</v>
      </c>
      <c r="I1328" t="s">
        <v>39</v>
      </c>
      <c r="J1328" t="s">
        <v>34</v>
      </c>
    </row>
    <row r="1329" spans="1:10">
      <c r="A1329" t="s">
        <v>2303</v>
      </c>
      <c r="B1329" t="s">
        <v>1608</v>
      </c>
      <c r="C1329" t="s">
        <v>116</v>
      </c>
      <c r="D1329" t="s">
        <v>73</v>
      </c>
      <c r="E1329">
        <v>-78852</v>
      </c>
      <c r="F1329" t="s">
        <v>74</v>
      </c>
      <c r="G1329" t="s">
        <v>32</v>
      </c>
      <c r="H1329" t="s">
        <v>25</v>
      </c>
      <c r="I1329" t="s">
        <v>39</v>
      </c>
      <c r="J1329" t="s">
        <v>48</v>
      </c>
    </row>
    <row r="1330" spans="1:10">
      <c r="A1330" t="s">
        <v>2304</v>
      </c>
      <c r="B1330" t="s">
        <v>1357</v>
      </c>
      <c r="C1330" t="s">
        <v>156</v>
      </c>
      <c r="D1330" t="s">
        <v>157</v>
      </c>
      <c r="E1330">
        <v>664640</v>
      </c>
      <c r="F1330" t="s">
        <v>62</v>
      </c>
      <c r="G1330" t="s">
        <v>32</v>
      </c>
      <c r="H1330" t="s">
        <v>25</v>
      </c>
      <c r="I1330" t="s">
        <v>45</v>
      </c>
      <c r="J1330" t="s">
        <v>48</v>
      </c>
    </row>
    <row r="1331" spans="1:10">
      <c r="A1331" t="s">
        <v>2305</v>
      </c>
      <c r="B1331" t="s">
        <v>555</v>
      </c>
      <c r="C1331" t="s">
        <v>305</v>
      </c>
      <c r="D1331" t="s">
        <v>38</v>
      </c>
      <c r="E1331">
        <v>-37234</v>
      </c>
      <c r="F1331" t="s">
        <v>23</v>
      </c>
      <c r="G1331" t="s">
        <v>32</v>
      </c>
      <c r="H1331" t="s">
        <v>33</v>
      </c>
      <c r="I1331" t="s">
        <v>39</v>
      </c>
      <c r="J1331" t="s">
        <v>48</v>
      </c>
    </row>
    <row r="1332" spans="1:10">
      <c r="A1332" t="s">
        <v>2306</v>
      </c>
      <c r="B1332" t="s">
        <v>816</v>
      </c>
      <c r="C1332" t="s">
        <v>935</v>
      </c>
      <c r="D1332" t="s">
        <v>22</v>
      </c>
      <c r="E1332">
        <v>-179728</v>
      </c>
      <c r="F1332" t="s">
        <v>23</v>
      </c>
      <c r="G1332" t="s">
        <v>32</v>
      </c>
      <c r="H1332" t="s">
        <v>25</v>
      </c>
      <c r="I1332" t="s">
        <v>26</v>
      </c>
      <c r="J1332" t="s">
        <v>48</v>
      </c>
    </row>
    <row r="1333" spans="1:10">
      <c r="A1333" t="s">
        <v>2307</v>
      </c>
      <c r="B1333" t="s">
        <v>2308</v>
      </c>
      <c r="C1333" t="s">
        <v>271</v>
      </c>
      <c r="D1333" t="s">
        <v>73</v>
      </c>
      <c r="E1333">
        <v>-55139</v>
      </c>
      <c r="F1333" t="s">
        <v>74</v>
      </c>
      <c r="G1333" t="s">
        <v>24</v>
      </c>
      <c r="H1333" t="s">
        <v>25</v>
      </c>
      <c r="I1333" t="s">
        <v>26</v>
      </c>
      <c r="J1333" t="s">
        <v>40</v>
      </c>
    </row>
    <row r="1334" spans="1:10">
      <c r="A1334" t="s">
        <v>2309</v>
      </c>
      <c r="B1334" t="s">
        <v>897</v>
      </c>
      <c r="C1334" t="s">
        <v>103</v>
      </c>
      <c r="D1334" t="s">
        <v>78</v>
      </c>
      <c r="E1334">
        <v>-90701</v>
      </c>
      <c r="F1334" t="s">
        <v>23</v>
      </c>
      <c r="G1334" t="s">
        <v>24</v>
      </c>
      <c r="H1334" t="s">
        <v>79</v>
      </c>
      <c r="I1334" t="s">
        <v>26</v>
      </c>
      <c r="J1334" t="s">
        <v>48</v>
      </c>
    </row>
    <row r="1335" spans="1:10">
      <c r="A1335" t="s">
        <v>2310</v>
      </c>
      <c r="B1335" t="s">
        <v>1441</v>
      </c>
      <c r="C1335" t="s">
        <v>106</v>
      </c>
      <c r="D1335" t="s">
        <v>31</v>
      </c>
      <c r="E1335">
        <v>-15978</v>
      </c>
      <c r="F1335" t="s">
        <v>23</v>
      </c>
      <c r="G1335" t="s">
        <v>24</v>
      </c>
      <c r="H1335" t="s">
        <v>33</v>
      </c>
      <c r="I1335" t="s">
        <v>39</v>
      </c>
      <c r="J1335" t="s">
        <v>40</v>
      </c>
    </row>
    <row r="1336" spans="1:10">
      <c r="A1336" t="s">
        <v>2311</v>
      </c>
      <c r="B1336" t="s">
        <v>2312</v>
      </c>
      <c r="C1336" t="s">
        <v>166</v>
      </c>
      <c r="D1336" t="s">
        <v>31</v>
      </c>
      <c r="E1336">
        <v>-24713</v>
      </c>
      <c r="F1336" t="s">
        <v>23</v>
      </c>
      <c r="G1336" t="s">
        <v>24</v>
      </c>
      <c r="H1336" t="s">
        <v>33</v>
      </c>
      <c r="I1336" t="s">
        <v>26</v>
      </c>
      <c r="J1336" t="s">
        <v>40</v>
      </c>
    </row>
    <row r="1337" spans="1:10">
      <c r="A1337" t="s">
        <v>2313</v>
      </c>
      <c r="B1337" t="s">
        <v>2314</v>
      </c>
      <c r="C1337" t="s">
        <v>90</v>
      </c>
      <c r="D1337" t="s">
        <v>73</v>
      </c>
      <c r="E1337">
        <v>-14741</v>
      </c>
      <c r="F1337" t="s">
        <v>74</v>
      </c>
      <c r="G1337" t="s">
        <v>24</v>
      </c>
      <c r="H1337" t="s">
        <v>25</v>
      </c>
      <c r="I1337" t="s">
        <v>45</v>
      </c>
      <c r="J1337" t="s">
        <v>40</v>
      </c>
    </row>
    <row r="1338" spans="1:10">
      <c r="A1338" t="s">
        <v>2315</v>
      </c>
      <c r="B1338" t="s">
        <v>2316</v>
      </c>
      <c r="C1338" t="s">
        <v>266</v>
      </c>
      <c r="D1338" t="s">
        <v>73</v>
      </c>
      <c r="E1338">
        <v>-39114</v>
      </c>
      <c r="F1338" t="s">
        <v>74</v>
      </c>
      <c r="G1338" t="s">
        <v>32</v>
      </c>
      <c r="H1338" t="s">
        <v>25</v>
      </c>
      <c r="I1338" t="s">
        <v>45</v>
      </c>
      <c r="J1338" t="s">
        <v>34</v>
      </c>
    </row>
    <row r="1339" spans="1:10">
      <c r="A1339" t="s">
        <v>2317</v>
      </c>
      <c r="B1339" t="s">
        <v>621</v>
      </c>
      <c r="C1339" t="s">
        <v>212</v>
      </c>
      <c r="D1339" t="s">
        <v>73</v>
      </c>
      <c r="E1339">
        <v>-71131</v>
      </c>
      <c r="F1339" t="s">
        <v>74</v>
      </c>
      <c r="G1339" t="s">
        <v>32</v>
      </c>
      <c r="H1339" t="s">
        <v>25</v>
      </c>
      <c r="I1339" t="s">
        <v>26</v>
      </c>
      <c r="J1339" t="s">
        <v>48</v>
      </c>
    </row>
    <row r="1340" spans="1:10">
      <c r="A1340" t="s">
        <v>2318</v>
      </c>
      <c r="B1340" t="s">
        <v>2319</v>
      </c>
      <c r="C1340" t="s">
        <v>237</v>
      </c>
      <c r="D1340" t="s">
        <v>22</v>
      </c>
      <c r="E1340">
        <v>-119570</v>
      </c>
      <c r="F1340" t="s">
        <v>23</v>
      </c>
      <c r="G1340" t="s">
        <v>32</v>
      </c>
      <c r="H1340" t="s">
        <v>25</v>
      </c>
      <c r="I1340" t="s">
        <v>26</v>
      </c>
      <c r="J1340" t="s">
        <v>48</v>
      </c>
    </row>
    <row r="1341" spans="1:10">
      <c r="A1341" t="s">
        <v>2320</v>
      </c>
      <c r="B1341" t="s">
        <v>2321</v>
      </c>
      <c r="C1341" t="s">
        <v>174</v>
      </c>
      <c r="D1341" t="s">
        <v>22</v>
      </c>
      <c r="E1341">
        <v>-51105</v>
      </c>
      <c r="F1341" t="s">
        <v>23</v>
      </c>
      <c r="G1341" t="s">
        <v>24</v>
      </c>
      <c r="H1341" t="s">
        <v>25</v>
      </c>
      <c r="I1341" t="s">
        <v>45</v>
      </c>
      <c r="J1341" t="s">
        <v>40</v>
      </c>
    </row>
    <row r="1342" spans="1:10">
      <c r="A1342" t="s">
        <v>2322</v>
      </c>
      <c r="B1342" t="s">
        <v>653</v>
      </c>
      <c r="C1342" t="s">
        <v>77</v>
      </c>
      <c r="D1342" t="s">
        <v>78</v>
      </c>
      <c r="E1342">
        <v>-101212</v>
      </c>
      <c r="F1342" t="s">
        <v>23</v>
      </c>
      <c r="G1342" t="s">
        <v>32</v>
      </c>
      <c r="H1342" t="s">
        <v>79</v>
      </c>
      <c r="I1342" t="s">
        <v>39</v>
      </c>
      <c r="J1342" t="s">
        <v>27</v>
      </c>
    </row>
    <row r="1343" spans="1:10">
      <c r="A1343" t="s">
        <v>2323</v>
      </c>
      <c r="B1343" t="s">
        <v>1077</v>
      </c>
      <c r="C1343" t="s">
        <v>215</v>
      </c>
      <c r="D1343" t="s">
        <v>61</v>
      </c>
      <c r="E1343">
        <v>-43357</v>
      </c>
      <c r="F1343" t="s">
        <v>62</v>
      </c>
      <c r="G1343" t="s">
        <v>32</v>
      </c>
      <c r="H1343" t="s">
        <v>63</v>
      </c>
      <c r="I1343" t="s">
        <v>39</v>
      </c>
      <c r="J1343" t="s">
        <v>48</v>
      </c>
    </row>
    <row r="1344" spans="1:10">
      <c r="A1344" t="s">
        <v>2324</v>
      </c>
      <c r="B1344" t="s">
        <v>1857</v>
      </c>
      <c r="C1344" t="s">
        <v>2325</v>
      </c>
      <c r="D1344" t="s">
        <v>38</v>
      </c>
      <c r="E1344">
        <v>-48056</v>
      </c>
      <c r="F1344" t="s">
        <v>23</v>
      </c>
      <c r="G1344" t="s">
        <v>24</v>
      </c>
      <c r="H1344" t="s">
        <v>33</v>
      </c>
      <c r="I1344" t="s">
        <v>45</v>
      </c>
      <c r="J1344" t="s">
        <v>40</v>
      </c>
    </row>
    <row r="1345" spans="1:10">
      <c r="A1345" t="s">
        <v>2326</v>
      </c>
      <c r="B1345" t="s">
        <v>2327</v>
      </c>
      <c r="C1345" t="s">
        <v>60</v>
      </c>
      <c r="D1345" t="s">
        <v>61</v>
      </c>
      <c r="E1345">
        <v>-56125</v>
      </c>
      <c r="F1345" t="s">
        <v>62</v>
      </c>
      <c r="G1345" t="s">
        <v>24</v>
      </c>
      <c r="H1345" t="s">
        <v>63</v>
      </c>
      <c r="I1345" t="s">
        <v>39</v>
      </c>
      <c r="J1345" t="s">
        <v>27</v>
      </c>
    </row>
    <row r="1346" spans="1:10">
      <c r="A1346" t="s">
        <v>2328</v>
      </c>
      <c r="B1346" t="s">
        <v>138</v>
      </c>
      <c r="C1346" t="s">
        <v>103</v>
      </c>
      <c r="D1346" t="s">
        <v>78</v>
      </c>
      <c r="E1346">
        <v>-84797</v>
      </c>
      <c r="F1346" t="s">
        <v>23</v>
      </c>
      <c r="G1346" t="s">
        <v>32</v>
      </c>
      <c r="H1346" t="s">
        <v>79</v>
      </c>
      <c r="I1346" t="s">
        <v>39</v>
      </c>
      <c r="J1346" t="s">
        <v>34</v>
      </c>
    </row>
    <row r="1347" spans="1:10">
      <c r="A1347" t="s">
        <v>2329</v>
      </c>
      <c r="B1347" t="s">
        <v>299</v>
      </c>
      <c r="C1347" t="s">
        <v>215</v>
      </c>
      <c r="D1347" t="s">
        <v>61</v>
      </c>
      <c r="E1347">
        <v>-31086</v>
      </c>
      <c r="F1347" t="s">
        <v>62</v>
      </c>
      <c r="G1347" t="s">
        <v>24</v>
      </c>
      <c r="H1347" t="s">
        <v>63</v>
      </c>
      <c r="I1347" t="s">
        <v>45</v>
      </c>
      <c r="J1347" t="s">
        <v>48</v>
      </c>
    </row>
    <row r="1348" spans="1:10">
      <c r="A1348" t="s">
        <v>2330</v>
      </c>
      <c r="B1348" t="s">
        <v>2331</v>
      </c>
      <c r="C1348" t="s">
        <v>72</v>
      </c>
      <c r="D1348" t="s">
        <v>73</v>
      </c>
      <c r="E1348">
        <v>-80487</v>
      </c>
      <c r="F1348" t="s">
        <v>74</v>
      </c>
      <c r="G1348" t="s">
        <v>32</v>
      </c>
      <c r="H1348" t="s">
        <v>25</v>
      </c>
      <c r="I1348" t="s">
        <v>39</v>
      </c>
      <c r="J1348" t="s">
        <v>40</v>
      </c>
    </row>
    <row r="1349" spans="1:10">
      <c r="A1349" t="s">
        <v>2332</v>
      </c>
      <c r="B1349" t="s">
        <v>2174</v>
      </c>
      <c r="C1349" t="s">
        <v>116</v>
      </c>
      <c r="D1349" t="s">
        <v>73</v>
      </c>
      <c r="E1349">
        <v>-94649</v>
      </c>
      <c r="F1349" t="s">
        <v>74</v>
      </c>
      <c r="G1349" t="s">
        <v>24</v>
      </c>
      <c r="H1349" t="s">
        <v>25</v>
      </c>
      <c r="I1349" t="s">
        <v>26</v>
      </c>
      <c r="J1349" t="s">
        <v>27</v>
      </c>
    </row>
    <row r="1350" spans="1:10">
      <c r="A1350" t="s">
        <v>2333</v>
      </c>
      <c r="B1350" t="s">
        <v>1391</v>
      </c>
      <c r="C1350" t="s">
        <v>51</v>
      </c>
      <c r="D1350" t="s">
        <v>31</v>
      </c>
      <c r="E1350">
        <v>-18750</v>
      </c>
      <c r="F1350" t="s">
        <v>23</v>
      </c>
      <c r="G1350" t="s">
        <v>24</v>
      </c>
      <c r="H1350" t="s">
        <v>33</v>
      </c>
      <c r="I1350" t="s">
        <v>45</v>
      </c>
      <c r="J1350" t="s">
        <v>34</v>
      </c>
    </row>
    <row r="1351" spans="1:10">
      <c r="A1351" t="s">
        <v>2334</v>
      </c>
      <c r="B1351" t="s">
        <v>1180</v>
      </c>
      <c r="C1351" t="s">
        <v>100</v>
      </c>
      <c r="D1351" t="s">
        <v>31</v>
      </c>
      <c r="E1351">
        <v>-31880</v>
      </c>
      <c r="F1351" t="s">
        <v>23</v>
      </c>
      <c r="G1351" t="s">
        <v>32</v>
      </c>
      <c r="H1351" t="s">
        <v>33</v>
      </c>
      <c r="I1351" t="s">
        <v>39</v>
      </c>
      <c r="J1351" t="s">
        <v>40</v>
      </c>
    </row>
    <row r="1352" spans="1:10">
      <c r="A1352" t="s">
        <v>2335</v>
      </c>
      <c r="B1352" t="s">
        <v>1119</v>
      </c>
      <c r="C1352" t="s">
        <v>87</v>
      </c>
      <c r="D1352" t="s">
        <v>320</v>
      </c>
      <c r="E1352">
        <v>-213593</v>
      </c>
      <c r="F1352" t="s">
        <v>23</v>
      </c>
      <c r="G1352" t="s">
        <v>32</v>
      </c>
      <c r="H1352" t="s">
        <v>25</v>
      </c>
      <c r="I1352" t="s">
        <v>39</v>
      </c>
      <c r="J1352" t="s">
        <v>48</v>
      </c>
    </row>
    <row r="1353" spans="1:10">
      <c r="A1353" t="s">
        <v>2336</v>
      </c>
      <c r="B1353" t="s">
        <v>2337</v>
      </c>
      <c r="C1353" t="s">
        <v>106</v>
      </c>
      <c r="D1353" t="s">
        <v>31</v>
      </c>
      <c r="E1353">
        <v>-21015</v>
      </c>
      <c r="F1353" t="s">
        <v>23</v>
      </c>
      <c r="G1353" t="s">
        <v>24</v>
      </c>
      <c r="H1353" t="s">
        <v>33</v>
      </c>
      <c r="I1353" t="s">
        <v>39</v>
      </c>
      <c r="J1353" t="s">
        <v>40</v>
      </c>
    </row>
    <row r="1354" spans="1:10">
      <c r="A1354" t="s">
        <v>2338</v>
      </c>
      <c r="B1354" t="s">
        <v>2339</v>
      </c>
      <c r="C1354" t="s">
        <v>72</v>
      </c>
      <c r="D1354" t="s">
        <v>302</v>
      </c>
      <c r="E1354">
        <v>-55652</v>
      </c>
      <c r="F1354" t="s">
        <v>74</v>
      </c>
      <c r="G1354" t="s">
        <v>32</v>
      </c>
      <c r="H1354" t="s">
        <v>25</v>
      </c>
      <c r="I1354" t="s">
        <v>45</v>
      </c>
      <c r="J1354" t="s">
        <v>48</v>
      </c>
    </row>
    <row r="1355" spans="1:10">
      <c r="A1355" t="s">
        <v>2340</v>
      </c>
      <c r="B1355" t="s">
        <v>2341</v>
      </c>
      <c r="C1355" t="s">
        <v>212</v>
      </c>
      <c r="D1355" t="s">
        <v>73</v>
      </c>
      <c r="E1355">
        <v>-92815</v>
      </c>
      <c r="F1355" t="s">
        <v>74</v>
      </c>
      <c r="G1355" t="s">
        <v>24</v>
      </c>
      <c r="H1355" t="s">
        <v>25</v>
      </c>
      <c r="I1355" t="s">
        <v>45</v>
      </c>
      <c r="J1355" t="s">
        <v>48</v>
      </c>
    </row>
    <row r="1356" spans="1:10">
      <c r="A1356" t="s">
        <v>2342</v>
      </c>
      <c r="B1356" t="s">
        <v>2327</v>
      </c>
      <c r="C1356" t="s">
        <v>51</v>
      </c>
      <c r="E1356">
        <v>-23694</v>
      </c>
      <c r="F1356" t="s">
        <v>23</v>
      </c>
      <c r="G1356" t="s">
        <v>24</v>
      </c>
      <c r="H1356" t="s">
        <v>33</v>
      </c>
      <c r="I1356" t="s">
        <v>39</v>
      </c>
      <c r="J1356" t="s">
        <v>27</v>
      </c>
    </row>
    <row r="1357" spans="1:10">
      <c r="A1357" t="s">
        <v>2343</v>
      </c>
      <c r="B1357" t="s">
        <v>1023</v>
      </c>
      <c r="C1357" t="s">
        <v>310</v>
      </c>
      <c r="D1357" t="s">
        <v>22</v>
      </c>
      <c r="E1357">
        <v>-157229</v>
      </c>
      <c r="F1357" t="s">
        <v>23</v>
      </c>
      <c r="G1357" t="s">
        <v>32</v>
      </c>
      <c r="H1357" t="s">
        <v>25</v>
      </c>
      <c r="I1357" t="s">
        <v>39</v>
      </c>
      <c r="J1357" t="s">
        <v>48</v>
      </c>
    </row>
    <row r="1358" spans="1:10">
      <c r="A1358" t="s">
        <v>2344</v>
      </c>
      <c r="B1358" t="s">
        <v>1121</v>
      </c>
      <c r="C1358" t="s">
        <v>90</v>
      </c>
      <c r="D1358" t="s">
        <v>73</v>
      </c>
      <c r="E1358">
        <v>-28836</v>
      </c>
      <c r="F1358" t="s">
        <v>74</v>
      </c>
      <c r="G1358" t="s">
        <v>32</v>
      </c>
      <c r="H1358" t="s">
        <v>25</v>
      </c>
      <c r="I1358" t="s">
        <v>26</v>
      </c>
      <c r="J1358" t="s">
        <v>40</v>
      </c>
    </row>
    <row r="1359" spans="1:10">
      <c r="A1359" t="s">
        <v>2345</v>
      </c>
      <c r="B1359" t="s">
        <v>2191</v>
      </c>
      <c r="C1359" t="s">
        <v>51</v>
      </c>
      <c r="D1359" t="s">
        <v>31</v>
      </c>
      <c r="E1359">
        <v>-28677</v>
      </c>
      <c r="F1359" t="s">
        <v>23</v>
      </c>
      <c r="G1359" t="s">
        <v>32</v>
      </c>
      <c r="H1359" t="s">
        <v>33</v>
      </c>
      <c r="I1359" t="s">
        <v>45</v>
      </c>
      <c r="J1359" t="s">
        <v>34</v>
      </c>
    </row>
    <row r="1360" spans="1:10">
      <c r="A1360" t="s">
        <v>2346</v>
      </c>
      <c r="B1360" t="s">
        <v>749</v>
      </c>
      <c r="C1360" t="s">
        <v>132</v>
      </c>
      <c r="D1360" t="s">
        <v>111</v>
      </c>
      <c r="E1360">
        <v>-94833</v>
      </c>
      <c r="F1360" t="s">
        <v>74</v>
      </c>
      <c r="G1360" t="s">
        <v>32</v>
      </c>
      <c r="H1360" t="s">
        <v>25</v>
      </c>
      <c r="I1360" t="s">
        <v>39</v>
      </c>
      <c r="J1360" t="s">
        <v>40</v>
      </c>
    </row>
    <row r="1361" spans="1:10">
      <c r="A1361" t="s">
        <v>2347</v>
      </c>
      <c r="B1361" t="s">
        <v>1124</v>
      </c>
      <c r="C1361" t="s">
        <v>72</v>
      </c>
      <c r="D1361" t="s">
        <v>73</v>
      </c>
      <c r="E1361">
        <v>-14198</v>
      </c>
      <c r="F1361" t="s">
        <v>74</v>
      </c>
      <c r="G1361" t="s">
        <v>32</v>
      </c>
      <c r="H1361" t="s">
        <v>25</v>
      </c>
      <c r="I1361" t="s">
        <v>45</v>
      </c>
      <c r="J1361" t="s">
        <v>27</v>
      </c>
    </row>
    <row r="1362" spans="1:10">
      <c r="A1362" t="s">
        <v>2348</v>
      </c>
      <c r="B1362" t="s">
        <v>1096</v>
      </c>
      <c r="C1362" t="s">
        <v>66</v>
      </c>
      <c r="D1362" t="s">
        <v>61</v>
      </c>
      <c r="E1362">
        <v>-39237</v>
      </c>
      <c r="F1362" t="s">
        <v>62</v>
      </c>
      <c r="G1362" t="s">
        <v>24</v>
      </c>
      <c r="H1362" t="s">
        <v>63</v>
      </c>
      <c r="I1362" t="s">
        <v>26</v>
      </c>
      <c r="J1362" t="s">
        <v>27</v>
      </c>
    </row>
    <row r="1363" spans="1:10">
      <c r="A1363" t="s">
        <v>2349</v>
      </c>
      <c r="B1363" t="s">
        <v>1301</v>
      </c>
      <c r="C1363" t="s">
        <v>177</v>
      </c>
      <c r="D1363" t="s">
        <v>1001</v>
      </c>
      <c r="E1363">
        <v>-112948</v>
      </c>
      <c r="F1363" t="s">
        <v>23</v>
      </c>
      <c r="G1363" t="s">
        <v>32</v>
      </c>
      <c r="H1363" t="s">
        <v>79</v>
      </c>
      <c r="I1363" t="s">
        <v>26</v>
      </c>
      <c r="J1363" t="s">
        <v>27</v>
      </c>
    </row>
    <row r="1364" spans="1:10">
      <c r="A1364" t="s">
        <v>2350</v>
      </c>
      <c r="B1364" t="s">
        <v>1650</v>
      </c>
      <c r="C1364" t="s">
        <v>169</v>
      </c>
      <c r="D1364" t="s">
        <v>73</v>
      </c>
      <c r="E1364">
        <v>-63269</v>
      </c>
      <c r="F1364" t="s">
        <v>74</v>
      </c>
      <c r="G1364" t="s">
        <v>24</v>
      </c>
      <c r="H1364" t="s">
        <v>25</v>
      </c>
      <c r="I1364" t="s">
        <v>45</v>
      </c>
      <c r="J1364" t="s">
        <v>48</v>
      </c>
    </row>
    <row r="1365" spans="1:10">
      <c r="A1365" t="s">
        <v>2351</v>
      </c>
      <c r="B1365" t="s">
        <v>2352</v>
      </c>
      <c r="C1365" t="s">
        <v>60</v>
      </c>
      <c r="D1365" t="s">
        <v>61</v>
      </c>
      <c r="E1365">
        <v>-33066</v>
      </c>
      <c r="F1365" t="s">
        <v>62</v>
      </c>
      <c r="G1365" t="s">
        <v>32</v>
      </c>
      <c r="H1365" t="s">
        <v>63</v>
      </c>
      <c r="I1365" t="s">
        <v>45</v>
      </c>
      <c r="J1365" t="s">
        <v>48</v>
      </c>
    </row>
    <row r="1366" spans="1:10">
      <c r="A1366" t="s">
        <v>2353</v>
      </c>
      <c r="B1366" t="s">
        <v>349</v>
      </c>
      <c r="C1366" t="s">
        <v>93</v>
      </c>
      <c r="D1366" t="s">
        <v>73</v>
      </c>
      <c r="E1366">
        <v>-10091</v>
      </c>
      <c r="F1366" t="s">
        <v>74</v>
      </c>
      <c r="G1366" t="s">
        <v>32</v>
      </c>
      <c r="H1366" t="s">
        <v>25</v>
      </c>
      <c r="I1366" t="s">
        <v>45</v>
      </c>
      <c r="J1366" t="s">
        <v>27</v>
      </c>
    </row>
    <row r="1367" spans="1:10">
      <c r="A1367" t="s">
        <v>2354</v>
      </c>
      <c r="B1367" t="s">
        <v>1161</v>
      </c>
      <c r="C1367" t="s">
        <v>2355</v>
      </c>
      <c r="D1367" t="s">
        <v>193</v>
      </c>
      <c r="E1367">
        <v>-46888</v>
      </c>
      <c r="F1367" t="s">
        <v>23</v>
      </c>
      <c r="G1367" t="s">
        <v>24</v>
      </c>
      <c r="H1367" t="s">
        <v>25</v>
      </c>
      <c r="I1367" t="s">
        <v>45</v>
      </c>
      <c r="J1367" t="s">
        <v>40</v>
      </c>
    </row>
    <row r="1368" spans="1:10">
      <c r="A1368" t="s">
        <v>2356</v>
      </c>
      <c r="B1368" t="s">
        <v>2357</v>
      </c>
      <c r="C1368" t="s">
        <v>87</v>
      </c>
      <c r="D1368" t="s">
        <v>22</v>
      </c>
      <c r="E1368">
        <v>-166476</v>
      </c>
      <c r="F1368" t="s">
        <v>23</v>
      </c>
      <c r="G1368" t="s">
        <v>24</v>
      </c>
      <c r="H1368" t="s">
        <v>25</v>
      </c>
      <c r="I1368" t="s">
        <v>39</v>
      </c>
      <c r="J1368" t="s">
        <v>48</v>
      </c>
    </row>
    <row r="1369" spans="1:10">
      <c r="A1369" t="s">
        <v>2358</v>
      </c>
      <c r="B1369" t="s">
        <v>2359</v>
      </c>
      <c r="C1369" t="s">
        <v>339</v>
      </c>
      <c r="D1369" t="s">
        <v>157</v>
      </c>
      <c r="E1369">
        <v>751034</v>
      </c>
      <c r="F1369" t="s">
        <v>62</v>
      </c>
      <c r="G1369" t="s">
        <v>32</v>
      </c>
      <c r="H1369" t="s">
        <v>25</v>
      </c>
      <c r="I1369" t="s">
        <v>39</v>
      </c>
      <c r="J1369" t="s">
        <v>48</v>
      </c>
    </row>
    <row r="1370" spans="1:10">
      <c r="A1370" t="s">
        <v>2360</v>
      </c>
      <c r="B1370" t="s">
        <v>2077</v>
      </c>
      <c r="C1370" t="s">
        <v>935</v>
      </c>
      <c r="D1370" t="s">
        <v>22</v>
      </c>
      <c r="E1370">
        <v>-18648</v>
      </c>
      <c r="F1370" t="s">
        <v>23</v>
      </c>
      <c r="G1370" t="s">
        <v>24</v>
      </c>
      <c r="H1370" t="s">
        <v>25</v>
      </c>
      <c r="I1370" t="s">
        <v>26</v>
      </c>
      <c r="J1370" t="s">
        <v>40</v>
      </c>
    </row>
    <row r="1371" spans="1:10">
      <c r="A1371" t="s">
        <v>2361</v>
      </c>
      <c r="B1371" t="s">
        <v>484</v>
      </c>
      <c r="C1371" t="s">
        <v>215</v>
      </c>
      <c r="D1371" t="s">
        <v>61</v>
      </c>
      <c r="E1371">
        <v>-23437</v>
      </c>
      <c r="F1371" t="s">
        <v>62</v>
      </c>
      <c r="G1371" t="s">
        <v>24</v>
      </c>
      <c r="H1371" t="s">
        <v>63</v>
      </c>
      <c r="I1371" t="s">
        <v>39</v>
      </c>
      <c r="J1371" t="s">
        <v>48</v>
      </c>
    </row>
    <row r="1372" spans="1:10">
      <c r="A1372" t="s">
        <v>2362</v>
      </c>
      <c r="B1372" t="s">
        <v>1250</v>
      </c>
      <c r="C1372" t="s">
        <v>2363</v>
      </c>
      <c r="D1372" t="s">
        <v>44</v>
      </c>
      <c r="E1372">
        <v>-159364</v>
      </c>
      <c r="F1372" t="s">
        <v>23</v>
      </c>
      <c r="G1372" t="s">
        <v>24</v>
      </c>
      <c r="H1372" t="s">
        <v>33</v>
      </c>
      <c r="I1372" t="s">
        <v>26</v>
      </c>
      <c r="J1372" t="s">
        <v>27</v>
      </c>
    </row>
    <row r="1373" spans="1:10">
      <c r="A1373" t="s">
        <v>2364</v>
      </c>
      <c r="B1373" t="s">
        <v>2365</v>
      </c>
      <c r="C1373" t="s">
        <v>202</v>
      </c>
      <c r="D1373" t="s">
        <v>207</v>
      </c>
      <c r="E1373">
        <v>-38062</v>
      </c>
      <c r="F1373" t="s">
        <v>23</v>
      </c>
      <c r="G1373" t="s">
        <v>24</v>
      </c>
      <c r="H1373" t="s">
        <v>25</v>
      </c>
      <c r="I1373" t="s">
        <v>26</v>
      </c>
      <c r="J1373" t="s">
        <v>27</v>
      </c>
    </row>
    <row r="1374" spans="1:10">
      <c r="A1374" t="s">
        <v>2366</v>
      </c>
      <c r="B1374" t="s">
        <v>2367</v>
      </c>
      <c r="C1374" t="s">
        <v>2368</v>
      </c>
      <c r="D1374" t="s">
        <v>136</v>
      </c>
      <c r="E1374">
        <v>-10557403</v>
      </c>
      <c r="F1374" t="s">
        <v>62</v>
      </c>
      <c r="G1374" t="s">
        <v>32</v>
      </c>
      <c r="H1374" t="s">
        <v>63</v>
      </c>
      <c r="I1374" t="s">
        <v>45</v>
      </c>
      <c r="J1374" t="s">
        <v>34</v>
      </c>
    </row>
    <row r="1375" spans="1:10">
      <c r="A1375" t="s">
        <v>2369</v>
      </c>
      <c r="B1375" t="s">
        <v>889</v>
      </c>
      <c r="C1375" t="s">
        <v>69</v>
      </c>
      <c r="D1375" t="s">
        <v>38</v>
      </c>
      <c r="E1375">
        <v>-39415</v>
      </c>
      <c r="F1375" t="s">
        <v>23</v>
      </c>
      <c r="G1375" t="s">
        <v>32</v>
      </c>
      <c r="H1375" t="s">
        <v>33</v>
      </c>
      <c r="I1375" t="s">
        <v>45</v>
      </c>
      <c r="J1375" t="s">
        <v>27</v>
      </c>
    </row>
    <row r="1376" spans="1:10">
      <c r="A1376" t="s">
        <v>2370</v>
      </c>
      <c r="B1376" t="s">
        <v>951</v>
      </c>
      <c r="C1376" t="s">
        <v>90</v>
      </c>
      <c r="D1376" t="s">
        <v>73</v>
      </c>
      <c r="E1376">
        <v>-75733</v>
      </c>
      <c r="F1376" t="s">
        <v>74</v>
      </c>
      <c r="G1376" t="s">
        <v>24</v>
      </c>
      <c r="H1376" t="s">
        <v>25</v>
      </c>
      <c r="I1376" t="s">
        <v>39</v>
      </c>
      <c r="J1376" t="s">
        <v>40</v>
      </c>
    </row>
    <row r="1377" spans="1:10">
      <c r="A1377" t="s">
        <v>2371</v>
      </c>
      <c r="B1377" t="s">
        <v>2372</v>
      </c>
      <c r="C1377" t="s">
        <v>66</v>
      </c>
      <c r="D1377" t="s">
        <v>61</v>
      </c>
      <c r="E1377">
        <v>-55470</v>
      </c>
      <c r="F1377" t="s">
        <v>62</v>
      </c>
      <c r="G1377" t="s">
        <v>24</v>
      </c>
      <c r="H1377" t="s">
        <v>63</v>
      </c>
      <c r="I1377" t="s">
        <v>39</v>
      </c>
      <c r="J1377" t="s">
        <v>34</v>
      </c>
    </row>
    <row r="1378" spans="1:10">
      <c r="A1378" t="s">
        <v>2373</v>
      </c>
      <c r="B1378" t="s">
        <v>2374</v>
      </c>
      <c r="C1378" t="s">
        <v>51</v>
      </c>
      <c r="D1378" t="s">
        <v>31</v>
      </c>
      <c r="E1378">
        <v>-20213</v>
      </c>
      <c r="F1378" t="s">
        <v>23</v>
      </c>
      <c r="G1378" t="s">
        <v>32</v>
      </c>
      <c r="H1378" t="s">
        <v>33</v>
      </c>
      <c r="I1378" t="s">
        <v>39</v>
      </c>
      <c r="J1378" t="s">
        <v>48</v>
      </c>
    </row>
    <row r="1379" spans="1:10">
      <c r="A1379" t="s">
        <v>2375</v>
      </c>
      <c r="B1379" t="s">
        <v>2376</v>
      </c>
      <c r="C1379" t="s">
        <v>129</v>
      </c>
      <c r="D1379" t="s">
        <v>38</v>
      </c>
      <c r="E1379">
        <v>-18798</v>
      </c>
      <c r="F1379" t="s">
        <v>23</v>
      </c>
      <c r="G1379" t="s">
        <v>32</v>
      </c>
      <c r="H1379" t="s">
        <v>33</v>
      </c>
      <c r="I1379" t="s">
        <v>26</v>
      </c>
      <c r="J1379" t="s">
        <v>27</v>
      </c>
    </row>
    <row r="1380" spans="1:10">
      <c r="A1380" t="s">
        <v>2377</v>
      </c>
      <c r="B1380" t="s">
        <v>1243</v>
      </c>
      <c r="C1380" t="s">
        <v>2378</v>
      </c>
      <c r="D1380" t="s">
        <v>136</v>
      </c>
      <c r="E1380">
        <v>-10473844</v>
      </c>
      <c r="F1380" t="s">
        <v>62</v>
      </c>
      <c r="G1380" t="s">
        <v>32</v>
      </c>
      <c r="H1380" t="s">
        <v>63</v>
      </c>
      <c r="I1380" t="s">
        <v>45</v>
      </c>
      <c r="J1380" t="s">
        <v>48</v>
      </c>
    </row>
    <row r="1381" spans="1:10">
      <c r="A1381" t="s">
        <v>2379</v>
      </c>
      <c r="B1381" t="s">
        <v>1069</v>
      </c>
      <c r="C1381" t="s">
        <v>345</v>
      </c>
      <c r="D1381" t="s">
        <v>22</v>
      </c>
      <c r="E1381">
        <v>-130065</v>
      </c>
      <c r="F1381" t="s">
        <v>23</v>
      </c>
      <c r="G1381" t="s">
        <v>32</v>
      </c>
      <c r="H1381" t="s">
        <v>25</v>
      </c>
      <c r="I1381" t="s">
        <v>39</v>
      </c>
      <c r="J1381" t="s">
        <v>40</v>
      </c>
    </row>
    <row r="1382" spans="1:10">
      <c r="A1382" t="s">
        <v>2380</v>
      </c>
      <c r="B1382" t="s">
        <v>2381</v>
      </c>
      <c r="C1382" t="s">
        <v>166</v>
      </c>
      <c r="D1382" t="s">
        <v>31</v>
      </c>
      <c r="E1382">
        <v>-9914</v>
      </c>
      <c r="F1382" t="s">
        <v>23</v>
      </c>
      <c r="G1382" t="s">
        <v>32</v>
      </c>
      <c r="H1382" t="s">
        <v>33</v>
      </c>
      <c r="I1382" t="s">
        <v>45</v>
      </c>
      <c r="J1382" t="s">
        <v>40</v>
      </c>
    </row>
    <row r="1383" spans="1:10">
      <c r="A1383" t="s">
        <v>2382</v>
      </c>
      <c r="B1383" t="s">
        <v>497</v>
      </c>
      <c r="C1383" t="s">
        <v>69</v>
      </c>
      <c r="D1383" t="s">
        <v>38</v>
      </c>
      <c r="E1383">
        <v>-9840</v>
      </c>
      <c r="F1383" t="s">
        <v>23</v>
      </c>
      <c r="G1383" t="s">
        <v>24</v>
      </c>
      <c r="H1383" t="s">
        <v>33</v>
      </c>
      <c r="I1383" t="s">
        <v>39</v>
      </c>
      <c r="J1383" t="s">
        <v>34</v>
      </c>
    </row>
    <row r="1384" spans="1:10">
      <c r="A1384" t="s">
        <v>2383</v>
      </c>
      <c r="B1384" t="s">
        <v>97</v>
      </c>
      <c r="C1384" t="s">
        <v>60</v>
      </c>
      <c r="D1384" t="s">
        <v>61</v>
      </c>
      <c r="E1384">
        <v>-48671</v>
      </c>
      <c r="F1384" t="s">
        <v>62</v>
      </c>
      <c r="G1384" t="s">
        <v>24</v>
      </c>
      <c r="H1384" t="s">
        <v>63</v>
      </c>
      <c r="I1384" t="s">
        <v>26</v>
      </c>
      <c r="J1384" t="s">
        <v>27</v>
      </c>
    </row>
    <row r="1385" spans="1:10">
      <c r="A1385" t="s">
        <v>2384</v>
      </c>
      <c r="B1385" t="s">
        <v>186</v>
      </c>
      <c r="C1385" t="s">
        <v>215</v>
      </c>
      <c r="D1385" t="s">
        <v>61</v>
      </c>
      <c r="E1385">
        <v>-12628</v>
      </c>
      <c r="F1385" t="s">
        <v>62</v>
      </c>
      <c r="G1385" t="s">
        <v>24</v>
      </c>
      <c r="H1385" t="s">
        <v>63</v>
      </c>
      <c r="I1385" t="s">
        <v>26</v>
      </c>
      <c r="J1385" t="s">
        <v>40</v>
      </c>
    </row>
    <row r="1386" spans="1:10">
      <c r="A1386" t="s">
        <v>2385</v>
      </c>
      <c r="B1386" t="s">
        <v>2386</v>
      </c>
      <c r="C1386" t="s">
        <v>468</v>
      </c>
      <c r="D1386" t="s">
        <v>440</v>
      </c>
      <c r="E1386">
        <v>-140852</v>
      </c>
      <c r="F1386" t="s">
        <v>23</v>
      </c>
      <c r="G1386" t="s">
        <v>32</v>
      </c>
      <c r="H1386" t="s">
        <v>33</v>
      </c>
      <c r="I1386" t="s">
        <v>45</v>
      </c>
      <c r="J1386" t="s">
        <v>48</v>
      </c>
    </row>
    <row r="1387" spans="1:10">
      <c r="A1387" t="s">
        <v>2387</v>
      </c>
      <c r="B1387" t="s">
        <v>2388</v>
      </c>
      <c r="C1387" t="s">
        <v>212</v>
      </c>
      <c r="D1387" t="s">
        <v>73</v>
      </c>
      <c r="E1387">
        <v>-43665</v>
      </c>
      <c r="F1387" t="s">
        <v>74</v>
      </c>
      <c r="G1387" t="s">
        <v>24</v>
      </c>
      <c r="H1387" t="s">
        <v>25</v>
      </c>
      <c r="I1387" t="s">
        <v>45</v>
      </c>
      <c r="J1387" t="s">
        <v>48</v>
      </c>
    </row>
    <row r="1388" spans="1:10">
      <c r="A1388" t="s">
        <v>2389</v>
      </c>
      <c r="B1388" t="s">
        <v>2390</v>
      </c>
      <c r="C1388" t="s">
        <v>54</v>
      </c>
      <c r="D1388" t="s">
        <v>38</v>
      </c>
      <c r="E1388">
        <v>-50877</v>
      </c>
      <c r="F1388" t="s">
        <v>23</v>
      </c>
      <c r="G1388" t="s">
        <v>24</v>
      </c>
      <c r="H1388" t="s">
        <v>33</v>
      </c>
      <c r="I1388" t="s">
        <v>26</v>
      </c>
      <c r="J1388" t="s">
        <v>34</v>
      </c>
    </row>
    <row r="1389" spans="1:10">
      <c r="A1389" t="s">
        <v>2391</v>
      </c>
      <c r="B1389" t="s">
        <v>2392</v>
      </c>
      <c r="C1389" t="s">
        <v>93</v>
      </c>
      <c r="D1389" t="s">
        <v>187</v>
      </c>
      <c r="E1389">
        <v>-70530</v>
      </c>
      <c r="F1389" t="s">
        <v>74</v>
      </c>
      <c r="G1389" t="s">
        <v>24</v>
      </c>
      <c r="H1389" t="s">
        <v>25</v>
      </c>
      <c r="I1389" t="s">
        <v>26</v>
      </c>
      <c r="J1389" t="s">
        <v>48</v>
      </c>
    </row>
    <row r="1390" spans="1:10">
      <c r="A1390" t="s">
        <v>2393</v>
      </c>
      <c r="B1390" t="s">
        <v>2394</v>
      </c>
      <c r="C1390" t="s">
        <v>100</v>
      </c>
      <c r="E1390">
        <v>-21757</v>
      </c>
      <c r="F1390" t="s">
        <v>23</v>
      </c>
      <c r="G1390" t="s">
        <v>24</v>
      </c>
      <c r="H1390" t="s">
        <v>33</v>
      </c>
      <c r="I1390" t="s">
        <v>39</v>
      </c>
      <c r="J1390" t="s">
        <v>48</v>
      </c>
    </row>
    <row r="1391" spans="1:10">
      <c r="A1391" t="s">
        <v>2395</v>
      </c>
      <c r="B1391" t="s">
        <v>486</v>
      </c>
      <c r="C1391" t="s">
        <v>21</v>
      </c>
      <c r="D1391" t="s">
        <v>22</v>
      </c>
      <c r="E1391">
        <v>-46481</v>
      </c>
      <c r="F1391" t="s">
        <v>23</v>
      </c>
      <c r="G1391" t="s">
        <v>24</v>
      </c>
      <c r="H1391" t="s">
        <v>25</v>
      </c>
      <c r="I1391" t="s">
        <v>45</v>
      </c>
      <c r="J1391" t="s">
        <v>27</v>
      </c>
    </row>
    <row r="1392" spans="1:10">
      <c r="A1392" t="s">
        <v>2396</v>
      </c>
      <c r="B1392" t="s">
        <v>2397</v>
      </c>
      <c r="C1392" t="s">
        <v>87</v>
      </c>
      <c r="D1392" t="s">
        <v>331</v>
      </c>
      <c r="E1392">
        <v>-98121</v>
      </c>
      <c r="F1392" t="s">
        <v>23</v>
      </c>
      <c r="G1392" t="s">
        <v>32</v>
      </c>
      <c r="H1392" t="s">
        <v>25</v>
      </c>
      <c r="I1392" t="s">
        <v>39</v>
      </c>
      <c r="J1392" t="s">
        <v>48</v>
      </c>
    </row>
    <row r="1393" spans="1:10">
      <c r="A1393" t="s">
        <v>2398</v>
      </c>
      <c r="B1393" t="s">
        <v>2399</v>
      </c>
      <c r="C1393" t="s">
        <v>116</v>
      </c>
      <c r="D1393" t="s">
        <v>73</v>
      </c>
      <c r="E1393">
        <v>-71641</v>
      </c>
      <c r="F1393" t="s">
        <v>74</v>
      </c>
      <c r="G1393" t="s">
        <v>24</v>
      </c>
      <c r="H1393" t="s">
        <v>25</v>
      </c>
      <c r="I1393" t="s">
        <v>45</v>
      </c>
      <c r="J1393" t="s">
        <v>48</v>
      </c>
    </row>
    <row r="1394" spans="1:10">
      <c r="A1394" t="s">
        <v>2400</v>
      </c>
      <c r="B1394" t="s">
        <v>2401</v>
      </c>
      <c r="C1394" t="s">
        <v>90</v>
      </c>
      <c r="D1394" t="s">
        <v>73</v>
      </c>
      <c r="E1394">
        <v>-62380</v>
      </c>
      <c r="F1394" t="s">
        <v>74</v>
      </c>
      <c r="G1394" t="s">
        <v>24</v>
      </c>
      <c r="H1394" t="s">
        <v>25</v>
      </c>
      <c r="I1394" t="s">
        <v>45</v>
      </c>
      <c r="J1394" t="s">
        <v>34</v>
      </c>
    </row>
    <row r="1395" spans="1:10">
      <c r="A1395" t="s">
        <v>2402</v>
      </c>
      <c r="B1395" t="s">
        <v>276</v>
      </c>
      <c r="C1395" t="s">
        <v>192</v>
      </c>
      <c r="D1395" t="s">
        <v>22</v>
      </c>
      <c r="E1395">
        <v>-178271</v>
      </c>
      <c r="F1395" t="s">
        <v>23</v>
      </c>
      <c r="G1395" t="s">
        <v>24</v>
      </c>
      <c r="H1395" t="s">
        <v>25</v>
      </c>
      <c r="I1395" t="s">
        <v>39</v>
      </c>
      <c r="J1395" t="s">
        <v>34</v>
      </c>
    </row>
    <row r="1396" spans="1:10">
      <c r="A1396" t="s">
        <v>2403</v>
      </c>
      <c r="B1396" t="s">
        <v>326</v>
      </c>
      <c r="C1396" t="s">
        <v>66</v>
      </c>
      <c r="D1396" t="s">
        <v>61</v>
      </c>
      <c r="E1396">
        <v>-15364</v>
      </c>
      <c r="F1396" t="s">
        <v>62</v>
      </c>
      <c r="G1396" t="s">
        <v>32</v>
      </c>
      <c r="H1396" t="s">
        <v>63</v>
      </c>
      <c r="I1396" t="s">
        <v>39</v>
      </c>
      <c r="J1396" t="s">
        <v>48</v>
      </c>
    </row>
    <row r="1397" spans="1:10">
      <c r="A1397" t="s">
        <v>2404</v>
      </c>
      <c r="B1397" t="s">
        <v>899</v>
      </c>
      <c r="C1397" t="s">
        <v>103</v>
      </c>
      <c r="D1397" t="s">
        <v>664</v>
      </c>
      <c r="E1397">
        <v>-119046</v>
      </c>
      <c r="F1397" t="s">
        <v>23</v>
      </c>
      <c r="G1397" t="s">
        <v>24</v>
      </c>
      <c r="H1397" t="s">
        <v>79</v>
      </c>
      <c r="I1397" t="s">
        <v>26</v>
      </c>
      <c r="J1397" t="s">
        <v>40</v>
      </c>
    </row>
    <row r="1398" spans="1:10">
      <c r="A1398" t="s">
        <v>2405</v>
      </c>
      <c r="B1398" t="s">
        <v>163</v>
      </c>
      <c r="C1398" t="s">
        <v>283</v>
      </c>
      <c r="D1398" t="s">
        <v>44</v>
      </c>
      <c r="E1398">
        <v>-54412</v>
      </c>
      <c r="F1398" t="s">
        <v>23</v>
      </c>
      <c r="G1398" t="s">
        <v>24</v>
      </c>
      <c r="H1398" t="s">
        <v>33</v>
      </c>
      <c r="I1398" t="s">
        <v>26</v>
      </c>
      <c r="J1398" t="s">
        <v>34</v>
      </c>
    </row>
    <row r="1399" spans="1:10">
      <c r="A1399" t="s">
        <v>2406</v>
      </c>
      <c r="B1399" t="s">
        <v>1041</v>
      </c>
      <c r="C1399" t="s">
        <v>90</v>
      </c>
      <c r="D1399" t="s">
        <v>73</v>
      </c>
      <c r="E1399">
        <v>-35215</v>
      </c>
      <c r="F1399" t="s">
        <v>74</v>
      </c>
      <c r="G1399" t="s">
        <v>32</v>
      </c>
      <c r="H1399" t="s">
        <v>25</v>
      </c>
      <c r="I1399" t="s">
        <v>26</v>
      </c>
      <c r="J1399" t="s">
        <v>48</v>
      </c>
    </row>
    <row r="1400" spans="1:10">
      <c r="A1400" t="s">
        <v>2407</v>
      </c>
      <c r="B1400" t="s">
        <v>351</v>
      </c>
      <c r="C1400" t="s">
        <v>166</v>
      </c>
      <c r="D1400" t="s">
        <v>31</v>
      </c>
      <c r="E1400">
        <v>-37988</v>
      </c>
      <c r="F1400" t="s">
        <v>23</v>
      </c>
      <c r="G1400" t="s">
        <v>32</v>
      </c>
      <c r="H1400" t="s">
        <v>33</v>
      </c>
      <c r="I1400" t="s">
        <v>39</v>
      </c>
      <c r="J1400" t="s">
        <v>34</v>
      </c>
    </row>
    <row r="1401" spans="1:10">
      <c r="A1401" t="s">
        <v>2408</v>
      </c>
      <c r="B1401" t="s">
        <v>627</v>
      </c>
      <c r="C1401" t="s">
        <v>339</v>
      </c>
      <c r="D1401" t="s">
        <v>157</v>
      </c>
      <c r="E1401">
        <v>561472</v>
      </c>
      <c r="F1401" t="s">
        <v>62</v>
      </c>
      <c r="G1401" t="s">
        <v>32</v>
      </c>
      <c r="H1401" t="s">
        <v>25</v>
      </c>
      <c r="I1401" t="s">
        <v>26</v>
      </c>
      <c r="J1401" t="s">
        <v>40</v>
      </c>
    </row>
    <row r="1402" spans="1:10">
      <c r="A1402" t="s">
        <v>2409</v>
      </c>
      <c r="B1402" t="s">
        <v>480</v>
      </c>
      <c r="C1402" t="s">
        <v>533</v>
      </c>
      <c r="D1402" t="s">
        <v>61</v>
      </c>
      <c r="E1402">
        <v>-29391</v>
      </c>
      <c r="F1402" t="s">
        <v>62</v>
      </c>
      <c r="G1402" t="s">
        <v>24</v>
      </c>
      <c r="H1402" t="s">
        <v>63</v>
      </c>
      <c r="I1402" t="s">
        <v>39</v>
      </c>
      <c r="J1402" t="s">
        <v>34</v>
      </c>
    </row>
    <row r="1403" spans="1:10">
      <c r="A1403" t="s">
        <v>2410</v>
      </c>
      <c r="B1403" t="s">
        <v>2411</v>
      </c>
      <c r="C1403" t="s">
        <v>218</v>
      </c>
      <c r="D1403" t="s">
        <v>157</v>
      </c>
      <c r="E1403">
        <v>752139</v>
      </c>
      <c r="F1403" t="s">
        <v>62</v>
      </c>
      <c r="G1403" t="s">
        <v>32</v>
      </c>
      <c r="H1403" t="s">
        <v>25</v>
      </c>
      <c r="I1403" t="s">
        <v>39</v>
      </c>
      <c r="J1403" t="s">
        <v>48</v>
      </c>
    </row>
    <row r="1404" spans="1:10">
      <c r="A1404" t="s">
        <v>2412</v>
      </c>
      <c r="B1404" t="s">
        <v>657</v>
      </c>
      <c r="C1404" t="s">
        <v>215</v>
      </c>
      <c r="D1404" t="s">
        <v>61</v>
      </c>
      <c r="E1404">
        <v>-49373</v>
      </c>
      <c r="F1404" t="s">
        <v>62</v>
      </c>
      <c r="G1404" t="s">
        <v>24</v>
      </c>
      <c r="H1404" t="s">
        <v>63</v>
      </c>
      <c r="I1404" t="s">
        <v>39</v>
      </c>
      <c r="J1404" t="s">
        <v>27</v>
      </c>
    </row>
    <row r="1405" spans="1:10">
      <c r="A1405" t="s">
        <v>2413</v>
      </c>
      <c r="B1405" t="s">
        <v>608</v>
      </c>
      <c r="C1405" t="s">
        <v>129</v>
      </c>
      <c r="D1405" t="s">
        <v>38</v>
      </c>
      <c r="E1405">
        <v>-34310</v>
      </c>
      <c r="F1405" t="s">
        <v>23</v>
      </c>
      <c r="G1405" t="s">
        <v>32</v>
      </c>
      <c r="H1405" t="s">
        <v>33</v>
      </c>
      <c r="I1405" t="s">
        <v>45</v>
      </c>
      <c r="J1405" t="s">
        <v>48</v>
      </c>
    </row>
    <row r="1406" spans="1:10">
      <c r="A1406" t="s">
        <v>2414</v>
      </c>
      <c r="B1406" t="s">
        <v>2185</v>
      </c>
      <c r="C1406" t="s">
        <v>84</v>
      </c>
      <c r="D1406" t="s">
        <v>78</v>
      </c>
      <c r="E1406">
        <v>-84794</v>
      </c>
      <c r="F1406" t="s">
        <v>23</v>
      </c>
      <c r="G1406" t="s">
        <v>32</v>
      </c>
      <c r="H1406" t="s">
        <v>79</v>
      </c>
      <c r="I1406" t="s">
        <v>39</v>
      </c>
      <c r="J1406" t="s">
        <v>34</v>
      </c>
    </row>
    <row r="1407" spans="1:10">
      <c r="A1407" t="s">
        <v>2415</v>
      </c>
      <c r="B1407" t="s">
        <v>2416</v>
      </c>
      <c r="C1407" t="s">
        <v>255</v>
      </c>
      <c r="D1407" t="s">
        <v>22</v>
      </c>
      <c r="E1407">
        <v>-202242</v>
      </c>
      <c r="F1407" t="s">
        <v>23</v>
      </c>
      <c r="G1407" t="s">
        <v>24</v>
      </c>
      <c r="H1407" t="s">
        <v>25</v>
      </c>
      <c r="I1407" t="s">
        <v>26</v>
      </c>
      <c r="J1407" t="s">
        <v>34</v>
      </c>
    </row>
    <row r="1408" spans="1:10">
      <c r="A1408" t="s">
        <v>2417</v>
      </c>
      <c r="B1408" t="s">
        <v>2418</v>
      </c>
      <c r="C1408" t="s">
        <v>37</v>
      </c>
      <c r="D1408" t="s">
        <v>38</v>
      </c>
      <c r="E1408">
        <v>-30325</v>
      </c>
      <c r="F1408" t="s">
        <v>23</v>
      </c>
      <c r="G1408" t="s">
        <v>24</v>
      </c>
      <c r="H1408" t="s">
        <v>33</v>
      </c>
      <c r="I1408" t="s">
        <v>45</v>
      </c>
      <c r="J1408" t="s">
        <v>34</v>
      </c>
    </row>
    <row r="1409" spans="1:10">
      <c r="A1409" t="s">
        <v>2419</v>
      </c>
      <c r="B1409" t="s">
        <v>1978</v>
      </c>
      <c r="C1409" t="s">
        <v>106</v>
      </c>
      <c r="D1409" t="s">
        <v>31</v>
      </c>
      <c r="E1409">
        <v>-13283</v>
      </c>
      <c r="F1409" t="s">
        <v>23</v>
      </c>
      <c r="G1409" t="s">
        <v>32</v>
      </c>
      <c r="H1409" t="s">
        <v>33</v>
      </c>
      <c r="I1409" t="s">
        <v>26</v>
      </c>
      <c r="J1409" t="s">
        <v>40</v>
      </c>
    </row>
    <row r="1410" spans="1:10">
      <c r="A1410" t="s">
        <v>2420</v>
      </c>
      <c r="B1410" t="s">
        <v>1402</v>
      </c>
      <c r="C1410" t="s">
        <v>417</v>
      </c>
      <c r="D1410" t="s">
        <v>44</v>
      </c>
      <c r="E1410">
        <v>-35015</v>
      </c>
      <c r="F1410" t="s">
        <v>23</v>
      </c>
      <c r="G1410" t="s">
        <v>32</v>
      </c>
      <c r="H1410" t="s">
        <v>33</v>
      </c>
      <c r="I1410" t="s">
        <v>39</v>
      </c>
      <c r="J1410" t="s">
        <v>40</v>
      </c>
    </row>
    <row r="1411" spans="1:10">
      <c r="A1411" t="s">
        <v>2421</v>
      </c>
      <c r="B1411" t="s">
        <v>756</v>
      </c>
      <c r="C1411" t="s">
        <v>37</v>
      </c>
      <c r="D1411" t="s">
        <v>38</v>
      </c>
      <c r="E1411">
        <v>-31741</v>
      </c>
      <c r="F1411" t="s">
        <v>23</v>
      </c>
      <c r="G1411" t="s">
        <v>24</v>
      </c>
      <c r="H1411" t="s">
        <v>33</v>
      </c>
      <c r="I1411" t="s">
        <v>26</v>
      </c>
      <c r="J1411" t="s">
        <v>48</v>
      </c>
    </row>
    <row r="1412" spans="1:10">
      <c r="A1412" t="s">
        <v>2422</v>
      </c>
      <c r="B1412" t="s">
        <v>2423</v>
      </c>
      <c r="C1412" t="s">
        <v>310</v>
      </c>
      <c r="D1412" t="s">
        <v>22</v>
      </c>
      <c r="E1412">
        <v>-42605</v>
      </c>
      <c r="F1412" t="s">
        <v>23</v>
      </c>
      <c r="G1412" t="s">
        <v>32</v>
      </c>
      <c r="H1412" t="s">
        <v>25</v>
      </c>
      <c r="I1412" t="s">
        <v>39</v>
      </c>
      <c r="J1412" t="s">
        <v>27</v>
      </c>
    </row>
    <row r="1413" spans="1:10">
      <c r="A1413" t="s">
        <v>2424</v>
      </c>
      <c r="B1413" t="s">
        <v>1088</v>
      </c>
      <c r="C1413" t="s">
        <v>1039</v>
      </c>
      <c r="D1413" t="s">
        <v>440</v>
      </c>
      <c r="E1413">
        <v>-136550</v>
      </c>
      <c r="F1413" t="s">
        <v>23</v>
      </c>
      <c r="G1413" t="s">
        <v>32</v>
      </c>
      <c r="H1413" t="s">
        <v>33</v>
      </c>
      <c r="I1413" t="s">
        <v>39</v>
      </c>
      <c r="J1413" t="s">
        <v>27</v>
      </c>
    </row>
    <row r="1414" spans="1:10">
      <c r="A1414" t="s">
        <v>2425</v>
      </c>
      <c r="B1414" t="s">
        <v>784</v>
      </c>
      <c r="C1414" t="s">
        <v>283</v>
      </c>
      <c r="E1414">
        <v>-93506</v>
      </c>
      <c r="F1414" t="s">
        <v>23</v>
      </c>
      <c r="G1414" t="s">
        <v>24</v>
      </c>
      <c r="H1414" t="s">
        <v>33</v>
      </c>
      <c r="I1414" t="s">
        <v>26</v>
      </c>
      <c r="J1414" t="s">
        <v>40</v>
      </c>
    </row>
    <row r="1415" spans="1:10">
      <c r="A1415" t="s">
        <v>2426</v>
      </c>
      <c r="B1415" t="s">
        <v>2427</v>
      </c>
      <c r="C1415" t="s">
        <v>215</v>
      </c>
      <c r="D1415" t="s">
        <v>61</v>
      </c>
      <c r="E1415">
        <v>-48213</v>
      </c>
      <c r="F1415" t="s">
        <v>62</v>
      </c>
      <c r="G1415" t="s">
        <v>32</v>
      </c>
      <c r="H1415" t="s">
        <v>63</v>
      </c>
      <c r="I1415" t="s">
        <v>45</v>
      </c>
      <c r="J1415" t="s">
        <v>27</v>
      </c>
    </row>
    <row r="1416" spans="1:10">
      <c r="A1416" t="s">
        <v>2428</v>
      </c>
      <c r="B1416" t="s">
        <v>1830</v>
      </c>
      <c r="C1416" t="s">
        <v>72</v>
      </c>
      <c r="D1416" t="s">
        <v>73</v>
      </c>
      <c r="E1416">
        <v>-47817</v>
      </c>
      <c r="F1416" t="s">
        <v>74</v>
      </c>
      <c r="G1416" t="s">
        <v>24</v>
      </c>
      <c r="H1416" t="s">
        <v>25</v>
      </c>
      <c r="I1416" t="s">
        <v>45</v>
      </c>
      <c r="J1416" t="s">
        <v>27</v>
      </c>
    </row>
    <row r="1417" spans="1:10">
      <c r="A1417" t="s">
        <v>2429</v>
      </c>
      <c r="B1417" t="s">
        <v>2430</v>
      </c>
      <c r="C1417" t="s">
        <v>2431</v>
      </c>
      <c r="D1417" t="s">
        <v>136</v>
      </c>
      <c r="E1417">
        <v>-10315047</v>
      </c>
      <c r="F1417" t="s">
        <v>62</v>
      </c>
      <c r="G1417" t="s">
        <v>32</v>
      </c>
      <c r="H1417" t="s">
        <v>63</v>
      </c>
      <c r="I1417" t="s">
        <v>26</v>
      </c>
      <c r="J1417" t="s">
        <v>34</v>
      </c>
    </row>
    <row r="1418" spans="1:10">
      <c r="A1418" t="s">
        <v>2432</v>
      </c>
      <c r="B1418" t="s">
        <v>1683</v>
      </c>
      <c r="C1418" t="s">
        <v>77</v>
      </c>
      <c r="D1418" t="s">
        <v>1001</v>
      </c>
      <c r="E1418">
        <v>-95293</v>
      </c>
      <c r="F1418" t="s">
        <v>23</v>
      </c>
      <c r="G1418" t="s">
        <v>32</v>
      </c>
      <c r="H1418" t="s">
        <v>79</v>
      </c>
      <c r="I1418" t="s">
        <v>45</v>
      </c>
      <c r="J1418" t="s">
        <v>34</v>
      </c>
    </row>
    <row r="1419" spans="1:10">
      <c r="A1419" t="s">
        <v>2433</v>
      </c>
      <c r="B1419" t="s">
        <v>2434</v>
      </c>
      <c r="C1419" t="s">
        <v>69</v>
      </c>
      <c r="D1419" t="s">
        <v>38</v>
      </c>
      <c r="E1419">
        <v>-37232</v>
      </c>
      <c r="F1419" t="s">
        <v>23</v>
      </c>
      <c r="G1419" t="s">
        <v>24</v>
      </c>
      <c r="H1419" t="s">
        <v>33</v>
      </c>
      <c r="I1419" t="s">
        <v>45</v>
      </c>
      <c r="J1419" t="s">
        <v>34</v>
      </c>
    </row>
    <row r="1420" spans="1:10">
      <c r="A1420" t="s">
        <v>1462</v>
      </c>
      <c r="B1420" t="s">
        <v>1463</v>
      </c>
      <c r="C1420" t="s">
        <v>169</v>
      </c>
      <c r="D1420" t="s">
        <v>73</v>
      </c>
      <c r="E1420">
        <v>-94991</v>
      </c>
      <c r="F1420" t="s">
        <v>74</v>
      </c>
      <c r="G1420" t="s">
        <v>24</v>
      </c>
      <c r="H1420" t="s">
        <v>25</v>
      </c>
      <c r="I1420" t="s">
        <v>26</v>
      </c>
      <c r="J1420" t="s">
        <v>34</v>
      </c>
    </row>
    <row r="1421" spans="1:10">
      <c r="A1421" t="s">
        <v>2435</v>
      </c>
      <c r="B1421" t="s">
        <v>2436</v>
      </c>
      <c r="C1421" t="s">
        <v>30</v>
      </c>
      <c r="D1421" t="s">
        <v>31</v>
      </c>
      <c r="E1421">
        <v>-14755</v>
      </c>
      <c r="F1421" t="s">
        <v>23</v>
      </c>
      <c r="G1421" t="s">
        <v>32</v>
      </c>
      <c r="H1421" t="s">
        <v>33</v>
      </c>
      <c r="I1421" t="s">
        <v>39</v>
      </c>
      <c r="J1421" t="s">
        <v>40</v>
      </c>
    </row>
    <row r="1422" spans="1:10">
      <c r="A1422" t="s">
        <v>2437</v>
      </c>
      <c r="B1422" t="s">
        <v>2438</v>
      </c>
      <c r="C1422" t="s">
        <v>224</v>
      </c>
      <c r="D1422" t="s">
        <v>78</v>
      </c>
      <c r="E1422">
        <v>-112162</v>
      </c>
      <c r="F1422" t="s">
        <v>23</v>
      </c>
      <c r="G1422" t="s">
        <v>24</v>
      </c>
      <c r="H1422" t="s">
        <v>79</v>
      </c>
      <c r="I1422" t="s">
        <v>45</v>
      </c>
      <c r="J1422" t="s">
        <v>34</v>
      </c>
    </row>
    <row r="1423" spans="1:10">
      <c r="A1423" t="s">
        <v>2439</v>
      </c>
      <c r="B1423" t="s">
        <v>2440</v>
      </c>
      <c r="C1423" t="s">
        <v>161</v>
      </c>
      <c r="D1423" t="s">
        <v>22</v>
      </c>
      <c r="E1423">
        <v>-203137</v>
      </c>
      <c r="F1423" t="s">
        <v>23</v>
      </c>
      <c r="G1423" t="s">
        <v>32</v>
      </c>
      <c r="H1423" t="s">
        <v>25</v>
      </c>
      <c r="I1423" t="s">
        <v>45</v>
      </c>
      <c r="J1423" t="s">
        <v>48</v>
      </c>
    </row>
    <row r="1424" spans="1:10">
      <c r="A1424" t="s">
        <v>2441</v>
      </c>
      <c r="B1424" t="s">
        <v>793</v>
      </c>
      <c r="C1424" t="s">
        <v>84</v>
      </c>
      <c r="D1424" t="s">
        <v>78</v>
      </c>
      <c r="E1424">
        <v>-16957</v>
      </c>
      <c r="F1424" t="s">
        <v>23</v>
      </c>
      <c r="G1424" t="s">
        <v>32</v>
      </c>
      <c r="H1424" t="s">
        <v>79</v>
      </c>
      <c r="I1424" t="s">
        <v>39</v>
      </c>
      <c r="J1424" t="s">
        <v>34</v>
      </c>
    </row>
    <row r="1425" spans="1:10">
      <c r="A1425" t="s">
        <v>2442</v>
      </c>
      <c r="B1425" t="s">
        <v>1803</v>
      </c>
      <c r="C1425" t="s">
        <v>224</v>
      </c>
      <c r="E1425">
        <v>-75928</v>
      </c>
      <c r="F1425" t="s">
        <v>23</v>
      </c>
      <c r="G1425" t="s">
        <v>24</v>
      </c>
      <c r="H1425" t="s">
        <v>79</v>
      </c>
      <c r="I1425" t="s">
        <v>39</v>
      </c>
      <c r="J1425" t="s">
        <v>48</v>
      </c>
    </row>
    <row r="1426" spans="1:10">
      <c r="A1426" t="s">
        <v>2443</v>
      </c>
      <c r="B1426" t="s">
        <v>1419</v>
      </c>
      <c r="C1426" t="s">
        <v>66</v>
      </c>
      <c r="D1426" t="s">
        <v>61</v>
      </c>
      <c r="E1426">
        <v>-12665</v>
      </c>
      <c r="F1426" t="s">
        <v>62</v>
      </c>
      <c r="G1426" t="s">
        <v>24</v>
      </c>
      <c r="H1426" t="s">
        <v>63</v>
      </c>
      <c r="I1426" t="s">
        <v>26</v>
      </c>
      <c r="J1426" t="s">
        <v>34</v>
      </c>
    </row>
    <row r="1427" spans="1:10">
      <c r="A1427" t="s">
        <v>2444</v>
      </c>
      <c r="B1427" t="s">
        <v>460</v>
      </c>
      <c r="C1427" t="s">
        <v>100</v>
      </c>
      <c r="D1427" t="s">
        <v>31</v>
      </c>
      <c r="E1427">
        <v>-20268</v>
      </c>
      <c r="F1427" t="s">
        <v>23</v>
      </c>
      <c r="G1427" t="s">
        <v>24</v>
      </c>
      <c r="H1427" t="s">
        <v>33</v>
      </c>
      <c r="I1427" t="s">
        <v>26</v>
      </c>
      <c r="J1427" t="s">
        <v>40</v>
      </c>
    </row>
    <row r="1428" spans="1:10">
      <c r="A1428" t="s">
        <v>2445</v>
      </c>
      <c r="B1428" t="s">
        <v>2446</v>
      </c>
      <c r="C1428" t="s">
        <v>100</v>
      </c>
      <c r="D1428" t="s">
        <v>31</v>
      </c>
      <c r="E1428">
        <v>-13405</v>
      </c>
      <c r="F1428" t="s">
        <v>23</v>
      </c>
      <c r="G1428" t="s">
        <v>24</v>
      </c>
      <c r="H1428" t="s">
        <v>33</v>
      </c>
      <c r="I1428" t="s">
        <v>45</v>
      </c>
      <c r="J1428" t="s">
        <v>34</v>
      </c>
    </row>
    <row r="1429" spans="1:10">
      <c r="A1429" t="s">
        <v>2447</v>
      </c>
      <c r="B1429" t="s">
        <v>2448</v>
      </c>
      <c r="C1429" t="s">
        <v>180</v>
      </c>
      <c r="D1429" t="s">
        <v>44</v>
      </c>
      <c r="E1429">
        <v>-141659</v>
      </c>
      <c r="F1429" t="s">
        <v>23</v>
      </c>
      <c r="G1429" t="s">
        <v>32</v>
      </c>
      <c r="H1429" t="s">
        <v>33</v>
      </c>
      <c r="I1429" t="s">
        <v>39</v>
      </c>
      <c r="J1429" t="s">
        <v>48</v>
      </c>
    </row>
    <row r="1430" spans="1:10">
      <c r="A1430" t="s">
        <v>2449</v>
      </c>
      <c r="B1430" t="s">
        <v>1526</v>
      </c>
      <c r="C1430" t="s">
        <v>69</v>
      </c>
      <c r="D1430" t="s">
        <v>38</v>
      </c>
      <c r="E1430">
        <v>-46302</v>
      </c>
      <c r="F1430" t="s">
        <v>23</v>
      </c>
      <c r="G1430" t="s">
        <v>24</v>
      </c>
      <c r="H1430" t="s">
        <v>33</v>
      </c>
      <c r="I1430" t="s">
        <v>39</v>
      </c>
      <c r="J1430" t="s">
        <v>48</v>
      </c>
    </row>
    <row r="1431" spans="1:10">
      <c r="A1431" t="s">
        <v>2450</v>
      </c>
      <c r="B1431" t="s">
        <v>236</v>
      </c>
      <c r="C1431" t="s">
        <v>66</v>
      </c>
      <c r="D1431" t="s">
        <v>61</v>
      </c>
      <c r="E1431">
        <v>-62235</v>
      </c>
      <c r="F1431" t="s">
        <v>62</v>
      </c>
      <c r="G1431" t="s">
        <v>32</v>
      </c>
      <c r="H1431" t="s">
        <v>63</v>
      </c>
      <c r="I1431" t="s">
        <v>45</v>
      </c>
      <c r="J1431" t="s">
        <v>34</v>
      </c>
    </row>
    <row r="1432" spans="1:10">
      <c r="A1432" t="s">
        <v>2451</v>
      </c>
      <c r="B1432" t="s">
        <v>2452</v>
      </c>
      <c r="C1432" t="s">
        <v>212</v>
      </c>
      <c r="D1432" t="s">
        <v>73</v>
      </c>
      <c r="E1432">
        <v>-19142</v>
      </c>
      <c r="F1432" t="s">
        <v>74</v>
      </c>
      <c r="G1432" t="s">
        <v>32</v>
      </c>
      <c r="H1432" t="s">
        <v>25</v>
      </c>
      <c r="I1432" t="s">
        <v>45</v>
      </c>
      <c r="J1432" t="s">
        <v>27</v>
      </c>
    </row>
    <row r="1433" spans="1:10">
      <c r="A1433" t="s">
        <v>2453</v>
      </c>
      <c r="B1433" t="s">
        <v>2002</v>
      </c>
      <c r="C1433" t="s">
        <v>100</v>
      </c>
      <c r="D1433" t="s">
        <v>31</v>
      </c>
      <c r="E1433">
        <v>-9559</v>
      </c>
      <c r="F1433" t="s">
        <v>23</v>
      </c>
      <c r="G1433" t="s">
        <v>24</v>
      </c>
      <c r="H1433" t="s">
        <v>33</v>
      </c>
      <c r="I1433" t="s">
        <v>39</v>
      </c>
      <c r="J1433" t="s">
        <v>34</v>
      </c>
    </row>
    <row r="1434" spans="1:10">
      <c r="A1434" t="s">
        <v>2454</v>
      </c>
      <c r="B1434" t="s">
        <v>159</v>
      </c>
      <c r="C1434" t="s">
        <v>224</v>
      </c>
      <c r="D1434" t="s">
        <v>78</v>
      </c>
      <c r="E1434">
        <v>-82561</v>
      </c>
      <c r="F1434" t="s">
        <v>23</v>
      </c>
      <c r="G1434" t="s">
        <v>24</v>
      </c>
      <c r="H1434" t="s">
        <v>79</v>
      </c>
      <c r="I1434" t="s">
        <v>26</v>
      </c>
      <c r="J1434" t="s">
        <v>34</v>
      </c>
    </row>
    <row r="1435" spans="1:10">
      <c r="A1435" t="s">
        <v>2455</v>
      </c>
      <c r="B1435" t="s">
        <v>551</v>
      </c>
      <c r="C1435" t="s">
        <v>84</v>
      </c>
      <c r="D1435" t="s">
        <v>78</v>
      </c>
      <c r="E1435">
        <v>-62227</v>
      </c>
      <c r="F1435" t="s">
        <v>23</v>
      </c>
      <c r="G1435" t="s">
        <v>32</v>
      </c>
      <c r="H1435" t="s">
        <v>79</v>
      </c>
      <c r="I1435" t="s">
        <v>39</v>
      </c>
      <c r="J1435" t="s">
        <v>40</v>
      </c>
    </row>
    <row r="1436" spans="1:10">
      <c r="A1436" t="s">
        <v>2456</v>
      </c>
      <c r="B1436" t="s">
        <v>2211</v>
      </c>
      <c r="C1436" t="s">
        <v>192</v>
      </c>
      <c r="D1436" t="s">
        <v>22</v>
      </c>
      <c r="E1436">
        <v>-59615</v>
      </c>
      <c r="F1436" t="s">
        <v>23</v>
      </c>
      <c r="G1436" t="s">
        <v>32</v>
      </c>
      <c r="H1436" t="s">
        <v>25</v>
      </c>
      <c r="I1436" t="s">
        <v>45</v>
      </c>
      <c r="J1436" t="s">
        <v>48</v>
      </c>
    </row>
    <row r="1437" spans="1:10">
      <c r="A1437" t="s">
        <v>2457</v>
      </c>
      <c r="B1437" t="s">
        <v>1994</v>
      </c>
      <c r="C1437" t="s">
        <v>224</v>
      </c>
      <c r="D1437" t="s">
        <v>78</v>
      </c>
      <c r="E1437">
        <v>-85568</v>
      </c>
      <c r="F1437" t="s">
        <v>23</v>
      </c>
      <c r="G1437" t="s">
        <v>24</v>
      </c>
      <c r="H1437" t="s">
        <v>79</v>
      </c>
      <c r="I1437" t="s">
        <v>45</v>
      </c>
      <c r="J1437" t="s">
        <v>48</v>
      </c>
    </row>
    <row r="1438" spans="1:10">
      <c r="A1438" t="s">
        <v>2458</v>
      </c>
      <c r="B1438" t="s">
        <v>1455</v>
      </c>
      <c r="C1438" t="s">
        <v>266</v>
      </c>
      <c r="D1438" t="s">
        <v>73</v>
      </c>
      <c r="E1438">
        <v>-44633</v>
      </c>
      <c r="F1438" t="s">
        <v>74</v>
      </c>
      <c r="G1438" t="s">
        <v>32</v>
      </c>
      <c r="H1438" t="s">
        <v>25</v>
      </c>
      <c r="I1438" t="s">
        <v>39</v>
      </c>
      <c r="J1438" t="s">
        <v>27</v>
      </c>
    </row>
    <row r="1439" spans="1:10">
      <c r="A1439" t="s">
        <v>2459</v>
      </c>
      <c r="B1439" t="s">
        <v>359</v>
      </c>
      <c r="C1439" t="s">
        <v>60</v>
      </c>
      <c r="D1439" t="s">
        <v>61</v>
      </c>
      <c r="E1439">
        <v>-62292</v>
      </c>
      <c r="F1439" t="s">
        <v>62</v>
      </c>
      <c r="G1439" t="s">
        <v>32</v>
      </c>
      <c r="H1439" t="s">
        <v>63</v>
      </c>
      <c r="I1439" t="s">
        <v>45</v>
      </c>
      <c r="J1439" t="s">
        <v>48</v>
      </c>
    </row>
    <row r="1440" spans="1:10">
      <c r="A1440" t="s">
        <v>2460</v>
      </c>
      <c r="B1440" t="s">
        <v>482</v>
      </c>
      <c r="C1440" t="s">
        <v>283</v>
      </c>
      <c r="D1440" t="s">
        <v>44</v>
      </c>
      <c r="E1440">
        <v>-37040</v>
      </c>
      <c r="F1440" t="s">
        <v>23</v>
      </c>
      <c r="G1440" t="s">
        <v>32</v>
      </c>
      <c r="H1440" t="s">
        <v>33</v>
      </c>
      <c r="I1440" t="s">
        <v>45</v>
      </c>
      <c r="J1440" t="s">
        <v>40</v>
      </c>
    </row>
    <row r="1441" spans="1:10">
      <c r="A1441" t="s">
        <v>2461</v>
      </c>
      <c r="B1441" t="s">
        <v>961</v>
      </c>
      <c r="C1441" t="s">
        <v>93</v>
      </c>
      <c r="D1441" t="s">
        <v>73</v>
      </c>
      <c r="E1441">
        <v>-25191</v>
      </c>
      <c r="F1441" t="s">
        <v>74</v>
      </c>
      <c r="G1441" t="s">
        <v>24</v>
      </c>
      <c r="H1441" t="s">
        <v>25</v>
      </c>
      <c r="I1441" t="s">
        <v>26</v>
      </c>
      <c r="J1441" t="s">
        <v>27</v>
      </c>
    </row>
    <row r="1442" spans="1:10">
      <c r="A1442" t="s">
        <v>2462</v>
      </c>
      <c r="B1442" t="s">
        <v>1978</v>
      </c>
      <c r="C1442" t="s">
        <v>439</v>
      </c>
      <c r="D1442" t="s">
        <v>440</v>
      </c>
      <c r="E1442">
        <v>-111719</v>
      </c>
      <c r="F1442" t="s">
        <v>23</v>
      </c>
      <c r="G1442" t="s">
        <v>32</v>
      </c>
      <c r="H1442" t="s">
        <v>33</v>
      </c>
      <c r="I1442" t="s">
        <v>26</v>
      </c>
      <c r="J1442" t="s">
        <v>40</v>
      </c>
    </row>
    <row r="1443" spans="1:10">
      <c r="A1443" t="s">
        <v>2463</v>
      </c>
      <c r="B1443" t="s">
        <v>2464</v>
      </c>
      <c r="C1443" t="s">
        <v>687</v>
      </c>
      <c r="D1443" t="s">
        <v>44</v>
      </c>
      <c r="E1443">
        <v>-79560</v>
      </c>
      <c r="F1443" t="s">
        <v>23</v>
      </c>
      <c r="G1443" t="s">
        <v>24</v>
      </c>
      <c r="H1443" t="s">
        <v>33</v>
      </c>
      <c r="I1443" t="s">
        <v>26</v>
      </c>
      <c r="J1443" t="s">
        <v>40</v>
      </c>
    </row>
    <row r="1444" spans="1:10">
      <c r="A1444" t="s">
        <v>2465</v>
      </c>
      <c r="B1444" t="s">
        <v>538</v>
      </c>
      <c r="C1444" t="s">
        <v>93</v>
      </c>
      <c r="D1444" t="s">
        <v>73</v>
      </c>
      <c r="E1444">
        <v>-65653</v>
      </c>
      <c r="F1444" t="s">
        <v>74</v>
      </c>
      <c r="G1444" t="s">
        <v>24</v>
      </c>
      <c r="H1444" t="s">
        <v>25</v>
      </c>
      <c r="I1444" t="s">
        <v>45</v>
      </c>
      <c r="J1444" t="s">
        <v>48</v>
      </c>
    </row>
    <row r="1445" spans="1:10">
      <c r="A1445" t="s">
        <v>2466</v>
      </c>
      <c r="B1445" t="s">
        <v>760</v>
      </c>
      <c r="C1445" t="s">
        <v>51</v>
      </c>
      <c r="D1445" t="s">
        <v>31</v>
      </c>
      <c r="E1445">
        <v>-40400</v>
      </c>
      <c r="F1445" t="s">
        <v>23</v>
      </c>
      <c r="G1445" t="s">
        <v>24</v>
      </c>
      <c r="H1445" t="s">
        <v>33</v>
      </c>
      <c r="I1445" t="s">
        <v>26</v>
      </c>
      <c r="J1445" t="s">
        <v>48</v>
      </c>
    </row>
    <row r="1446" spans="1:10">
      <c r="A1446" t="s">
        <v>2467</v>
      </c>
      <c r="B1446" t="s">
        <v>234</v>
      </c>
      <c r="C1446" t="s">
        <v>757</v>
      </c>
      <c r="D1446" t="s">
        <v>157</v>
      </c>
      <c r="E1446">
        <v>628135</v>
      </c>
      <c r="F1446" t="s">
        <v>62</v>
      </c>
      <c r="G1446" t="s">
        <v>32</v>
      </c>
      <c r="H1446" t="s">
        <v>25</v>
      </c>
      <c r="I1446" t="s">
        <v>45</v>
      </c>
      <c r="J1446" t="s">
        <v>40</v>
      </c>
    </row>
    <row r="1447" spans="1:10">
      <c r="A1447" t="s">
        <v>2468</v>
      </c>
      <c r="B1447" t="s">
        <v>2469</v>
      </c>
      <c r="C1447" t="s">
        <v>132</v>
      </c>
      <c r="D1447" t="s">
        <v>111</v>
      </c>
      <c r="E1447">
        <v>-16981</v>
      </c>
      <c r="F1447" t="s">
        <v>74</v>
      </c>
      <c r="G1447" t="s">
        <v>32</v>
      </c>
      <c r="H1447" t="s">
        <v>25</v>
      </c>
      <c r="I1447" t="s">
        <v>26</v>
      </c>
      <c r="J1447" t="s">
        <v>34</v>
      </c>
    </row>
    <row r="1448" spans="1:10">
      <c r="A1448" t="s">
        <v>2470</v>
      </c>
      <c r="B1448" t="s">
        <v>1337</v>
      </c>
      <c r="C1448" t="s">
        <v>51</v>
      </c>
      <c r="D1448" t="s">
        <v>31</v>
      </c>
      <c r="E1448">
        <v>-28217</v>
      </c>
      <c r="F1448" t="s">
        <v>23</v>
      </c>
      <c r="G1448" t="s">
        <v>32</v>
      </c>
      <c r="H1448" t="s">
        <v>33</v>
      </c>
      <c r="I1448" t="s">
        <v>39</v>
      </c>
      <c r="J1448" t="s">
        <v>40</v>
      </c>
    </row>
    <row r="1449" spans="1:10">
      <c r="A1449" t="s">
        <v>2471</v>
      </c>
      <c r="B1449" t="s">
        <v>1426</v>
      </c>
      <c r="C1449" t="s">
        <v>87</v>
      </c>
      <c r="D1449" t="s">
        <v>22</v>
      </c>
      <c r="E1449">
        <v>-19411</v>
      </c>
      <c r="F1449" t="s">
        <v>23</v>
      </c>
      <c r="G1449" t="s">
        <v>24</v>
      </c>
      <c r="H1449" t="s">
        <v>25</v>
      </c>
      <c r="I1449" t="s">
        <v>39</v>
      </c>
      <c r="J1449" t="s">
        <v>48</v>
      </c>
    </row>
    <row r="1450" spans="1:10">
      <c r="A1450" t="s">
        <v>2472</v>
      </c>
      <c r="B1450" t="s">
        <v>299</v>
      </c>
      <c r="C1450" t="s">
        <v>129</v>
      </c>
      <c r="D1450" t="s">
        <v>38</v>
      </c>
      <c r="E1450">
        <v>-19720</v>
      </c>
      <c r="F1450" t="s">
        <v>23</v>
      </c>
      <c r="G1450" t="s">
        <v>32</v>
      </c>
      <c r="H1450" t="s">
        <v>33</v>
      </c>
      <c r="I1450" t="s">
        <v>45</v>
      </c>
      <c r="J1450" t="s">
        <v>48</v>
      </c>
    </row>
    <row r="1451" spans="1:10">
      <c r="A1451" t="s">
        <v>2473</v>
      </c>
      <c r="B1451" t="s">
        <v>2474</v>
      </c>
      <c r="C1451" t="s">
        <v>293</v>
      </c>
      <c r="D1451" t="s">
        <v>157</v>
      </c>
      <c r="E1451">
        <v>700862</v>
      </c>
      <c r="F1451" t="s">
        <v>62</v>
      </c>
      <c r="G1451" t="s">
        <v>32</v>
      </c>
      <c r="H1451" t="s">
        <v>25</v>
      </c>
      <c r="I1451" t="s">
        <v>39</v>
      </c>
      <c r="J1451" t="s">
        <v>40</v>
      </c>
    </row>
    <row r="1452" spans="1:10">
      <c r="A1452" t="s">
        <v>2475</v>
      </c>
      <c r="B1452" t="s">
        <v>2101</v>
      </c>
      <c r="C1452" t="s">
        <v>103</v>
      </c>
      <c r="E1452">
        <v>-63049</v>
      </c>
      <c r="F1452" t="s">
        <v>23</v>
      </c>
      <c r="G1452" t="s">
        <v>32</v>
      </c>
      <c r="H1452" t="s">
        <v>79</v>
      </c>
      <c r="I1452" t="s">
        <v>26</v>
      </c>
      <c r="J1452" t="s">
        <v>40</v>
      </c>
    </row>
    <row r="1453" spans="1:10">
      <c r="A1453" t="s">
        <v>2476</v>
      </c>
      <c r="B1453" t="s">
        <v>786</v>
      </c>
      <c r="C1453" t="s">
        <v>224</v>
      </c>
      <c r="D1453" t="s">
        <v>78</v>
      </c>
      <c r="E1453">
        <v>-19288</v>
      </c>
      <c r="F1453" t="s">
        <v>23</v>
      </c>
      <c r="G1453" t="s">
        <v>32</v>
      </c>
      <c r="H1453" t="s">
        <v>79</v>
      </c>
      <c r="I1453" t="s">
        <v>26</v>
      </c>
      <c r="J1453" t="s">
        <v>34</v>
      </c>
    </row>
    <row r="1454" spans="1:10">
      <c r="A1454" t="s">
        <v>2477</v>
      </c>
      <c r="B1454" t="s">
        <v>2478</v>
      </c>
      <c r="C1454" t="s">
        <v>757</v>
      </c>
      <c r="D1454" t="s">
        <v>157</v>
      </c>
      <c r="E1454">
        <v>613458</v>
      </c>
      <c r="F1454" t="s">
        <v>62</v>
      </c>
      <c r="G1454" t="s">
        <v>32</v>
      </c>
      <c r="H1454" t="s">
        <v>25</v>
      </c>
      <c r="I1454" t="s">
        <v>26</v>
      </c>
      <c r="J1454" t="s">
        <v>48</v>
      </c>
    </row>
    <row r="1455" spans="1:10">
      <c r="A1455" t="s">
        <v>2479</v>
      </c>
      <c r="B1455" t="s">
        <v>2143</v>
      </c>
      <c r="C1455" t="s">
        <v>310</v>
      </c>
      <c r="D1455" t="s">
        <v>22</v>
      </c>
      <c r="E1455">
        <v>-135683</v>
      </c>
      <c r="F1455" t="s">
        <v>23</v>
      </c>
      <c r="G1455" t="s">
        <v>32</v>
      </c>
      <c r="H1455" t="s">
        <v>25</v>
      </c>
      <c r="I1455" t="s">
        <v>26</v>
      </c>
      <c r="J1455" t="s">
        <v>34</v>
      </c>
    </row>
    <row r="1456" spans="1:10">
      <c r="A1456" t="s">
        <v>2480</v>
      </c>
      <c r="B1456" t="s">
        <v>2481</v>
      </c>
      <c r="C1456" t="s">
        <v>60</v>
      </c>
      <c r="D1456" t="s">
        <v>61</v>
      </c>
      <c r="E1456">
        <v>-51763</v>
      </c>
      <c r="F1456" t="s">
        <v>62</v>
      </c>
      <c r="G1456" t="s">
        <v>24</v>
      </c>
      <c r="H1456" t="s">
        <v>63</v>
      </c>
      <c r="I1456" t="s">
        <v>39</v>
      </c>
      <c r="J1456" t="s">
        <v>40</v>
      </c>
    </row>
    <row r="1457" spans="1:10">
      <c r="A1457" t="s">
        <v>2482</v>
      </c>
      <c r="B1457" t="s">
        <v>2483</v>
      </c>
      <c r="C1457" t="s">
        <v>116</v>
      </c>
      <c r="D1457" t="s">
        <v>73</v>
      </c>
      <c r="E1457">
        <v>-11823</v>
      </c>
      <c r="F1457" t="s">
        <v>74</v>
      </c>
      <c r="G1457" t="s">
        <v>24</v>
      </c>
      <c r="H1457" t="s">
        <v>25</v>
      </c>
      <c r="I1457" t="s">
        <v>39</v>
      </c>
      <c r="J1457" t="s">
        <v>40</v>
      </c>
    </row>
    <row r="1458" spans="1:10">
      <c r="A1458" t="s">
        <v>2484</v>
      </c>
      <c r="B1458" t="s">
        <v>2485</v>
      </c>
      <c r="C1458" t="s">
        <v>2229</v>
      </c>
      <c r="D1458" t="s">
        <v>61</v>
      </c>
      <c r="E1458">
        <v>-31120</v>
      </c>
      <c r="F1458" t="s">
        <v>62</v>
      </c>
      <c r="G1458" t="s">
        <v>32</v>
      </c>
      <c r="H1458" t="s">
        <v>63</v>
      </c>
      <c r="I1458" t="s">
        <v>26</v>
      </c>
      <c r="J1458" t="s">
        <v>27</v>
      </c>
    </row>
    <row r="1459" spans="1:10">
      <c r="A1459" t="s">
        <v>2486</v>
      </c>
      <c r="B1459" t="s">
        <v>795</v>
      </c>
      <c r="C1459" t="s">
        <v>72</v>
      </c>
      <c r="D1459" t="s">
        <v>73</v>
      </c>
      <c r="E1459">
        <v>-32673</v>
      </c>
      <c r="F1459" t="s">
        <v>74</v>
      </c>
      <c r="G1459" t="s">
        <v>24</v>
      </c>
      <c r="H1459" t="s">
        <v>25</v>
      </c>
      <c r="I1459" t="s">
        <v>45</v>
      </c>
      <c r="J1459" t="s">
        <v>48</v>
      </c>
    </row>
    <row r="1460" spans="1:10">
      <c r="A1460" t="s">
        <v>2487</v>
      </c>
      <c r="B1460" t="s">
        <v>2488</v>
      </c>
      <c r="C1460" t="s">
        <v>116</v>
      </c>
      <c r="D1460" t="s">
        <v>73</v>
      </c>
      <c r="E1460">
        <v>-52754</v>
      </c>
      <c r="F1460" t="s">
        <v>74</v>
      </c>
      <c r="G1460" t="s">
        <v>32</v>
      </c>
      <c r="H1460" t="s">
        <v>25</v>
      </c>
      <c r="I1460" t="s">
        <v>45</v>
      </c>
      <c r="J1460" t="s">
        <v>48</v>
      </c>
    </row>
    <row r="1461" spans="1:10">
      <c r="A1461" t="s">
        <v>2489</v>
      </c>
      <c r="B1461" t="s">
        <v>1981</v>
      </c>
      <c r="C1461" t="s">
        <v>169</v>
      </c>
      <c r="D1461" t="s">
        <v>187</v>
      </c>
      <c r="E1461">
        <v>-80856</v>
      </c>
      <c r="F1461" t="s">
        <v>74</v>
      </c>
      <c r="G1461" t="s">
        <v>24</v>
      </c>
      <c r="H1461" t="s">
        <v>25</v>
      </c>
      <c r="I1461" t="s">
        <v>26</v>
      </c>
      <c r="J1461" t="s">
        <v>40</v>
      </c>
    </row>
    <row r="1462" spans="1:10">
      <c r="A1462" t="s">
        <v>2490</v>
      </c>
      <c r="B1462" t="s">
        <v>1406</v>
      </c>
      <c r="C1462" t="s">
        <v>21</v>
      </c>
      <c r="D1462" t="s">
        <v>22</v>
      </c>
      <c r="E1462">
        <v>-115253</v>
      </c>
      <c r="F1462" t="s">
        <v>23</v>
      </c>
      <c r="G1462" t="s">
        <v>24</v>
      </c>
      <c r="H1462" t="s">
        <v>25</v>
      </c>
      <c r="I1462" t="s">
        <v>39</v>
      </c>
      <c r="J1462" t="s">
        <v>27</v>
      </c>
    </row>
    <row r="1463" spans="1:10">
      <c r="A1463" t="s">
        <v>2491</v>
      </c>
      <c r="B1463" t="s">
        <v>1781</v>
      </c>
      <c r="C1463" t="s">
        <v>60</v>
      </c>
      <c r="D1463" t="s">
        <v>61</v>
      </c>
      <c r="E1463">
        <v>-40820</v>
      </c>
      <c r="F1463" t="s">
        <v>62</v>
      </c>
      <c r="G1463" t="s">
        <v>32</v>
      </c>
      <c r="H1463" t="s">
        <v>63</v>
      </c>
      <c r="I1463" t="s">
        <v>26</v>
      </c>
      <c r="J1463" t="s">
        <v>34</v>
      </c>
    </row>
    <row r="1464" spans="1:10">
      <c r="A1464" t="s">
        <v>2492</v>
      </c>
      <c r="B1464" t="s">
        <v>223</v>
      </c>
      <c r="C1464" t="s">
        <v>66</v>
      </c>
      <c r="D1464" t="s">
        <v>61</v>
      </c>
      <c r="E1464">
        <v>-48994</v>
      </c>
      <c r="F1464" t="s">
        <v>62</v>
      </c>
      <c r="G1464" t="s">
        <v>24</v>
      </c>
      <c r="H1464" t="s">
        <v>63</v>
      </c>
      <c r="I1464" t="s">
        <v>26</v>
      </c>
      <c r="J1464" t="s">
        <v>34</v>
      </c>
    </row>
    <row r="1465" spans="1:10">
      <c r="A1465" t="s">
        <v>2493</v>
      </c>
      <c r="B1465" t="s">
        <v>1798</v>
      </c>
      <c r="C1465" t="s">
        <v>177</v>
      </c>
      <c r="D1465" t="s">
        <v>78</v>
      </c>
      <c r="E1465">
        <v>-85505</v>
      </c>
      <c r="F1465" t="s">
        <v>23</v>
      </c>
      <c r="G1465" t="s">
        <v>24</v>
      </c>
      <c r="H1465" t="s">
        <v>79</v>
      </c>
      <c r="I1465" t="s">
        <v>45</v>
      </c>
      <c r="J1465" t="s">
        <v>40</v>
      </c>
    </row>
    <row r="1466" spans="1:10">
      <c r="A1466" t="s">
        <v>2494</v>
      </c>
      <c r="B1466" t="s">
        <v>1168</v>
      </c>
      <c r="C1466" t="s">
        <v>100</v>
      </c>
      <c r="D1466" t="s">
        <v>31</v>
      </c>
      <c r="E1466">
        <v>-4693</v>
      </c>
      <c r="F1466" t="s">
        <v>23</v>
      </c>
      <c r="G1466" t="s">
        <v>32</v>
      </c>
      <c r="H1466" t="s">
        <v>33</v>
      </c>
      <c r="I1466" t="s">
        <v>39</v>
      </c>
      <c r="J1466" t="s">
        <v>40</v>
      </c>
    </row>
    <row r="1467" spans="1:10">
      <c r="A1467" t="s">
        <v>2495</v>
      </c>
      <c r="B1467" t="s">
        <v>1015</v>
      </c>
      <c r="C1467" t="s">
        <v>66</v>
      </c>
      <c r="D1467" t="s">
        <v>61</v>
      </c>
      <c r="E1467">
        <v>-27259</v>
      </c>
      <c r="F1467" t="s">
        <v>62</v>
      </c>
      <c r="G1467" t="s">
        <v>32</v>
      </c>
      <c r="H1467" t="s">
        <v>63</v>
      </c>
      <c r="I1467" t="s">
        <v>26</v>
      </c>
      <c r="J1467" t="s">
        <v>40</v>
      </c>
    </row>
    <row r="1468" spans="1:10">
      <c r="A1468" t="s">
        <v>2496</v>
      </c>
      <c r="B1468" t="s">
        <v>2497</v>
      </c>
      <c r="C1468" t="s">
        <v>87</v>
      </c>
      <c r="D1468" t="s">
        <v>22</v>
      </c>
      <c r="E1468">
        <v>-125940</v>
      </c>
      <c r="F1468" t="s">
        <v>23</v>
      </c>
      <c r="G1468" t="s">
        <v>32</v>
      </c>
      <c r="H1468" t="s">
        <v>25</v>
      </c>
      <c r="I1468" t="s">
        <v>26</v>
      </c>
      <c r="J1468" t="s">
        <v>48</v>
      </c>
    </row>
    <row r="1469" spans="1:10">
      <c r="A1469" t="s">
        <v>2498</v>
      </c>
      <c r="B1469" t="s">
        <v>1519</v>
      </c>
      <c r="C1469" t="s">
        <v>215</v>
      </c>
      <c r="D1469" t="s">
        <v>61</v>
      </c>
      <c r="E1469">
        <v>-13910</v>
      </c>
      <c r="F1469" t="s">
        <v>62</v>
      </c>
      <c r="G1469" t="s">
        <v>32</v>
      </c>
      <c r="H1469" t="s">
        <v>63</v>
      </c>
      <c r="I1469" t="s">
        <v>39</v>
      </c>
      <c r="J1469" t="s">
        <v>34</v>
      </c>
    </row>
    <row r="1470" spans="1:10">
      <c r="A1470" t="s">
        <v>2499</v>
      </c>
      <c r="B1470" t="s">
        <v>2500</v>
      </c>
      <c r="C1470" t="s">
        <v>266</v>
      </c>
      <c r="D1470" t="s">
        <v>73</v>
      </c>
      <c r="E1470">
        <v>-14572</v>
      </c>
      <c r="F1470" t="s">
        <v>74</v>
      </c>
      <c r="G1470" t="s">
        <v>32</v>
      </c>
      <c r="H1470" t="s">
        <v>25</v>
      </c>
      <c r="I1470" t="s">
        <v>26</v>
      </c>
      <c r="J1470" t="s">
        <v>34</v>
      </c>
    </row>
    <row r="1471" spans="1:10">
      <c r="A1471" t="s">
        <v>2501</v>
      </c>
      <c r="B1471" t="s">
        <v>383</v>
      </c>
      <c r="C1471" t="s">
        <v>66</v>
      </c>
      <c r="D1471" t="s">
        <v>61</v>
      </c>
      <c r="E1471">
        <v>-64019</v>
      </c>
      <c r="F1471" t="s">
        <v>62</v>
      </c>
      <c r="G1471" t="s">
        <v>24</v>
      </c>
      <c r="H1471" t="s">
        <v>63</v>
      </c>
      <c r="I1471" t="s">
        <v>39</v>
      </c>
      <c r="J1471" t="s">
        <v>48</v>
      </c>
    </row>
    <row r="1472" spans="1:10">
      <c r="A1472" t="s">
        <v>2502</v>
      </c>
      <c r="B1472" t="s">
        <v>2503</v>
      </c>
      <c r="C1472" t="s">
        <v>215</v>
      </c>
      <c r="D1472" t="s">
        <v>61</v>
      </c>
      <c r="E1472">
        <v>-13168</v>
      </c>
      <c r="F1472" t="s">
        <v>62</v>
      </c>
      <c r="G1472" t="s">
        <v>24</v>
      </c>
      <c r="H1472" t="s">
        <v>63</v>
      </c>
      <c r="I1472" t="s">
        <v>45</v>
      </c>
      <c r="J1472" t="s">
        <v>40</v>
      </c>
    </row>
    <row r="1473" spans="1:10">
      <c r="A1473" t="s">
        <v>2504</v>
      </c>
      <c r="B1473" t="s">
        <v>829</v>
      </c>
      <c r="C1473" t="s">
        <v>116</v>
      </c>
      <c r="D1473" t="s">
        <v>73</v>
      </c>
      <c r="E1473">
        <v>-19248</v>
      </c>
      <c r="F1473" t="s">
        <v>74</v>
      </c>
      <c r="G1473" t="s">
        <v>32</v>
      </c>
      <c r="H1473" t="s">
        <v>25</v>
      </c>
      <c r="I1473" t="s">
        <v>45</v>
      </c>
      <c r="J1473" t="s">
        <v>40</v>
      </c>
    </row>
    <row r="1474" spans="1:10">
      <c r="A1474" t="s">
        <v>2505</v>
      </c>
      <c r="B1474" t="s">
        <v>719</v>
      </c>
      <c r="C1474" t="s">
        <v>166</v>
      </c>
      <c r="D1474" t="s">
        <v>31</v>
      </c>
      <c r="E1474">
        <v>-44624</v>
      </c>
      <c r="F1474" t="s">
        <v>23</v>
      </c>
      <c r="G1474" t="s">
        <v>32</v>
      </c>
      <c r="H1474" t="s">
        <v>33</v>
      </c>
      <c r="I1474" t="s">
        <v>39</v>
      </c>
      <c r="J1474" t="s">
        <v>40</v>
      </c>
    </row>
    <row r="1475" spans="1:10">
      <c r="A1475" t="s">
        <v>2506</v>
      </c>
      <c r="B1475" t="s">
        <v>693</v>
      </c>
      <c r="C1475" t="s">
        <v>237</v>
      </c>
      <c r="D1475" t="s">
        <v>22</v>
      </c>
      <c r="E1475">
        <v>-75445</v>
      </c>
      <c r="F1475" t="s">
        <v>23</v>
      </c>
      <c r="G1475" t="s">
        <v>32</v>
      </c>
      <c r="H1475" t="s">
        <v>25</v>
      </c>
      <c r="I1475" t="s">
        <v>45</v>
      </c>
      <c r="J1475" t="s">
        <v>27</v>
      </c>
    </row>
    <row r="1476" spans="1:10">
      <c r="A1476" t="s">
        <v>2507</v>
      </c>
      <c r="B1476" t="s">
        <v>1252</v>
      </c>
      <c r="C1476" t="s">
        <v>533</v>
      </c>
      <c r="D1476" t="s">
        <v>61</v>
      </c>
      <c r="E1476">
        <v>-43379</v>
      </c>
      <c r="F1476" t="s">
        <v>62</v>
      </c>
      <c r="G1476" t="s">
        <v>32</v>
      </c>
      <c r="H1476" t="s">
        <v>63</v>
      </c>
      <c r="I1476" t="s">
        <v>45</v>
      </c>
      <c r="J1476" t="s">
        <v>27</v>
      </c>
    </row>
    <row r="1477" spans="1:10">
      <c r="A1477" t="s">
        <v>2508</v>
      </c>
      <c r="B1477" t="s">
        <v>774</v>
      </c>
      <c r="C1477" t="s">
        <v>100</v>
      </c>
      <c r="D1477" t="s">
        <v>31</v>
      </c>
      <c r="E1477">
        <v>-42149</v>
      </c>
      <c r="F1477" t="s">
        <v>23</v>
      </c>
      <c r="G1477" t="s">
        <v>32</v>
      </c>
      <c r="H1477" t="s">
        <v>33</v>
      </c>
      <c r="I1477" t="s">
        <v>45</v>
      </c>
      <c r="J1477" t="s">
        <v>40</v>
      </c>
    </row>
    <row r="1478" spans="1:10">
      <c r="A1478" t="s">
        <v>2509</v>
      </c>
      <c r="B1478" t="s">
        <v>2510</v>
      </c>
      <c r="C1478" t="s">
        <v>616</v>
      </c>
      <c r="D1478" t="s">
        <v>22</v>
      </c>
      <c r="E1478">
        <v>-62614</v>
      </c>
      <c r="F1478" t="s">
        <v>23</v>
      </c>
      <c r="G1478" t="s">
        <v>32</v>
      </c>
      <c r="H1478" t="s">
        <v>25</v>
      </c>
      <c r="I1478" t="s">
        <v>45</v>
      </c>
      <c r="J1478" t="s">
        <v>40</v>
      </c>
    </row>
    <row r="1479" spans="1:10">
      <c r="A1479" t="s">
        <v>2511</v>
      </c>
      <c r="B1479" t="s">
        <v>1141</v>
      </c>
      <c r="C1479" t="s">
        <v>169</v>
      </c>
      <c r="D1479" t="s">
        <v>73</v>
      </c>
      <c r="E1479">
        <v>-61511</v>
      </c>
      <c r="F1479" t="s">
        <v>74</v>
      </c>
      <c r="G1479" t="s">
        <v>32</v>
      </c>
      <c r="H1479" t="s">
        <v>25</v>
      </c>
      <c r="I1479" t="s">
        <v>26</v>
      </c>
      <c r="J1479" t="s">
        <v>40</v>
      </c>
    </row>
    <row r="1480" spans="1:10">
      <c r="A1480" t="s">
        <v>2512</v>
      </c>
      <c r="B1480" t="s">
        <v>2513</v>
      </c>
      <c r="C1480" t="s">
        <v>87</v>
      </c>
      <c r="D1480" t="s">
        <v>22</v>
      </c>
      <c r="E1480">
        <v>-130145</v>
      </c>
      <c r="F1480" t="s">
        <v>23</v>
      </c>
      <c r="G1480" t="s">
        <v>24</v>
      </c>
      <c r="H1480" t="s">
        <v>25</v>
      </c>
      <c r="I1480" t="s">
        <v>26</v>
      </c>
      <c r="J1480" t="s">
        <v>40</v>
      </c>
    </row>
    <row r="1481" spans="1:10">
      <c r="A1481" t="s">
        <v>2514</v>
      </c>
      <c r="B1481" t="s">
        <v>186</v>
      </c>
      <c r="C1481" t="s">
        <v>215</v>
      </c>
      <c r="D1481" t="s">
        <v>61</v>
      </c>
      <c r="E1481">
        <v>-24173</v>
      </c>
      <c r="F1481" t="s">
        <v>62</v>
      </c>
      <c r="G1481" t="s">
        <v>32</v>
      </c>
      <c r="H1481" t="s">
        <v>63</v>
      </c>
      <c r="I1481" t="s">
        <v>26</v>
      </c>
      <c r="J1481" t="s">
        <v>40</v>
      </c>
    </row>
    <row r="1482" spans="1:10">
      <c r="A1482" t="s">
        <v>2515</v>
      </c>
      <c r="B1482" t="s">
        <v>532</v>
      </c>
      <c r="C1482" t="s">
        <v>215</v>
      </c>
      <c r="D1482" t="s">
        <v>61</v>
      </c>
      <c r="E1482">
        <v>-40730</v>
      </c>
      <c r="F1482" t="s">
        <v>62</v>
      </c>
      <c r="G1482" t="s">
        <v>24</v>
      </c>
      <c r="H1482" t="s">
        <v>63</v>
      </c>
      <c r="I1482" t="s">
        <v>39</v>
      </c>
      <c r="J1482" t="s">
        <v>40</v>
      </c>
    </row>
    <row r="1483" spans="1:10">
      <c r="A1483" t="s">
        <v>2516</v>
      </c>
      <c r="B1483" t="s">
        <v>2517</v>
      </c>
      <c r="C1483" t="s">
        <v>103</v>
      </c>
      <c r="D1483" t="s">
        <v>78</v>
      </c>
      <c r="E1483">
        <v>-74829</v>
      </c>
      <c r="F1483" t="s">
        <v>23</v>
      </c>
      <c r="G1483" t="s">
        <v>24</v>
      </c>
      <c r="H1483" t="s">
        <v>79</v>
      </c>
      <c r="I1483" t="s">
        <v>26</v>
      </c>
      <c r="J1483" t="s">
        <v>34</v>
      </c>
    </row>
    <row r="1484" spans="1:10">
      <c r="A1484" t="s">
        <v>2518</v>
      </c>
      <c r="B1484" t="s">
        <v>2519</v>
      </c>
      <c r="C1484" t="s">
        <v>2520</v>
      </c>
      <c r="D1484" t="s">
        <v>136</v>
      </c>
      <c r="E1484">
        <v>-10523191</v>
      </c>
      <c r="F1484" t="s">
        <v>62</v>
      </c>
      <c r="G1484" t="s">
        <v>32</v>
      </c>
      <c r="H1484" t="s">
        <v>63</v>
      </c>
      <c r="I1484" t="s">
        <v>26</v>
      </c>
      <c r="J1484" t="s">
        <v>27</v>
      </c>
    </row>
    <row r="1485" spans="1:10">
      <c r="A1485" t="s">
        <v>2521</v>
      </c>
      <c r="B1485" t="s">
        <v>580</v>
      </c>
      <c r="C1485" t="s">
        <v>616</v>
      </c>
      <c r="D1485" t="s">
        <v>193</v>
      </c>
      <c r="E1485">
        <v>-166729</v>
      </c>
      <c r="F1485" t="s">
        <v>23</v>
      </c>
      <c r="G1485" t="s">
        <v>32</v>
      </c>
      <c r="H1485" t="s">
        <v>25</v>
      </c>
      <c r="I1485" t="s">
        <v>26</v>
      </c>
      <c r="J1485" t="s">
        <v>34</v>
      </c>
    </row>
    <row r="1486" spans="1:10">
      <c r="A1486" t="s">
        <v>2522</v>
      </c>
      <c r="B1486" t="s">
        <v>1155</v>
      </c>
      <c r="C1486" t="s">
        <v>255</v>
      </c>
      <c r="D1486" t="s">
        <v>22</v>
      </c>
      <c r="E1486">
        <v>-98087</v>
      </c>
      <c r="F1486" t="s">
        <v>23</v>
      </c>
      <c r="G1486" t="s">
        <v>32</v>
      </c>
      <c r="H1486" t="s">
        <v>25</v>
      </c>
      <c r="I1486" t="s">
        <v>26</v>
      </c>
      <c r="J1486" t="s">
        <v>40</v>
      </c>
    </row>
    <row r="1487" spans="1:10">
      <c r="A1487" t="s">
        <v>2523</v>
      </c>
      <c r="B1487" t="s">
        <v>2524</v>
      </c>
      <c r="C1487" t="s">
        <v>51</v>
      </c>
      <c r="D1487" t="s">
        <v>31</v>
      </c>
      <c r="E1487">
        <v>-43207</v>
      </c>
      <c r="F1487" t="s">
        <v>23</v>
      </c>
      <c r="G1487" t="s">
        <v>24</v>
      </c>
      <c r="H1487" t="s">
        <v>33</v>
      </c>
      <c r="I1487" t="s">
        <v>39</v>
      </c>
      <c r="J1487" t="s">
        <v>48</v>
      </c>
    </row>
    <row r="1488" spans="1:10">
      <c r="A1488" t="s">
        <v>2525</v>
      </c>
      <c r="B1488" t="s">
        <v>751</v>
      </c>
      <c r="C1488" t="s">
        <v>271</v>
      </c>
      <c r="D1488" t="s">
        <v>73</v>
      </c>
      <c r="E1488">
        <v>-38408</v>
      </c>
      <c r="F1488" t="s">
        <v>74</v>
      </c>
      <c r="G1488" t="s">
        <v>32</v>
      </c>
      <c r="H1488" t="s">
        <v>25</v>
      </c>
      <c r="I1488" t="s">
        <v>39</v>
      </c>
      <c r="J1488" t="s">
        <v>27</v>
      </c>
    </row>
    <row r="1489" spans="1:10">
      <c r="A1489" t="s">
        <v>2526</v>
      </c>
      <c r="B1489" t="s">
        <v>263</v>
      </c>
      <c r="C1489" t="s">
        <v>87</v>
      </c>
      <c r="D1489" t="s">
        <v>22</v>
      </c>
      <c r="E1489">
        <v>-70274</v>
      </c>
      <c r="F1489" t="s">
        <v>23</v>
      </c>
      <c r="G1489" t="s">
        <v>24</v>
      </c>
      <c r="H1489" t="s">
        <v>25</v>
      </c>
      <c r="I1489" t="s">
        <v>45</v>
      </c>
      <c r="J1489" t="s">
        <v>27</v>
      </c>
    </row>
    <row r="1490" spans="1:10">
      <c r="A1490" t="s">
        <v>2527</v>
      </c>
      <c r="B1490" t="s">
        <v>749</v>
      </c>
      <c r="C1490" t="s">
        <v>43</v>
      </c>
      <c r="D1490" t="s">
        <v>44</v>
      </c>
      <c r="E1490">
        <v>-112468</v>
      </c>
      <c r="F1490" t="s">
        <v>23</v>
      </c>
      <c r="G1490" t="s">
        <v>24</v>
      </c>
      <c r="H1490" t="s">
        <v>33</v>
      </c>
      <c r="I1490" t="s">
        <v>39</v>
      </c>
      <c r="J1490" t="s">
        <v>40</v>
      </c>
    </row>
    <row r="1491" spans="1:10">
      <c r="A1491" t="s">
        <v>2528</v>
      </c>
      <c r="B1491" t="s">
        <v>941</v>
      </c>
      <c r="C1491" t="s">
        <v>103</v>
      </c>
      <c r="D1491" t="s">
        <v>371</v>
      </c>
      <c r="E1491">
        <v>-104392</v>
      </c>
      <c r="F1491" t="s">
        <v>23</v>
      </c>
      <c r="G1491" t="s">
        <v>32</v>
      </c>
      <c r="H1491" t="s">
        <v>79</v>
      </c>
      <c r="I1491" t="s">
        <v>45</v>
      </c>
      <c r="J1491" t="s">
        <v>48</v>
      </c>
    </row>
    <row r="1492" spans="1:10">
      <c r="A1492" t="s">
        <v>2529</v>
      </c>
      <c r="B1492" t="s">
        <v>289</v>
      </c>
      <c r="C1492" t="s">
        <v>87</v>
      </c>
      <c r="D1492" t="s">
        <v>22</v>
      </c>
      <c r="E1492">
        <v>-121108</v>
      </c>
      <c r="F1492" t="s">
        <v>23</v>
      </c>
      <c r="G1492" t="s">
        <v>32</v>
      </c>
      <c r="H1492" t="s">
        <v>25</v>
      </c>
      <c r="I1492" t="s">
        <v>45</v>
      </c>
      <c r="J1492" t="s">
        <v>40</v>
      </c>
    </row>
    <row r="1493" spans="1:10">
      <c r="A1493" t="s">
        <v>2530</v>
      </c>
      <c r="B1493" t="s">
        <v>2464</v>
      </c>
      <c r="C1493" t="s">
        <v>212</v>
      </c>
      <c r="D1493" t="s">
        <v>73</v>
      </c>
      <c r="E1493">
        <v>-29432</v>
      </c>
      <c r="F1493" t="s">
        <v>74</v>
      </c>
      <c r="G1493" t="s">
        <v>24</v>
      </c>
      <c r="H1493" t="s">
        <v>25</v>
      </c>
      <c r="I1493" t="s">
        <v>26</v>
      </c>
      <c r="J1493" t="s">
        <v>40</v>
      </c>
    </row>
    <row r="1494" spans="1:10">
      <c r="A1494" t="s">
        <v>2531</v>
      </c>
      <c r="B1494" t="s">
        <v>2532</v>
      </c>
      <c r="C1494" t="s">
        <v>57</v>
      </c>
      <c r="D1494" t="s">
        <v>44</v>
      </c>
      <c r="E1494">
        <v>-177439</v>
      </c>
      <c r="F1494" t="s">
        <v>23</v>
      </c>
      <c r="G1494" t="s">
        <v>32</v>
      </c>
      <c r="H1494" t="s">
        <v>33</v>
      </c>
      <c r="I1494" t="s">
        <v>39</v>
      </c>
      <c r="J1494" t="s">
        <v>34</v>
      </c>
    </row>
    <row r="1495" spans="1:10">
      <c r="A1495" t="s">
        <v>2533</v>
      </c>
      <c r="B1495" t="s">
        <v>721</v>
      </c>
      <c r="C1495" t="s">
        <v>100</v>
      </c>
      <c r="D1495" t="s">
        <v>31</v>
      </c>
      <c r="E1495">
        <v>-9419</v>
      </c>
      <c r="F1495" t="s">
        <v>23</v>
      </c>
      <c r="G1495" t="s">
        <v>24</v>
      </c>
      <c r="H1495" t="s">
        <v>33</v>
      </c>
      <c r="I1495" t="s">
        <v>39</v>
      </c>
      <c r="J1495" t="s">
        <v>40</v>
      </c>
    </row>
    <row r="1496" spans="1:10">
      <c r="A1496" t="s">
        <v>2534</v>
      </c>
      <c r="B1496" t="s">
        <v>983</v>
      </c>
      <c r="C1496" t="s">
        <v>57</v>
      </c>
      <c r="D1496" t="s">
        <v>44</v>
      </c>
      <c r="E1496">
        <v>-97941</v>
      </c>
      <c r="F1496" t="s">
        <v>23</v>
      </c>
      <c r="G1496" t="s">
        <v>24</v>
      </c>
      <c r="H1496" t="s">
        <v>33</v>
      </c>
      <c r="I1496" t="s">
        <v>39</v>
      </c>
      <c r="J1496" t="s">
        <v>40</v>
      </c>
    </row>
    <row r="1497" spans="1:10">
      <c r="A1497" t="s">
        <v>2535</v>
      </c>
      <c r="B1497" t="s">
        <v>2049</v>
      </c>
      <c r="C1497" t="s">
        <v>57</v>
      </c>
      <c r="D1497" t="s">
        <v>388</v>
      </c>
      <c r="E1497">
        <v>-159783</v>
      </c>
      <c r="F1497" t="s">
        <v>23</v>
      </c>
      <c r="G1497" t="s">
        <v>32</v>
      </c>
      <c r="H1497" t="s">
        <v>33</v>
      </c>
      <c r="I1497" t="s">
        <v>26</v>
      </c>
      <c r="J1497" t="s">
        <v>27</v>
      </c>
    </row>
    <row r="1498" spans="1:10">
      <c r="A1498" t="s">
        <v>2536</v>
      </c>
      <c r="B1498" t="s">
        <v>319</v>
      </c>
      <c r="C1498" t="s">
        <v>293</v>
      </c>
      <c r="D1498" t="s">
        <v>157</v>
      </c>
      <c r="E1498">
        <v>677999</v>
      </c>
      <c r="F1498" t="s">
        <v>62</v>
      </c>
      <c r="G1498" t="s">
        <v>32</v>
      </c>
      <c r="H1498" t="s">
        <v>25</v>
      </c>
      <c r="I1498" t="s">
        <v>39</v>
      </c>
      <c r="J1498" t="s">
        <v>34</v>
      </c>
    </row>
    <row r="1499" spans="1:10">
      <c r="A1499" t="s">
        <v>2537</v>
      </c>
      <c r="B1499" t="s">
        <v>2243</v>
      </c>
      <c r="C1499" t="s">
        <v>106</v>
      </c>
      <c r="D1499" t="s">
        <v>31</v>
      </c>
      <c r="E1499">
        <v>-43773</v>
      </c>
      <c r="F1499" t="s">
        <v>23</v>
      </c>
      <c r="G1499" t="s">
        <v>24</v>
      </c>
      <c r="H1499" t="s">
        <v>33</v>
      </c>
      <c r="I1499" t="s">
        <v>39</v>
      </c>
      <c r="J1499" t="s">
        <v>34</v>
      </c>
    </row>
    <row r="1500" spans="1:10">
      <c r="A1500" t="s">
        <v>2538</v>
      </c>
      <c r="B1500" t="s">
        <v>1978</v>
      </c>
      <c r="C1500" t="s">
        <v>84</v>
      </c>
      <c r="D1500" t="s">
        <v>78</v>
      </c>
      <c r="E1500">
        <v>-117227</v>
      </c>
      <c r="F1500" t="s">
        <v>23</v>
      </c>
      <c r="G1500" t="s">
        <v>24</v>
      </c>
      <c r="H1500" t="s">
        <v>79</v>
      </c>
      <c r="I1500" t="s">
        <v>26</v>
      </c>
      <c r="J1500" t="s">
        <v>40</v>
      </c>
    </row>
    <row r="1501" spans="1:10">
      <c r="A1501" t="s">
        <v>2539</v>
      </c>
      <c r="B1501" t="s">
        <v>2540</v>
      </c>
      <c r="C1501" t="s">
        <v>215</v>
      </c>
      <c r="D1501" t="s">
        <v>61</v>
      </c>
      <c r="E1501">
        <v>-51181</v>
      </c>
      <c r="F1501" t="s">
        <v>62</v>
      </c>
      <c r="G1501" t="s">
        <v>32</v>
      </c>
      <c r="H1501" t="s">
        <v>63</v>
      </c>
      <c r="I1501" t="s">
        <v>45</v>
      </c>
      <c r="J1501" t="s">
        <v>34</v>
      </c>
    </row>
    <row r="1502" spans="1:10">
      <c r="A1502" t="s">
        <v>2541</v>
      </c>
      <c r="B1502" t="s">
        <v>2542</v>
      </c>
      <c r="C1502" t="s">
        <v>106</v>
      </c>
      <c r="D1502" t="s">
        <v>31</v>
      </c>
      <c r="E1502">
        <v>-13576</v>
      </c>
      <c r="F1502" t="s">
        <v>23</v>
      </c>
      <c r="G1502" t="s">
        <v>32</v>
      </c>
      <c r="H1502" t="s">
        <v>33</v>
      </c>
      <c r="I1502" t="s">
        <v>45</v>
      </c>
      <c r="J1502" t="s">
        <v>27</v>
      </c>
    </row>
    <row r="1503" spans="1:10">
      <c r="A1503" t="s">
        <v>2543</v>
      </c>
      <c r="B1503" t="s">
        <v>2544</v>
      </c>
      <c r="C1503" t="s">
        <v>215</v>
      </c>
      <c r="D1503" t="s">
        <v>61</v>
      </c>
      <c r="E1503">
        <v>-45878</v>
      </c>
      <c r="F1503" t="s">
        <v>62</v>
      </c>
      <c r="G1503" t="s">
        <v>32</v>
      </c>
      <c r="H1503" t="s">
        <v>63</v>
      </c>
      <c r="I1503" t="s">
        <v>26</v>
      </c>
      <c r="J1503" t="s">
        <v>27</v>
      </c>
    </row>
    <row r="1504" spans="1:10">
      <c r="A1504" t="s">
        <v>2545</v>
      </c>
      <c r="B1504" t="s">
        <v>889</v>
      </c>
      <c r="C1504" t="s">
        <v>30</v>
      </c>
      <c r="D1504" t="s">
        <v>31</v>
      </c>
      <c r="E1504">
        <v>-21295</v>
      </c>
      <c r="F1504" t="s">
        <v>23</v>
      </c>
      <c r="G1504" t="s">
        <v>32</v>
      </c>
      <c r="H1504" t="s">
        <v>33</v>
      </c>
      <c r="I1504" t="s">
        <v>45</v>
      </c>
      <c r="J1504" t="s">
        <v>27</v>
      </c>
    </row>
    <row r="1505" spans="1:10">
      <c r="A1505" t="s">
        <v>2546</v>
      </c>
      <c r="B1505" t="s">
        <v>2547</v>
      </c>
      <c r="C1505" t="s">
        <v>66</v>
      </c>
      <c r="D1505" t="s">
        <v>61</v>
      </c>
      <c r="E1505">
        <v>-39144</v>
      </c>
      <c r="F1505" t="s">
        <v>62</v>
      </c>
      <c r="G1505" t="s">
        <v>24</v>
      </c>
      <c r="H1505" t="s">
        <v>63</v>
      </c>
      <c r="I1505" t="s">
        <v>26</v>
      </c>
      <c r="J1505" t="s">
        <v>27</v>
      </c>
    </row>
    <row r="1506" spans="1:10">
      <c r="A1506" t="s">
        <v>2548</v>
      </c>
      <c r="B1506" t="s">
        <v>456</v>
      </c>
      <c r="C1506" t="s">
        <v>271</v>
      </c>
      <c r="D1506" t="s">
        <v>73</v>
      </c>
      <c r="E1506">
        <v>-27564</v>
      </c>
      <c r="F1506" t="s">
        <v>74</v>
      </c>
      <c r="G1506" t="s">
        <v>32</v>
      </c>
      <c r="H1506" t="s">
        <v>25</v>
      </c>
      <c r="I1506" t="s">
        <v>39</v>
      </c>
      <c r="J1506" t="s">
        <v>40</v>
      </c>
    </row>
    <row r="1507" spans="1:10">
      <c r="A1507" t="s">
        <v>2549</v>
      </c>
      <c r="B1507" t="s">
        <v>1397</v>
      </c>
      <c r="C1507" t="s">
        <v>1039</v>
      </c>
      <c r="D1507" t="s">
        <v>440</v>
      </c>
      <c r="E1507">
        <v>-105690</v>
      </c>
      <c r="F1507" t="s">
        <v>23</v>
      </c>
      <c r="G1507" t="s">
        <v>24</v>
      </c>
      <c r="H1507" t="s">
        <v>33</v>
      </c>
      <c r="I1507" t="s">
        <v>45</v>
      </c>
      <c r="J1507" t="s">
        <v>48</v>
      </c>
    </row>
    <row r="1508" spans="1:10">
      <c r="A1508" t="s">
        <v>2550</v>
      </c>
      <c r="B1508" t="s">
        <v>2474</v>
      </c>
      <c r="C1508" t="s">
        <v>519</v>
      </c>
      <c r="D1508" t="s">
        <v>44</v>
      </c>
      <c r="E1508">
        <v>-81563</v>
      </c>
      <c r="F1508" t="s">
        <v>23</v>
      </c>
      <c r="G1508" t="s">
        <v>24</v>
      </c>
      <c r="H1508" t="s">
        <v>33</v>
      </c>
      <c r="I1508" t="s">
        <v>39</v>
      </c>
      <c r="J1508" t="s">
        <v>40</v>
      </c>
    </row>
    <row r="1509" spans="1:10">
      <c r="A1509" t="s">
        <v>2551</v>
      </c>
      <c r="B1509" t="s">
        <v>2552</v>
      </c>
      <c r="C1509" t="s">
        <v>51</v>
      </c>
      <c r="D1509" t="s">
        <v>31</v>
      </c>
      <c r="E1509">
        <v>-30083</v>
      </c>
      <c r="F1509" t="s">
        <v>23</v>
      </c>
      <c r="G1509" t="s">
        <v>32</v>
      </c>
      <c r="H1509" t="s">
        <v>33</v>
      </c>
      <c r="I1509" t="s">
        <v>39</v>
      </c>
      <c r="J1509" t="s">
        <v>40</v>
      </c>
    </row>
    <row r="1510" spans="1:10">
      <c r="A1510" t="s">
        <v>2553</v>
      </c>
      <c r="B1510" t="s">
        <v>2554</v>
      </c>
      <c r="C1510" t="s">
        <v>215</v>
      </c>
      <c r="D1510" t="s">
        <v>61</v>
      </c>
      <c r="E1510">
        <v>-36326</v>
      </c>
      <c r="F1510" t="s">
        <v>62</v>
      </c>
      <c r="G1510" t="s">
        <v>24</v>
      </c>
      <c r="H1510" t="s">
        <v>63</v>
      </c>
      <c r="I1510" t="s">
        <v>26</v>
      </c>
      <c r="J1510" t="s">
        <v>48</v>
      </c>
    </row>
    <row r="1511" spans="1:10">
      <c r="A1511" t="s">
        <v>2555</v>
      </c>
      <c r="B1511" t="s">
        <v>1339</v>
      </c>
      <c r="C1511" t="s">
        <v>60</v>
      </c>
      <c r="D1511" t="s">
        <v>61</v>
      </c>
      <c r="E1511">
        <v>-20518</v>
      </c>
      <c r="F1511" t="s">
        <v>62</v>
      </c>
      <c r="G1511" t="s">
        <v>32</v>
      </c>
      <c r="H1511" t="s">
        <v>63</v>
      </c>
      <c r="I1511" t="s">
        <v>39</v>
      </c>
      <c r="J1511" t="s">
        <v>40</v>
      </c>
    </row>
    <row r="1512" spans="1:10">
      <c r="A1512" t="s">
        <v>2556</v>
      </c>
      <c r="B1512" t="s">
        <v>428</v>
      </c>
      <c r="C1512" t="s">
        <v>293</v>
      </c>
      <c r="D1512" t="s">
        <v>157</v>
      </c>
      <c r="E1512">
        <v>712264</v>
      </c>
      <c r="F1512" t="s">
        <v>62</v>
      </c>
      <c r="G1512" t="s">
        <v>32</v>
      </c>
      <c r="H1512" t="s">
        <v>25</v>
      </c>
      <c r="I1512" t="s">
        <v>39</v>
      </c>
      <c r="J1512" t="s">
        <v>40</v>
      </c>
    </row>
    <row r="1513" spans="1:10">
      <c r="A1513" t="s">
        <v>2557</v>
      </c>
      <c r="B1513" t="s">
        <v>1301</v>
      </c>
      <c r="C1513" t="s">
        <v>215</v>
      </c>
      <c r="D1513" t="s">
        <v>61</v>
      </c>
      <c r="E1513">
        <v>-47793</v>
      </c>
      <c r="F1513" t="s">
        <v>62</v>
      </c>
      <c r="G1513" t="s">
        <v>24</v>
      </c>
      <c r="H1513" t="s">
        <v>63</v>
      </c>
      <c r="I1513" t="s">
        <v>26</v>
      </c>
      <c r="J1513" t="s">
        <v>27</v>
      </c>
    </row>
    <row r="1514" spans="1:10">
      <c r="A1514" t="s">
        <v>2558</v>
      </c>
      <c r="B1514" t="s">
        <v>2559</v>
      </c>
      <c r="C1514" t="s">
        <v>60</v>
      </c>
      <c r="D1514" t="s">
        <v>61</v>
      </c>
      <c r="E1514">
        <v>-35625</v>
      </c>
      <c r="F1514" t="s">
        <v>62</v>
      </c>
      <c r="G1514" t="s">
        <v>32</v>
      </c>
      <c r="H1514" t="s">
        <v>63</v>
      </c>
      <c r="I1514" t="s">
        <v>45</v>
      </c>
      <c r="J1514" t="s">
        <v>40</v>
      </c>
    </row>
    <row r="1515" spans="1:10">
      <c r="A1515" t="s">
        <v>2560</v>
      </c>
      <c r="B1515" t="s">
        <v>273</v>
      </c>
      <c r="C1515" t="s">
        <v>2561</v>
      </c>
      <c r="D1515" t="s">
        <v>73</v>
      </c>
      <c r="E1515">
        <v>-94164</v>
      </c>
      <c r="F1515" t="s">
        <v>74</v>
      </c>
      <c r="G1515" t="s">
        <v>24</v>
      </c>
      <c r="H1515" t="s">
        <v>25</v>
      </c>
      <c r="I1515" t="s">
        <v>39</v>
      </c>
      <c r="J1515" t="s">
        <v>48</v>
      </c>
    </row>
    <row r="1516" spans="1:10">
      <c r="A1516" t="s">
        <v>2562</v>
      </c>
      <c r="B1516" t="s">
        <v>570</v>
      </c>
      <c r="C1516" t="s">
        <v>66</v>
      </c>
      <c r="D1516" t="s">
        <v>61</v>
      </c>
      <c r="E1516">
        <v>-47076</v>
      </c>
      <c r="F1516" t="s">
        <v>62</v>
      </c>
      <c r="G1516" t="s">
        <v>24</v>
      </c>
      <c r="H1516" t="s">
        <v>63</v>
      </c>
      <c r="I1516" t="s">
        <v>45</v>
      </c>
      <c r="J1516" t="s">
        <v>27</v>
      </c>
    </row>
    <row r="1517" spans="1:10">
      <c r="A1517" t="s">
        <v>2563</v>
      </c>
      <c r="B1517" t="s">
        <v>2564</v>
      </c>
      <c r="C1517" t="s">
        <v>215</v>
      </c>
      <c r="D1517" t="s">
        <v>61</v>
      </c>
      <c r="E1517">
        <v>-50032</v>
      </c>
      <c r="F1517" t="s">
        <v>62</v>
      </c>
      <c r="G1517" t="s">
        <v>32</v>
      </c>
      <c r="H1517" t="s">
        <v>63</v>
      </c>
      <c r="I1517" t="s">
        <v>26</v>
      </c>
      <c r="J1517" t="s">
        <v>34</v>
      </c>
    </row>
    <row r="1518" spans="1:10">
      <c r="A1518" t="s">
        <v>2565</v>
      </c>
      <c r="B1518" t="s">
        <v>1796</v>
      </c>
      <c r="C1518" t="s">
        <v>66</v>
      </c>
      <c r="D1518" t="s">
        <v>61</v>
      </c>
      <c r="E1518">
        <v>-31917</v>
      </c>
      <c r="F1518" t="s">
        <v>62</v>
      </c>
      <c r="G1518" t="s">
        <v>32</v>
      </c>
      <c r="H1518" t="s">
        <v>63</v>
      </c>
      <c r="I1518" t="s">
        <v>26</v>
      </c>
      <c r="J1518" t="s">
        <v>27</v>
      </c>
    </row>
    <row r="1519" spans="1:10">
      <c r="A1519" t="s">
        <v>2566</v>
      </c>
      <c r="B1519" t="s">
        <v>1361</v>
      </c>
      <c r="C1519" t="s">
        <v>192</v>
      </c>
      <c r="D1519" t="s">
        <v>22</v>
      </c>
      <c r="E1519">
        <v>-154519</v>
      </c>
      <c r="F1519" t="s">
        <v>23</v>
      </c>
      <c r="G1519" t="s">
        <v>24</v>
      </c>
      <c r="H1519" t="s">
        <v>25</v>
      </c>
      <c r="I1519" t="s">
        <v>39</v>
      </c>
      <c r="J1519" t="s">
        <v>48</v>
      </c>
    </row>
    <row r="1520" spans="1:10">
      <c r="A1520" t="s">
        <v>2567</v>
      </c>
      <c r="B1520" t="s">
        <v>1257</v>
      </c>
      <c r="C1520" t="s">
        <v>84</v>
      </c>
      <c r="E1520">
        <v>-58064</v>
      </c>
      <c r="F1520" t="s">
        <v>23</v>
      </c>
      <c r="G1520" t="s">
        <v>32</v>
      </c>
      <c r="H1520" t="s">
        <v>79</v>
      </c>
      <c r="I1520" t="s">
        <v>26</v>
      </c>
      <c r="J1520" t="s">
        <v>34</v>
      </c>
    </row>
    <row r="1521" spans="1:10">
      <c r="A1521" t="s">
        <v>2568</v>
      </c>
      <c r="B1521" t="s">
        <v>549</v>
      </c>
      <c r="C1521" t="s">
        <v>66</v>
      </c>
      <c r="E1521">
        <v>-45444</v>
      </c>
      <c r="F1521" t="s">
        <v>62</v>
      </c>
      <c r="G1521" t="s">
        <v>24</v>
      </c>
      <c r="H1521" t="s">
        <v>63</v>
      </c>
      <c r="I1521" t="s">
        <v>45</v>
      </c>
      <c r="J1521" t="s">
        <v>34</v>
      </c>
    </row>
    <row r="1522" spans="1:10">
      <c r="A1522" t="s">
        <v>2569</v>
      </c>
      <c r="B1522" t="s">
        <v>2570</v>
      </c>
      <c r="C1522" t="s">
        <v>218</v>
      </c>
      <c r="D1522" t="s">
        <v>157</v>
      </c>
      <c r="E1522">
        <v>630565</v>
      </c>
      <c r="F1522" t="s">
        <v>62</v>
      </c>
      <c r="G1522" t="s">
        <v>32</v>
      </c>
      <c r="H1522" t="s">
        <v>25</v>
      </c>
      <c r="I1522" t="s">
        <v>45</v>
      </c>
      <c r="J1522" t="s">
        <v>48</v>
      </c>
    </row>
    <row r="1523" spans="1:10">
      <c r="A1523" t="s">
        <v>2571</v>
      </c>
      <c r="B1523" t="s">
        <v>2572</v>
      </c>
      <c r="C1523" t="s">
        <v>69</v>
      </c>
      <c r="D1523" t="s">
        <v>38</v>
      </c>
      <c r="E1523">
        <v>-35606</v>
      </c>
      <c r="F1523" t="s">
        <v>23</v>
      </c>
      <c r="G1523" t="s">
        <v>32</v>
      </c>
      <c r="H1523" t="s">
        <v>33</v>
      </c>
      <c r="I1523" t="s">
        <v>39</v>
      </c>
      <c r="J1523" t="s">
        <v>40</v>
      </c>
    </row>
    <row r="1524" spans="1:10">
      <c r="A1524" t="s">
        <v>2573</v>
      </c>
      <c r="B1524" t="s">
        <v>2574</v>
      </c>
      <c r="C1524" t="s">
        <v>72</v>
      </c>
      <c r="D1524" t="s">
        <v>73</v>
      </c>
      <c r="E1524">
        <v>-10832</v>
      </c>
      <c r="F1524" t="s">
        <v>74</v>
      </c>
      <c r="G1524" t="s">
        <v>32</v>
      </c>
      <c r="H1524" t="s">
        <v>25</v>
      </c>
      <c r="I1524" t="s">
        <v>39</v>
      </c>
      <c r="J1524" t="s">
        <v>48</v>
      </c>
    </row>
    <row r="1525" spans="1:10">
      <c r="A1525" t="s">
        <v>2575</v>
      </c>
      <c r="B1525" t="s">
        <v>2576</v>
      </c>
      <c r="C1525" t="s">
        <v>215</v>
      </c>
      <c r="D1525" t="s">
        <v>61</v>
      </c>
      <c r="E1525">
        <v>-48441</v>
      </c>
      <c r="F1525" t="s">
        <v>62</v>
      </c>
      <c r="G1525" t="s">
        <v>32</v>
      </c>
      <c r="H1525" t="s">
        <v>63</v>
      </c>
      <c r="I1525" t="s">
        <v>45</v>
      </c>
      <c r="J1525" t="s">
        <v>34</v>
      </c>
    </row>
    <row r="1526" spans="1:10">
      <c r="A1526" t="s">
        <v>2577</v>
      </c>
      <c r="B1526" t="s">
        <v>2578</v>
      </c>
      <c r="C1526" t="s">
        <v>129</v>
      </c>
      <c r="D1526" t="s">
        <v>38</v>
      </c>
      <c r="E1526">
        <v>-31666</v>
      </c>
      <c r="F1526" t="s">
        <v>23</v>
      </c>
      <c r="G1526" t="s">
        <v>32</v>
      </c>
      <c r="H1526" t="s">
        <v>33</v>
      </c>
      <c r="I1526" t="s">
        <v>26</v>
      </c>
      <c r="J1526" t="s">
        <v>40</v>
      </c>
    </row>
    <row r="1527" spans="1:10">
      <c r="A1527" t="s">
        <v>2579</v>
      </c>
      <c r="B1527" t="s">
        <v>2376</v>
      </c>
      <c r="C1527" t="s">
        <v>60</v>
      </c>
      <c r="D1527" t="s">
        <v>61</v>
      </c>
      <c r="E1527">
        <v>-54091</v>
      </c>
      <c r="F1527" t="s">
        <v>62</v>
      </c>
      <c r="G1527" t="s">
        <v>24</v>
      </c>
      <c r="H1527" t="s">
        <v>63</v>
      </c>
      <c r="I1527" t="s">
        <v>26</v>
      </c>
      <c r="J1527" t="s">
        <v>27</v>
      </c>
    </row>
    <row r="1528" spans="1:10">
      <c r="A1528" t="s">
        <v>2580</v>
      </c>
      <c r="B1528" t="s">
        <v>2159</v>
      </c>
      <c r="C1528" t="s">
        <v>54</v>
      </c>
      <c r="D1528" t="s">
        <v>38</v>
      </c>
      <c r="E1528">
        <v>-34779</v>
      </c>
      <c r="F1528" t="s">
        <v>23</v>
      </c>
      <c r="G1528" t="s">
        <v>32</v>
      </c>
      <c r="H1528" t="s">
        <v>33</v>
      </c>
      <c r="I1528" t="s">
        <v>26</v>
      </c>
      <c r="J1528" t="s">
        <v>27</v>
      </c>
    </row>
    <row r="1529" spans="1:10">
      <c r="A1529" t="s">
        <v>2581</v>
      </c>
      <c r="B1529" t="s">
        <v>1038</v>
      </c>
      <c r="C1529" t="s">
        <v>177</v>
      </c>
      <c r="D1529" t="s">
        <v>78</v>
      </c>
      <c r="E1529">
        <v>-90235</v>
      </c>
      <c r="F1529" t="s">
        <v>23</v>
      </c>
      <c r="G1529" t="s">
        <v>32</v>
      </c>
      <c r="H1529" t="s">
        <v>79</v>
      </c>
      <c r="I1529" t="s">
        <v>39</v>
      </c>
      <c r="J1529" t="s">
        <v>40</v>
      </c>
    </row>
    <row r="1530" spans="1:10">
      <c r="A1530" t="s">
        <v>2582</v>
      </c>
      <c r="B1530" t="s">
        <v>1260</v>
      </c>
      <c r="C1530" t="s">
        <v>77</v>
      </c>
      <c r="D1530" t="s">
        <v>78</v>
      </c>
      <c r="E1530">
        <v>-89536</v>
      </c>
      <c r="F1530" t="s">
        <v>23</v>
      </c>
      <c r="G1530" t="s">
        <v>24</v>
      </c>
      <c r="H1530" t="s">
        <v>79</v>
      </c>
      <c r="I1530" t="s">
        <v>26</v>
      </c>
      <c r="J1530" t="s">
        <v>27</v>
      </c>
    </row>
    <row r="1531" spans="1:10">
      <c r="A1531" t="s">
        <v>2583</v>
      </c>
      <c r="B1531" t="s">
        <v>2044</v>
      </c>
      <c r="C1531" t="s">
        <v>57</v>
      </c>
      <c r="D1531" t="s">
        <v>248</v>
      </c>
      <c r="E1531">
        <v>-78761</v>
      </c>
      <c r="F1531" t="s">
        <v>23</v>
      </c>
      <c r="G1531" t="s">
        <v>24</v>
      </c>
      <c r="H1531" t="s">
        <v>33</v>
      </c>
      <c r="I1531" t="s">
        <v>45</v>
      </c>
      <c r="J1531" t="s">
        <v>40</v>
      </c>
    </row>
    <row r="1532" spans="1:10">
      <c r="A1532" t="s">
        <v>2584</v>
      </c>
      <c r="B1532" t="s">
        <v>1983</v>
      </c>
      <c r="C1532" t="s">
        <v>57</v>
      </c>
      <c r="D1532" t="s">
        <v>44</v>
      </c>
      <c r="E1532">
        <v>-82990</v>
      </c>
      <c r="F1532" t="s">
        <v>23</v>
      </c>
      <c r="G1532" t="s">
        <v>24</v>
      </c>
      <c r="H1532" t="s">
        <v>33</v>
      </c>
      <c r="I1532" t="s">
        <v>26</v>
      </c>
      <c r="J1532" t="s">
        <v>40</v>
      </c>
    </row>
    <row r="1533" spans="1:10">
      <c r="A1533" t="s">
        <v>2585</v>
      </c>
      <c r="B1533" t="s">
        <v>2586</v>
      </c>
      <c r="C1533" t="s">
        <v>72</v>
      </c>
      <c r="D1533" t="s">
        <v>73</v>
      </c>
      <c r="E1533">
        <v>-91101</v>
      </c>
      <c r="F1533" t="s">
        <v>74</v>
      </c>
      <c r="G1533" t="s">
        <v>32</v>
      </c>
      <c r="H1533" t="s">
        <v>25</v>
      </c>
      <c r="I1533" t="s">
        <v>39</v>
      </c>
      <c r="J1533" t="s">
        <v>27</v>
      </c>
    </row>
    <row r="1534" spans="1:10">
      <c r="A1534" t="s">
        <v>2587</v>
      </c>
      <c r="B1534" t="s">
        <v>1476</v>
      </c>
      <c r="C1534" t="s">
        <v>66</v>
      </c>
      <c r="D1534" t="s">
        <v>61</v>
      </c>
      <c r="E1534">
        <v>-40133</v>
      </c>
      <c r="F1534" t="s">
        <v>62</v>
      </c>
      <c r="G1534" t="s">
        <v>24</v>
      </c>
      <c r="H1534" t="s">
        <v>63</v>
      </c>
      <c r="I1534" t="s">
        <v>26</v>
      </c>
      <c r="J1534" t="s">
        <v>34</v>
      </c>
    </row>
    <row r="1535" spans="1:10">
      <c r="A1535" t="s">
        <v>2588</v>
      </c>
      <c r="B1535" t="s">
        <v>1337</v>
      </c>
      <c r="C1535" t="s">
        <v>54</v>
      </c>
      <c r="D1535" t="s">
        <v>38</v>
      </c>
      <c r="E1535">
        <v>-45962</v>
      </c>
      <c r="F1535" t="s">
        <v>23</v>
      </c>
      <c r="G1535" t="s">
        <v>32</v>
      </c>
      <c r="H1535" t="s">
        <v>33</v>
      </c>
      <c r="I1535" t="s">
        <v>39</v>
      </c>
      <c r="J1535" t="s">
        <v>40</v>
      </c>
    </row>
    <row r="1536" spans="1:10">
      <c r="A1536" t="s">
        <v>2589</v>
      </c>
      <c r="B1536" t="s">
        <v>1826</v>
      </c>
      <c r="C1536" t="s">
        <v>51</v>
      </c>
      <c r="D1536" t="s">
        <v>31</v>
      </c>
      <c r="E1536">
        <v>-11092</v>
      </c>
      <c r="F1536" t="s">
        <v>23</v>
      </c>
      <c r="G1536" t="s">
        <v>32</v>
      </c>
      <c r="H1536" t="s">
        <v>33</v>
      </c>
      <c r="I1536" t="s">
        <v>26</v>
      </c>
      <c r="J1536" t="s">
        <v>34</v>
      </c>
    </row>
    <row r="1537" spans="1:10">
      <c r="A1537" t="s">
        <v>2590</v>
      </c>
      <c r="B1537" t="s">
        <v>477</v>
      </c>
      <c r="C1537" t="s">
        <v>106</v>
      </c>
      <c r="D1537" t="s">
        <v>31</v>
      </c>
      <c r="E1537">
        <v>-43936</v>
      </c>
      <c r="F1537" t="s">
        <v>23</v>
      </c>
      <c r="G1537" t="s">
        <v>32</v>
      </c>
      <c r="H1537" t="s">
        <v>33</v>
      </c>
      <c r="I1537" t="s">
        <v>45</v>
      </c>
      <c r="J1537" t="s">
        <v>27</v>
      </c>
    </row>
    <row r="1538" spans="1:10">
      <c r="A1538" t="s">
        <v>2591</v>
      </c>
      <c r="B1538" t="s">
        <v>2077</v>
      </c>
      <c r="C1538" t="s">
        <v>43</v>
      </c>
      <c r="D1538" t="s">
        <v>44</v>
      </c>
      <c r="E1538">
        <v>-46544</v>
      </c>
      <c r="F1538" t="s">
        <v>23</v>
      </c>
      <c r="G1538" t="s">
        <v>32</v>
      </c>
      <c r="H1538" t="s">
        <v>33</v>
      </c>
      <c r="I1538" t="s">
        <v>26</v>
      </c>
      <c r="J1538" t="s">
        <v>40</v>
      </c>
    </row>
    <row r="1539" spans="1:10">
      <c r="A1539" t="s">
        <v>2592</v>
      </c>
      <c r="B1539" t="s">
        <v>1450</v>
      </c>
      <c r="C1539" t="s">
        <v>100</v>
      </c>
      <c r="D1539" t="s">
        <v>31</v>
      </c>
      <c r="E1539">
        <v>-22083</v>
      </c>
      <c r="F1539" t="s">
        <v>23</v>
      </c>
      <c r="G1539" t="s">
        <v>32</v>
      </c>
      <c r="H1539" t="s">
        <v>33</v>
      </c>
      <c r="I1539" t="s">
        <v>26</v>
      </c>
      <c r="J1539" t="s">
        <v>48</v>
      </c>
    </row>
    <row r="1540" spans="1:10">
      <c r="A1540" t="s">
        <v>2593</v>
      </c>
      <c r="B1540" t="s">
        <v>1147</v>
      </c>
      <c r="C1540" t="s">
        <v>30</v>
      </c>
      <c r="D1540" t="s">
        <v>31</v>
      </c>
      <c r="E1540">
        <v>-4400</v>
      </c>
      <c r="F1540" t="s">
        <v>23</v>
      </c>
      <c r="G1540" t="s">
        <v>32</v>
      </c>
      <c r="H1540" t="s">
        <v>33</v>
      </c>
      <c r="I1540" t="s">
        <v>26</v>
      </c>
      <c r="J1540" t="s">
        <v>34</v>
      </c>
    </row>
    <row r="1541" spans="1:10">
      <c r="A1541" t="s">
        <v>2594</v>
      </c>
      <c r="B1541" t="s">
        <v>1603</v>
      </c>
      <c r="C1541" t="s">
        <v>72</v>
      </c>
      <c r="D1541" t="s">
        <v>73</v>
      </c>
      <c r="E1541">
        <v>-43910</v>
      </c>
      <c r="F1541" t="s">
        <v>74</v>
      </c>
      <c r="G1541" t="s">
        <v>32</v>
      </c>
      <c r="H1541" t="s">
        <v>25</v>
      </c>
      <c r="I1541" t="s">
        <v>26</v>
      </c>
      <c r="J1541" t="s">
        <v>40</v>
      </c>
    </row>
    <row r="1542" spans="1:10">
      <c r="A1542" t="s">
        <v>2595</v>
      </c>
      <c r="B1542" t="s">
        <v>1981</v>
      </c>
      <c r="C1542" t="s">
        <v>30</v>
      </c>
      <c r="D1542" t="s">
        <v>31</v>
      </c>
      <c r="E1542">
        <v>-5609</v>
      </c>
      <c r="F1542" t="s">
        <v>23</v>
      </c>
      <c r="G1542" t="s">
        <v>32</v>
      </c>
      <c r="H1542" t="s">
        <v>33</v>
      </c>
      <c r="I1542" t="s">
        <v>26</v>
      </c>
      <c r="J1542" t="s">
        <v>40</v>
      </c>
    </row>
    <row r="1543" spans="1:10">
      <c r="A1543" t="s">
        <v>2596</v>
      </c>
      <c r="B1543" t="s">
        <v>1738</v>
      </c>
      <c r="C1543" t="s">
        <v>69</v>
      </c>
      <c r="D1543" t="s">
        <v>38</v>
      </c>
      <c r="E1543">
        <v>-49504</v>
      </c>
      <c r="F1543" t="s">
        <v>23</v>
      </c>
      <c r="G1543" t="s">
        <v>32</v>
      </c>
      <c r="H1543" t="s">
        <v>33</v>
      </c>
      <c r="I1543" t="s">
        <v>39</v>
      </c>
      <c r="J1543" t="s">
        <v>48</v>
      </c>
    </row>
    <row r="1544" spans="1:10">
      <c r="A1544" t="s">
        <v>2597</v>
      </c>
      <c r="B1544" t="s">
        <v>76</v>
      </c>
      <c r="C1544" t="s">
        <v>1753</v>
      </c>
      <c r="D1544" t="s">
        <v>73</v>
      </c>
      <c r="E1544">
        <v>-76843</v>
      </c>
      <c r="F1544" t="s">
        <v>74</v>
      </c>
      <c r="G1544" t="s">
        <v>24</v>
      </c>
      <c r="H1544" t="s">
        <v>25</v>
      </c>
      <c r="I1544" t="s">
        <v>45</v>
      </c>
      <c r="J1544" t="s">
        <v>48</v>
      </c>
    </row>
    <row r="1545" spans="1:10">
      <c r="A1545" t="s">
        <v>2598</v>
      </c>
      <c r="B1545" t="s">
        <v>2599</v>
      </c>
      <c r="C1545" t="s">
        <v>72</v>
      </c>
      <c r="D1545" t="s">
        <v>73</v>
      </c>
      <c r="E1545">
        <v>-10215</v>
      </c>
      <c r="F1545" t="s">
        <v>74</v>
      </c>
      <c r="G1545" t="s">
        <v>24</v>
      </c>
      <c r="H1545" t="s">
        <v>25</v>
      </c>
      <c r="I1545" t="s">
        <v>39</v>
      </c>
      <c r="J1545" t="s">
        <v>40</v>
      </c>
    </row>
    <row r="1546" spans="1:10">
      <c r="A1546" t="s">
        <v>2600</v>
      </c>
      <c r="B1546" t="s">
        <v>1476</v>
      </c>
      <c r="C1546" t="s">
        <v>192</v>
      </c>
      <c r="D1546" t="s">
        <v>22</v>
      </c>
      <c r="E1546">
        <v>-39365</v>
      </c>
      <c r="F1546" t="s">
        <v>23</v>
      </c>
      <c r="G1546" t="s">
        <v>24</v>
      </c>
      <c r="H1546" t="s">
        <v>25</v>
      </c>
      <c r="I1546" t="s">
        <v>26</v>
      </c>
      <c r="J1546" t="s">
        <v>34</v>
      </c>
    </row>
    <row r="1547" spans="1:10">
      <c r="A1547" t="s">
        <v>2601</v>
      </c>
      <c r="B1547" t="s">
        <v>1419</v>
      </c>
      <c r="C1547" t="s">
        <v>266</v>
      </c>
      <c r="D1547" t="s">
        <v>73</v>
      </c>
      <c r="E1547">
        <v>-32586</v>
      </c>
      <c r="F1547" t="s">
        <v>74</v>
      </c>
      <c r="G1547" t="s">
        <v>32</v>
      </c>
      <c r="H1547" t="s">
        <v>25</v>
      </c>
      <c r="I1547" t="s">
        <v>26</v>
      </c>
      <c r="J1547" t="s">
        <v>34</v>
      </c>
    </row>
    <row r="1548" spans="1:10">
      <c r="A1548" t="s">
        <v>2602</v>
      </c>
      <c r="B1548" t="s">
        <v>2055</v>
      </c>
      <c r="C1548" t="s">
        <v>106</v>
      </c>
      <c r="D1548" t="s">
        <v>31</v>
      </c>
      <c r="E1548">
        <v>-37038</v>
      </c>
      <c r="F1548" t="s">
        <v>23</v>
      </c>
      <c r="G1548" t="s">
        <v>32</v>
      </c>
      <c r="H1548" t="s">
        <v>33</v>
      </c>
      <c r="I1548" t="s">
        <v>45</v>
      </c>
      <c r="J1548" t="s">
        <v>27</v>
      </c>
    </row>
    <row r="1549" spans="1:10">
      <c r="A1549" t="s">
        <v>2603</v>
      </c>
      <c r="B1549" t="s">
        <v>1263</v>
      </c>
      <c r="C1549" t="s">
        <v>339</v>
      </c>
      <c r="D1549" t="s">
        <v>157</v>
      </c>
      <c r="E1549">
        <v>699647</v>
      </c>
      <c r="F1549" t="s">
        <v>62</v>
      </c>
      <c r="G1549" t="s">
        <v>32</v>
      </c>
      <c r="H1549" t="s">
        <v>25</v>
      </c>
      <c r="I1549" t="s">
        <v>39</v>
      </c>
      <c r="J1549" t="s">
        <v>34</v>
      </c>
    </row>
    <row r="1550" spans="1:10">
      <c r="A1550" t="s">
        <v>2604</v>
      </c>
      <c r="B1550" t="s">
        <v>875</v>
      </c>
      <c r="C1550" t="s">
        <v>166</v>
      </c>
      <c r="D1550" t="s">
        <v>31</v>
      </c>
      <c r="E1550">
        <v>-42637</v>
      </c>
      <c r="F1550" t="s">
        <v>23</v>
      </c>
      <c r="G1550" t="s">
        <v>32</v>
      </c>
      <c r="H1550" t="s">
        <v>33</v>
      </c>
      <c r="I1550" t="s">
        <v>45</v>
      </c>
      <c r="J1550" t="s">
        <v>27</v>
      </c>
    </row>
    <row r="1551" spans="1:10">
      <c r="A1551" t="s">
        <v>2605</v>
      </c>
      <c r="B1551" t="s">
        <v>387</v>
      </c>
      <c r="C1551" t="s">
        <v>266</v>
      </c>
      <c r="D1551" t="s">
        <v>73</v>
      </c>
      <c r="E1551">
        <v>-31494</v>
      </c>
      <c r="F1551" t="s">
        <v>74</v>
      </c>
      <c r="G1551" t="s">
        <v>32</v>
      </c>
      <c r="H1551" t="s">
        <v>25</v>
      </c>
      <c r="I1551" t="s">
        <v>39</v>
      </c>
      <c r="J1551" t="s">
        <v>48</v>
      </c>
    </row>
    <row r="1552" spans="1:10">
      <c r="A1552" t="s">
        <v>2606</v>
      </c>
      <c r="B1552" t="s">
        <v>474</v>
      </c>
      <c r="C1552" t="s">
        <v>143</v>
      </c>
      <c r="D1552" t="s">
        <v>78</v>
      </c>
      <c r="E1552">
        <v>-68790</v>
      </c>
      <c r="F1552" t="s">
        <v>23</v>
      </c>
      <c r="G1552" t="s">
        <v>32</v>
      </c>
      <c r="H1552" t="s">
        <v>79</v>
      </c>
      <c r="I1552" t="s">
        <v>45</v>
      </c>
      <c r="J1552" t="s">
        <v>40</v>
      </c>
    </row>
    <row r="1553" spans="1:10">
      <c r="A1553" t="s">
        <v>2607</v>
      </c>
      <c r="B1553" t="s">
        <v>2608</v>
      </c>
      <c r="C1553" t="s">
        <v>215</v>
      </c>
      <c r="D1553" t="s">
        <v>61</v>
      </c>
      <c r="E1553">
        <v>-43308</v>
      </c>
      <c r="F1553" t="s">
        <v>62</v>
      </c>
      <c r="G1553" t="s">
        <v>32</v>
      </c>
      <c r="H1553" t="s">
        <v>63</v>
      </c>
      <c r="I1553" t="s">
        <v>26</v>
      </c>
      <c r="J1553" t="s">
        <v>34</v>
      </c>
    </row>
    <row r="1554" spans="1:10">
      <c r="A1554" t="s">
        <v>2609</v>
      </c>
      <c r="B1554" t="s">
        <v>2610</v>
      </c>
      <c r="C1554" t="s">
        <v>266</v>
      </c>
      <c r="D1554" t="s">
        <v>73</v>
      </c>
      <c r="E1554">
        <v>-61307</v>
      </c>
      <c r="F1554" t="s">
        <v>74</v>
      </c>
      <c r="G1554" t="s">
        <v>24</v>
      </c>
      <c r="H1554" t="s">
        <v>25</v>
      </c>
      <c r="I1554" t="s">
        <v>39</v>
      </c>
      <c r="J1554" t="s">
        <v>48</v>
      </c>
    </row>
    <row r="1555" spans="1:10">
      <c r="A1555" t="s">
        <v>2611</v>
      </c>
      <c r="B1555" t="s">
        <v>2612</v>
      </c>
      <c r="C1555" t="s">
        <v>116</v>
      </c>
      <c r="D1555" t="s">
        <v>187</v>
      </c>
      <c r="E1555">
        <v>-64858</v>
      </c>
      <c r="F1555" t="s">
        <v>74</v>
      </c>
      <c r="G1555" t="s">
        <v>24</v>
      </c>
      <c r="H1555" t="s">
        <v>25</v>
      </c>
      <c r="I1555" t="s">
        <v>26</v>
      </c>
      <c r="J1555" t="s">
        <v>27</v>
      </c>
    </row>
    <row r="1556" spans="1:10">
      <c r="A1556" t="s">
        <v>2613</v>
      </c>
      <c r="B1556" t="s">
        <v>223</v>
      </c>
      <c r="C1556" t="s">
        <v>60</v>
      </c>
      <c r="D1556" t="s">
        <v>61</v>
      </c>
      <c r="E1556">
        <v>-62649</v>
      </c>
      <c r="F1556" t="s">
        <v>62</v>
      </c>
      <c r="G1556" t="s">
        <v>24</v>
      </c>
      <c r="H1556" t="s">
        <v>63</v>
      </c>
      <c r="I1556" t="s">
        <v>26</v>
      </c>
      <c r="J1556" t="s">
        <v>34</v>
      </c>
    </row>
    <row r="1557" spans="1:10">
      <c r="A1557" t="s">
        <v>2614</v>
      </c>
      <c r="B1557" t="s">
        <v>1971</v>
      </c>
      <c r="C1557" t="s">
        <v>129</v>
      </c>
      <c r="D1557" t="s">
        <v>38</v>
      </c>
      <c r="E1557">
        <v>-15368</v>
      </c>
      <c r="F1557" t="s">
        <v>23</v>
      </c>
      <c r="G1557" t="s">
        <v>32</v>
      </c>
      <c r="H1557" t="s">
        <v>33</v>
      </c>
      <c r="I1557" t="s">
        <v>39</v>
      </c>
      <c r="J1557" t="s">
        <v>40</v>
      </c>
    </row>
    <row r="1558" spans="1:10">
      <c r="A1558" t="s">
        <v>2615</v>
      </c>
      <c r="B1558" t="s">
        <v>2616</v>
      </c>
      <c r="C1558" t="s">
        <v>215</v>
      </c>
      <c r="D1558" t="s">
        <v>61</v>
      </c>
      <c r="E1558">
        <v>-38406</v>
      </c>
      <c r="F1558" t="s">
        <v>62</v>
      </c>
      <c r="G1558" t="s">
        <v>24</v>
      </c>
      <c r="H1558" t="s">
        <v>63</v>
      </c>
      <c r="I1558" t="s">
        <v>45</v>
      </c>
      <c r="J1558" t="s">
        <v>48</v>
      </c>
    </row>
    <row r="1559" spans="1:10">
      <c r="A1559" t="s">
        <v>2617</v>
      </c>
      <c r="B1559" t="s">
        <v>697</v>
      </c>
      <c r="C1559" t="s">
        <v>519</v>
      </c>
      <c r="D1559" t="s">
        <v>44</v>
      </c>
      <c r="E1559">
        <v>-110881</v>
      </c>
      <c r="F1559" t="s">
        <v>23</v>
      </c>
      <c r="G1559" t="s">
        <v>32</v>
      </c>
      <c r="H1559" t="s">
        <v>33</v>
      </c>
      <c r="I1559" t="s">
        <v>45</v>
      </c>
      <c r="J1559" t="s">
        <v>34</v>
      </c>
    </row>
    <row r="1560" spans="1:10">
      <c r="A1560" t="s">
        <v>2618</v>
      </c>
      <c r="B1560" t="s">
        <v>2619</v>
      </c>
      <c r="C1560" t="s">
        <v>166</v>
      </c>
      <c r="D1560" t="s">
        <v>31</v>
      </c>
      <c r="E1560">
        <v>-36384</v>
      </c>
      <c r="F1560" t="s">
        <v>23</v>
      </c>
      <c r="G1560" t="s">
        <v>24</v>
      </c>
      <c r="H1560" t="s">
        <v>33</v>
      </c>
      <c r="I1560" t="s">
        <v>26</v>
      </c>
      <c r="J1560" t="s">
        <v>27</v>
      </c>
    </row>
    <row r="1561" spans="1:10">
      <c r="A1561" t="s">
        <v>2620</v>
      </c>
      <c r="B1561" t="s">
        <v>147</v>
      </c>
      <c r="C1561" t="s">
        <v>69</v>
      </c>
      <c r="D1561" t="s">
        <v>38</v>
      </c>
      <c r="E1561">
        <v>-29001</v>
      </c>
      <c r="F1561" t="s">
        <v>23</v>
      </c>
      <c r="G1561" t="s">
        <v>32</v>
      </c>
      <c r="H1561" t="s">
        <v>33</v>
      </c>
      <c r="I1561" t="s">
        <v>26</v>
      </c>
      <c r="J1561" t="s">
        <v>27</v>
      </c>
    </row>
    <row r="1562" spans="1:10">
      <c r="A1562" t="s">
        <v>2621</v>
      </c>
      <c r="B1562" t="s">
        <v>2622</v>
      </c>
      <c r="C1562" t="s">
        <v>72</v>
      </c>
      <c r="D1562" t="s">
        <v>73</v>
      </c>
      <c r="E1562">
        <v>-56819</v>
      </c>
      <c r="F1562" t="s">
        <v>74</v>
      </c>
      <c r="G1562" t="s">
        <v>24</v>
      </c>
      <c r="H1562" t="s">
        <v>25</v>
      </c>
      <c r="I1562" t="s">
        <v>26</v>
      </c>
      <c r="J1562" t="s">
        <v>40</v>
      </c>
    </row>
    <row r="1563" spans="1:10">
      <c r="A1563" t="s">
        <v>2623</v>
      </c>
      <c r="B1563" t="s">
        <v>2624</v>
      </c>
      <c r="C1563" t="s">
        <v>255</v>
      </c>
      <c r="D1563" t="s">
        <v>22</v>
      </c>
      <c r="E1563">
        <v>-68465</v>
      </c>
      <c r="F1563" t="s">
        <v>23</v>
      </c>
      <c r="G1563" t="s">
        <v>32</v>
      </c>
      <c r="H1563" t="s">
        <v>25</v>
      </c>
      <c r="I1563" t="s">
        <v>26</v>
      </c>
      <c r="J1563" t="s">
        <v>48</v>
      </c>
    </row>
    <row r="1564" spans="1:10">
      <c r="A1564" t="s">
        <v>2625</v>
      </c>
      <c r="B1564" t="s">
        <v>2626</v>
      </c>
      <c r="C1564" t="s">
        <v>215</v>
      </c>
      <c r="E1564">
        <v>-57168</v>
      </c>
      <c r="F1564" t="s">
        <v>62</v>
      </c>
      <c r="G1564" t="s">
        <v>24</v>
      </c>
      <c r="H1564" t="s">
        <v>63</v>
      </c>
      <c r="I1564" t="s">
        <v>26</v>
      </c>
      <c r="J1564" t="s">
        <v>48</v>
      </c>
    </row>
    <row r="1565" spans="1:10">
      <c r="A1565" t="s">
        <v>2627</v>
      </c>
      <c r="B1565" t="s">
        <v>599</v>
      </c>
      <c r="C1565" t="s">
        <v>69</v>
      </c>
      <c r="D1565" t="s">
        <v>38</v>
      </c>
      <c r="E1565">
        <v>-31966</v>
      </c>
      <c r="F1565" t="s">
        <v>23</v>
      </c>
      <c r="G1565" t="s">
        <v>24</v>
      </c>
      <c r="H1565" t="s">
        <v>33</v>
      </c>
      <c r="I1565" t="s">
        <v>45</v>
      </c>
      <c r="J1565" t="s">
        <v>48</v>
      </c>
    </row>
    <row r="1566" spans="1:10">
      <c r="A1566" t="s">
        <v>2628</v>
      </c>
      <c r="B1566" t="s">
        <v>1413</v>
      </c>
      <c r="C1566" t="s">
        <v>66</v>
      </c>
      <c r="D1566" t="s">
        <v>61</v>
      </c>
      <c r="E1566">
        <v>-17069</v>
      </c>
      <c r="F1566" t="s">
        <v>62</v>
      </c>
      <c r="G1566" t="s">
        <v>24</v>
      </c>
      <c r="H1566" t="s">
        <v>63</v>
      </c>
      <c r="I1566" t="s">
        <v>45</v>
      </c>
      <c r="J1566" t="s">
        <v>27</v>
      </c>
    </row>
    <row r="1567" spans="1:10">
      <c r="A1567" t="s">
        <v>2629</v>
      </c>
      <c r="B1567" t="s">
        <v>342</v>
      </c>
      <c r="C1567" t="s">
        <v>984</v>
      </c>
      <c r="D1567" t="s">
        <v>73</v>
      </c>
      <c r="E1567">
        <v>-80551</v>
      </c>
      <c r="F1567" t="s">
        <v>74</v>
      </c>
      <c r="G1567" t="s">
        <v>32</v>
      </c>
      <c r="H1567" t="s">
        <v>25</v>
      </c>
      <c r="I1567" t="s">
        <v>26</v>
      </c>
      <c r="J1567" t="s">
        <v>48</v>
      </c>
    </row>
    <row r="1568" spans="1:10">
      <c r="A1568" t="s">
        <v>2630</v>
      </c>
      <c r="B1568" t="s">
        <v>2122</v>
      </c>
      <c r="C1568" t="s">
        <v>1481</v>
      </c>
      <c r="D1568" t="s">
        <v>22</v>
      </c>
      <c r="E1568">
        <v>-139096</v>
      </c>
      <c r="F1568" t="s">
        <v>23</v>
      </c>
      <c r="G1568" t="s">
        <v>24</v>
      </c>
      <c r="H1568" t="s">
        <v>25</v>
      </c>
      <c r="I1568" t="s">
        <v>39</v>
      </c>
      <c r="J1568" t="s">
        <v>40</v>
      </c>
    </row>
    <row r="1569" spans="1:10">
      <c r="A1569" t="s">
        <v>2631</v>
      </c>
      <c r="B1569" t="s">
        <v>1895</v>
      </c>
      <c r="C1569" t="s">
        <v>212</v>
      </c>
      <c r="D1569" t="s">
        <v>73</v>
      </c>
      <c r="E1569">
        <v>-19695</v>
      </c>
      <c r="F1569" t="s">
        <v>74</v>
      </c>
      <c r="G1569" t="s">
        <v>24</v>
      </c>
      <c r="H1569" t="s">
        <v>25</v>
      </c>
      <c r="I1569" t="s">
        <v>45</v>
      </c>
      <c r="J1569" t="s">
        <v>40</v>
      </c>
    </row>
    <row r="1570" spans="1:10">
      <c r="A1570" t="s">
        <v>2632</v>
      </c>
      <c r="B1570" t="s">
        <v>1230</v>
      </c>
      <c r="C1570" t="s">
        <v>30</v>
      </c>
      <c r="D1570" t="s">
        <v>31</v>
      </c>
      <c r="E1570">
        <v>-17584</v>
      </c>
      <c r="F1570" t="s">
        <v>23</v>
      </c>
      <c r="G1570" t="s">
        <v>24</v>
      </c>
      <c r="H1570" t="s">
        <v>33</v>
      </c>
      <c r="I1570" t="s">
        <v>26</v>
      </c>
      <c r="J1570" t="s">
        <v>34</v>
      </c>
    </row>
    <row r="1571" spans="1:10">
      <c r="A1571" t="s">
        <v>2633</v>
      </c>
      <c r="B1571" t="s">
        <v>2634</v>
      </c>
      <c r="C1571" t="s">
        <v>169</v>
      </c>
      <c r="D1571" t="s">
        <v>73</v>
      </c>
      <c r="E1571">
        <v>-31672</v>
      </c>
      <c r="F1571" t="s">
        <v>74</v>
      </c>
      <c r="G1571" t="s">
        <v>32</v>
      </c>
      <c r="H1571" t="s">
        <v>25</v>
      </c>
      <c r="I1571" t="s">
        <v>39</v>
      </c>
      <c r="J1571" t="s">
        <v>40</v>
      </c>
    </row>
    <row r="1572" spans="1:10">
      <c r="A1572" t="s">
        <v>2635</v>
      </c>
      <c r="B1572" t="s">
        <v>727</v>
      </c>
      <c r="C1572" t="s">
        <v>84</v>
      </c>
      <c r="D1572" t="s">
        <v>78</v>
      </c>
      <c r="E1572">
        <v>-26955</v>
      </c>
      <c r="F1572" t="s">
        <v>23</v>
      </c>
      <c r="G1572" t="s">
        <v>24</v>
      </c>
      <c r="H1572" t="s">
        <v>79</v>
      </c>
      <c r="I1572" t="s">
        <v>26</v>
      </c>
      <c r="J1572" t="s">
        <v>40</v>
      </c>
    </row>
    <row r="1573" spans="1:10">
      <c r="A1573" t="s">
        <v>2636</v>
      </c>
      <c r="B1573" t="s">
        <v>2637</v>
      </c>
      <c r="C1573" t="s">
        <v>218</v>
      </c>
      <c r="D1573" t="s">
        <v>157</v>
      </c>
      <c r="E1573">
        <v>602028</v>
      </c>
      <c r="F1573" t="s">
        <v>62</v>
      </c>
      <c r="G1573" t="s">
        <v>32</v>
      </c>
      <c r="H1573" t="s">
        <v>25</v>
      </c>
      <c r="I1573" t="s">
        <v>26</v>
      </c>
      <c r="J1573" t="s">
        <v>48</v>
      </c>
    </row>
    <row r="1574" spans="1:10">
      <c r="A1574" t="s">
        <v>2638</v>
      </c>
      <c r="B1574" t="s">
        <v>2639</v>
      </c>
      <c r="C1574" t="s">
        <v>30</v>
      </c>
      <c r="D1574" t="s">
        <v>31</v>
      </c>
      <c r="E1574">
        <v>-4179</v>
      </c>
      <c r="F1574" t="s">
        <v>23</v>
      </c>
      <c r="G1574" t="s">
        <v>32</v>
      </c>
      <c r="H1574" t="s">
        <v>33</v>
      </c>
      <c r="I1574" t="s">
        <v>45</v>
      </c>
      <c r="J1574" t="s">
        <v>27</v>
      </c>
    </row>
    <row r="1575" spans="1:10">
      <c r="A1575" t="s">
        <v>2640</v>
      </c>
      <c r="B1575" t="s">
        <v>2211</v>
      </c>
      <c r="C1575" t="s">
        <v>132</v>
      </c>
      <c r="D1575" t="s">
        <v>73</v>
      </c>
      <c r="E1575">
        <v>-60617</v>
      </c>
      <c r="F1575" t="s">
        <v>74</v>
      </c>
      <c r="G1575" t="s">
        <v>32</v>
      </c>
      <c r="H1575" t="s">
        <v>25</v>
      </c>
      <c r="I1575" t="s">
        <v>45</v>
      </c>
      <c r="J1575" t="s">
        <v>48</v>
      </c>
    </row>
    <row r="1576" spans="1:10">
      <c r="A1576" t="s">
        <v>2641</v>
      </c>
      <c r="B1576" t="s">
        <v>2642</v>
      </c>
      <c r="C1576" t="s">
        <v>266</v>
      </c>
      <c r="D1576" t="s">
        <v>302</v>
      </c>
      <c r="E1576">
        <v>-51758</v>
      </c>
      <c r="F1576" t="s">
        <v>74</v>
      </c>
      <c r="G1576" t="s">
        <v>24</v>
      </c>
      <c r="H1576" t="s">
        <v>25</v>
      </c>
      <c r="I1576" t="s">
        <v>26</v>
      </c>
      <c r="J1576" t="s">
        <v>27</v>
      </c>
    </row>
    <row r="1577" spans="1:10">
      <c r="A1577" t="s">
        <v>2643</v>
      </c>
      <c r="B1577" t="s">
        <v>2644</v>
      </c>
      <c r="C1577" t="s">
        <v>43</v>
      </c>
      <c r="D1577" t="s">
        <v>44</v>
      </c>
      <c r="E1577">
        <v>-151019</v>
      </c>
      <c r="F1577" t="s">
        <v>23</v>
      </c>
      <c r="G1577" t="s">
        <v>24</v>
      </c>
      <c r="H1577" t="s">
        <v>33</v>
      </c>
      <c r="I1577" t="s">
        <v>26</v>
      </c>
      <c r="J1577" t="s">
        <v>27</v>
      </c>
    </row>
    <row r="1578" spans="1:10">
      <c r="A1578" t="s">
        <v>2645</v>
      </c>
      <c r="B1578" t="s">
        <v>2646</v>
      </c>
      <c r="C1578" t="s">
        <v>271</v>
      </c>
      <c r="D1578" t="s">
        <v>302</v>
      </c>
      <c r="E1578">
        <v>-43936</v>
      </c>
      <c r="F1578" t="s">
        <v>74</v>
      </c>
      <c r="G1578" t="s">
        <v>24</v>
      </c>
      <c r="H1578" t="s">
        <v>25</v>
      </c>
      <c r="I1578" t="s">
        <v>45</v>
      </c>
      <c r="J1578" t="s">
        <v>48</v>
      </c>
    </row>
    <row r="1579" spans="1:10">
      <c r="A1579" t="s">
        <v>2647</v>
      </c>
      <c r="B1579" t="s">
        <v>2367</v>
      </c>
      <c r="C1579" t="s">
        <v>2229</v>
      </c>
      <c r="D1579" t="s">
        <v>61</v>
      </c>
      <c r="E1579">
        <v>-38171</v>
      </c>
      <c r="F1579" t="s">
        <v>62</v>
      </c>
      <c r="G1579" t="s">
        <v>32</v>
      </c>
      <c r="H1579" t="s">
        <v>63</v>
      </c>
      <c r="I1579" t="s">
        <v>45</v>
      </c>
      <c r="J1579" t="s">
        <v>34</v>
      </c>
    </row>
    <row r="1580" spans="1:10">
      <c r="A1580" t="s">
        <v>2648</v>
      </c>
      <c r="B1580" t="s">
        <v>330</v>
      </c>
      <c r="C1580" t="s">
        <v>687</v>
      </c>
      <c r="D1580" t="s">
        <v>465</v>
      </c>
      <c r="E1580">
        <v>-171496</v>
      </c>
      <c r="F1580" t="s">
        <v>23</v>
      </c>
      <c r="G1580" t="s">
        <v>32</v>
      </c>
      <c r="H1580" t="s">
        <v>33</v>
      </c>
      <c r="I1580" t="s">
        <v>45</v>
      </c>
      <c r="J1580" t="s">
        <v>40</v>
      </c>
    </row>
    <row r="1581" spans="1:10">
      <c r="A1581" t="s">
        <v>2649</v>
      </c>
      <c r="B1581" t="s">
        <v>2650</v>
      </c>
      <c r="C1581" t="s">
        <v>305</v>
      </c>
      <c r="D1581" t="s">
        <v>38</v>
      </c>
      <c r="E1581">
        <v>-31607</v>
      </c>
      <c r="F1581" t="s">
        <v>23</v>
      </c>
      <c r="G1581" t="s">
        <v>32</v>
      </c>
      <c r="H1581" t="s">
        <v>33</v>
      </c>
      <c r="I1581" t="s">
        <v>26</v>
      </c>
      <c r="J1581" t="s">
        <v>40</v>
      </c>
    </row>
    <row r="1582" spans="1:10">
      <c r="A1582" t="s">
        <v>2651</v>
      </c>
      <c r="B1582" t="s">
        <v>2652</v>
      </c>
      <c r="C1582" t="s">
        <v>180</v>
      </c>
      <c r="D1582" t="s">
        <v>248</v>
      </c>
      <c r="E1582">
        <v>-76939</v>
      </c>
      <c r="F1582" t="s">
        <v>23</v>
      </c>
      <c r="G1582" t="s">
        <v>32</v>
      </c>
      <c r="H1582" t="s">
        <v>33</v>
      </c>
      <c r="I1582" t="s">
        <v>26</v>
      </c>
      <c r="J1582" t="s">
        <v>34</v>
      </c>
    </row>
    <row r="1583" spans="1:10">
      <c r="A1583" t="s">
        <v>2653</v>
      </c>
      <c r="B1583" t="s">
        <v>2654</v>
      </c>
      <c r="C1583" t="s">
        <v>60</v>
      </c>
      <c r="D1583" t="s">
        <v>61</v>
      </c>
      <c r="E1583">
        <v>-40620</v>
      </c>
      <c r="F1583" t="s">
        <v>62</v>
      </c>
      <c r="G1583" t="s">
        <v>32</v>
      </c>
      <c r="H1583" t="s">
        <v>63</v>
      </c>
      <c r="I1583" t="s">
        <v>26</v>
      </c>
      <c r="J1583" t="s">
        <v>34</v>
      </c>
    </row>
    <row r="1584" spans="1:10">
      <c r="A1584" t="s">
        <v>2655</v>
      </c>
      <c r="B1584" t="s">
        <v>2656</v>
      </c>
      <c r="C1584" t="s">
        <v>174</v>
      </c>
      <c r="D1584" t="s">
        <v>22</v>
      </c>
      <c r="E1584">
        <v>-208004</v>
      </c>
      <c r="F1584" t="s">
        <v>23</v>
      </c>
      <c r="G1584" t="s">
        <v>32</v>
      </c>
      <c r="H1584" t="s">
        <v>25</v>
      </c>
      <c r="I1584" t="s">
        <v>45</v>
      </c>
      <c r="J1584" t="s">
        <v>27</v>
      </c>
    </row>
    <row r="1585" spans="1:10">
      <c r="A1585" t="s">
        <v>2657</v>
      </c>
      <c r="B1585" t="s">
        <v>2658</v>
      </c>
      <c r="C1585" t="s">
        <v>935</v>
      </c>
      <c r="D1585" t="s">
        <v>22</v>
      </c>
      <c r="E1585">
        <v>-37144</v>
      </c>
      <c r="F1585" t="s">
        <v>23</v>
      </c>
      <c r="G1585" t="s">
        <v>32</v>
      </c>
      <c r="H1585" t="s">
        <v>25</v>
      </c>
      <c r="I1585" t="s">
        <v>26</v>
      </c>
      <c r="J1585" t="s">
        <v>40</v>
      </c>
    </row>
    <row r="1586" spans="1:10">
      <c r="A1586" t="s">
        <v>2659</v>
      </c>
      <c r="B1586" t="s">
        <v>81</v>
      </c>
      <c r="C1586" t="s">
        <v>72</v>
      </c>
      <c r="D1586" t="s">
        <v>73</v>
      </c>
      <c r="E1586">
        <v>-8996</v>
      </c>
      <c r="F1586" t="s">
        <v>74</v>
      </c>
      <c r="G1586" t="s">
        <v>32</v>
      </c>
      <c r="H1586" t="s">
        <v>25</v>
      </c>
      <c r="I1586" t="s">
        <v>39</v>
      </c>
      <c r="J1586" t="s">
        <v>34</v>
      </c>
    </row>
    <row r="1587" spans="1:10">
      <c r="A1587" t="s">
        <v>2660</v>
      </c>
      <c r="B1587" t="s">
        <v>2198</v>
      </c>
      <c r="C1587" t="s">
        <v>439</v>
      </c>
      <c r="D1587" t="s">
        <v>440</v>
      </c>
      <c r="E1587">
        <v>-126949</v>
      </c>
      <c r="F1587" t="s">
        <v>23</v>
      </c>
      <c r="G1587" t="s">
        <v>32</v>
      </c>
      <c r="H1587" t="s">
        <v>33</v>
      </c>
      <c r="I1587" t="s">
        <v>39</v>
      </c>
      <c r="J1587" t="s">
        <v>40</v>
      </c>
    </row>
    <row r="1588" spans="1:10">
      <c r="A1588" t="s">
        <v>2661</v>
      </c>
      <c r="B1588" t="s">
        <v>2662</v>
      </c>
      <c r="C1588" t="s">
        <v>212</v>
      </c>
      <c r="D1588" t="s">
        <v>111</v>
      </c>
      <c r="E1588">
        <v>-64139</v>
      </c>
      <c r="F1588" t="s">
        <v>74</v>
      </c>
      <c r="G1588" t="s">
        <v>24</v>
      </c>
      <c r="H1588" t="s">
        <v>25</v>
      </c>
      <c r="I1588" t="s">
        <v>26</v>
      </c>
      <c r="J1588" t="s">
        <v>48</v>
      </c>
    </row>
    <row r="1589" spans="1:10">
      <c r="A1589" t="s">
        <v>2663</v>
      </c>
      <c r="B1589" t="s">
        <v>2664</v>
      </c>
      <c r="C1589" t="s">
        <v>90</v>
      </c>
      <c r="D1589" t="s">
        <v>73</v>
      </c>
      <c r="E1589">
        <v>-47755</v>
      </c>
      <c r="F1589" t="s">
        <v>74</v>
      </c>
      <c r="G1589" t="s">
        <v>24</v>
      </c>
      <c r="H1589" t="s">
        <v>25</v>
      </c>
      <c r="I1589" t="s">
        <v>39</v>
      </c>
      <c r="J1589" t="s">
        <v>27</v>
      </c>
    </row>
    <row r="1590" spans="1:10">
      <c r="A1590" t="s">
        <v>2665</v>
      </c>
      <c r="B1590" t="s">
        <v>2666</v>
      </c>
      <c r="C1590" t="s">
        <v>72</v>
      </c>
      <c r="D1590" t="s">
        <v>73</v>
      </c>
      <c r="E1590">
        <v>-35370</v>
      </c>
      <c r="F1590" t="s">
        <v>74</v>
      </c>
      <c r="G1590" t="s">
        <v>32</v>
      </c>
      <c r="H1590" t="s">
        <v>25</v>
      </c>
      <c r="I1590" t="s">
        <v>45</v>
      </c>
      <c r="J1590" t="s">
        <v>40</v>
      </c>
    </row>
    <row r="1591" spans="1:10">
      <c r="A1591" t="s">
        <v>2667</v>
      </c>
      <c r="B1591" t="s">
        <v>518</v>
      </c>
      <c r="C1591" t="s">
        <v>766</v>
      </c>
      <c r="D1591" t="s">
        <v>187</v>
      </c>
      <c r="E1591">
        <v>-51970</v>
      </c>
      <c r="F1591" t="s">
        <v>74</v>
      </c>
      <c r="G1591" t="s">
        <v>32</v>
      </c>
      <c r="H1591" t="s">
        <v>25</v>
      </c>
      <c r="I1591" t="s">
        <v>39</v>
      </c>
      <c r="J1591" t="s">
        <v>40</v>
      </c>
    </row>
    <row r="1592" spans="1:10">
      <c r="A1592" t="s">
        <v>2668</v>
      </c>
      <c r="B1592" t="s">
        <v>1297</v>
      </c>
      <c r="C1592" t="s">
        <v>274</v>
      </c>
      <c r="D1592" t="s">
        <v>1001</v>
      </c>
      <c r="E1592">
        <v>-67165</v>
      </c>
      <c r="F1592" t="s">
        <v>23</v>
      </c>
      <c r="G1592" t="s">
        <v>32</v>
      </c>
      <c r="H1592" t="s">
        <v>79</v>
      </c>
      <c r="I1592" t="s">
        <v>39</v>
      </c>
      <c r="J1592" t="s">
        <v>34</v>
      </c>
    </row>
    <row r="1593" spans="1:10">
      <c r="A1593" t="s">
        <v>2669</v>
      </c>
      <c r="B1593" t="s">
        <v>684</v>
      </c>
      <c r="C1593" t="s">
        <v>60</v>
      </c>
      <c r="D1593" t="s">
        <v>61</v>
      </c>
      <c r="E1593">
        <v>-41933</v>
      </c>
      <c r="F1593" t="s">
        <v>62</v>
      </c>
      <c r="G1593" t="s">
        <v>24</v>
      </c>
      <c r="H1593" t="s">
        <v>63</v>
      </c>
      <c r="I1593" t="s">
        <v>39</v>
      </c>
      <c r="J1593" t="s">
        <v>27</v>
      </c>
    </row>
    <row r="1594" spans="1:10">
      <c r="A1594" t="s">
        <v>2670</v>
      </c>
      <c r="B1594" t="s">
        <v>559</v>
      </c>
      <c r="C1594" t="s">
        <v>90</v>
      </c>
      <c r="D1594" t="s">
        <v>73</v>
      </c>
      <c r="E1594">
        <v>-87513</v>
      </c>
      <c r="F1594" t="s">
        <v>74</v>
      </c>
      <c r="G1594" t="s">
        <v>32</v>
      </c>
      <c r="H1594" t="s">
        <v>25</v>
      </c>
      <c r="I1594" t="s">
        <v>45</v>
      </c>
      <c r="J1594" t="s">
        <v>48</v>
      </c>
    </row>
    <row r="1595" spans="1:10">
      <c r="A1595" t="s">
        <v>2671</v>
      </c>
      <c r="B1595" t="s">
        <v>289</v>
      </c>
      <c r="C1595" t="s">
        <v>1534</v>
      </c>
      <c r="D1595" t="s">
        <v>73</v>
      </c>
      <c r="E1595">
        <v>-91479</v>
      </c>
      <c r="F1595" t="s">
        <v>74</v>
      </c>
      <c r="G1595" t="s">
        <v>24</v>
      </c>
      <c r="H1595" t="s">
        <v>25</v>
      </c>
      <c r="I1595" t="s">
        <v>45</v>
      </c>
      <c r="J1595" t="s">
        <v>40</v>
      </c>
    </row>
    <row r="1596" spans="1:10">
      <c r="A1596" t="s">
        <v>2672</v>
      </c>
      <c r="B1596" t="s">
        <v>1905</v>
      </c>
      <c r="C1596" t="s">
        <v>119</v>
      </c>
      <c r="D1596" t="s">
        <v>73</v>
      </c>
      <c r="E1596">
        <v>-67472</v>
      </c>
      <c r="F1596" t="s">
        <v>74</v>
      </c>
      <c r="G1596" t="s">
        <v>24</v>
      </c>
      <c r="H1596" t="s">
        <v>25</v>
      </c>
      <c r="I1596" t="s">
        <v>26</v>
      </c>
      <c r="J1596" t="s">
        <v>48</v>
      </c>
    </row>
    <row r="1597" spans="1:10">
      <c r="A1597" t="s">
        <v>2673</v>
      </c>
      <c r="B1597" t="s">
        <v>2674</v>
      </c>
      <c r="C1597" t="s">
        <v>290</v>
      </c>
      <c r="D1597" t="s">
        <v>440</v>
      </c>
      <c r="E1597">
        <v>-111081</v>
      </c>
      <c r="F1597" t="s">
        <v>23</v>
      </c>
      <c r="G1597" t="s">
        <v>24</v>
      </c>
      <c r="H1597" t="s">
        <v>33</v>
      </c>
      <c r="I1597" t="s">
        <v>45</v>
      </c>
      <c r="J1597" t="s">
        <v>27</v>
      </c>
    </row>
    <row r="1598" spans="1:10">
      <c r="A1598" t="s">
        <v>2675</v>
      </c>
      <c r="B1598" t="s">
        <v>733</v>
      </c>
      <c r="C1598" t="s">
        <v>66</v>
      </c>
      <c r="D1598" t="s">
        <v>61</v>
      </c>
      <c r="E1598">
        <v>-64709</v>
      </c>
      <c r="F1598" t="s">
        <v>62</v>
      </c>
      <c r="G1598" t="s">
        <v>32</v>
      </c>
      <c r="H1598" t="s">
        <v>63</v>
      </c>
      <c r="I1598" t="s">
        <v>26</v>
      </c>
      <c r="J1598" t="s">
        <v>48</v>
      </c>
    </row>
    <row r="1599" spans="1:10">
      <c r="A1599" t="s">
        <v>2676</v>
      </c>
      <c r="B1599" t="s">
        <v>1645</v>
      </c>
      <c r="C1599" t="s">
        <v>519</v>
      </c>
      <c r="D1599" t="s">
        <v>44</v>
      </c>
      <c r="E1599">
        <v>-106703</v>
      </c>
      <c r="F1599" t="s">
        <v>23</v>
      </c>
      <c r="G1599" t="s">
        <v>32</v>
      </c>
      <c r="H1599" t="s">
        <v>33</v>
      </c>
      <c r="I1599" t="s">
        <v>26</v>
      </c>
      <c r="J1599" t="s">
        <v>40</v>
      </c>
    </row>
    <row r="1600" spans="1:10">
      <c r="A1600" t="s">
        <v>2677</v>
      </c>
      <c r="B1600" t="s">
        <v>2678</v>
      </c>
      <c r="C1600" t="s">
        <v>100</v>
      </c>
      <c r="D1600" t="s">
        <v>31</v>
      </c>
      <c r="E1600">
        <v>-28140</v>
      </c>
      <c r="F1600" t="s">
        <v>23</v>
      </c>
      <c r="G1600" t="s">
        <v>24</v>
      </c>
      <c r="H1600" t="s">
        <v>33</v>
      </c>
      <c r="I1600" t="s">
        <v>39</v>
      </c>
      <c r="J1600" t="s">
        <v>34</v>
      </c>
    </row>
    <row r="1601" spans="1:10">
      <c r="A1601" t="s">
        <v>2679</v>
      </c>
      <c r="B1601" t="s">
        <v>1435</v>
      </c>
      <c r="C1601" t="s">
        <v>129</v>
      </c>
      <c r="D1601" t="s">
        <v>38</v>
      </c>
      <c r="E1601">
        <v>-19297</v>
      </c>
      <c r="F1601" t="s">
        <v>23</v>
      </c>
      <c r="G1601" t="s">
        <v>24</v>
      </c>
      <c r="H1601" t="s">
        <v>33</v>
      </c>
      <c r="I1601" t="s">
        <v>45</v>
      </c>
      <c r="J1601" t="s">
        <v>48</v>
      </c>
    </row>
    <row r="1602" spans="1:10">
      <c r="A1602" t="s">
        <v>2680</v>
      </c>
      <c r="B1602" t="s">
        <v>2464</v>
      </c>
      <c r="C1602" t="s">
        <v>271</v>
      </c>
      <c r="D1602" t="s">
        <v>73</v>
      </c>
      <c r="E1602">
        <v>-44745</v>
      </c>
      <c r="F1602" t="s">
        <v>74</v>
      </c>
      <c r="G1602" t="s">
        <v>32</v>
      </c>
      <c r="H1602" t="s">
        <v>25</v>
      </c>
      <c r="I1602" t="s">
        <v>26</v>
      </c>
      <c r="J1602" t="s">
        <v>40</v>
      </c>
    </row>
    <row r="1603" spans="1:10">
      <c r="A1603" t="s">
        <v>2681</v>
      </c>
      <c r="B1603" t="s">
        <v>1539</v>
      </c>
      <c r="C1603" t="s">
        <v>533</v>
      </c>
      <c r="D1603" t="s">
        <v>61</v>
      </c>
      <c r="E1603">
        <v>-13720</v>
      </c>
      <c r="F1603" t="s">
        <v>62</v>
      </c>
      <c r="G1603" t="s">
        <v>32</v>
      </c>
      <c r="H1603" t="s">
        <v>63</v>
      </c>
      <c r="I1603" t="s">
        <v>39</v>
      </c>
      <c r="J1603" t="s">
        <v>34</v>
      </c>
    </row>
    <row r="1604" spans="1:10">
      <c r="A1604" t="s">
        <v>2682</v>
      </c>
      <c r="B1604" t="s">
        <v>92</v>
      </c>
      <c r="C1604" t="s">
        <v>116</v>
      </c>
      <c r="D1604" t="s">
        <v>73</v>
      </c>
      <c r="E1604">
        <v>-26791</v>
      </c>
      <c r="F1604" t="s">
        <v>74</v>
      </c>
      <c r="G1604" t="s">
        <v>32</v>
      </c>
      <c r="H1604" t="s">
        <v>25</v>
      </c>
      <c r="I1604" t="s">
        <v>26</v>
      </c>
      <c r="J1604" t="s">
        <v>27</v>
      </c>
    </row>
    <row r="1605" spans="1:10">
      <c r="A1605" t="s">
        <v>2683</v>
      </c>
      <c r="B1605" t="s">
        <v>2684</v>
      </c>
      <c r="C1605" t="s">
        <v>43</v>
      </c>
      <c r="D1605" t="s">
        <v>248</v>
      </c>
      <c r="E1605">
        <v>-98876</v>
      </c>
      <c r="F1605" t="s">
        <v>23</v>
      </c>
      <c r="G1605" t="s">
        <v>32</v>
      </c>
      <c r="H1605" t="s">
        <v>33</v>
      </c>
      <c r="I1605" t="s">
        <v>26</v>
      </c>
      <c r="J1605" t="s">
        <v>48</v>
      </c>
    </row>
    <row r="1606" spans="1:10">
      <c r="A1606" t="s">
        <v>2685</v>
      </c>
      <c r="B1606" t="s">
        <v>199</v>
      </c>
      <c r="C1606" t="s">
        <v>339</v>
      </c>
      <c r="D1606" t="s">
        <v>157</v>
      </c>
      <c r="E1606">
        <v>496644</v>
      </c>
      <c r="F1606" t="s">
        <v>62</v>
      </c>
      <c r="G1606" t="s">
        <v>32</v>
      </c>
      <c r="H1606" t="s">
        <v>25</v>
      </c>
      <c r="I1606" t="s">
        <v>26</v>
      </c>
      <c r="J1606" t="s">
        <v>34</v>
      </c>
    </row>
    <row r="1607" spans="1:10">
      <c r="A1607" t="s">
        <v>2686</v>
      </c>
      <c r="B1607" t="s">
        <v>1212</v>
      </c>
      <c r="C1607" t="s">
        <v>169</v>
      </c>
      <c r="D1607" t="s">
        <v>302</v>
      </c>
      <c r="E1607">
        <v>-29551</v>
      </c>
      <c r="F1607" t="s">
        <v>74</v>
      </c>
      <c r="G1607" t="s">
        <v>24</v>
      </c>
      <c r="H1607" t="s">
        <v>25</v>
      </c>
      <c r="I1607" t="s">
        <v>39</v>
      </c>
      <c r="J1607" t="s">
        <v>34</v>
      </c>
    </row>
    <row r="1608" spans="1:10">
      <c r="A1608" t="s">
        <v>2687</v>
      </c>
      <c r="B1608" t="s">
        <v>1121</v>
      </c>
      <c r="C1608" t="s">
        <v>60</v>
      </c>
      <c r="D1608" t="s">
        <v>61</v>
      </c>
      <c r="E1608">
        <v>-57427</v>
      </c>
      <c r="F1608" t="s">
        <v>62</v>
      </c>
      <c r="G1608" t="s">
        <v>32</v>
      </c>
      <c r="H1608" t="s">
        <v>63</v>
      </c>
      <c r="I1608" t="s">
        <v>26</v>
      </c>
      <c r="J1608" t="s">
        <v>40</v>
      </c>
    </row>
    <row r="1609" spans="1:10">
      <c r="A1609" t="s">
        <v>2688</v>
      </c>
      <c r="B1609" t="s">
        <v>998</v>
      </c>
      <c r="C1609" t="s">
        <v>66</v>
      </c>
      <c r="D1609" t="s">
        <v>61</v>
      </c>
      <c r="E1609">
        <v>-23122</v>
      </c>
      <c r="F1609" t="s">
        <v>62</v>
      </c>
      <c r="G1609" t="s">
        <v>32</v>
      </c>
      <c r="H1609" t="s">
        <v>63</v>
      </c>
      <c r="I1609" t="s">
        <v>39</v>
      </c>
      <c r="J1609" t="s">
        <v>40</v>
      </c>
    </row>
    <row r="1610" spans="1:10">
      <c r="A1610" t="s">
        <v>2689</v>
      </c>
      <c r="B1610" t="s">
        <v>831</v>
      </c>
      <c r="C1610" t="s">
        <v>305</v>
      </c>
      <c r="D1610" t="s">
        <v>38</v>
      </c>
      <c r="E1610">
        <v>-46292</v>
      </c>
      <c r="F1610" t="s">
        <v>23</v>
      </c>
      <c r="G1610" t="s">
        <v>24</v>
      </c>
      <c r="H1610" t="s">
        <v>33</v>
      </c>
      <c r="I1610" t="s">
        <v>26</v>
      </c>
      <c r="J1610" t="s">
        <v>27</v>
      </c>
    </row>
    <row r="1611" spans="1:10">
      <c r="A1611" t="s">
        <v>2690</v>
      </c>
      <c r="B1611" t="s">
        <v>2691</v>
      </c>
      <c r="C1611" t="s">
        <v>116</v>
      </c>
      <c r="D1611" t="s">
        <v>73</v>
      </c>
      <c r="E1611">
        <v>-87118</v>
      </c>
      <c r="F1611" t="s">
        <v>74</v>
      </c>
      <c r="G1611" t="s">
        <v>24</v>
      </c>
      <c r="H1611" t="s">
        <v>25</v>
      </c>
      <c r="I1611" t="s">
        <v>39</v>
      </c>
      <c r="J1611" t="s">
        <v>27</v>
      </c>
    </row>
    <row r="1612" spans="1:10">
      <c r="A1612" t="s">
        <v>2692</v>
      </c>
      <c r="B1612" t="s">
        <v>2126</v>
      </c>
      <c r="C1612" t="s">
        <v>60</v>
      </c>
      <c r="D1612" t="s">
        <v>61</v>
      </c>
      <c r="E1612">
        <v>-31555</v>
      </c>
      <c r="F1612" t="s">
        <v>62</v>
      </c>
      <c r="G1612" t="s">
        <v>24</v>
      </c>
      <c r="H1612" t="s">
        <v>63</v>
      </c>
      <c r="I1612" t="s">
        <v>26</v>
      </c>
      <c r="J1612" t="s">
        <v>40</v>
      </c>
    </row>
    <row r="1613" spans="1:10">
      <c r="A1613" t="s">
        <v>2693</v>
      </c>
      <c r="B1613" t="s">
        <v>1096</v>
      </c>
      <c r="C1613" t="s">
        <v>687</v>
      </c>
      <c r="D1613" t="s">
        <v>44</v>
      </c>
      <c r="E1613">
        <v>-174649</v>
      </c>
      <c r="F1613" t="s">
        <v>23</v>
      </c>
      <c r="G1613" t="s">
        <v>32</v>
      </c>
      <c r="H1613" t="s">
        <v>33</v>
      </c>
      <c r="I1613" t="s">
        <v>26</v>
      </c>
      <c r="J1613" t="s">
        <v>27</v>
      </c>
    </row>
    <row r="1614" spans="1:10">
      <c r="A1614" t="s">
        <v>2694</v>
      </c>
      <c r="B1614" t="s">
        <v>347</v>
      </c>
      <c r="C1614" t="s">
        <v>77</v>
      </c>
      <c r="D1614" t="s">
        <v>78</v>
      </c>
      <c r="E1614">
        <v>-76165</v>
      </c>
      <c r="F1614" t="s">
        <v>23</v>
      </c>
      <c r="G1614" t="s">
        <v>32</v>
      </c>
      <c r="H1614" t="s">
        <v>79</v>
      </c>
      <c r="I1614" t="s">
        <v>39</v>
      </c>
      <c r="J1614" t="s">
        <v>27</v>
      </c>
    </row>
    <row r="1615" spans="1:10">
      <c r="A1615" t="s">
        <v>2695</v>
      </c>
      <c r="B1615" t="s">
        <v>790</v>
      </c>
      <c r="C1615" t="s">
        <v>54</v>
      </c>
      <c r="D1615" t="s">
        <v>38</v>
      </c>
      <c r="E1615">
        <v>-20973</v>
      </c>
      <c r="F1615" t="s">
        <v>23</v>
      </c>
      <c r="G1615" t="s">
        <v>24</v>
      </c>
      <c r="H1615" t="s">
        <v>33</v>
      </c>
      <c r="I1615" t="s">
        <v>39</v>
      </c>
      <c r="J1615" t="s">
        <v>27</v>
      </c>
    </row>
    <row r="1616" spans="1:10">
      <c r="A1616" t="s">
        <v>2696</v>
      </c>
      <c r="B1616" t="s">
        <v>2697</v>
      </c>
      <c r="C1616" t="s">
        <v>103</v>
      </c>
      <c r="D1616" t="s">
        <v>78</v>
      </c>
      <c r="E1616">
        <v>-44939</v>
      </c>
      <c r="F1616" t="s">
        <v>23</v>
      </c>
      <c r="G1616" t="s">
        <v>32</v>
      </c>
      <c r="H1616" t="s">
        <v>79</v>
      </c>
      <c r="I1616" t="s">
        <v>26</v>
      </c>
      <c r="J1616" t="s">
        <v>40</v>
      </c>
    </row>
    <row r="1617" spans="1:10">
      <c r="A1617" t="s">
        <v>2698</v>
      </c>
      <c r="B1617" t="s">
        <v>2699</v>
      </c>
      <c r="C1617" t="s">
        <v>90</v>
      </c>
      <c r="D1617" t="s">
        <v>73</v>
      </c>
      <c r="E1617">
        <v>-34440</v>
      </c>
      <c r="F1617" t="s">
        <v>74</v>
      </c>
      <c r="G1617" t="s">
        <v>32</v>
      </c>
      <c r="H1617" t="s">
        <v>25</v>
      </c>
      <c r="I1617" t="s">
        <v>45</v>
      </c>
      <c r="J1617" t="s">
        <v>40</v>
      </c>
    </row>
    <row r="1618" spans="1:10">
      <c r="A1618" t="s">
        <v>2700</v>
      </c>
      <c r="B1618" t="s">
        <v>2701</v>
      </c>
      <c r="C1618" t="s">
        <v>271</v>
      </c>
      <c r="D1618" t="s">
        <v>73</v>
      </c>
      <c r="E1618">
        <v>-65367</v>
      </c>
      <c r="F1618" t="s">
        <v>74</v>
      </c>
      <c r="G1618" t="s">
        <v>32</v>
      </c>
      <c r="H1618" t="s">
        <v>25</v>
      </c>
      <c r="I1618" t="s">
        <v>26</v>
      </c>
      <c r="J1618" t="s">
        <v>48</v>
      </c>
    </row>
    <row r="1619" spans="1:10">
      <c r="A1619" t="s">
        <v>2702</v>
      </c>
      <c r="B1619" t="s">
        <v>2703</v>
      </c>
      <c r="C1619" t="s">
        <v>103</v>
      </c>
      <c r="D1619" t="s">
        <v>78</v>
      </c>
      <c r="E1619">
        <v>-46549</v>
      </c>
      <c r="F1619" t="s">
        <v>23</v>
      </c>
      <c r="G1619" t="s">
        <v>24</v>
      </c>
      <c r="H1619" t="s">
        <v>79</v>
      </c>
      <c r="I1619" t="s">
        <v>39</v>
      </c>
      <c r="J1619" t="s">
        <v>27</v>
      </c>
    </row>
    <row r="1620" spans="1:10">
      <c r="A1620" t="s">
        <v>2704</v>
      </c>
      <c r="B1620" t="s">
        <v>342</v>
      </c>
      <c r="C1620" t="s">
        <v>2705</v>
      </c>
      <c r="D1620" t="s">
        <v>136</v>
      </c>
      <c r="E1620">
        <v>-10675839</v>
      </c>
      <c r="F1620" t="s">
        <v>62</v>
      </c>
      <c r="G1620" t="s">
        <v>32</v>
      </c>
      <c r="H1620" t="s">
        <v>63</v>
      </c>
      <c r="I1620" t="s">
        <v>26</v>
      </c>
      <c r="J1620" t="s">
        <v>48</v>
      </c>
    </row>
    <row r="1621" spans="1:10">
      <c r="A1621" t="s">
        <v>2706</v>
      </c>
      <c r="B1621" t="s">
        <v>953</v>
      </c>
      <c r="C1621" t="s">
        <v>212</v>
      </c>
      <c r="D1621" t="s">
        <v>73</v>
      </c>
      <c r="E1621">
        <v>-93633</v>
      </c>
      <c r="F1621" t="s">
        <v>74</v>
      </c>
      <c r="G1621" t="s">
        <v>32</v>
      </c>
      <c r="H1621" t="s">
        <v>25</v>
      </c>
      <c r="I1621" t="s">
        <v>45</v>
      </c>
      <c r="J1621" t="s">
        <v>40</v>
      </c>
    </row>
    <row r="1622" spans="1:10">
      <c r="A1622" t="s">
        <v>2707</v>
      </c>
      <c r="B1622" t="s">
        <v>1613</v>
      </c>
      <c r="C1622" t="s">
        <v>77</v>
      </c>
      <c r="D1622" t="s">
        <v>78</v>
      </c>
      <c r="E1622">
        <v>-36129</v>
      </c>
      <c r="F1622" t="s">
        <v>23</v>
      </c>
      <c r="G1622" t="s">
        <v>32</v>
      </c>
      <c r="H1622" t="s">
        <v>79</v>
      </c>
      <c r="I1622" t="s">
        <v>45</v>
      </c>
      <c r="J1622" t="s">
        <v>48</v>
      </c>
    </row>
    <row r="1623" spans="1:10">
      <c r="A1623" t="s">
        <v>2708</v>
      </c>
      <c r="B1623" t="s">
        <v>996</v>
      </c>
      <c r="C1623" t="s">
        <v>192</v>
      </c>
      <c r="D1623" t="s">
        <v>207</v>
      </c>
      <c r="E1623">
        <v>-179998</v>
      </c>
      <c r="F1623" t="s">
        <v>23</v>
      </c>
      <c r="G1623" t="s">
        <v>24</v>
      </c>
      <c r="H1623" t="s">
        <v>25</v>
      </c>
      <c r="I1623" t="s">
        <v>45</v>
      </c>
      <c r="J1623" t="s">
        <v>40</v>
      </c>
    </row>
    <row r="1624" spans="1:10">
      <c r="A1624" t="s">
        <v>2709</v>
      </c>
      <c r="B1624" t="s">
        <v>2710</v>
      </c>
      <c r="C1624" t="s">
        <v>2561</v>
      </c>
      <c r="D1624" t="s">
        <v>73</v>
      </c>
      <c r="E1624">
        <v>-51743</v>
      </c>
      <c r="F1624" t="s">
        <v>74</v>
      </c>
      <c r="G1624" t="s">
        <v>24</v>
      </c>
      <c r="H1624" t="s">
        <v>25</v>
      </c>
      <c r="I1624" t="s">
        <v>45</v>
      </c>
      <c r="J1624" t="s">
        <v>40</v>
      </c>
    </row>
    <row r="1625" spans="1:10">
      <c r="A1625" t="s">
        <v>2711</v>
      </c>
      <c r="B1625" t="s">
        <v>2712</v>
      </c>
      <c r="C1625" t="s">
        <v>215</v>
      </c>
      <c r="D1625" t="s">
        <v>61</v>
      </c>
      <c r="E1625">
        <v>-63485</v>
      </c>
      <c r="F1625" t="s">
        <v>62</v>
      </c>
      <c r="G1625" t="s">
        <v>32</v>
      </c>
      <c r="H1625" t="s">
        <v>63</v>
      </c>
      <c r="I1625" t="s">
        <v>39</v>
      </c>
      <c r="J1625" t="s">
        <v>34</v>
      </c>
    </row>
    <row r="1626" spans="1:10">
      <c r="A1626" t="s">
        <v>2713</v>
      </c>
      <c r="B1626" t="s">
        <v>2478</v>
      </c>
      <c r="C1626" t="s">
        <v>103</v>
      </c>
      <c r="D1626" t="s">
        <v>78</v>
      </c>
      <c r="E1626">
        <v>-96229</v>
      </c>
      <c r="F1626" t="s">
        <v>23</v>
      </c>
      <c r="G1626" t="s">
        <v>24</v>
      </c>
      <c r="H1626" t="s">
        <v>79</v>
      </c>
      <c r="I1626" t="s">
        <v>26</v>
      </c>
      <c r="J1626" t="s">
        <v>48</v>
      </c>
    </row>
    <row r="1627" spans="1:10">
      <c r="A1627" t="s">
        <v>2714</v>
      </c>
      <c r="B1627" t="s">
        <v>2274</v>
      </c>
      <c r="C1627" t="s">
        <v>215</v>
      </c>
      <c r="D1627" t="s">
        <v>61</v>
      </c>
      <c r="E1627">
        <v>-58063</v>
      </c>
      <c r="F1627" t="s">
        <v>62</v>
      </c>
      <c r="G1627" t="s">
        <v>24</v>
      </c>
      <c r="H1627" t="s">
        <v>63</v>
      </c>
      <c r="I1627" t="s">
        <v>45</v>
      </c>
      <c r="J1627" t="s">
        <v>48</v>
      </c>
    </row>
    <row r="1628" spans="1:10">
      <c r="A1628" t="s">
        <v>2715</v>
      </c>
      <c r="B1628" t="s">
        <v>1650</v>
      </c>
      <c r="C1628" t="s">
        <v>60</v>
      </c>
      <c r="D1628" t="s">
        <v>61</v>
      </c>
      <c r="E1628">
        <v>-53591</v>
      </c>
      <c r="F1628" t="s">
        <v>62</v>
      </c>
      <c r="G1628" t="s">
        <v>32</v>
      </c>
      <c r="H1628" t="s">
        <v>63</v>
      </c>
      <c r="I1628" t="s">
        <v>45</v>
      </c>
      <c r="J1628" t="s">
        <v>48</v>
      </c>
    </row>
    <row r="1629" spans="1:10">
      <c r="A1629" t="s">
        <v>2716</v>
      </c>
      <c r="B1629" t="s">
        <v>2717</v>
      </c>
      <c r="C1629" t="s">
        <v>100</v>
      </c>
      <c r="D1629" t="s">
        <v>31</v>
      </c>
      <c r="E1629">
        <v>-5480</v>
      </c>
      <c r="F1629" t="s">
        <v>23</v>
      </c>
      <c r="G1629" t="s">
        <v>32</v>
      </c>
      <c r="H1629" t="s">
        <v>33</v>
      </c>
      <c r="I1629" t="s">
        <v>26</v>
      </c>
      <c r="J1629" t="s">
        <v>40</v>
      </c>
    </row>
    <row r="1630" spans="1:10">
      <c r="A1630" t="s">
        <v>2718</v>
      </c>
      <c r="B1630" t="s">
        <v>1228</v>
      </c>
      <c r="C1630" t="s">
        <v>161</v>
      </c>
      <c r="D1630" t="s">
        <v>22</v>
      </c>
      <c r="E1630">
        <v>-163084</v>
      </c>
      <c r="F1630" t="s">
        <v>23</v>
      </c>
      <c r="G1630" t="s">
        <v>32</v>
      </c>
      <c r="H1630" t="s">
        <v>25</v>
      </c>
      <c r="I1630" t="s">
        <v>39</v>
      </c>
      <c r="J1630" t="s">
        <v>27</v>
      </c>
    </row>
    <row r="1631" spans="1:10">
      <c r="A1631" t="s">
        <v>2719</v>
      </c>
      <c r="B1631" t="s">
        <v>2233</v>
      </c>
      <c r="C1631" t="s">
        <v>215</v>
      </c>
      <c r="D1631" t="s">
        <v>61</v>
      </c>
      <c r="E1631">
        <v>-38253</v>
      </c>
      <c r="F1631" t="s">
        <v>62</v>
      </c>
      <c r="G1631" t="s">
        <v>32</v>
      </c>
      <c r="H1631" t="s">
        <v>63</v>
      </c>
      <c r="I1631" t="s">
        <v>26</v>
      </c>
      <c r="J1631" t="s">
        <v>48</v>
      </c>
    </row>
    <row r="1632" spans="1:10">
      <c r="A1632" t="s">
        <v>2720</v>
      </c>
      <c r="B1632" t="s">
        <v>287</v>
      </c>
      <c r="C1632" t="s">
        <v>2229</v>
      </c>
      <c r="D1632" t="s">
        <v>61</v>
      </c>
      <c r="E1632">
        <v>-30956</v>
      </c>
      <c r="F1632" t="s">
        <v>62</v>
      </c>
      <c r="G1632" t="s">
        <v>24</v>
      </c>
      <c r="H1632" t="s">
        <v>63</v>
      </c>
      <c r="I1632" t="s">
        <v>45</v>
      </c>
      <c r="J1632" t="s">
        <v>34</v>
      </c>
    </row>
    <row r="1633" spans="1:10">
      <c r="A1633" t="s">
        <v>2721</v>
      </c>
      <c r="B1633" t="s">
        <v>1312</v>
      </c>
      <c r="C1633" t="s">
        <v>51</v>
      </c>
      <c r="D1633" t="s">
        <v>31</v>
      </c>
      <c r="E1633">
        <v>-8306</v>
      </c>
      <c r="F1633" t="s">
        <v>23</v>
      </c>
      <c r="G1633" t="s">
        <v>32</v>
      </c>
      <c r="H1633" t="s">
        <v>33</v>
      </c>
      <c r="I1633" t="s">
        <v>39</v>
      </c>
      <c r="J1633" t="s">
        <v>40</v>
      </c>
    </row>
    <row r="1634" spans="1:10">
      <c r="A1634" t="s">
        <v>2722</v>
      </c>
      <c r="B1634" t="s">
        <v>1174</v>
      </c>
      <c r="C1634" t="s">
        <v>37</v>
      </c>
      <c r="D1634" t="s">
        <v>38</v>
      </c>
      <c r="E1634">
        <v>-9932</v>
      </c>
      <c r="F1634" t="s">
        <v>23</v>
      </c>
      <c r="G1634" t="s">
        <v>32</v>
      </c>
      <c r="H1634" t="s">
        <v>33</v>
      </c>
      <c r="I1634" t="s">
        <v>26</v>
      </c>
      <c r="J1634" t="s">
        <v>40</v>
      </c>
    </row>
    <row r="1635" spans="1:10">
      <c r="A1635" t="s">
        <v>2723</v>
      </c>
      <c r="B1635" t="s">
        <v>1017</v>
      </c>
      <c r="C1635" t="s">
        <v>60</v>
      </c>
      <c r="D1635" t="s">
        <v>61</v>
      </c>
      <c r="E1635">
        <v>-15978</v>
      </c>
      <c r="F1635" t="s">
        <v>62</v>
      </c>
      <c r="G1635" t="s">
        <v>24</v>
      </c>
      <c r="H1635" t="s">
        <v>63</v>
      </c>
      <c r="I1635" t="s">
        <v>39</v>
      </c>
      <c r="J1635" t="s">
        <v>34</v>
      </c>
    </row>
    <row r="1636" spans="1:10">
      <c r="A1636" t="s">
        <v>2724</v>
      </c>
      <c r="B1636" t="s">
        <v>2725</v>
      </c>
      <c r="C1636" t="s">
        <v>293</v>
      </c>
      <c r="D1636" t="s">
        <v>157</v>
      </c>
      <c r="E1636">
        <v>518279</v>
      </c>
      <c r="F1636" t="s">
        <v>62</v>
      </c>
      <c r="G1636" t="s">
        <v>32</v>
      </c>
      <c r="H1636" t="s">
        <v>25</v>
      </c>
      <c r="I1636" t="s">
        <v>26</v>
      </c>
      <c r="J1636" t="s">
        <v>34</v>
      </c>
    </row>
    <row r="1637" spans="1:10">
      <c r="A1637" t="s">
        <v>2726</v>
      </c>
      <c r="B1637" t="s">
        <v>1830</v>
      </c>
      <c r="C1637" t="s">
        <v>177</v>
      </c>
      <c r="D1637" t="s">
        <v>664</v>
      </c>
      <c r="E1637">
        <v>-107018</v>
      </c>
      <c r="F1637" t="s">
        <v>23</v>
      </c>
      <c r="G1637" t="s">
        <v>24</v>
      </c>
      <c r="H1637" t="s">
        <v>79</v>
      </c>
      <c r="I1637" t="s">
        <v>45</v>
      </c>
      <c r="J1637" t="s">
        <v>27</v>
      </c>
    </row>
    <row r="1638" spans="1:10">
      <c r="A1638" t="s">
        <v>2727</v>
      </c>
      <c r="B1638" t="s">
        <v>1180</v>
      </c>
      <c r="C1638" t="s">
        <v>218</v>
      </c>
      <c r="D1638" t="s">
        <v>157</v>
      </c>
      <c r="E1638">
        <v>722199</v>
      </c>
      <c r="F1638" t="s">
        <v>62</v>
      </c>
      <c r="G1638" t="s">
        <v>32</v>
      </c>
      <c r="H1638" t="s">
        <v>25</v>
      </c>
      <c r="I1638" t="s">
        <v>39</v>
      </c>
      <c r="J1638" t="s">
        <v>40</v>
      </c>
    </row>
    <row r="1639" spans="1:10">
      <c r="A1639" t="s">
        <v>2728</v>
      </c>
      <c r="B1639" t="s">
        <v>2729</v>
      </c>
      <c r="C1639" t="s">
        <v>43</v>
      </c>
      <c r="D1639" t="s">
        <v>44</v>
      </c>
      <c r="E1639">
        <v>-50312</v>
      </c>
      <c r="F1639" t="s">
        <v>23</v>
      </c>
      <c r="G1639" t="s">
        <v>32</v>
      </c>
      <c r="H1639" t="s">
        <v>33</v>
      </c>
      <c r="I1639" t="s">
        <v>39</v>
      </c>
      <c r="J1639" t="s">
        <v>40</v>
      </c>
    </row>
    <row r="1640" spans="1:10">
      <c r="A1640" t="s">
        <v>2730</v>
      </c>
      <c r="B1640" t="s">
        <v>2622</v>
      </c>
      <c r="C1640" t="s">
        <v>37</v>
      </c>
      <c r="D1640" t="s">
        <v>38</v>
      </c>
      <c r="E1640">
        <v>-46715</v>
      </c>
      <c r="F1640" t="s">
        <v>23</v>
      </c>
      <c r="G1640" t="s">
        <v>24</v>
      </c>
      <c r="H1640" t="s">
        <v>33</v>
      </c>
      <c r="I1640" t="s">
        <v>26</v>
      </c>
      <c r="J1640" t="s">
        <v>40</v>
      </c>
    </row>
    <row r="1641" spans="1:10">
      <c r="A1641" t="s">
        <v>2731</v>
      </c>
      <c r="B1641" t="s">
        <v>1908</v>
      </c>
      <c r="C1641" t="s">
        <v>93</v>
      </c>
      <c r="D1641" t="s">
        <v>73</v>
      </c>
      <c r="E1641">
        <v>-19648</v>
      </c>
      <c r="F1641" t="s">
        <v>74</v>
      </c>
      <c r="G1641" t="s">
        <v>24</v>
      </c>
      <c r="H1641" t="s">
        <v>25</v>
      </c>
      <c r="I1641" t="s">
        <v>45</v>
      </c>
      <c r="J1641" t="s">
        <v>48</v>
      </c>
    </row>
    <row r="1642" spans="1:10">
      <c r="A1642" t="s">
        <v>2732</v>
      </c>
      <c r="B1642" t="s">
        <v>2733</v>
      </c>
      <c r="C1642" t="s">
        <v>2734</v>
      </c>
      <c r="D1642" t="s">
        <v>22</v>
      </c>
      <c r="E1642">
        <v>-115718</v>
      </c>
      <c r="F1642" t="s">
        <v>23</v>
      </c>
      <c r="G1642" t="s">
        <v>24</v>
      </c>
      <c r="H1642" t="s">
        <v>25</v>
      </c>
      <c r="I1642" t="s">
        <v>39</v>
      </c>
      <c r="J1642" t="s">
        <v>27</v>
      </c>
    </row>
    <row r="1643" spans="1:10">
      <c r="A1643" t="s">
        <v>2735</v>
      </c>
      <c r="B1643" t="s">
        <v>1472</v>
      </c>
      <c r="C1643" t="s">
        <v>66</v>
      </c>
      <c r="D1643" t="s">
        <v>61</v>
      </c>
      <c r="E1643">
        <v>-47945</v>
      </c>
      <c r="F1643" t="s">
        <v>62</v>
      </c>
      <c r="G1643" t="s">
        <v>32</v>
      </c>
      <c r="H1643" t="s">
        <v>63</v>
      </c>
      <c r="I1643" t="s">
        <v>39</v>
      </c>
      <c r="J1643" t="s">
        <v>27</v>
      </c>
    </row>
    <row r="1644" spans="1:10">
      <c r="A1644" t="s">
        <v>2736</v>
      </c>
      <c r="B1644" t="s">
        <v>2737</v>
      </c>
      <c r="C1644" t="s">
        <v>77</v>
      </c>
      <c r="D1644" t="s">
        <v>78</v>
      </c>
      <c r="E1644">
        <v>-112512</v>
      </c>
      <c r="F1644" t="s">
        <v>23</v>
      </c>
      <c r="G1644" t="s">
        <v>24</v>
      </c>
      <c r="H1644" t="s">
        <v>79</v>
      </c>
      <c r="I1644" t="s">
        <v>26</v>
      </c>
      <c r="J1644" t="s">
        <v>27</v>
      </c>
    </row>
    <row r="1645" spans="1:10">
      <c r="A1645" t="s">
        <v>2738</v>
      </c>
      <c r="B1645" t="s">
        <v>2077</v>
      </c>
      <c r="C1645" t="s">
        <v>2739</v>
      </c>
      <c r="D1645" t="s">
        <v>136</v>
      </c>
      <c r="E1645">
        <v>-10505806</v>
      </c>
      <c r="F1645" t="s">
        <v>62</v>
      </c>
      <c r="G1645" t="s">
        <v>32</v>
      </c>
      <c r="H1645" t="s">
        <v>63</v>
      </c>
      <c r="I1645" t="s">
        <v>26</v>
      </c>
      <c r="J1645" t="s">
        <v>40</v>
      </c>
    </row>
    <row r="1646" spans="1:10">
      <c r="A1646" t="s">
        <v>2740</v>
      </c>
      <c r="B1646" t="s">
        <v>1003</v>
      </c>
      <c r="C1646" t="s">
        <v>161</v>
      </c>
      <c r="D1646" t="s">
        <v>22</v>
      </c>
      <c r="E1646">
        <v>-65362</v>
      </c>
      <c r="F1646" t="s">
        <v>23</v>
      </c>
      <c r="G1646" t="s">
        <v>24</v>
      </c>
      <c r="H1646" t="s">
        <v>25</v>
      </c>
      <c r="I1646" t="s">
        <v>45</v>
      </c>
      <c r="J1646" t="s">
        <v>34</v>
      </c>
    </row>
    <row r="1647" spans="1:10">
      <c r="A1647" t="s">
        <v>2741</v>
      </c>
      <c r="B1647" t="s">
        <v>488</v>
      </c>
      <c r="C1647" t="s">
        <v>177</v>
      </c>
      <c r="D1647" t="s">
        <v>78</v>
      </c>
      <c r="E1647">
        <v>-84269</v>
      </c>
      <c r="F1647" t="s">
        <v>23</v>
      </c>
      <c r="G1647" t="s">
        <v>24</v>
      </c>
      <c r="H1647" t="s">
        <v>79</v>
      </c>
      <c r="I1647" t="s">
        <v>39</v>
      </c>
      <c r="J1647" t="s">
        <v>27</v>
      </c>
    </row>
    <row r="1648" spans="1:10">
      <c r="A1648" t="s">
        <v>2742</v>
      </c>
      <c r="B1648" t="s">
        <v>2710</v>
      </c>
      <c r="C1648" t="s">
        <v>166</v>
      </c>
      <c r="D1648" t="s">
        <v>31</v>
      </c>
      <c r="E1648">
        <v>-19110</v>
      </c>
      <c r="F1648" t="s">
        <v>23</v>
      </c>
      <c r="G1648" t="s">
        <v>24</v>
      </c>
      <c r="H1648" t="s">
        <v>33</v>
      </c>
      <c r="I1648" t="s">
        <v>45</v>
      </c>
      <c r="J1648" t="s">
        <v>40</v>
      </c>
    </row>
    <row r="1649" spans="1:10">
      <c r="A1649" t="s">
        <v>2743</v>
      </c>
      <c r="B1649" t="s">
        <v>206</v>
      </c>
      <c r="C1649" t="s">
        <v>43</v>
      </c>
      <c r="D1649" t="s">
        <v>44</v>
      </c>
      <c r="E1649">
        <v>-59008</v>
      </c>
      <c r="F1649" t="s">
        <v>23</v>
      </c>
      <c r="G1649" t="s">
        <v>24</v>
      </c>
      <c r="H1649" t="s">
        <v>33</v>
      </c>
      <c r="I1649" t="s">
        <v>45</v>
      </c>
      <c r="J1649" t="s">
        <v>27</v>
      </c>
    </row>
    <row r="1650" spans="1:10">
      <c r="A1650" t="s">
        <v>2744</v>
      </c>
      <c r="B1650" t="s">
        <v>1455</v>
      </c>
      <c r="C1650" t="s">
        <v>77</v>
      </c>
      <c r="D1650" t="s">
        <v>78</v>
      </c>
      <c r="E1650">
        <v>-33305</v>
      </c>
      <c r="F1650" t="s">
        <v>23</v>
      </c>
      <c r="G1650" t="s">
        <v>32</v>
      </c>
      <c r="H1650" t="s">
        <v>79</v>
      </c>
      <c r="I1650" t="s">
        <v>39</v>
      </c>
      <c r="J1650" t="s">
        <v>27</v>
      </c>
    </row>
    <row r="1651" spans="1:10">
      <c r="A1651" t="s">
        <v>2745</v>
      </c>
      <c r="B1651" t="s">
        <v>2746</v>
      </c>
      <c r="C1651" t="s">
        <v>271</v>
      </c>
      <c r="D1651" t="s">
        <v>73</v>
      </c>
      <c r="E1651">
        <v>-92994</v>
      </c>
      <c r="F1651" t="s">
        <v>74</v>
      </c>
      <c r="G1651" t="s">
        <v>32</v>
      </c>
      <c r="H1651" t="s">
        <v>25</v>
      </c>
      <c r="I1651" t="s">
        <v>26</v>
      </c>
      <c r="J1651" t="s">
        <v>48</v>
      </c>
    </row>
    <row r="1652" spans="1:10">
      <c r="A1652" t="s">
        <v>2747</v>
      </c>
      <c r="B1652" t="s">
        <v>2748</v>
      </c>
      <c r="C1652" t="s">
        <v>60</v>
      </c>
      <c r="D1652" t="s">
        <v>61</v>
      </c>
      <c r="E1652">
        <v>-46042</v>
      </c>
      <c r="F1652" t="s">
        <v>62</v>
      </c>
      <c r="G1652" t="s">
        <v>24</v>
      </c>
      <c r="H1652" t="s">
        <v>63</v>
      </c>
      <c r="I1652" t="s">
        <v>45</v>
      </c>
      <c r="J1652" t="s">
        <v>34</v>
      </c>
    </row>
    <row r="1653" spans="1:10">
      <c r="A1653" t="s">
        <v>2749</v>
      </c>
      <c r="B1653" t="s">
        <v>236</v>
      </c>
      <c r="C1653" t="s">
        <v>224</v>
      </c>
      <c r="D1653" t="s">
        <v>78</v>
      </c>
      <c r="E1653">
        <v>-106654</v>
      </c>
      <c r="F1653" t="s">
        <v>23</v>
      </c>
      <c r="G1653" t="s">
        <v>24</v>
      </c>
      <c r="H1653" t="s">
        <v>79</v>
      </c>
      <c r="I1653" t="s">
        <v>45</v>
      </c>
      <c r="J1653" t="s">
        <v>34</v>
      </c>
    </row>
    <row r="1654" spans="1:10">
      <c r="A1654" t="s">
        <v>2750</v>
      </c>
      <c r="B1654" t="s">
        <v>1086</v>
      </c>
      <c r="C1654" t="s">
        <v>106</v>
      </c>
      <c r="D1654" t="s">
        <v>31</v>
      </c>
      <c r="E1654">
        <v>-20462</v>
      </c>
      <c r="F1654" t="s">
        <v>23</v>
      </c>
      <c r="G1654" t="s">
        <v>32</v>
      </c>
      <c r="H1654" t="s">
        <v>33</v>
      </c>
      <c r="I1654" t="s">
        <v>39</v>
      </c>
      <c r="J1654" t="s">
        <v>40</v>
      </c>
    </row>
    <row r="1655" spans="1:10">
      <c r="A1655" t="s">
        <v>2751</v>
      </c>
      <c r="B1655" t="s">
        <v>71</v>
      </c>
      <c r="C1655" t="s">
        <v>2752</v>
      </c>
      <c r="D1655" t="s">
        <v>78</v>
      </c>
      <c r="E1655">
        <v>-83409</v>
      </c>
      <c r="F1655" t="s">
        <v>23</v>
      </c>
      <c r="G1655" t="s">
        <v>24</v>
      </c>
      <c r="H1655" t="s">
        <v>79</v>
      </c>
      <c r="I1655" t="s">
        <v>39</v>
      </c>
      <c r="J1655" t="s">
        <v>27</v>
      </c>
    </row>
    <row r="1656" spans="1:10">
      <c r="A1656" t="s">
        <v>2753</v>
      </c>
      <c r="B1656" t="s">
        <v>2754</v>
      </c>
      <c r="C1656" t="s">
        <v>132</v>
      </c>
      <c r="D1656" t="s">
        <v>302</v>
      </c>
      <c r="E1656">
        <v>-54818</v>
      </c>
      <c r="F1656" t="s">
        <v>74</v>
      </c>
      <c r="G1656" t="s">
        <v>32</v>
      </c>
      <c r="H1656" t="s">
        <v>25</v>
      </c>
      <c r="I1656" t="s">
        <v>45</v>
      </c>
      <c r="J1656" t="s">
        <v>40</v>
      </c>
    </row>
    <row r="1657" spans="1:10">
      <c r="A1657" t="s">
        <v>2755</v>
      </c>
      <c r="B1657" t="s">
        <v>2756</v>
      </c>
      <c r="C1657" t="s">
        <v>687</v>
      </c>
      <c r="E1657">
        <v>-149063</v>
      </c>
      <c r="F1657" t="s">
        <v>23</v>
      </c>
      <c r="G1657" t="s">
        <v>24</v>
      </c>
      <c r="H1657" t="s">
        <v>33</v>
      </c>
      <c r="I1657" t="s">
        <v>39</v>
      </c>
      <c r="J1657" t="s">
        <v>40</v>
      </c>
    </row>
    <row r="1658" spans="1:10">
      <c r="A1658" t="s">
        <v>2757</v>
      </c>
      <c r="B1658" t="s">
        <v>1940</v>
      </c>
      <c r="C1658" t="s">
        <v>224</v>
      </c>
      <c r="D1658" t="s">
        <v>78</v>
      </c>
      <c r="E1658">
        <v>-115062</v>
      </c>
      <c r="F1658" t="s">
        <v>23</v>
      </c>
      <c r="G1658" t="s">
        <v>32</v>
      </c>
      <c r="H1658" t="s">
        <v>79</v>
      </c>
      <c r="I1658" t="s">
        <v>45</v>
      </c>
      <c r="J1658" t="s">
        <v>27</v>
      </c>
    </row>
    <row r="1659" spans="1:10">
      <c r="A1659" t="s">
        <v>2758</v>
      </c>
      <c r="B1659" t="s">
        <v>2381</v>
      </c>
      <c r="C1659" t="s">
        <v>90</v>
      </c>
      <c r="D1659" t="s">
        <v>73</v>
      </c>
      <c r="E1659">
        <v>-40105</v>
      </c>
      <c r="F1659" t="s">
        <v>74</v>
      </c>
      <c r="G1659" t="s">
        <v>24</v>
      </c>
      <c r="H1659" t="s">
        <v>25</v>
      </c>
      <c r="I1659" t="s">
        <v>45</v>
      </c>
      <c r="J1659" t="s">
        <v>40</v>
      </c>
    </row>
    <row r="1660" spans="1:10">
      <c r="A1660" t="s">
        <v>2759</v>
      </c>
      <c r="B1660" t="s">
        <v>1808</v>
      </c>
      <c r="C1660" t="s">
        <v>215</v>
      </c>
      <c r="D1660" t="s">
        <v>61</v>
      </c>
      <c r="E1660">
        <v>-57895</v>
      </c>
      <c r="F1660" t="s">
        <v>62</v>
      </c>
      <c r="G1660" t="s">
        <v>32</v>
      </c>
      <c r="H1660" t="s">
        <v>63</v>
      </c>
      <c r="I1660" t="s">
        <v>45</v>
      </c>
      <c r="J1660" t="s">
        <v>34</v>
      </c>
    </row>
    <row r="1661" spans="1:10">
      <c r="A1661" t="s">
        <v>2760</v>
      </c>
      <c r="B1661" t="s">
        <v>367</v>
      </c>
      <c r="C1661" t="s">
        <v>180</v>
      </c>
      <c r="D1661" t="s">
        <v>44</v>
      </c>
      <c r="E1661">
        <v>-148696</v>
      </c>
      <c r="F1661" t="s">
        <v>23</v>
      </c>
      <c r="G1661" t="s">
        <v>32</v>
      </c>
      <c r="H1661" t="s">
        <v>33</v>
      </c>
      <c r="I1661" t="s">
        <v>45</v>
      </c>
      <c r="J1661" t="s">
        <v>34</v>
      </c>
    </row>
    <row r="1662" spans="1:10">
      <c r="A1662" t="s">
        <v>2761</v>
      </c>
      <c r="B1662" t="s">
        <v>1147</v>
      </c>
      <c r="C1662" t="s">
        <v>1676</v>
      </c>
      <c r="D1662" t="s">
        <v>73</v>
      </c>
      <c r="E1662">
        <v>-66153</v>
      </c>
      <c r="F1662" t="s">
        <v>74</v>
      </c>
      <c r="G1662" t="s">
        <v>24</v>
      </c>
      <c r="H1662" t="s">
        <v>25</v>
      </c>
      <c r="I1662" t="s">
        <v>26</v>
      </c>
      <c r="J1662" t="s">
        <v>34</v>
      </c>
    </row>
    <row r="1663" spans="1:10">
      <c r="A1663" t="s">
        <v>2762</v>
      </c>
      <c r="B1663" t="s">
        <v>754</v>
      </c>
      <c r="C1663" t="s">
        <v>215</v>
      </c>
      <c r="D1663" t="s">
        <v>61</v>
      </c>
      <c r="E1663">
        <v>-25246</v>
      </c>
      <c r="F1663" t="s">
        <v>62</v>
      </c>
      <c r="G1663" t="s">
        <v>32</v>
      </c>
      <c r="H1663" t="s">
        <v>63</v>
      </c>
      <c r="I1663" t="s">
        <v>45</v>
      </c>
      <c r="J1663" t="s">
        <v>27</v>
      </c>
    </row>
    <row r="1664" spans="1:10">
      <c r="A1664" t="s">
        <v>2763</v>
      </c>
      <c r="B1664" t="s">
        <v>1989</v>
      </c>
      <c r="C1664" t="s">
        <v>66</v>
      </c>
      <c r="D1664" t="s">
        <v>61</v>
      </c>
      <c r="E1664">
        <v>-13045</v>
      </c>
      <c r="F1664" t="s">
        <v>62</v>
      </c>
      <c r="G1664" t="s">
        <v>24</v>
      </c>
      <c r="H1664" t="s">
        <v>63</v>
      </c>
      <c r="I1664" t="s">
        <v>39</v>
      </c>
      <c r="J1664" t="s">
        <v>27</v>
      </c>
    </row>
    <row r="1665" spans="1:10">
      <c r="A1665" t="s">
        <v>2764</v>
      </c>
      <c r="B1665" t="s">
        <v>730</v>
      </c>
      <c r="C1665" t="s">
        <v>106</v>
      </c>
      <c r="D1665" t="s">
        <v>31</v>
      </c>
      <c r="E1665">
        <v>-29067</v>
      </c>
      <c r="F1665" t="s">
        <v>23</v>
      </c>
      <c r="G1665" t="s">
        <v>32</v>
      </c>
      <c r="H1665" t="s">
        <v>33</v>
      </c>
      <c r="I1665" t="s">
        <v>39</v>
      </c>
      <c r="J1665" t="s">
        <v>48</v>
      </c>
    </row>
    <row r="1666" spans="1:10">
      <c r="A1666" t="s">
        <v>2765</v>
      </c>
      <c r="B1666" t="s">
        <v>326</v>
      </c>
      <c r="C1666" t="s">
        <v>77</v>
      </c>
      <c r="D1666" t="s">
        <v>78</v>
      </c>
      <c r="E1666">
        <v>-74175</v>
      </c>
      <c r="F1666" t="s">
        <v>23</v>
      </c>
      <c r="G1666" t="s">
        <v>32</v>
      </c>
      <c r="H1666" t="s">
        <v>79</v>
      </c>
      <c r="I1666" t="s">
        <v>39</v>
      </c>
      <c r="J1666" t="s">
        <v>48</v>
      </c>
    </row>
    <row r="1667" spans="1:10">
      <c r="A1667" t="s">
        <v>2766</v>
      </c>
      <c r="B1667" t="s">
        <v>1493</v>
      </c>
      <c r="C1667" t="s">
        <v>116</v>
      </c>
      <c r="D1667" t="s">
        <v>73</v>
      </c>
      <c r="E1667">
        <v>-39475</v>
      </c>
      <c r="F1667" t="s">
        <v>74</v>
      </c>
      <c r="G1667" t="s">
        <v>32</v>
      </c>
      <c r="H1667" t="s">
        <v>25</v>
      </c>
      <c r="I1667" t="s">
        <v>39</v>
      </c>
      <c r="J1667" t="s">
        <v>34</v>
      </c>
    </row>
    <row r="1668" spans="1:10">
      <c r="A1668" t="s">
        <v>2767</v>
      </c>
      <c r="B1668" t="s">
        <v>2768</v>
      </c>
      <c r="C1668" t="s">
        <v>60</v>
      </c>
      <c r="E1668">
        <v>-36352</v>
      </c>
      <c r="F1668" t="s">
        <v>62</v>
      </c>
      <c r="G1668" t="s">
        <v>24</v>
      </c>
      <c r="H1668" t="s">
        <v>63</v>
      </c>
      <c r="I1668" t="s">
        <v>39</v>
      </c>
      <c r="J1668" t="s">
        <v>48</v>
      </c>
    </row>
    <row r="1669" spans="1:10">
      <c r="A1669" t="s">
        <v>2769</v>
      </c>
      <c r="B1669" t="s">
        <v>816</v>
      </c>
      <c r="C1669" t="s">
        <v>57</v>
      </c>
      <c r="D1669" t="s">
        <v>44</v>
      </c>
      <c r="E1669">
        <v>-108826</v>
      </c>
      <c r="F1669" t="s">
        <v>23</v>
      </c>
      <c r="G1669" t="s">
        <v>32</v>
      </c>
      <c r="H1669" t="s">
        <v>33</v>
      </c>
      <c r="I1669" t="s">
        <v>26</v>
      </c>
      <c r="J1669" t="s">
        <v>48</v>
      </c>
    </row>
    <row r="1670" spans="1:10">
      <c r="A1670" t="s">
        <v>2770</v>
      </c>
      <c r="B1670" t="s">
        <v>2029</v>
      </c>
      <c r="C1670" t="s">
        <v>2771</v>
      </c>
      <c r="D1670" t="s">
        <v>136</v>
      </c>
      <c r="E1670">
        <v>-10436103</v>
      </c>
      <c r="F1670" t="s">
        <v>62</v>
      </c>
      <c r="G1670" t="s">
        <v>32</v>
      </c>
      <c r="H1670" t="s">
        <v>63</v>
      </c>
      <c r="I1670" t="s">
        <v>39</v>
      </c>
      <c r="J1670" t="s">
        <v>27</v>
      </c>
    </row>
    <row r="1671" spans="1:10">
      <c r="A1671" t="s">
        <v>2772</v>
      </c>
      <c r="B1671" t="s">
        <v>2773</v>
      </c>
      <c r="C1671" t="s">
        <v>266</v>
      </c>
      <c r="D1671" t="s">
        <v>73</v>
      </c>
      <c r="E1671">
        <v>-54176</v>
      </c>
      <c r="F1671" t="s">
        <v>74</v>
      </c>
      <c r="G1671" t="s">
        <v>24</v>
      </c>
      <c r="H1671" t="s">
        <v>25</v>
      </c>
      <c r="I1671" t="s">
        <v>26</v>
      </c>
      <c r="J1671" t="s">
        <v>34</v>
      </c>
    </row>
    <row r="1672" spans="1:10">
      <c r="A1672" t="s">
        <v>2774</v>
      </c>
      <c r="B1672" t="s">
        <v>635</v>
      </c>
      <c r="C1672" t="s">
        <v>60</v>
      </c>
      <c r="D1672" t="s">
        <v>61</v>
      </c>
      <c r="E1672">
        <v>-21777</v>
      </c>
      <c r="F1672" t="s">
        <v>62</v>
      </c>
      <c r="G1672" t="s">
        <v>32</v>
      </c>
      <c r="H1672" t="s">
        <v>63</v>
      </c>
      <c r="I1672" t="s">
        <v>26</v>
      </c>
      <c r="J1672" t="s">
        <v>34</v>
      </c>
    </row>
    <row r="1673" spans="1:10">
      <c r="A1673" t="s">
        <v>2775</v>
      </c>
      <c r="B1673" t="s">
        <v>1047</v>
      </c>
      <c r="C1673" t="s">
        <v>616</v>
      </c>
      <c r="D1673" t="s">
        <v>22</v>
      </c>
      <c r="E1673">
        <v>-199939</v>
      </c>
      <c r="F1673" t="s">
        <v>23</v>
      </c>
      <c r="G1673" t="s">
        <v>32</v>
      </c>
      <c r="H1673" t="s">
        <v>25</v>
      </c>
      <c r="I1673" t="s">
        <v>45</v>
      </c>
      <c r="J1673" t="s">
        <v>48</v>
      </c>
    </row>
    <row r="1674" spans="1:10">
      <c r="A1674" t="s">
        <v>2776</v>
      </c>
      <c r="B1674" t="s">
        <v>2777</v>
      </c>
      <c r="C1674" t="s">
        <v>132</v>
      </c>
      <c r="D1674" t="s">
        <v>73</v>
      </c>
      <c r="E1674">
        <v>-26953</v>
      </c>
      <c r="F1674" t="s">
        <v>74</v>
      </c>
      <c r="G1674" t="s">
        <v>24</v>
      </c>
      <c r="H1674" t="s">
        <v>25</v>
      </c>
      <c r="I1674" t="s">
        <v>26</v>
      </c>
      <c r="J1674" t="s">
        <v>48</v>
      </c>
    </row>
    <row r="1675" spans="1:10">
      <c r="A1675" t="s">
        <v>2778</v>
      </c>
      <c r="B1675" t="s">
        <v>359</v>
      </c>
      <c r="C1675" t="s">
        <v>66</v>
      </c>
      <c r="D1675" t="s">
        <v>61</v>
      </c>
      <c r="E1675">
        <v>-64081</v>
      </c>
      <c r="F1675" t="s">
        <v>62</v>
      </c>
      <c r="G1675" t="s">
        <v>24</v>
      </c>
      <c r="H1675" t="s">
        <v>63</v>
      </c>
      <c r="I1675" t="s">
        <v>45</v>
      </c>
      <c r="J1675" t="s">
        <v>48</v>
      </c>
    </row>
    <row r="1676" spans="1:10">
      <c r="A1676" t="s">
        <v>2779</v>
      </c>
      <c r="B1676" t="s">
        <v>2780</v>
      </c>
      <c r="C1676" t="s">
        <v>60</v>
      </c>
      <c r="D1676" t="s">
        <v>61</v>
      </c>
      <c r="E1676">
        <v>-39386</v>
      </c>
      <c r="F1676" t="s">
        <v>62</v>
      </c>
      <c r="G1676" t="s">
        <v>24</v>
      </c>
      <c r="H1676" t="s">
        <v>63</v>
      </c>
      <c r="I1676" t="s">
        <v>26</v>
      </c>
      <c r="J1676" t="s">
        <v>40</v>
      </c>
    </row>
    <row r="1677" spans="1:10">
      <c r="A1677" t="s">
        <v>2781</v>
      </c>
      <c r="B1677" t="s">
        <v>480</v>
      </c>
      <c r="C1677" t="s">
        <v>103</v>
      </c>
      <c r="D1677" t="s">
        <v>78</v>
      </c>
      <c r="E1677">
        <v>-48614</v>
      </c>
      <c r="F1677" t="s">
        <v>23</v>
      </c>
      <c r="G1677" t="s">
        <v>24</v>
      </c>
      <c r="H1677" t="s">
        <v>79</v>
      </c>
      <c r="I1677" t="s">
        <v>39</v>
      </c>
      <c r="J1677" t="s">
        <v>34</v>
      </c>
    </row>
    <row r="1678" spans="1:10">
      <c r="A1678" t="s">
        <v>2782</v>
      </c>
      <c r="B1678" t="s">
        <v>2519</v>
      </c>
      <c r="C1678" t="s">
        <v>103</v>
      </c>
      <c r="D1678" t="s">
        <v>78</v>
      </c>
      <c r="E1678">
        <v>-68961</v>
      </c>
      <c r="F1678" t="s">
        <v>23</v>
      </c>
      <c r="G1678" t="s">
        <v>24</v>
      </c>
      <c r="H1678" t="s">
        <v>79</v>
      </c>
      <c r="I1678" t="s">
        <v>26</v>
      </c>
      <c r="J1678" t="s">
        <v>27</v>
      </c>
    </row>
    <row r="1679" spans="1:10">
      <c r="A1679" t="s">
        <v>2783</v>
      </c>
      <c r="B1679" t="s">
        <v>1172</v>
      </c>
      <c r="C1679" t="s">
        <v>66</v>
      </c>
      <c r="D1679" t="s">
        <v>61</v>
      </c>
      <c r="E1679">
        <v>-19083</v>
      </c>
      <c r="F1679" t="s">
        <v>62</v>
      </c>
      <c r="G1679" t="s">
        <v>32</v>
      </c>
      <c r="H1679" t="s">
        <v>63</v>
      </c>
      <c r="I1679" t="s">
        <v>45</v>
      </c>
      <c r="J1679" t="s">
        <v>27</v>
      </c>
    </row>
    <row r="1680" spans="1:10">
      <c r="A1680" t="s">
        <v>2784</v>
      </c>
      <c r="B1680" t="s">
        <v>2785</v>
      </c>
      <c r="C1680" t="s">
        <v>129</v>
      </c>
      <c r="D1680" t="s">
        <v>38</v>
      </c>
      <c r="E1680">
        <v>-29356</v>
      </c>
      <c r="F1680" t="s">
        <v>23</v>
      </c>
      <c r="G1680" t="s">
        <v>24</v>
      </c>
      <c r="H1680" t="s">
        <v>33</v>
      </c>
      <c r="I1680" t="s">
        <v>26</v>
      </c>
      <c r="J1680" t="s">
        <v>48</v>
      </c>
    </row>
    <row r="1681" spans="1:10">
      <c r="A1681" t="s">
        <v>2786</v>
      </c>
      <c r="B1681" t="s">
        <v>282</v>
      </c>
      <c r="C1681" t="s">
        <v>2787</v>
      </c>
      <c r="D1681" t="s">
        <v>371</v>
      </c>
      <c r="E1681">
        <v>-78208</v>
      </c>
      <c r="F1681" t="s">
        <v>23</v>
      </c>
      <c r="G1681" t="s">
        <v>24</v>
      </c>
      <c r="H1681" t="s">
        <v>79</v>
      </c>
      <c r="I1681" t="s">
        <v>26</v>
      </c>
      <c r="J1681" t="s">
        <v>48</v>
      </c>
    </row>
    <row r="1682" spans="1:10">
      <c r="A1682" t="s">
        <v>2788</v>
      </c>
      <c r="B1682" t="s">
        <v>2789</v>
      </c>
      <c r="C1682" t="s">
        <v>215</v>
      </c>
      <c r="D1682" t="s">
        <v>61</v>
      </c>
      <c r="E1682">
        <v>-16372</v>
      </c>
      <c r="F1682" t="s">
        <v>62</v>
      </c>
      <c r="G1682" t="s">
        <v>24</v>
      </c>
      <c r="H1682" t="s">
        <v>63</v>
      </c>
      <c r="I1682" t="s">
        <v>26</v>
      </c>
      <c r="J1682" t="s">
        <v>27</v>
      </c>
    </row>
    <row r="1683" spans="1:10">
      <c r="A1683" t="s">
        <v>2790</v>
      </c>
      <c r="B1683" t="s">
        <v>905</v>
      </c>
      <c r="C1683" t="s">
        <v>271</v>
      </c>
      <c r="D1683" t="s">
        <v>73</v>
      </c>
      <c r="E1683">
        <v>-47132</v>
      </c>
      <c r="F1683" t="s">
        <v>74</v>
      </c>
      <c r="G1683" t="s">
        <v>24</v>
      </c>
      <c r="H1683" t="s">
        <v>25</v>
      </c>
      <c r="I1683" t="s">
        <v>26</v>
      </c>
      <c r="J1683" t="s">
        <v>34</v>
      </c>
    </row>
    <row r="1684" spans="1:10">
      <c r="A1684" t="s">
        <v>2791</v>
      </c>
      <c r="B1684" t="s">
        <v>184</v>
      </c>
      <c r="C1684" t="s">
        <v>30</v>
      </c>
      <c r="D1684" t="s">
        <v>31</v>
      </c>
      <c r="E1684">
        <v>-15222</v>
      </c>
      <c r="F1684" t="s">
        <v>23</v>
      </c>
      <c r="G1684" t="s">
        <v>32</v>
      </c>
      <c r="H1684" t="s">
        <v>33</v>
      </c>
      <c r="I1684" t="s">
        <v>39</v>
      </c>
      <c r="J1684" t="s">
        <v>34</v>
      </c>
    </row>
    <row r="1685" spans="1:10">
      <c r="A1685" t="s">
        <v>2792</v>
      </c>
      <c r="B1685" t="s">
        <v>2096</v>
      </c>
      <c r="C1685" t="s">
        <v>984</v>
      </c>
      <c r="D1685" t="s">
        <v>187</v>
      </c>
      <c r="E1685">
        <v>-41954</v>
      </c>
      <c r="F1685" t="s">
        <v>74</v>
      </c>
      <c r="G1685" t="s">
        <v>32</v>
      </c>
      <c r="H1685" t="s">
        <v>25</v>
      </c>
      <c r="I1685" t="s">
        <v>45</v>
      </c>
      <c r="J1685" t="s">
        <v>40</v>
      </c>
    </row>
    <row r="1686" spans="1:10">
      <c r="A1686" t="s">
        <v>2793</v>
      </c>
      <c r="B1686" t="s">
        <v>1641</v>
      </c>
      <c r="C1686" t="s">
        <v>271</v>
      </c>
      <c r="D1686" t="s">
        <v>73</v>
      </c>
      <c r="E1686">
        <v>-93404</v>
      </c>
      <c r="F1686" t="s">
        <v>74</v>
      </c>
      <c r="G1686" t="s">
        <v>24</v>
      </c>
      <c r="H1686" t="s">
        <v>25</v>
      </c>
      <c r="I1686" t="s">
        <v>26</v>
      </c>
      <c r="J1686" t="s">
        <v>40</v>
      </c>
    </row>
    <row r="1687" spans="1:10">
      <c r="A1687" t="s">
        <v>2794</v>
      </c>
      <c r="B1687" t="s">
        <v>2795</v>
      </c>
      <c r="C1687" t="s">
        <v>177</v>
      </c>
      <c r="D1687" t="s">
        <v>78</v>
      </c>
      <c r="E1687">
        <v>-89425</v>
      </c>
      <c r="F1687" t="s">
        <v>23</v>
      </c>
      <c r="G1687" t="s">
        <v>24</v>
      </c>
      <c r="H1687" t="s">
        <v>79</v>
      </c>
      <c r="I1687" t="s">
        <v>26</v>
      </c>
      <c r="J1687" t="s">
        <v>40</v>
      </c>
    </row>
    <row r="1688" spans="1:10">
      <c r="A1688" t="s">
        <v>2796</v>
      </c>
      <c r="B1688" t="s">
        <v>454</v>
      </c>
      <c r="C1688" t="s">
        <v>180</v>
      </c>
      <c r="D1688" t="s">
        <v>44</v>
      </c>
      <c r="E1688">
        <v>-46154</v>
      </c>
      <c r="F1688" t="s">
        <v>23</v>
      </c>
      <c r="G1688" t="s">
        <v>32</v>
      </c>
      <c r="H1688" t="s">
        <v>33</v>
      </c>
      <c r="I1688" t="s">
        <v>26</v>
      </c>
      <c r="J1688" t="s">
        <v>40</v>
      </c>
    </row>
    <row r="1689" spans="1:10">
      <c r="A1689" t="s">
        <v>2797</v>
      </c>
      <c r="B1689" t="s">
        <v>1391</v>
      </c>
      <c r="C1689" t="s">
        <v>103</v>
      </c>
      <c r="D1689" t="s">
        <v>78</v>
      </c>
      <c r="E1689">
        <v>-119273</v>
      </c>
      <c r="F1689" t="s">
        <v>23</v>
      </c>
      <c r="G1689" t="s">
        <v>32</v>
      </c>
      <c r="H1689" t="s">
        <v>79</v>
      </c>
      <c r="I1689" t="s">
        <v>45</v>
      </c>
      <c r="J1689" t="s">
        <v>34</v>
      </c>
    </row>
    <row r="1690" spans="1:10">
      <c r="A1690" t="s">
        <v>2798</v>
      </c>
      <c r="B1690" t="s">
        <v>128</v>
      </c>
      <c r="C1690" t="s">
        <v>2229</v>
      </c>
      <c r="E1690">
        <v>-58947</v>
      </c>
      <c r="F1690" t="s">
        <v>62</v>
      </c>
      <c r="G1690" t="s">
        <v>24</v>
      </c>
      <c r="H1690" t="s">
        <v>63</v>
      </c>
      <c r="I1690" t="s">
        <v>39</v>
      </c>
      <c r="J1690" t="s">
        <v>27</v>
      </c>
    </row>
    <row r="1691" spans="1:10">
      <c r="A1691" t="s">
        <v>2799</v>
      </c>
      <c r="B1691" t="s">
        <v>2800</v>
      </c>
      <c r="C1691" t="s">
        <v>100</v>
      </c>
      <c r="D1691" t="s">
        <v>31</v>
      </c>
      <c r="E1691">
        <v>-10793</v>
      </c>
      <c r="F1691" t="s">
        <v>23</v>
      </c>
      <c r="G1691" t="s">
        <v>24</v>
      </c>
      <c r="H1691" t="s">
        <v>33</v>
      </c>
      <c r="I1691" t="s">
        <v>39</v>
      </c>
      <c r="J1691" t="s">
        <v>40</v>
      </c>
    </row>
    <row r="1692" spans="1:10">
      <c r="A1692" t="s">
        <v>2801</v>
      </c>
      <c r="B1692" t="s">
        <v>557</v>
      </c>
      <c r="C1692" t="s">
        <v>180</v>
      </c>
      <c r="D1692" t="s">
        <v>44</v>
      </c>
      <c r="E1692">
        <v>-176459</v>
      </c>
      <c r="F1692" t="s">
        <v>23</v>
      </c>
      <c r="G1692" t="s">
        <v>24</v>
      </c>
      <c r="H1692" t="s">
        <v>33</v>
      </c>
      <c r="I1692" t="s">
        <v>39</v>
      </c>
      <c r="J1692" t="s">
        <v>48</v>
      </c>
    </row>
    <row r="1693" spans="1:10">
      <c r="A1693" t="s">
        <v>2802</v>
      </c>
      <c r="B1693" t="s">
        <v>2803</v>
      </c>
      <c r="C1693" t="s">
        <v>84</v>
      </c>
      <c r="D1693" t="s">
        <v>78</v>
      </c>
      <c r="E1693">
        <v>-57291</v>
      </c>
      <c r="F1693" t="s">
        <v>23</v>
      </c>
      <c r="G1693" t="s">
        <v>32</v>
      </c>
      <c r="H1693" t="s">
        <v>79</v>
      </c>
      <c r="I1693" t="s">
        <v>26</v>
      </c>
      <c r="J1693" t="s">
        <v>34</v>
      </c>
    </row>
    <row r="1694" spans="1:10">
      <c r="A1694" t="s">
        <v>2804</v>
      </c>
      <c r="B1694" t="s">
        <v>2805</v>
      </c>
      <c r="C1694" t="s">
        <v>166</v>
      </c>
      <c r="D1694" t="s">
        <v>31</v>
      </c>
      <c r="E1694">
        <v>-40535</v>
      </c>
      <c r="F1694" t="s">
        <v>23</v>
      </c>
      <c r="G1694" t="s">
        <v>24</v>
      </c>
      <c r="H1694" t="s">
        <v>33</v>
      </c>
      <c r="I1694" t="s">
        <v>39</v>
      </c>
      <c r="J1694" t="s">
        <v>48</v>
      </c>
    </row>
    <row r="1695" spans="1:10">
      <c r="A1695" t="s">
        <v>2806</v>
      </c>
      <c r="B1695" t="s">
        <v>1088</v>
      </c>
      <c r="C1695" t="s">
        <v>293</v>
      </c>
      <c r="D1695" t="s">
        <v>157</v>
      </c>
      <c r="E1695">
        <v>683495</v>
      </c>
      <c r="F1695" t="s">
        <v>62</v>
      </c>
      <c r="G1695" t="s">
        <v>32</v>
      </c>
      <c r="H1695" t="s">
        <v>25</v>
      </c>
      <c r="I1695" t="s">
        <v>39</v>
      </c>
      <c r="J1695" t="s">
        <v>27</v>
      </c>
    </row>
    <row r="1696" spans="1:10">
      <c r="A1696" t="s">
        <v>2807</v>
      </c>
      <c r="B1696" t="s">
        <v>1499</v>
      </c>
      <c r="C1696" t="s">
        <v>66</v>
      </c>
      <c r="D1696" t="s">
        <v>61</v>
      </c>
      <c r="E1696">
        <v>-54604</v>
      </c>
      <c r="F1696" t="s">
        <v>62</v>
      </c>
      <c r="G1696" t="s">
        <v>32</v>
      </c>
      <c r="H1696" t="s">
        <v>63</v>
      </c>
      <c r="I1696" t="s">
        <v>26</v>
      </c>
      <c r="J1696" t="s">
        <v>48</v>
      </c>
    </row>
    <row r="1697" spans="1:10">
      <c r="A1697" t="s">
        <v>2808</v>
      </c>
      <c r="B1697" t="s">
        <v>1239</v>
      </c>
      <c r="C1697" t="s">
        <v>37</v>
      </c>
      <c r="D1697" t="s">
        <v>38</v>
      </c>
      <c r="E1697">
        <v>-37655</v>
      </c>
      <c r="F1697" t="s">
        <v>23</v>
      </c>
      <c r="G1697" t="s">
        <v>24</v>
      </c>
      <c r="H1697" t="s">
        <v>33</v>
      </c>
      <c r="I1697" t="s">
        <v>45</v>
      </c>
      <c r="J1697" t="s">
        <v>27</v>
      </c>
    </row>
    <row r="1698" spans="1:10">
      <c r="A1698" t="s">
        <v>2809</v>
      </c>
      <c r="B1698" t="s">
        <v>1117</v>
      </c>
      <c r="C1698" t="s">
        <v>90</v>
      </c>
      <c r="D1698" t="s">
        <v>73</v>
      </c>
      <c r="E1698">
        <v>-58470</v>
      </c>
      <c r="F1698" t="s">
        <v>74</v>
      </c>
      <c r="G1698" t="s">
        <v>32</v>
      </c>
      <c r="H1698" t="s">
        <v>25</v>
      </c>
      <c r="I1698" t="s">
        <v>39</v>
      </c>
      <c r="J1698" t="s">
        <v>27</v>
      </c>
    </row>
    <row r="1699" spans="1:10">
      <c r="A1699" t="s">
        <v>2810</v>
      </c>
      <c r="B1699" t="s">
        <v>2717</v>
      </c>
      <c r="C1699" t="s">
        <v>169</v>
      </c>
      <c r="D1699" t="s">
        <v>73</v>
      </c>
      <c r="E1699">
        <v>-66790</v>
      </c>
      <c r="F1699" t="s">
        <v>74</v>
      </c>
      <c r="G1699" t="s">
        <v>32</v>
      </c>
      <c r="H1699" t="s">
        <v>25</v>
      </c>
      <c r="I1699" t="s">
        <v>26</v>
      </c>
      <c r="J1699" t="s">
        <v>40</v>
      </c>
    </row>
    <row r="1700" spans="1:10">
      <c r="A1700" t="s">
        <v>2811</v>
      </c>
      <c r="B1700" t="s">
        <v>1036</v>
      </c>
      <c r="C1700" t="s">
        <v>935</v>
      </c>
      <c r="D1700" t="s">
        <v>22</v>
      </c>
      <c r="E1700">
        <v>-93110</v>
      </c>
      <c r="F1700" t="s">
        <v>23</v>
      </c>
      <c r="G1700" t="s">
        <v>24</v>
      </c>
      <c r="H1700" t="s">
        <v>25</v>
      </c>
      <c r="I1700" t="s">
        <v>26</v>
      </c>
      <c r="J1700" t="s">
        <v>48</v>
      </c>
    </row>
    <row r="1701" spans="1:10">
      <c r="A1701" t="s">
        <v>2812</v>
      </c>
      <c r="B1701" t="s">
        <v>2813</v>
      </c>
      <c r="C1701" t="s">
        <v>116</v>
      </c>
      <c r="D1701" t="s">
        <v>73</v>
      </c>
      <c r="E1701">
        <v>-60274</v>
      </c>
      <c r="F1701" t="s">
        <v>74</v>
      </c>
      <c r="G1701" t="s">
        <v>32</v>
      </c>
      <c r="H1701" t="s">
        <v>25</v>
      </c>
      <c r="I1701" t="s">
        <v>39</v>
      </c>
      <c r="J1701" t="s">
        <v>40</v>
      </c>
    </row>
    <row r="1702" spans="1:10">
      <c r="A1702" t="s">
        <v>2814</v>
      </c>
      <c r="B1702" t="s">
        <v>2815</v>
      </c>
      <c r="C1702" t="s">
        <v>77</v>
      </c>
      <c r="D1702" t="s">
        <v>78</v>
      </c>
      <c r="E1702">
        <v>-65444</v>
      </c>
      <c r="F1702" t="s">
        <v>23</v>
      </c>
      <c r="G1702" t="s">
        <v>32</v>
      </c>
      <c r="H1702" t="s">
        <v>79</v>
      </c>
      <c r="I1702" t="s">
        <v>45</v>
      </c>
      <c r="J1702" t="s">
        <v>34</v>
      </c>
    </row>
    <row r="1703" spans="1:10">
      <c r="A1703" t="s">
        <v>2816</v>
      </c>
      <c r="B1703" t="s">
        <v>182</v>
      </c>
      <c r="C1703" t="s">
        <v>66</v>
      </c>
      <c r="D1703" t="s">
        <v>61</v>
      </c>
      <c r="E1703">
        <v>-47102</v>
      </c>
      <c r="F1703" t="s">
        <v>62</v>
      </c>
      <c r="G1703" t="s">
        <v>24</v>
      </c>
      <c r="H1703" t="s">
        <v>63</v>
      </c>
      <c r="I1703" t="s">
        <v>45</v>
      </c>
      <c r="J1703" t="s">
        <v>48</v>
      </c>
    </row>
    <row r="1704" spans="1:10">
      <c r="A1704" t="s">
        <v>2817</v>
      </c>
      <c r="B1704" t="s">
        <v>780</v>
      </c>
      <c r="C1704" t="s">
        <v>66</v>
      </c>
      <c r="D1704" t="s">
        <v>61</v>
      </c>
      <c r="E1704">
        <v>-46214</v>
      </c>
      <c r="F1704" t="s">
        <v>62</v>
      </c>
      <c r="G1704" t="s">
        <v>24</v>
      </c>
      <c r="H1704" t="s">
        <v>63</v>
      </c>
      <c r="I1704" t="s">
        <v>39</v>
      </c>
      <c r="J1704" t="s">
        <v>48</v>
      </c>
    </row>
    <row r="1705" spans="1:10">
      <c r="A1705" t="s">
        <v>2818</v>
      </c>
      <c r="B1705" t="s">
        <v>889</v>
      </c>
      <c r="C1705" t="s">
        <v>156</v>
      </c>
      <c r="D1705" t="s">
        <v>157</v>
      </c>
      <c r="E1705">
        <v>610287</v>
      </c>
      <c r="F1705" t="s">
        <v>62</v>
      </c>
      <c r="G1705" t="s">
        <v>32</v>
      </c>
      <c r="H1705" t="s">
        <v>25</v>
      </c>
      <c r="I1705" t="s">
        <v>45</v>
      </c>
      <c r="J1705" t="s">
        <v>27</v>
      </c>
    </row>
    <row r="1706" spans="1:10">
      <c r="A1706" t="s">
        <v>2819</v>
      </c>
      <c r="B1706" t="s">
        <v>1199</v>
      </c>
      <c r="C1706" t="s">
        <v>72</v>
      </c>
      <c r="D1706" t="s">
        <v>73</v>
      </c>
      <c r="E1706">
        <v>-33112</v>
      </c>
      <c r="F1706" t="s">
        <v>74</v>
      </c>
      <c r="G1706" t="s">
        <v>32</v>
      </c>
      <c r="H1706" t="s">
        <v>25</v>
      </c>
      <c r="I1706" t="s">
        <v>26</v>
      </c>
      <c r="J1706" t="s">
        <v>34</v>
      </c>
    </row>
    <row r="1707" spans="1:10">
      <c r="A1707" t="s">
        <v>2820</v>
      </c>
      <c r="B1707" t="s">
        <v>2821</v>
      </c>
      <c r="C1707" t="s">
        <v>687</v>
      </c>
      <c r="D1707" t="s">
        <v>44</v>
      </c>
      <c r="E1707">
        <v>-114173</v>
      </c>
      <c r="F1707" t="s">
        <v>23</v>
      </c>
      <c r="G1707" t="s">
        <v>32</v>
      </c>
      <c r="H1707" t="s">
        <v>33</v>
      </c>
      <c r="I1707" t="s">
        <v>45</v>
      </c>
      <c r="J1707" t="s">
        <v>40</v>
      </c>
    </row>
    <row r="1708" spans="1:10">
      <c r="A1708" t="s">
        <v>2822</v>
      </c>
      <c r="B1708" t="s">
        <v>604</v>
      </c>
      <c r="C1708" t="s">
        <v>1039</v>
      </c>
      <c r="D1708" t="s">
        <v>440</v>
      </c>
      <c r="E1708">
        <v>-127041</v>
      </c>
      <c r="F1708" t="s">
        <v>23</v>
      </c>
      <c r="G1708" t="s">
        <v>32</v>
      </c>
      <c r="H1708" t="s">
        <v>33</v>
      </c>
      <c r="I1708" t="s">
        <v>39</v>
      </c>
      <c r="J1708" t="s">
        <v>34</v>
      </c>
    </row>
    <row r="1709" spans="1:10">
      <c r="A1709" t="s">
        <v>2823</v>
      </c>
      <c r="B1709" t="s">
        <v>923</v>
      </c>
      <c r="C1709" t="s">
        <v>218</v>
      </c>
      <c r="D1709" t="s">
        <v>157</v>
      </c>
      <c r="E1709">
        <v>612483</v>
      </c>
      <c r="F1709" t="s">
        <v>62</v>
      </c>
      <c r="G1709" t="s">
        <v>32</v>
      </c>
      <c r="H1709" t="s">
        <v>25</v>
      </c>
      <c r="I1709" t="s">
        <v>26</v>
      </c>
      <c r="J1709" t="s">
        <v>48</v>
      </c>
    </row>
    <row r="1710" spans="1:10">
      <c r="A1710" t="s">
        <v>2824</v>
      </c>
      <c r="B1710" t="s">
        <v>1096</v>
      </c>
      <c r="C1710" t="s">
        <v>129</v>
      </c>
      <c r="D1710" t="s">
        <v>38</v>
      </c>
      <c r="E1710">
        <v>-53264</v>
      </c>
      <c r="F1710" t="s">
        <v>23</v>
      </c>
      <c r="G1710" t="s">
        <v>24</v>
      </c>
      <c r="H1710" t="s">
        <v>33</v>
      </c>
      <c r="I1710" t="s">
        <v>26</v>
      </c>
      <c r="J1710" t="s">
        <v>27</v>
      </c>
    </row>
    <row r="1711" spans="1:10">
      <c r="A1711" t="s">
        <v>2825</v>
      </c>
      <c r="B1711" t="s">
        <v>2826</v>
      </c>
      <c r="C1711" t="s">
        <v>212</v>
      </c>
      <c r="D1711" t="s">
        <v>302</v>
      </c>
      <c r="E1711">
        <v>-47692</v>
      </c>
      <c r="F1711" t="s">
        <v>74</v>
      </c>
      <c r="G1711" t="s">
        <v>32</v>
      </c>
      <c r="H1711" t="s">
        <v>25</v>
      </c>
      <c r="I1711" t="s">
        <v>26</v>
      </c>
      <c r="J1711" t="s">
        <v>27</v>
      </c>
    </row>
    <row r="1712" spans="1:10">
      <c r="A1712" t="s">
        <v>2827</v>
      </c>
      <c r="B1712" t="s">
        <v>705</v>
      </c>
      <c r="C1712" t="s">
        <v>51</v>
      </c>
      <c r="D1712" t="s">
        <v>31</v>
      </c>
      <c r="E1712">
        <v>-19502</v>
      </c>
      <c r="F1712" t="s">
        <v>23</v>
      </c>
      <c r="G1712" t="s">
        <v>32</v>
      </c>
      <c r="H1712" t="s">
        <v>33</v>
      </c>
      <c r="I1712" t="s">
        <v>26</v>
      </c>
      <c r="J1712" t="s">
        <v>40</v>
      </c>
    </row>
    <row r="1713" spans="1:10">
      <c r="A1713" t="s">
        <v>2828</v>
      </c>
      <c r="B1713" t="s">
        <v>2829</v>
      </c>
      <c r="C1713" t="s">
        <v>255</v>
      </c>
      <c r="D1713" t="s">
        <v>22</v>
      </c>
      <c r="E1713">
        <v>-121831</v>
      </c>
      <c r="F1713" t="s">
        <v>23</v>
      </c>
      <c r="G1713" t="s">
        <v>32</v>
      </c>
      <c r="H1713" t="s">
        <v>25</v>
      </c>
      <c r="I1713" t="s">
        <v>45</v>
      </c>
      <c r="J1713" t="s">
        <v>34</v>
      </c>
    </row>
    <row r="1714" spans="1:10">
      <c r="A1714" t="s">
        <v>2830</v>
      </c>
      <c r="B1714" t="s">
        <v>2826</v>
      </c>
      <c r="C1714" t="s">
        <v>212</v>
      </c>
      <c r="D1714" t="s">
        <v>302</v>
      </c>
      <c r="E1714">
        <v>-13611</v>
      </c>
      <c r="F1714" t="s">
        <v>74</v>
      </c>
      <c r="G1714" t="s">
        <v>32</v>
      </c>
      <c r="H1714" t="s">
        <v>25</v>
      </c>
      <c r="I1714" t="s">
        <v>26</v>
      </c>
      <c r="J1714" t="s">
        <v>27</v>
      </c>
    </row>
    <row r="1715" spans="1:10">
      <c r="A1715" t="s">
        <v>2831</v>
      </c>
      <c r="B1715" t="s">
        <v>754</v>
      </c>
      <c r="C1715" t="s">
        <v>802</v>
      </c>
      <c r="D1715" t="s">
        <v>440</v>
      </c>
      <c r="E1715">
        <v>-136033</v>
      </c>
      <c r="F1715" t="s">
        <v>23</v>
      </c>
      <c r="G1715" t="s">
        <v>32</v>
      </c>
      <c r="H1715" t="s">
        <v>33</v>
      </c>
      <c r="I1715" t="s">
        <v>45</v>
      </c>
      <c r="J1715" t="s">
        <v>27</v>
      </c>
    </row>
    <row r="1716" spans="1:10">
      <c r="A1716" t="s">
        <v>2832</v>
      </c>
      <c r="B1716" t="s">
        <v>1428</v>
      </c>
      <c r="C1716" t="s">
        <v>519</v>
      </c>
      <c r="D1716" t="s">
        <v>44</v>
      </c>
      <c r="E1716">
        <v>-87671</v>
      </c>
      <c r="F1716" t="s">
        <v>23</v>
      </c>
      <c r="G1716" t="s">
        <v>24</v>
      </c>
      <c r="H1716" t="s">
        <v>33</v>
      </c>
      <c r="I1716" t="s">
        <v>39</v>
      </c>
      <c r="J1716" t="s">
        <v>34</v>
      </c>
    </row>
    <row r="1717" spans="1:10">
      <c r="A1717" t="s">
        <v>2833</v>
      </c>
      <c r="B1717" t="s">
        <v>2834</v>
      </c>
      <c r="C1717" t="s">
        <v>266</v>
      </c>
      <c r="D1717" t="s">
        <v>73</v>
      </c>
      <c r="E1717">
        <v>-10575</v>
      </c>
      <c r="F1717" t="s">
        <v>74</v>
      </c>
      <c r="G1717" t="s">
        <v>32</v>
      </c>
      <c r="H1717" t="s">
        <v>25</v>
      </c>
      <c r="I1717" t="s">
        <v>39</v>
      </c>
      <c r="J1717" t="s">
        <v>40</v>
      </c>
    </row>
    <row r="1718" spans="1:10">
      <c r="A1718" t="s">
        <v>2835</v>
      </c>
      <c r="B1718" t="s">
        <v>635</v>
      </c>
      <c r="C1718" t="s">
        <v>57</v>
      </c>
      <c r="D1718" t="s">
        <v>388</v>
      </c>
      <c r="E1718">
        <v>-123792</v>
      </c>
      <c r="F1718" t="s">
        <v>23</v>
      </c>
      <c r="G1718" t="s">
        <v>24</v>
      </c>
      <c r="H1718" t="s">
        <v>33</v>
      </c>
      <c r="I1718" t="s">
        <v>26</v>
      </c>
      <c r="J1718" t="s">
        <v>34</v>
      </c>
    </row>
    <row r="1719" spans="1:10">
      <c r="A1719" t="s">
        <v>2836</v>
      </c>
      <c r="B1719" t="s">
        <v>819</v>
      </c>
      <c r="C1719" t="s">
        <v>177</v>
      </c>
      <c r="D1719" t="s">
        <v>371</v>
      </c>
      <c r="E1719">
        <v>-28493</v>
      </c>
      <c r="F1719" t="s">
        <v>23</v>
      </c>
      <c r="G1719" t="s">
        <v>32</v>
      </c>
      <c r="H1719" t="s">
        <v>79</v>
      </c>
      <c r="I1719" t="s">
        <v>39</v>
      </c>
      <c r="J1719" t="s">
        <v>34</v>
      </c>
    </row>
    <row r="1720" spans="1:10">
      <c r="A1720" t="s">
        <v>2837</v>
      </c>
      <c r="B1720" t="s">
        <v>2829</v>
      </c>
      <c r="C1720" t="s">
        <v>215</v>
      </c>
      <c r="D1720" t="s">
        <v>61</v>
      </c>
      <c r="E1720">
        <v>-37555</v>
      </c>
      <c r="F1720" t="s">
        <v>62</v>
      </c>
      <c r="G1720" t="s">
        <v>24</v>
      </c>
      <c r="H1720" t="s">
        <v>63</v>
      </c>
      <c r="I1720" t="s">
        <v>45</v>
      </c>
      <c r="J1720" t="s">
        <v>34</v>
      </c>
    </row>
    <row r="1721" spans="1:10">
      <c r="A1721" t="s">
        <v>2838</v>
      </c>
      <c r="B1721" t="s">
        <v>2839</v>
      </c>
      <c r="C1721" t="s">
        <v>215</v>
      </c>
      <c r="D1721" t="s">
        <v>61</v>
      </c>
      <c r="E1721">
        <v>-55928</v>
      </c>
      <c r="F1721" t="s">
        <v>62</v>
      </c>
      <c r="G1721" t="s">
        <v>32</v>
      </c>
      <c r="H1721" t="s">
        <v>63</v>
      </c>
      <c r="I1721" t="s">
        <v>45</v>
      </c>
      <c r="J1721" t="s">
        <v>34</v>
      </c>
    </row>
    <row r="1722" spans="1:10">
      <c r="A1722" t="s">
        <v>2840</v>
      </c>
      <c r="B1722" t="s">
        <v>2367</v>
      </c>
      <c r="C1722" t="s">
        <v>77</v>
      </c>
      <c r="D1722" t="s">
        <v>371</v>
      </c>
      <c r="E1722">
        <v>-62212</v>
      </c>
      <c r="F1722" t="s">
        <v>23</v>
      </c>
      <c r="G1722" t="s">
        <v>24</v>
      </c>
      <c r="H1722" t="s">
        <v>79</v>
      </c>
      <c r="I1722" t="s">
        <v>45</v>
      </c>
      <c r="J1722" t="s">
        <v>34</v>
      </c>
    </row>
    <row r="1723" spans="1:10">
      <c r="A1723" t="s">
        <v>2841</v>
      </c>
      <c r="B1723" t="s">
        <v>228</v>
      </c>
      <c r="C1723" t="s">
        <v>51</v>
      </c>
      <c r="D1723" t="s">
        <v>31</v>
      </c>
      <c r="E1723">
        <v>-33783</v>
      </c>
      <c r="F1723" t="s">
        <v>23</v>
      </c>
      <c r="G1723" t="s">
        <v>24</v>
      </c>
      <c r="H1723" t="s">
        <v>33</v>
      </c>
      <c r="I1723" t="s">
        <v>26</v>
      </c>
      <c r="J1723" t="s">
        <v>40</v>
      </c>
    </row>
    <row r="1724" spans="1:10">
      <c r="A1724" t="s">
        <v>1842</v>
      </c>
      <c r="B1724" t="s">
        <v>1823</v>
      </c>
      <c r="C1724" t="s">
        <v>100</v>
      </c>
      <c r="D1724" t="s">
        <v>31</v>
      </c>
      <c r="E1724">
        <v>-20243</v>
      </c>
      <c r="F1724" t="s">
        <v>23</v>
      </c>
      <c r="G1724" t="s">
        <v>32</v>
      </c>
      <c r="H1724" t="s">
        <v>33</v>
      </c>
      <c r="I1724" t="s">
        <v>26</v>
      </c>
      <c r="J1724" t="s">
        <v>40</v>
      </c>
    </row>
    <row r="1725" spans="1:10">
      <c r="A1725" t="s">
        <v>2842</v>
      </c>
      <c r="B1725" t="s">
        <v>1207</v>
      </c>
      <c r="C1725" t="s">
        <v>224</v>
      </c>
      <c r="D1725" t="s">
        <v>78</v>
      </c>
      <c r="E1725">
        <v>-116279</v>
      </c>
      <c r="F1725" t="s">
        <v>23</v>
      </c>
      <c r="G1725" t="s">
        <v>24</v>
      </c>
      <c r="H1725" t="s">
        <v>79</v>
      </c>
      <c r="I1725" t="s">
        <v>45</v>
      </c>
      <c r="J1725" t="s">
        <v>48</v>
      </c>
    </row>
    <row r="1726" spans="1:10">
      <c r="A1726" t="s">
        <v>2843</v>
      </c>
      <c r="B1726" t="s">
        <v>1163</v>
      </c>
      <c r="C1726" t="s">
        <v>166</v>
      </c>
      <c r="D1726" t="s">
        <v>31</v>
      </c>
      <c r="E1726">
        <v>-24629</v>
      </c>
      <c r="F1726" t="s">
        <v>23</v>
      </c>
      <c r="G1726" t="s">
        <v>32</v>
      </c>
      <c r="H1726" t="s">
        <v>33</v>
      </c>
      <c r="I1726" t="s">
        <v>45</v>
      </c>
      <c r="J1726" t="s">
        <v>27</v>
      </c>
    </row>
    <row r="1727" spans="1:10">
      <c r="A1727" t="s">
        <v>2844</v>
      </c>
      <c r="B1727" t="s">
        <v>2845</v>
      </c>
      <c r="C1727" t="s">
        <v>439</v>
      </c>
      <c r="D1727" t="s">
        <v>440</v>
      </c>
      <c r="E1727">
        <v>-120507</v>
      </c>
      <c r="F1727" t="s">
        <v>23</v>
      </c>
      <c r="G1727" t="s">
        <v>32</v>
      </c>
      <c r="H1727" t="s">
        <v>33</v>
      </c>
      <c r="I1727" t="s">
        <v>39</v>
      </c>
      <c r="J1727" t="s">
        <v>34</v>
      </c>
    </row>
    <row r="1728" spans="1:10">
      <c r="A1728" t="s">
        <v>2846</v>
      </c>
      <c r="B1728" t="s">
        <v>2773</v>
      </c>
      <c r="C1728" t="s">
        <v>30</v>
      </c>
      <c r="D1728" t="s">
        <v>31</v>
      </c>
      <c r="E1728">
        <v>-26222</v>
      </c>
      <c r="F1728" t="s">
        <v>23</v>
      </c>
      <c r="G1728" t="s">
        <v>24</v>
      </c>
      <c r="H1728" t="s">
        <v>33</v>
      </c>
      <c r="I1728" t="s">
        <v>26</v>
      </c>
      <c r="J1728" t="s">
        <v>34</v>
      </c>
    </row>
    <row r="1729" spans="1:10">
      <c r="A1729" t="s">
        <v>609</v>
      </c>
      <c r="B1729" t="s">
        <v>159</v>
      </c>
      <c r="C1729" t="s">
        <v>54</v>
      </c>
      <c r="E1729">
        <v>-44987</v>
      </c>
      <c r="F1729" t="s">
        <v>23</v>
      </c>
      <c r="G1729" t="s">
        <v>24</v>
      </c>
      <c r="H1729" t="s">
        <v>33</v>
      </c>
      <c r="I1729" t="s">
        <v>26</v>
      </c>
      <c r="J1729" t="s">
        <v>34</v>
      </c>
    </row>
    <row r="1730" spans="1:10">
      <c r="A1730" t="s">
        <v>2847</v>
      </c>
      <c r="B1730" t="s">
        <v>1940</v>
      </c>
      <c r="C1730" t="s">
        <v>305</v>
      </c>
      <c r="D1730" t="s">
        <v>38</v>
      </c>
      <c r="E1730">
        <v>-45049</v>
      </c>
      <c r="F1730" t="s">
        <v>23</v>
      </c>
      <c r="G1730" t="s">
        <v>32</v>
      </c>
      <c r="H1730" t="s">
        <v>33</v>
      </c>
      <c r="I1730" t="s">
        <v>45</v>
      </c>
      <c r="J1730" t="s">
        <v>27</v>
      </c>
    </row>
    <row r="1731" spans="1:10">
      <c r="A1731" t="s">
        <v>2848</v>
      </c>
      <c r="B1731" t="s">
        <v>1088</v>
      </c>
      <c r="C1731" t="s">
        <v>519</v>
      </c>
      <c r="D1731" t="s">
        <v>44</v>
      </c>
      <c r="E1731">
        <v>-76768</v>
      </c>
      <c r="F1731" t="s">
        <v>23</v>
      </c>
      <c r="G1731" t="s">
        <v>24</v>
      </c>
      <c r="H1731" t="s">
        <v>33</v>
      </c>
      <c r="I1731" t="s">
        <v>39</v>
      </c>
      <c r="J1731" t="s">
        <v>27</v>
      </c>
    </row>
    <row r="1732" spans="1:10">
      <c r="A1732" t="s">
        <v>2849</v>
      </c>
      <c r="B1732" t="s">
        <v>595</v>
      </c>
      <c r="C1732" t="s">
        <v>51</v>
      </c>
      <c r="D1732" t="s">
        <v>31</v>
      </c>
      <c r="E1732">
        <v>-18438</v>
      </c>
      <c r="F1732" t="s">
        <v>23</v>
      </c>
      <c r="G1732" t="s">
        <v>24</v>
      </c>
      <c r="H1732" t="s">
        <v>33</v>
      </c>
      <c r="I1732" t="s">
        <v>39</v>
      </c>
      <c r="J1732" t="s">
        <v>48</v>
      </c>
    </row>
    <row r="1733" spans="1:10">
      <c r="A1733" t="s">
        <v>2850</v>
      </c>
      <c r="B1733" t="s">
        <v>2851</v>
      </c>
      <c r="C1733" t="s">
        <v>215</v>
      </c>
      <c r="D1733" t="s">
        <v>61</v>
      </c>
      <c r="E1733">
        <v>-12606</v>
      </c>
      <c r="F1733" t="s">
        <v>62</v>
      </c>
      <c r="G1733" t="s">
        <v>24</v>
      </c>
      <c r="H1733" t="s">
        <v>63</v>
      </c>
      <c r="I1733" t="s">
        <v>45</v>
      </c>
      <c r="J1733" t="s">
        <v>48</v>
      </c>
    </row>
    <row r="1734" spans="1:10">
      <c r="A1734" t="s">
        <v>2852</v>
      </c>
      <c r="B1734" t="s">
        <v>1887</v>
      </c>
      <c r="C1734" t="s">
        <v>69</v>
      </c>
      <c r="D1734" t="s">
        <v>38</v>
      </c>
      <c r="E1734">
        <v>-36734</v>
      </c>
      <c r="F1734" t="s">
        <v>23</v>
      </c>
      <c r="G1734" t="s">
        <v>24</v>
      </c>
      <c r="H1734" t="s">
        <v>33</v>
      </c>
      <c r="I1734" t="s">
        <v>26</v>
      </c>
      <c r="J1734" t="s">
        <v>40</v>
      </c>
    </row>
    <row r="1735" spans="1:10">
      <c r="A1735" t="s">
        <v>2853</v>
      </c>
      <c r="B1735" t="s">
        <v>2017</v>
      </c>
      <c r="C1735" t="s">
        <v>60</v>
      </c>
      <c r="D1735" t="s">
        <v>61</v>
      </c>
      <c r="E1735">
        <v>-57258</v>
      </c>
      <c r="F1735" t="s">
        <v>62</v>
      </c>
      <c r="G1735" t="s">
        <v>24</v>
      </c>
      <c r="H1735" t="s">
        <v>63</v>
      </c>
      <c r="I1735" t="s">
        <v>26</v>
      </c>
      <c r="J1735" t="s">
        <v>48</v>
      </c>
    </row>
    <row r="1736" spans="1:10">
      <c r="A1736" t="s">
        <v>2854</v>
      </c>
      <c r="B1736" t="s">
        <v>2855</v>
      </c>
      <c r="C1736" t="s">
        <v>72</v>
      </c>
      <c r="D1736" t="s">
        <v>73</v>
      </c>
      <c r="E1736">
        <v>-14460</v>
      </c>
      <c r="F1736" t="s">
        <v>74</v>
      </c>
      <c r="G1736" t="s">
        <v>24</v>
      </c>
      <c r="H1736" t="s">
        <v>25</v>
      </c>
      <c r="I1736" t="s">
        <v>26</v>
      </c>
      <c r="J1736" t="s">
        <v>40</v>
      </c>
    </row>
    <row r="1737" spans="1:10">
      <c r="A1737" t="s">
        <v>2856</v>
      </c>
      <c r="B1737" t="s">
        <v>2319</v>
      </c>
      <c r="C1737" t="s">
        <v>305</v>
      </c>
      <c r="E1737">
        <v>-37706</v>
      </c>
      <c r="F1737" t="s">
        <v>23</v>
      </c>
      <c r="G1737" t="s">
        <v>24</v>
      </c>
      <c r="H1737" t="s">
        <v>33</v>
      </c>
      <c r="I1737" t="s">
        <v>26</v>
      </c>
      <c r="J1737" t="s">
        <v>48</v>
      </c>
    </row>
    <row r="1738" spans="1:10">
      <c r="A1738" t="s">
        <v>2857</v>
      </c>
      <c r="B1738" t="s">
        <v>2858</v>
      </c>
      <c r="C1738" t="s">
        <v>180</v>
      </c>
      <c r="D1738" t="s">
        <v>44</v>
      </c>
      <c r="E1738">
        <v>-113209</v>
      </c>
      <c r="F1738" t="s">
        <v>23</v>
      </c>
      <c r="G1738" t="s">
        <v>32</v>
      </c>
      <c r="H1738" t="s">
        <v>33</v>
      </c>
      <c r="I1738" t="s">
        <v>39</v>
      </c>
      <c r="J1738" t="s">
        <v>48</v>
      </c>
    </row>
    <row r="1739" spans="1:10">
      <c r="A1739" t="s">
        <v>2859</v>
      </c>
      <c r="B1739" t="s">
        <v>836</v>
      </c>
      <c r="C1739" t="s">
        <v>30</v>
      </c>
      <c r="D1739" t="s">
        <v>31</v>
      </c>
      <c r="E1739">
        <v>-22121</v>
      </c>
      <c r="F1739" t="s">
        <v>23</v>
      </c>
      <c r="G1739" t="s">
        <v>32</v>
      </c>
      <c r="H1739" t="s">
        <v>33</v>
      </c>
      <c r="I1739" t="s">
        <v>26</v>
      </c>
      <c r="J1739" t="s">
        <v>48</v>
      </c>
    </row>
    <row r="1740" spans="1:10">
      <c r="A1740" t="s">
        <v>2860</v>
      </c>
      <c r="B1740" t="s">
        <v>2126</v>
      </c>
      <c r="C1740" t="s">
        <v>60</v>
      </c>
      <c r="D1740" t="s">
        <v>61</v>
      </c>
      <c r="E1740">
        <v>-54749</v>
      </c>
      <c r="F1740" t="s">
        <v>62</v>
      </c>
      <c r="G1740" t="s">
        <v>32</v>
      </c>
      <c r="H1740" t="s">
        <v>63</v>
      </c>
      <c r="I1740" t="s">
        <v>26</v>
      </c>
      <c r="J1740" t="s">
        <v>40</v>
      </c>
    </row>
    <row r="1741" spans="1:10">
      <c r="A1741" t="s">
        <v>2861</v>
      </c>
      <c r="B1741" t="s">
        <v>1199</v>
      </c>
      <c r="C1741" t="s">
        <v>293</v>
      </c>
      <c r="D1741" t="s">
        <v>157</v>
      </c>
      <c r="E1741">
        <v>493640</v>
      </c>
      <c r="F1741" t="s">
        <v>62</v>
      </c>
      <c r="G1741" t="s">
        <v>32</v>
      </c>
      <c r="H1741" t="s">
        <v>25</v>
      </c>
      <c r="I1741" t="s">
        <v>26</v>
      </c>
      <c r="J1741" t="s">
        <v>34</v>
      </c>
    </row>
    <row r="1742" spans="1:10">
      <c r="A1742" t="s">
        <v>2862</v>
      </c>
      <c r="B1742" t="s">
        <v>1463</v>
      </c>
      <c r="C1742" t="s">
        <v>2863</v>
      </c>
      <c r="D1742" t="s">
        <v>78</v>
      </c>
      <c r="E1742">
        <v>-47853</v>
      </c>
      <c r="F1742" t="s">
        <v>23</v>
      </c>
      <c r="G1742" t="s">
        <v>32</v>
      </c>
      <c r="H1742" t="s">
        <v>79</v>
      </c>
      <c r="I1742" t="s">
        <v>26</v>
      </c>
      <c r="J1742" t="s">
        <v>34</v>
      </c>
    </row>
    <row r="1743" spans="1:10">
      <c r="A1743" t="s">
        <v>2864</v>
      </c>
      <c r="B1743" t="s">
        <v>1971</v>
      </c>
      <c r="C1743" t="s">
        <v>766</v>
      </c>
      <c r="D1743" t="s">
        <v>73</v>
      </c>
      <c r="E1743">
        <v>-17702</v>
      </c>
      <c r="F1743" t="s">
        <v>74</v>
      </c>
      <c r="G1743" t="s">
        <v>32</v>
      </c>
      <c r="H1743" t="s">
        <v>25</v>
      </c>
      <c r="I1743" t="s">
        <v>39</v>
      </c>
      <c r="J1743" t="s">
        <v>40</v>
      </c>
    </row>
    <row r="1744" spans="1:10">
      <c r="A1744" t="s">
        <v>2865</v>
      </c>
      <c r="B1744" t="s">
        <v>2266</v>
      </c>
      <c r="C1744" t="s">
        <v>255</v>
      </c>
      <c r="D1744" t="s">
        <v>22</v>
      </c>
      <c r="E1744">
        <v>-100755</v>
      </c>
      <c r="F1744" t="s">
        <v>23</v>
      </c>
      <c r="G1744" t="s">
        <v>24</v>
      </c>
      <c r="H1744" t="s">
        <v>25</v>
      </c>
      <c r="I1744" t="s">
        <v>26</v>
      </c>
      <c r="J1744" t="s">
        <v>27</v>
      </c>
    </row>
    <row r="1745" spans="1:10">
      <c r="A1745" t="s">
        <v>2866</v>
      </c>
      <c r="B1745" t="s">
        <v>670</v>
      </c>
      <c r="C1745" t="s">
        <v>2867</v>
      </c>
      <c r="D1745" t="s">
        <v>440</v>
      </c>
      <c r="E1745">
        <v>-122755</v>
      </c>
      <c r="F1745" t="s">
        <v>23</v>
      </c>
      <c r="G1745" t="s">
        <v>32</v>
      </c>
      <c r="H1745" t="s">
        <v>33</v>
      </c>
      <c r="I1745" t="s">
        <v>39</v>
      </c>
      <c r="J1745" t="s">
        <v>40</v>
      </c>
    </row>
    <row r="1746" spans="1:10">
      <c r="A1746" t="s">
        <v>2868</v>
      </c>
      <c r="B1746" t="s">
        <v>1180</v>
      </c>
      <c r="C1746" t="s">
        <v>215</v>
      </c>
      <c r="D1746" t="s">
        <v>61</v>
      </c>
      <c r="E1746">
        <v>-33501</v>
      </c>
      <c r="F1746" t="s">
        <v>62</v>
      </c>
      <c r="G1746" t="s">
        <v>32</v>
      </c>
      <c r="H1746" t="s">
        <v>63</v>
      </c>
      <c r="I1746" t="s">
        <v>39</v>
      </c>
      <c r="J1746" t="s">
        <v>40</v>
      </c>
    </row>
    <row r="1747" spans="1:10">
      <c r="A1747" t="s">
        <v>2869</v>
      </c>
      <c r="B1747" t="s">
        <v>842</v>
      </c>
      <c r="C1747" t="s">
        <v>103</v>
      </c>
      <c r="D1747" t="s">
        <v>78</v>
      </c>
      <c r="E1747">
        <v>-81296</v>
      </c>
      <c r="F1747" t="s">
        <v>23</v>
      </c>
      <c r="G1747" t="s">
        <v>32</v>
      </c>
      <c r="H1747" t="s">
        <v>79</v>
      </c>
      <c r="I1747" t="s">
        <v>45</v>
      </c>
      <c r="J1747" t="s">
        <v>40</v>
      </c>
    </row>
    <row r="1748" spans="1:10">
      <c r="A1748" t="s">
        <v>2870</v>
      </c>
      <c r="B1748" t="s">
        <v>568</v>
      </c>
      <c r="C1748" t="s">
        <v>60</v>
      </c>
      <c r="D1748" t="s">
        <v>61</v>
      </c>
      <c r="E1748">
        <v>-13790</v>
      </c>
      <c r="F1748" t="s">
        <v>62</v>
      </c>
      <c r="G1748" t="s">
        <v>24</v>
      </c>
      <c r="H1748" t="s">
        <v>63</v>
      </c>
      <c r="I1748" t="s">
        <v>39</v>
      </c>
      <c r="J1748" t="s">
        <v>27</v>
      </c>
    </row>
    <row r="1749" spans="1:10">
      <c r="A1749" t="s">
        <v>2871</v>
      </c>
      <c r="B1749" t="s">
        <v>2872</v>
      </c>
      <c r="C1749" t="s">
        <v>84</v>
      </c>
      <c r="D1749" t="s">
        <v>78</v>
      </c>
      <c r="E1749">
        <v>-72619</v>
      </c>
      <c r="F1749" t="s">
        <v>23</v>
      </c>
      <c r="G1749" t="s">
        <v>24</v>
      </c>
      <c r="H1749" t="s">
        <v>79</v>
      </c>
      <c r="I1749" t="s">
        <v>26</v>
      </c>
      <c r="J1749" t="s">
        <v>34</v>
      </c>
    </row>
    <row r="1750" spans="1:10">
      <c r="A1750" t="s">
        <v>2873</v>
      </c>
      <c r="B1750" t="s">
        <v>710</v>
      </c>
      <c r="C1750" t="s">
        <v>202</v>
      </c>
      <c r="D1750" t="s">
        <v>22</v>
      </c>
      <c r="E1750">
        <v>-185495</v>
      </c>
      <c r="F1750" t="s">
        <v>23</v>
      </c>
      <c r="G1750" t="s">
        <v>32</v>
      </c>
      <c r="H1750" t="s">
        <v>25</v>
      </c>
      <c r="I1750" t="s">
        <v>26</v>
      </c>
      <c r="J1750" t="s">
        <v>27</v>
      </c>
    </row>
    <row r="1751" spans="1:10">
      <c r="A1751" t="s">
        <v>2874</v>
      </c>
      <c r="B1751" t="s">
        <v>2789</v>
      </c>
      <c r="C1751" t="s">
        <v>215</v>
      </c>
      <c r="D1751" t="s">
        <v>61</v>
      </c>
      <c r="E1751">
        <v>-32824</v>
      </c>
      <c r="F1751" t="s">
        <v>62</v>
      </c>
      <c r="G1751" t="s">
        <v>24</v>
      </c>
      <c r="H1751" t="s">
        <v>63</v>
      </c>
      <c r="I1751" t="s">
        <v>26</v>
      </c>
      <c r="J1751" t="s">
        <v>27</v>
      </c>
    </row>
    <row r="1752" spans="1:10">
      <c r="A1752" t="s">
        <v>2875</v>
      </c>
      <c r="B1752" t="s">
        <v>2777</v>
      </c>
      <c r="C1752" t="s">
        <v>406</v>
      </c>
      <c r="D1752" t="s">
        <v>111</v>
      </c>
      <c r="E1752">
        <v>-90110</v>
      </c>
      <c r="F1752" t="s">
        <v>74</v>
      </c>
      <c r="G1752" t="s">
        <v>32</v>
      </c>
      <c r="H1752" t="s">
        <v>25</v>
      </c>
      <c r="I1752" t="s">
        <v>26</v>
      </c>
      <c r="J1752" t="s">
        <v>48</v>
      </c>
    </row>
    <row r="1753" spans="1:10">
      <c r="A1753" t="s">
        <v>2876</v>
      </c>
      <c r="B1753" t="s">
        <v>2299</v>
      </c>
      <c r="C1753" t="s">
        <v>87</v>
      </c>
      <c r="D1753" t="s">
        <v>22</v>
      </c>
      <c r="E1753">
        <v>-125806</v>
      </c>
      <c r="F1753" t="s">
        <v>23</v>
      </c>
      <c r="G1753" t="s">
        <v>24</v>
      </c>
      <c r="H1753" t="s">
        <v>25</v>
      </c>
      <c r="I1753" t="s">
        <v>26</v>
      </c>
      <c r="J1753" t="s">
        <v>27</v>
      </c>
    </row>
    <row r="1754" spans="1:10">
      <c r="A1754" t="s">
        <v>2877</v>
      </c>
      <c r="B1754" t="s">
        <v>2878</v>
      </c>
      <c r="C1754" t="s">
        <v>215</v>
      </c>
      <c r="D1754" t="s">
        <v>61</v>
      </c>
      <c r="E1754">
        <v>-14112</v>
      </c>
      <c r="F1754" t="s">
        <v>62</v>
      </c>
      <c r="G1754" t="s">
        <v>32</v>
      </c>
      <c r="H1754" t="s">
        <v>63</v>
      </c>
      <c r="I1754" t="s">
        <v>26</v>
      </c>
      <c r="J1754" t="s">
        <v>40</v>
      </c>
    </row>
    <row r="1755" spans="1:10">
      <c r="A1755" t="s">
        <v>2879</v>
      </c>
      <c r="B1755" t="s">
        <v>1971</v>
      </c>
      <c r="C1755" t="s">
        <v>66</v>
      </c>
      <c r="D1755" t="s">
        <v>61</v>
      </c>
      <c r="E1755">
        <v>-40785</v>
      </c>
      <c r="F1755" t="s">
        <v>62</v>
      </c>
      <c r="G1755" t="s">
        <v>24</v>
      </c>
      <c r="H1755" t="s">
        <v>63</v>
      </c>
      <c r="I1755" t="s">
        <v>39</v>
      </c>
      <c r="J1755" t="s">
        <v>40</v>
      </c>
    </row>
    <row r="1756" spans="1:10">
      <c r="A1756" t="s">
        <v>2880</v>
      </c>
      <c r="B1756" t="s">
        <v>324</v>
      </c>
      <c r="C1756" t="s">
        <v>57</v>
      </c>
      <c r="D1756" t="s">
        <v>44</v>
      </c>
      <c r="E1756">
        <v>-151987</v>
      </c>
      <c r="F1756" t="s">
        <v>23</v>
      </c>
      <c r="G1756" t="s">
        <v>32</v>
      </c>
      <c r="H1756" t="s">
        <v>33</v>
      </c>
      <c r="I1756" t="s">
        <v>26</v>
      </c>
      <c r="J1756" t="s">
        <v>34</v>
      </c>
    </row>
    <row r="1757" spans="1:10">
      <c r="A1757" t="s">
        <v>2881</v>
      </c>
      <c r="B1757" t="s">
        <v>618</v>
      </c>
      <c r="C1757" t="s">
        <v>60</v>
      </c>
      <c r="D1757" t="s">
        <v>61</v>
      </c>
      <c r="E1757">
        <v>-63166</v>
      </c>
      <c r="F1757" t="s">
        <v>62</v>
      </c>
      <c r="G1757" t="s">
        <v>32</v>
      </c>
      <c r="H1757" t="s">
        <v>63</v>
      </c>
      <c r="I1757" t="s">
        <v>26</v>
      </c>
      <c r="J1757" t="s">
        <v>40</v>
      </c>
    </row>
    <row r="1758" spans="1:10">
      <c r="A1758" t="s">
        <v>2882</v>
      </c>
      <c r="B1758" t="s">
        <v>1051</v>
      </c>
      <c r="C1758" t="s">
        <v>935</v>
      </c>
      <c r="D1758" t="s">
        <v>22</v>
      </c>
      <c r="E1758">
        <v>-100594</v>
      </c>
      <c r="F1758" t="s">
        <v>23</v>
      </c>
      <c r="G1758" t="s">
        <v>32</v>
      </c>
      <c r="H1758" t="s">
        <v>25</v>
      </c>
      <c r="I1758" t="s">
        <v>39</v>
      </c>
      <c r="J1758" t="s">
        <v>34</v>
      </c>
    </row>
    <row r="1759" spans="1:10">
      <c r="A1759" t="s">
        <v>2883</v>
      </c>
      <c r="B1759" t="s">
        <v>2884</v>
      </c>
      <c r="C1759" t="s">
        <v>106</v>
      </c>
      <c r="D1759" t="s">
        <v>31</v>
      </c>
      <c r="E1759">
        <v>-10777</v>
      </c>
      <c r="F1759" t="s">
        <v>23</v>
      </c>
      <c r="G1759" t="s">
        <v>24</v>
      </c>
      <c r="H1759" t="s">
        <v>33</v>
      </c>
      <c r="I1759" t="s">
        <v>45</v>
      </c>
      <c r="J1759" t="s">
        <v>40</v>
      </c>
    </row>
    <row r="1760" spans="1:10">
      <c r="A1760" t="s">
        <v>2885</v>
      </c>
      <c r="B1760" t="s">
        <v>2886</v>
      </c>
      <c r="C1760" t="s">
        <v>87</v>
      </c>
      <c r="D1760" t="s">
        <v>193</v>
      </c>
      <c r="E1760">
        <v>-204375</v>
      </c>
      <c r="F1760" t="s">
        <v>23</v>
      </c>
      <c r="G1760" t="s">
        <v>24</v>
      </c>
      <c r="H1760" t="s">
        <v>25</v>
      </c>
      <c r="I1760" t="s">
        <v>39</v>
      </c>
      <c r="J1760" t="s">
        <v>48</v>
      </c>
    </row>
    <row r="1761" spans="1:10">
      <c r="A1761" t="s">
        <v>2887</v>
      </c>
      <c r="B1761" t="s">
        <v>2888</v>
      </c>
      <c r="C1761" t="s">
        <v>60</v>
      </c>
      <c r="D1761" t="s">
        <v>61</v>
      </c>
      <c r="E1761">
        <v>-27699</v>
      </c>
      <c r="F1761" t="s">
        <v>62</v>
      </c>
      <c r="G1761" t="s">
        <v>32</v>
      </c>
      <c r="H1761" t="s">
        <v>63</v>
      </c>
      <c r="I1761" t="s">
        <v>39</v>
      </c>
      <c r="J1761" t="s">
        <v>34</v>
      </c>
    </row>
    <row r="1762" spans="1:10">
      <c r="A1762" t="s">
        <v>2889</v>
      </c>
      <c r="B1762" t="s">
        <v>2890</v>
      </c>
      <c r="C1762" t="s">
        <v>106</v>
      </c>
      <c r="D1762" t="s">
        <v>31</v>
      </c>
      <c r="E1762">
        <v>-6585</v>
      </c>
      <c r="F1762" t="s">
        <v>23</v>
      </c>
      <c r="G1762" t="s">
        <v>24</v>
      </c>
      <c r="H1762" t="s">
        <v>33</v>
      </c>
      <c r="I1762" t="s">
        <v>45</v>
      </c>
      <c r="J1762" t="s">
        <v>48</v>
      </c>
    </row>
    <row r="1763" spans="1:10">
      <c r="A1763" t="s">
        <v>2891</v>
      </c>
      <c r="B1763" t="s">
        <v>1738</v>
      </c>
      <c r="C1763" t="s">
        <v>266</v>
      </c>
      <c r="D1763" t="s">
        <v>73</v>
      </c>
      <c r="E1763">
        <v>-15817</v>
      </c>
      <c r="F1763" t="s">
        <v>74</v>
      </c>
      <c r="G1763" t="s">
        <v>24</v>
      </c>
      <c r="H1763" t="s">
        <v>25</v>
      </c>
      <c r="I1763" t="s">
        <v>39</v>
      </c>
      <c r="J1763" t="s">
        <v>48</v>
      </c>
    </row>
    <row r="1764" spans="1:10">
      <c r="A1764" t="s">
        <v>2892</v>
      </c>
      <c r="B1764" t="s">
        <v>659</v>
      </c>
      <c r="C1764" t="s">
        <v>54</v>
      </c>
      <c r="D1764" t="s">
        <v>38</v>
      </c>
      <c r="E1764">
        <v>-50946</v>
      </c>
      <c r="F1764" t="s">
        <v>23</v>
      </c>
      <c r="G1764" t="s">
        <v>32</v>
      </c>
      <c r="H1764" t="s">
        <v>33</v>
      </c>
      <c r="I1764" t="s">
        <v>45</v>
      </c>
      <c r="J1764" t="s">
        <v>34</v>
      </c>
    </row>
    <row r="1765" spans="1:10">
      <c r="A1765" t="s">
        <v>2893</v>
      </c>
      <c r="B1765" t="s">
        <v>1071</v>
      </c>
      <c r="C1765" t="s">
        <v>57</v>
      </c>
      <c r="D1765" t="s">
        <v>44</v>
      </c>
      <c r="E1765">
        <v>-113727</v>
      </c>
      <c r="F1765" t="s">
        <v>23</v>
      </c>
      <c r="G1765" t="s">
        <v>32</v>
      </c>
      <c r="H1765" t="s">
        <v>33</v>
      </c>
      <c r="I1765" t="s">
        <v>26</v>
      </c>
      <c r="J1765" t="s">
        <v>34</v>
      </c>
    </row>
    <row r="1766" spans="1:10">
      <c r="A1766" t="s">
        <v>2894</v>
      </c>
      <c r="B1766" t="s">
        <v>2710</v>
      </c>
      <c r="C1766" t="s">
        <v>54</v>
      </c>
      <c r="D1766" t="s">
        <v>38</v>
      </c>
      <c r="E1766">
        <v>-37129</v>
      </c>
      <c r="F1766" t="s">
        <v>23</v>
      </c>
      <c r="G1766" t="s">
        <v>24</v>
      </c>
      <c r="H1766" t="s">
        <v>33</v>
      </c>
      <c r="I1766" t="s">
        <v>45</v>
      </c>
      <c r="J1766" t="s">
        <v>40</v>
      </c>
    </row>
    <row r="1767" spans="1:10">
      <c r="A1767" t="s">
        <v>2895</v>
      </c>
      <c r="B1767" t="s">
        <v>621</v>
      </c>
      <c r="C1767" t="s">
        <v>177</v>
      </c>
      <c r="D1767" t="s">
        <v>78</v>
      </c>
      <c r="E1767">
        <v>-113198</v>
      </c>
      <c r="F1767" t="s">
        <v>23</v>
      </c>
      <c r="G1767" t="s">
        <v>24</v>
      </c>
      <c r="H1767" t="s">
        <v>79</v>
      </c>
      <c r="I1767" t="s">
        <v>26</v>
      </c>
      <c r="J1767" t="s">
        <v>48</v>
      </c>
    </row>
    <row r="1768" spans="1:10">
      <c r="A1768" t="s">
        <v>2896</v>
      </c>
      <c r="B1768" t="s">
        <v>1630</v>
      </c>
      <c r="C1768" t="s">
        <v>66</v>
      </c>
      <c r="D1768" t="s">
        <v>61</v>
      </c>
      <c r="E1768">
        <v>-18488</v>
      </c>
      <c r="F1768" t="s">
        <v>62</v>
      </c>
      <c r="G1768" t="s">
        <v>24</v>
      </c>
      <c r="H1768" t="s">
        <v>63</v>
      </c>
      <c r="I1768" t="s">
        <v>45</v>
      </c>
      <c r="J1768" t="s">
        <v>34</v>
      </c>
    </row>
    <row r="1769" spans="1:10">
      <c r="A1769" t="s">
        <v>2897</v>
      </c>
      <c r="B1769" t="s">
        <v>1351</v>
      </c>
      <c r="C1769" t="s">
        <v>60</v>
      </c>
      <c r="D1769" t="s">
        <v>61</v>
      </c>
      <c r="E1769">
        <v>-37935</v>
      </c>
      <c r="F1769" t="s">
        <v>62</v>
      </c>
      <c r="G1769" t="s">
        <v>32</v>
      </c>
      <c r="H1769" t="s">
        <v>63</v>
      </c>
      <c r="I1769" t="s">
        <v>45</v>
      </c>
      <c r="J1769" t="s">
        <v>48</v>
      </c>
    </row>
    <row r="1770" spans="1:10">
      <c r="A1770" t="s">
        <v>2898</v>
      </c>
      <c r="B1770" t="s">
        <v>1323</v>
      </c>
      <c r="C1770" t="s">
        <v>1039</v>
      </c>
      <c r="D1770" t="s">
        <v>440</v>
      </c>
      <c r="E1770">
        <v>-132309</v>
      </c>
      <c r="F1770" t="s">
        <v>23</v>
      </c>
      <c r="G1770" t="s">
        <v>24</v>
      </c>
      <c r="H1770" t="s">
        <v>33</v>
      </c>
      <c r="I1770" t="s">
        <v>45</v>
      </c>
      <c r="J1770" t="s">
        <v>27</v>
      </c>
    </row>
    <row r="1771" spans="1:10">
      <c r="A1771" t="s">
        <v>2899</v>
      </c>
      <c r="B1771" t="s">
        <v>2900</v>
      </c>
      <c r="C1771" t="s">
        <v>266</v>
      </c>
      <c r="E1771">
        <v>-39544</v>
      </c>
      <c r="F1771" t="s">
        <v>74</v>
      </c>
      <c r="G1771" t="s">
        <v>32</v>
      </c>
      <c r="H1771" t="s">
        <v>25</v>
      </c>
      <c r="I1771" t="s">
        <v>26</v>
      </c>
      <c r="J1771" t="s">
        <v>40</v>
      </c>
    </row>
    <row r="1772" spans="1:10">
      <c r="A1772" t="s">
        <v>2901</v>
      </c>
      <c r="B1772" t="s">
        <v>878</v>
      </c>
      <c r="C1772" t="s">
        <v>66</v>
      </c>
      <c r="D1772" t="s">
        <v>61</v>
      </c>
      <c r="E1772">
        <v>-33127</v>
      </c>
      <c r="F1772" t="s">
        <v>62</v>
      </c>
      <c r="G1772" t="s">
        <v>24</v>
      </c>
      <c r="H1772" t="s">
        <v>63</v>
      </c>
      <c r="I1772" t="s">
        <v>45</v>
      </c>
      <c r="J1772" t="s">
        <v>48</v>
      </c>
    </row>
    <row r="1773" spans="1:10">
      <c r="A1773" t="s">
        <v>2902</v>
      </c>
      <c r="B1773" t="s">
        <v>2903</v>
      </c>
      <c r="C1773" t="s">
        <v>66</v>
      </c>
      <c r="D1773" t="s">
        <v>61</v>
      </c>
      <c r="E1773">
        <v>-21815</v>
      </c>
      <c r="F1773" t="s">
        <v>62</v>
      </c>
      <c r="G1773" t="s">
        <v>24</v>
      </c>
      <c r="H1773" t="s">
        <v>63</v>
      </c>
      <c r="I1773" t="s">
        <v>39</v>
      </c>
      <c r="J1773" t="s">
        <v>34</v>
      </c>
    </row>
    <row r="1774" spans="1:10">
      <c r="A1774" t="s">
        <v>2904</v>
      </c>
      <c r="B1774" t="s">
        <v>482</v>
      </c>
      <c r="C1774" t="s">
        <v>345</v>
      </c>
      <c r="D1774" t="s">
        <v>22</v>
      </c>
      <c r="E1774">
        <v>-90867</v>
      </c>
      <c r="F1774" t="s">
        <v>23</v>
      </c>
      <c r="G1774" t="s">
        <v>24</v>
      </c>
      <c r="H1774" t="s">
        <v>25</v>
      </c>
      <c r="I1774" t="s">
        <v>45</v>
      </c>
      <c r="J1774" t="s">
        <v>40</v>
      </c>
    </row>
    <row r="1775" spans="1:10">
      <c r="A1775" t="s">
        <v>2905</v>
      </c>
      <c r="B1775" t="s">
        <v>2906</v>
      </c>
      <c r="C1775" t="s">
        <v>93</v>
      </c>
      <c r="E1775">
        <v>-17567</v>
      </c>
      <c r="F1775" t="s">
        <v>74</v>
      </c>
      <c r="G1775" t="s">
        <v>24</v>
      </c>
      <c r="H1775" t="s">
        <v>25</v>
      </c>
      <c r="I1775" t="s">
        <v>26</v>
      </c>
      <c r="J1775" t="s">
        <v>40</v>
      </c>
    </row>
    <row r="1776" spans="1:10">
      <c r="A1776" t="s">
        <v>2907</v>
      </c>
      <c r="B1776" t="s">
        <v>295</v>
      </c>
      <c r="C1776" t="s">
        <v>93</v>
      </c>
      <c r="D1776" t="s">
        <v>73</v>
      </c>
      <c r="E1776">
        <v>-58546</v>
      </c>
      <c r="F1776" t="s">
        <v>74</v>
      </c>
      <c r="G1776" t="s">
        <v>32</v>
      </c>
      <c r="H1776" t="s">
        <v>25</v>
      </c>
      <c r="I1776" t="s">
        <v>39</v>
      </c>
      <c r="J1776" t="s">
        <v>48</v>
      </c>
    </row>
    <row r="1777" spans="1:10">
      <c r="A1777" t="s">
        <v>2908</v>
      </c>
      <c r="B1777" t="s">
        <v>2909</v>
      </c>
      <c r="C1777" t="s">
        <v>192</v>
      </c>
      <c r="D1777" t="s">
        <v>320</v>
      </c>
      <c r="E1777">
        <v>-131672</v>
      </c>
      <c r="F1777" t="s">
        <v>23</v>
      </c>
      <c r="G1777" t="s">
        <v>24</v>
      </c>
      <c r="H1777" t="s">
        <v>25</v>
      </c>
      <c r="I1777" t="s">
        <v>45</v>
      </c>
      <c r="J1777" t="s">
        <v>34</v>
      </c>
    </row>
    <row r="1778" spans="1:10">
      <c r="A1778" t="s">
        <v>2910</v>
      </c>
      <c r="B1778" t="s">
        <v>2911</v>
      </c>
      <c r="C1778" t="s">
        <v>100</v>
      </c>
      <c r="D1778" t="s">
        <v>31</v>
      </c>
      <c r="E1778">
        <v>-36054</v>
      </c>
      <c r="F1778" t="s">
        <v>23</v>
      </c>
      <c r="G1778" t="s">
        <v>32</v>
      </c>
      <c r="H1778" t="s">
        <v>33</v>
      </c>
      <c r="I1778" t="s">
        <v>45</v>
      </c>
      <c r="J1778" t="s">
        <v>48</v>
      </c>
    </row>
    <row r="1779" spans="1:10">
      <c r="A1779" t="s">
        <v>2912</v>
      </c>
      <c r="B1779" t="s">
        <v>838</v>
      </c>
      <c r="C1779" t="s">
        <v>2258</v>
      </c>
      <c r="D1779" t="s">
        <v>38</v>
      </c>
      <c r="E1779">
        <v>-47746</v>
      </c>
      <c r="F1779" t="s">
        <v>23</v>
      </c>
      <c r="G1779" t="s">
        <v>32</v>
      </c>
      <c r="H1779" t="s">
        <v>33</v>
      </c>
      <c r="I1779" t="s">
        <v>45</v>
      </c>
      <c r="J1779" t="s">
        <v>27</v>
      </c>
    </row>
    <row r="1780" spans="1:10">
      <c r="A1780" t="s">
        <v>2913</v>
      </c>
      <c r="B1780" t="s">
        <v>530</v>
      </c>
      <c r="C1780" t="s">
        <v>255</v>
      </c>
      <c r="D1780" t="s">
        <v>22</v>
      </c>
      <c r="E1780">
        <v>-155464</v>
      </c>
      <c r="F1780" t="s">
        <v>23</v>
      </c>
      <c r="G1780" t="s">
        <v>32</v>
      </c>
      <c r="H1780" t="s">
        <v>25</v>
      </c>
      <c r="I1780" t="s">
        <v>39</v>
      </c>
      <c r="J1780" t="s">
        <v>34</v>
      </c>
    </row>
    <row r="1781" spans="1:10">
      <c r="A1781" t="s">
        <v>2914</v>
      </c>
      <c r="B1781" t="s">
        <v>572</v>
      </c>
      <c r="C1781" t="s">
        <v>129</v>
      </c>
      <c r="D1781" t="s">
        <v>38</v>
      </c>
      <c r="E1781">
        <v>-40592</v>
      </c>
      <c r="F1781" t="s">
        <v>23</v>
      </c>
      <c r="G1781" t="s">
        <v>24</v>
      </c>
      <c r="H1781" t="s">
        <v>33</v>
      </c>
      <c r="I1781" t="s">
        <v>45</v>
      </c>
      <c r="J1781" t="s">
        <v>27</v>
      </c>
    </row>
    <row r="1782" spans="1:10">
      <c r="A1782" t="s">
        <v>2915</v>
      </c>
      <c r="B1782" t="s">
        <v>179</v>
      </c>
      <c r="C1782" t="s">
        <v>37</v>
      </c>
      <c r="D1782" t="s">
        <v>38</v>
      </c>
      <c r="E1782">
        <v>-41733</v>
      </c>
      <c r="F1782" t="s">
        <v>23</v>
      </c>
      <c r="G1782" t="s">
        <v>24</v>
      </c>
      <c r="H1782" t="s">
        <v>33</v>
      </c>
      <c r="I1782" t="s">
        <v>26</v>
      </c>
      <c r="J1782" t="s">
        <v>34</v>
      </c>
    </row>
    <row r="1783" spans="1:10">
      <c r="A1783" t="s">
        <v>2916</v>
      </c>
      <c r="B1783" t="s">
        <v>1361</v>
      </c>
      <c r="C1783" t="s">
        <v>177</v>
      </c>
      <c r="D1783" t="s">
        <v>664</v>
      </c>
      <c r="E1783">
        <v>-44520</v>
      </c>
      <c r="F1783" t="s">
        <v>23</v>
      </c>
      <c r="G1783" t="s">
        <v>32</v>
      </c>
      <c r="H1783" t="s">
        <v>79</v>
      </c>
      <c r="I1783" t="s">
        <v>39</v>
      </c>
      <c r="J1783" t="s">
        <v>48</v>
      </c>
    </row>
    <row r="1784" spans="1:10">
      <c r="A1784" t="s">
        <v>2917</v>
      </c>
      <c r="B1784" t="s">
        <v>490</v>
      </c>
      <c r="C1784" t="s">
        <v>60</v>
      </c>
      <c r="D1784" t="s">
        <v>61</v>
      </c>
      <c r="E1784">
        <v>-41673</v>
      </c>
      <c r="F1784" t="s">
        <v>62</v>
      </c>
      <c r="G1784" t="s">
        <v>32</v>
      </c>
      <c r="H1784" t="s">
        <v>63</v>
      </c>
      <c r="I1784" t="s">
        <v>45</v>
      </c>
      <c r="J1784" t="s">
        <v>40</v>
      </c>
    </row>
    <row r="1785" spans="1:10">
      <c r="A1785" t="s">
        <v>2918</v>
      </c>
      <c r="B1785" t="s">
        <v>1521</v>
      </c>
      <c r="C1785" t="s">
        <v>345</v>
      </c>
      <c r="D1785" t="s">
        <v>22</v>
      </c>
      <c r="E1785">
        <v>-170569</v>
      </c>
      <c r="F1785" t="s">
        <v>23</v>
      </c>
      <c r="G1785" t="s">
        <v>32</v>
      </c>
      <c r="H1785" t="s">
        <v>25</v>
      </c>
      <c r="I1785" t="s">
        <v>39</v>
      </c>
      <c r="J1785" t="s">
        <v>27</v>
      </c>
    </row>
    <row r="1786" spans="1:10">
      <c r="A1786" t="s">
        <v>2919</v>
      </c>
      <c r="B1786" t="s">
        <v>2920</v>
      </c>
      <c r="C1786" t="s">
        <v>60</v>
      </c>
      <c r="D1786" t="s">
        <v>61</v>
      </c>
      <c r="E1786">
        <v>-28364</v>
      </c>
      <c r="F1786" t="s">
        <v>62</v>
      </c>
      <c r="G1786" t="s">
        <v>32</v>
      </c>
      <c r="H1786" t="s">
        <v>63</v>
      </c>
      <c r="I1786" t="s">
        <v>45</v>
      </c>
      <c r="J1786" t="s">
        <v>34</v>
      </c>
    </row>
    <row r="1787" spans="1:10">
      <c r="A1787" t="s">
        <v>2921</v>
      </c>
      <c r="B1787" t="s">
        <v>408</v>
      </c>
      <c r="C1787" t="s">
        <v>43</v>
      </c>
      <c r="D1787" t="s">
        <v>44</v>
      </c>
      <c r="E1787">
        <v>-65907</v>
      </c>
      <c r="F1787" t="s">
        <v>23</v>
      </c>
      <c r="G1787" t="s">
        <v>24</v>
      </c>
      <c r="H1787" t="s">
        <v>33</v>
      </c>
      <c r="I1787" t="s">
        <v>39</v>
      </c>
      <c r="J1787" t="s">
        <v>27</v>
      </c>
    </row>
    <row r="1788" spans="1:10">
      <c r="A1788" t="s">
        <v>2922</v>
      </c>
      <c r="B1788" t="s">
        <v>2923</v>
      </c>
      <c r="C1788" t="s">
        <v>90</v>
      </c>
      <c r="D1788" t="s">
        <v>73</v>
      </c>
      <c r="E1788">
        <v>-30931</v>
      </c>
      <c r="F1788" t="s">
        <v>74</v>
      </c>
      <c r="G1788" t="s">
        <v>24</v>
      </c>
      <c r="H1788" t="s">
        <v>25</v>
      </c>
      <c r="I1788" t="s">
        <v>45</v>
      </c>
      <c r="J1788" t="s">
        <v>40</v>
      </c>
    </row>
    <row r="1789" spans="1:10">
      <c r="A1789" t="s">
        <v>2567</v>
      </c>
      <c r="B1789" t="s">
        <v>1257</v>
      </c>
      <c r="C1789" t="s">
        <v>84</v>
      </c>
      <c r="E1789">
        <v>-58064</v>
      </c>
      <c r="F1789" t="s">
        <v>23</v>
      </c>
      <c r="G1789" t="s">
        <v>32</v>
      </c>
      <c r="H1789" t="s">
        <v>79</v>
      </c>
      <c r="I1789" t="s">
        <v>26</v>
      </c>
      <c r="J1789" t="s">
        <v>34</v>
      </c>
    </row>
    <row r="1790" spans="1:10">
      <c r="A1790" t="s">
        <v>2924</v>
      </c>
      <c r="B1790" t="s">
        <v>243</v>
      </c>
      <c r="C1790" t="s">
        <v>143</v>
      </c>
      <c r="D1790" t="s">
        <v>78</v>
      </c>
      <c r="E1790">
        <v>-87487</v>
      </c>
      <c r="F1790" t="s">
        <v>23</v>
      </c>
      <c r="G1790" t="s">
        <v>32</v>
      </c>
      <c r="H1790" t="s">
        <v>79</v>
      </c>
      <c r="I1790" t="s">
        <v>45</v>
      </c>
      <c r="J1790" t="s">
        <v>27</v>
      </c>
    </row>
    <row r="1791" spans="1:10">
      <c r="A1791" t="s">
        <v>2925</v>
      </c>
      <c r="B1791" t="s">
        <v>2926</v>
      </c>
      <c r="C1791" t="s">
        <v>293</v>
      </c>
      <c r="D1791" t="s">
        <v>157</v>
      </c>
      <c r="E1791">
        <v>546388</v>
      </c>
      <c r="F1791" t="s">
        <v>62</v>
      </c>
      <c r="G1791" t="s">
        <v>32</v>
      </c>
      <c r="H1791" t="s">
        <v>25</v>
      </c>
      <c r="I1791" t="s">
        <v>26</v>
      </c>
      <c r="J1791" t="s">
        <v>27</v>
      </c>
    </row>
    <row r="1792" spans="1:10">
      <c r="A1792" t="s">
        <v>2927</v>
      </c>
      <c r="B1792" t="s">
        <v>521</v>
      </c>
      <c r="C1792" t="s">
        <v>60</v>
      </c>
      <c r="D1792" t="s">
        <v>61</v>
      </c>
      <c r="E1792">
        <v>-53036</v>
      </c>
      <c r="F1792" t="s">
        <v>62</v>
      </c>
      <c r="G1792" t="s">
        <v>24</v>
      </c>
      <c r="H1792" t="s">
        <v>63</v>
      </c>
      <c r="I1792" t="s">
        <v>45</v>
      </c>
      <c r="J1792" t="s">
        <v>48</v>
      </c>
    </row>
    <row r="1793" spans="1:10">
      <c r="A1793" t="s">
        <v>2928</v>
      </c>
      <c r="B1793" t="s">
        <v>1364</v>
      </c>
      <c r="C1793" t="s">
        <v>305</v>
      </c>
      <c r="D1793" t="s">
        <v>38</v>
      </c>
      <c r="E1793">
        <v>-18605</v>
      </c>
      <c r="F1793" t="s">
        <v>23</v>
      </c>
      <c r="G1793" t="s">
        <v>24</v>
      </c>
      <c r="H1793" t="s">
        <v>33</v>
      </c>
      <c r="I1793" t="s">
        <v>39</v>
      </c>
      <c r="J1793" t="s">
        <v>40</v>
      </c>
    </row>
    <row r="1794" spans="1:10">
      <c r="A1794" t="s">
        <v>2929</v>
      </c>
      <c r="B1794" t="s">
        <v>657</v>
      </c>
      <c r="C1794" t="s">
        <v>116</v>
      </c>
      <c r="D1794" t="s">
        <v>73</v>
      </c>
      <c r="E1794">
        <v>-60719</v>
      </c>
      <c r="F1794" t="s">
        <v>74</v>
      </c>
      <c r="G1794" t="s">
        <v>24</v>
      </c>
      <c r="H1794" t="s">
        <v>25</v>
      </c>
      <c r="I1794" t="s">
        <v>39</v>
      </c>
      <c r="J1794" t="s">
        <v>27</v>
      </c>
    </row>
    <row r="1795" spans="1:10">
      <c r="A1795" t="s">
        <v>2930</v>
      </c>
      <c r="B1795" t="s">
        <v>65</v>
      </c>
      <c r="C1795" t="s">
        <v>93</v>
      </c>
      <c r="D1795" t="s">
        <v>302</v>
      </c>
      <c r="E1795">
        <v>-88254</v>
      </c>
      <c r="F1795" t="s">
        <v>74</v>
      </c>
      <c r="G1795" t="s">
        <v>32</v>
      </c>
      <c r="H1795" t="s">
        <v>25</v>
      </c>
      <c r="I1795" t="s">
        <v>26</v>
      </c>
      <c r="J1795" t="s">
        <v>40</v>
      </c>
    </row>
    <row r="1796" spans="1:10">
      <c r="A1796" t="s">
        <v>2931</v>
      </c>
      <c r="B1796" t="s">
        <v>377</v>
      </c>
      <c r="C1796" t="s">
        <v>90</v>
      </c>
      <c r="D1796" t="s">
        <v>73</v>
      </c>
      <c r="E1796">
        <v>-27087</v>
      </c>
      <c r="F1796" t="s">
        <v>74</v>
      </c>
      <c r="G1796" t="s">
        <v>32</v>
      </c>
      <c r="H1796" t="s">
        <v>25</v>
      </c>
      <c r="I1796" t="s">
        <v>45</v>
      </c>
      <c r="J1796" t="s">
        <v>34</v>
      </c>
    </row>
    <row r="1797" spans="1:10">
      <c r="A1797" t="s">
        <v>2932</v>
      </c>
      <c r="B1797" t="s">
        <v>359</v>
      </c>
      <c r="C1797" t="s">
        <v>161</v>
      </c>
      <c r="D1797" t="s">
        <v>22</v>
      </c>
      <c r="E1797">
        <v>-192284</v>
      </c>
      <c r="F1797" t="s">
        <v>23</v>
      </c>
      <c r="G1797" t="s">
        <v>24</v>
      </c>
      <c r="H1797" t="s">
        <v>25</v>
      </c>
      <c r="I1797" t="s">
        <v>45</v>
      </c>
      <c r="J1797" t="s">
        <v>48</v>
      </c>
    </row>
    <row r="1798" spans="1:10">
      <c r="A1798" t="s">
        <v>2933</v>
      </c>
      <c r="B1798" t="s">
        <v>1034</v>
      </c>
      <c r="C1798" t="s">
        <v>93</v>
      </c>
      <c r="E1798">
        <v>-74433</v>
      </c>
      <c r="F1798" t="s">
        <v>74</v>
      </c>
      <c r="G1798" t="s">
        <v>24</v>
      </c>
      <c r="H1798" t="s">
        <v>25</v>
      </c>
      <c r="I1798" t="s">
        <v>39</v>
      </c>
      <c r="J1798" t="s">
        <v>40</v>
      </c>
    </row>
    <row r="1799" spans="1:10">
      <c r="A1799" t="s">
        <v>2934</v>
      </c>
      <c r="B1799" t="s">
        <v>2935</v>
      </c>
      <c r="C1799" t="s">
        <v>84</v>
      </c>
      <c r="E1799">
        <v>-69322</v>
      </c>
      <c r="F1799" t="s">
        <v>23</v>
      </c>
      <c r="G1799" t="s">
        <v>24</v>
      </c>
      <c r="H1799" t="s">
        <v>79</v>
      </c>
      <c r="I1799" t="s">
        <v>39</v>
      </c>
      <c r="J1799" t="s">
        <v>48</v>
      </c>
    </row>
    <row r="1800" spans="1:10">
      <c r="A1800" t="s">
        <v>2936</v>
      </c>
      <c r="B1800" t="s">
        <v>941</v>
      </c>
      <c r="C1800" t="s">
        <v>687</v>
      </c>
      <c r="D1800" t="s">
        <v>44</v>
      </c>
      <c r="E1800">
        <v>-148066</v>
      </c>
      <c r="F1800" t="s">
        <v>23</v>
      </c>
      <c r="G1800" t="s">
        <v>32</v>
      </c>
      <c r="H1800" t="s">
        <v>33</v>
      </c>
      <c r="I1800" t="s">
        <v>45</v>
      </c>
      <c r="J1800" t="s">
        <v>48</v>
      </c>
    </row>
    <row r="1801" spans="1:10">
      <c r="A1801" t="s">
        <v>2937</v>
      </c>
      <c r="B1801" t="s">
        <v>1826</v>
      </c>
      <c r="C1801" t="s">
        <v>174</v>
      </c>
      <c r="D1801" t="s">
        <v>22</v>
      </c>
      <c r="E1801">
        <v>-141210</v>
      </c>
      <c r="F1801" t="s">
        <v>23</v>
      </c>
      <c r="G1801" t="s">
        <v>24</v>
      </c>
      <c r="H1801" t="s">
        <v>25</v>
      </c>
      <c r="I1801" t="s">
        <v>26</v>
      </c>
      <c r="J1801" t="s">
        <v>34</v>
      </c>
    </row>
    <row r="1802" spans="1:10">
      <c r="A1802" t="s">
        <v>2938</v>
      </c>
      <c r="B1802" t="s">
        <v>309</v>
      </c>
      <c r="C1802" t="s">
        <v>84</v>
      </c>
      <c r="D1802" t="s">
        <v>78</v>
      </c>
      <c r="E1802">
        <v>-75138</v>
      </c>
      <c r="F1802" t="s">
        <v>23</v>
      </c>
      <c r="G1802" t="s">
        <v>24</v>
      </c>
      <c r="H1802" t="s">
        <v>79</v>
      </c>
      <c r="I1802" t="s">
        <v>45</v>
      </c>
      <c r="J1802" t="s">
        <v>40</v>
      </c>
    </row>
    <row r="1803" spans="1:10">
      <c r="A1803" t="s">
        <v>2939</v>
      </c>
      <c r="B1803" t="s">
        <v>2777</v>
      </c>
      <c r="C1803" t="s">
        <v>177</v>
      </c>
      <c r="D1803" t="s">
        <v>78</v>
      </c>
      <c r="E1803">
        <v>-66061</v>
      </c>
      <c r="F1803" t="s">
        <v>23</v>
      </c>
      <c r="G1803" t="s">
        <v>24</v>
      </c>
      <c r="H1803" t="s">
        <v>79</v>
      </c>
      <c r="I1803" t="s">
        <v>26</v>
      </c>
      <c r="J1803" t="s">
        <v>48</v>
      </c>
    </row>
    <row r="1804" spans="1:10">
      <c r="A1804" t="s">
        <v>2940</v>
      </c>
      <c r="B1804" t="s">
        <v>708</v>
      </c>
      <c r="C1804" t="s">
        <v>339</v>
      </c>
      <c r="D1804" t="s">
        <v>157</v>
      </c>
      <c r="E1804">
        <v>663447</v>
      </c>
      <c r="F1804" t="s">
        <v>62</v>
      </c>
      <c r="G1804" t="s">
        <v>32</v>
      </c>
      <c r="H1804" t="s">
        <v>25</v>
      </c>
      <c r="I1804" t="s">
        <v>45</v>
      </c>
      <c r="J1804" t="s">
        <v>27</v>
      </c>
    </row>
    <row r="1805" spans="1:10">
      <c r="A1805" t="s">
        <v>2941</v>
      </c>
      <c r="B1805" t="s">
        <v>2434</v>
      </c>
      <c r="C1805" t="s">
        <v>166</v>
      </c>
      <c r="D1805" t="s">
        <v>31</v>
      </c>
      <c r="E1805">
        <v>-14126</v>
      </c>
      <c r="F1805" t="s">
        <v>23</v>
      </c>
      <c r="G1805" t="s">
        <v>32</v>
      </c>
      <c r="H1805" t="s">
        <v>33</v>
      </c>
      <c r="I1805" t="s">
        <v>45</v>
      </c>
      <c r="J1805" t="s">
        <v>34</v>
      </c>
    </row>
    <row r="1806" spans="1:10">
      <c r="A1806" t="s">
        <v>2942</v>
      </c>
      <c r="B1806" t="s">
        <v>2943</v>
      </c>
      <c r="C1806" t="s">
        <v>192</v>
      </c>
      <c r="D1806" t="s">
        <v>22</v>
      </c>
      <c r="E1806">
        <v>-151470</v>
      </c>
      <c r="F1806" t="s">
        <v>23</v>
      </c>
      <c r="G1806" t="s">
        <v>24</v>
      </c>
      <c r="H1806" t="s">
        <v>25</v>
      </c>
      <c r="I1806" t="s">
        <v>45</v>
      </c>
      <c r="J1806" t="s">
        <v>27</v>
      </c>
    </row>
    <row r="1807" spans="1:10">
      <c r="A1807" t="s">
        <v>2944</v>
      </c>
      <c r="B1807" t="s">
        <v>578</v>
      </c>
      <c r="C1807" t="s">
        <v>37</v>
      </c>
      <c r="D1807" t="s">
        <v>38</v>
      </c>
      <c r="E1807">
        <v>-8801</v>
      </c>
      <c r="F1807" t="s">
        <v>23</v>
      </c>
      <c r="G1807" t="s">
        <v>24</v>
      </c>
      <c r="H1807" t="s">
        <v>33</v>
      </c>
      <c r="I1807" t="s">
        <v>45</v>
      </c>
      <c r="J1807" t="s">
        <v>48</v>
      </c>
    </row>
    <row r="1808" spans="1:10">
      <c r="A1808" t="s">
        <v>2945</v>
      </c>
      <c r="B1808" t="s">
        <v>1595</v>
      </c>
      <c r="C1808" t="s">
        <v>87</v>
      </c>
      <c r="D1808" t="s">
        <v>193</v>
      </c>
      <c r="E1808">
        <v>-215963</v>
      </c>
      <c r="F1808" t="s">
        <v>23</v>
      </c>
      <c r="G1808" t="s">
        <v>32</v>
      </c>
      <c r="H1808" t="s">
        <v>25</v>
      </c>
      <c r="I1808" t="s">
        <v>45</v>
      </c>
      <c r="J1808" t="s">
        <v>48</v>
      </c>
    </row>
    <row r="1809" spans="1:10">
      <c r="A1809" t="s">
        <v>2946</v>
      </c>
      <c r="B1809" t="s">
        <v>392</v>
      </c>
      <c r="C1809" t="s">
        <v>221</v>
      </c>
      <c r="E1809">
        <v>-29728</v>
      </c>
      <c r="F1809" t="s">
        <v>62</v>
      </c>
      <c r="G1809" t="s">
        <v>24</v>
      </c>
      <c r="H1809" t="s">
        <v>63</v>
      </c>
      <c r="I1809" t="s">
        <v>45</v>
      </c>
      <c r="J1809" t="s">
        <v>40</v>
      </c>
    </row>
    <row r="1810" spans="1:10">
      <c r="A1810" t="s">
        <v>2947</v>
      </c>
      <c r="B1810" t="s">
        <v>2096</v>
      </c>
      <c r="C1810" t="s">
        <v>143</v>
      </c>
      <c r="D1810" t="s">
        <v>78</v>
      </c>
      <c r="E1810">
        <v>-83044</v>
      </c>
      <c r="F1810" t="s">
        <v>23</v>
      </c>
      <c r="G1810" t="s">
        <v>32</v>
      </c>
      <c r="H1810" t="s">
        <v>79</v>
      </c>
      <c r="I1810" t="s">
        <v>45</v>
      </c>
      <c r="J1810" t="s">
        <v>40</v>
      </c>
    </row>
    <row r="1811" spans="1:10">
      <c r="A1811" t="s">
        <v>2948</v>
      </c>
      <c r="B1811" t="s">
        <v>2697</v>
      </c>
      <c r="C1811" t="s">
        <v>66</v>
      </c>
      <c r="D1811" t="s">
        <v>61</v>
      </c>
      <c r="E1811">
        <v>-17099</v>
      </c>
      <c r="F1811" t="s">
        <v>62</v>
      </c>
      <c r="G1811" t="s">
        <v>32</v>
      </c>
      <c r="H1811" t="s">
        <v>63</v>
      </c>
      <c r="I1811" t="s">
        <v>26</v>
      </c>
      <c r="J1811" t="s">
        <v>40</v>
      </c>
    </row>
    <row r="1812" spans="1:10">
      <c r="A1812" t="s">
        <v>2949</v>
      </c>
      <c r="B1812" t="s">
        <v>915</v>
      </c>
      <c r="C1812" t="s">
        <v>30</v>
      </c>
      <c r="D1812" t="s">
        <v>31</v>
      </c>
      <c r="E1812">
        <v>-37707</v>
      </c>
      <c r="F1812" t="s">
        <v>23</v>
      </c>
      <c r="G1812" t="s">
        <v>32</v>
      </c>
      <c r="H1812" t="s">
        <v>33</v>
      </c>
      <c r="I1812" t="s">
        <v>39</v>
      </c>
      <c r="J1812" t="s">
        <v>34</v>
      </c>
    </row>
    <row r="1813" spans="1:10">
      <c r="A1813" t="s">
        <v>2950</v>
      </c>
      <c r="B1813" t="s">
        <v>2951</v>
      </c>
      <c r="C1813" t="s">
        <v>90</v>
      </c>
      <c r="D1813" t="s">
        <v>73</v>
      </c>
      <c r="E1813">
        <v>-17232</v>
      </c>
      <c r="F1813" t="s">
        <v>74</v>
      </c>
      <c r="G1813" t="s">
        <v>24</v>
      </c>
      <c r="H1813" t="s">
        <v>25</v>
      </c>
      <c r="I1813" t="s">
        <v>26</v>
      </c>
      <c r="J1813" t="s">
        <v>48</v>
      </c>
    </row>
    <row r="1814" spans="1:10">
      <c r="A1814" t="s">
        <v>2952</v>
      </c>
      <c r="B1814" t="s">
        <v>2953</v>
      </c>
      <c r="C1814" t="s">
        <v>271</v>
      </c>
      <c r="D1814" t="s">
        <v>73</v>
      </c>
      <c r="E1814">
        <v>-19421</v>
      </c>
      <c r="F1814" t="s">
        <v>74</v>
      </c>
      <c r="G1814" t="s">
        <v>32</v>
      </c>
      <c r="H1814" t="s">
        <v>25</v>
      </c>
      <c r="I1814" t="s">
        <v>39</v>
      </c>
      <c r="J1814" t="s">
        <v>34</v>
      </c>
    </row>
    <row r="1815" spans="1:10">
      <c r="A1815" t="s">
        <v>2954</v>
      </c>
      <c r="B1815" t="s">
        <v>2955</v>
      </c>
      <c r="C1815" t="s">
        <v>93</v>
      </c>
      <c r="D1815" t="s">
        <v>111</v>
      </c>
      <c r="E1815">
        <v>-79770</v>
      </c>
      <c r="F1815" t="s">
        <v>74</v>
      </c>
      <c r="G1815" t="s">
        <v>24</v>
      </c>
      <c r="H1815" t="s">
        <v>25</v>
      </c>
      <c r="I1815" t="s">
        <v>39</v>
      </c>
      <c r="J1815" t="s">
        <v>34</v>
      </c>
    </row>
    <row r="1816" spans="1:10">
      <c r="A1816" t="s">
        <v>2956</v>
      </c>
      <c r="B1816" t="s">
        <v>446</v>
      </c>
      <c r="C1816" t="s">
        <v>57</v>
      </c>
      <c r="D1816" t="s">
        <v>44</v>
      </c>
      <c r="E1816">
        <v>-177136</v>
      </c>
      <c r="F1816" t="s">
        <v>23</v>
      </c>
      <c r="G1816" t="s">
        <v>32</v>
      </c>
      <c r="H1816" t="s">
        <v>33</v>
      </c>
      <c r="I1816" t="s">
        <v>45</v>
      </c>
      <c r="J1816" t="s">
        <v>27</v>
      </c>
    </row>
    <row r="1817" spans="1:10">
      <c r="A1817" t="s">
        <v>2957</v>
      </c>
      <c r="B1817" t="s">
        <v>1134</v>
      </c>
      <c r="C1817" t="s">
        <v>255</v>
      </c>
      <c r="D1817" t="s">
        <v>22</v>
      </c>
      <c r="E1817">
        <v>-50352</v>
      </c>
      <c r="F1817" t="s">
        <v>23</v>
      </c>
      <c r="G1817" t="s">
        <v>32</v>
      </c>
      <c r="H1817" t="s">
        <v>25</v>
      </c>
      <c r="I1817" t="s">
        <v>45</v>
      </c>
      <c r="J1817" t="s">
        <v>34</v>
      </c>
    </row>
    <row r="1818" spans="1:10">
      <c r="A1818" t="s">
        <v>2958</v>
      </c>
      <c r="B1818" t="s">
        <v>2959</v>
      </c>
      <c r="C1818" t="s">
        <v>77</v>
      </c>
      <c r="D1818" t="s">
        <v>78</v>
      </c>
      <c r="E1818">
        <v>-93346</v>
      </c>
      <c r="F1818" t="s">
        <v>23</v>
      </c>
      <c r="G1818" t="s">
        <v>24</v>
      </c>
      <c r="H1818" t="s">
        <v>79</v>
      </c>
      <c r="I1818" t="s">
        <v>45</v>
      </c>
      <c r="J1818" t="s">
        <v>48</v>
      </c>
    </row>
    <row r="1819" spans="1:10">
      <c r="A1819" t="s">
        <v>2960</v>
      </c>
      <c r="B1819" t="s">
        <v>1400</v>
      </c>
      <c r="C1819" t="s">
        <v>60</v>
      </c>
      <c r="D1819" t="s">
        <v>61</v>
      </c>
      <c r="E1819">
        <v>-41779</v>
      </c>
      <c r="F1819" t="s">
        <v>62</v>
      </c>
      <c r="G1819" t="s">
        <v>32</v>
      </c>
      <c r="H1819" t="s">
        <v>63</v>
      </c>
      <c r="I1819" t="s">
        <v>26</v>
      </c>
      <c r="J1819" t="s">
        <v>27</v>
      </c>
    </row>
    <row r="1820" spans="1:10">
      <c r="A1820" t="s">
        <v>2961</v>
      </c>
      <c r="B1820" t="s">
        <v>1205</v>
      </c>
      <c r="C1820" t="s">
        <v>37</v>
      </c>
      <c r="D1820" t="s">
        <v>38</v>
      </c>
      <c r="E1820">
        <v>-12347</v>
      </c>
      <c r="F1820" t="s">
        <v>23</v>
      </c>
      <c r="G1820" t="s">
        <v>32</v>
      </c>
      <c r="H1820" t="s">
        <v>33</v>
      </c>
      <c r="I1820" t="s">
        <v>45</v>
      </c>
      <c r="J1820" t="s">
        <v>27</v>
      </c>
    </row>
    <row r="1821" spans="1:10">
      <c r="A1821" t="s">
        <v>2962</v>
      </c>
      <c r="B1821" t="s">
        <v>2963</v>
      </c>
      <c r="C1821" t="s">
        <v>37</v>
      </c>
      <c r="D1821" t="s">
        <v>38</v>
      </c>
      <c r="E1821">
        <v>-12015</v>
      </c>
      <c r="F1821" t="s">
        <v>23</v>
      </c>
      <c r="G1821" t="s">
        <v>32</v>
      </c>
      <c r="H1821" t="s">
        <v>33</v>
      </c>
      <c r="I1821" t="s">
        <v>39</v>
      </c>
      <c r="J1821" t="s">
        <v>34</v>
      </c>
    </row>
    <row r="1822" spans="1:10">
      <c r="A1822" t="s">
        <v>2964</v>
      </c>
      <c r="B1822" t="s">
        <v>295</v>
      </c>
      <c r="C1822" t="s">
        <v>129</v>
      </c>
      <c r="D1822" t="s">
        <v>38</v>
      </c>
      <c r="E1822">
        <v>-34612</v>
      </c>
      <c r="F1822" t="s">
        <v>23</v>
      </c>
      <c r="G1822" t="s">
        <v>32</v>
      </c>
      <c r="H1822" t="s">
        <v>33</v>
      </c>
      <c r="I1822" t="s">
        <v>39</v>
      </c>
      <c r="J1822" t="s">
        <v>48</v>
      </c>
    </row>
    <row r="1823" spans="1:10">
      <c r="A1823" t="s">
        <v>2965</v>
      </c>
      <c r="B1823" t="s">
        <v>635</v>
      </c>
      <c r="C1823" t="s">
        <v>84</v>
      </c>
      <c r="D1823" t="s">
        <v>78</v>
      </c>
      <c r="E1823">
        <v>-31505</v>
      </c>
      <c r="F1823" t="s">
        <v>23</v>
      </c>
      <c r="G1823" t="s">
        <v>32</v>
      </c>
      <c r="H1823" t="s">
        <v>79</v>
      </c>
      <c r="I1823" t="s">
        <v>26</v>
      </c>
      <c r="J1823" t="s">
        <v>34</v>
      </c>
    </row>
    <row r="1824" spans="1:10">
      <c r="A1824" t="s">
        <v>2966</v>
      </c>
      <c r="B1824" t="s">
        <v>460</v>
      </c>
      <c r="C1824" t="s">
        <v>177</v>
      </c>
      <c r="D1824" t="s">
        <v>78</v>
      </c>
      <c r="E1824">
        <v>-66007</v>
      </c>
      <c r="F1824" t="s">
        <v>23</v>
      </c>
      <c r="G1824" t="s">
        <v>32</v>
      </c>
      <c r="H1824" t="s">
        <v>79</v>
      </c>
      <c r="I1824" t="s">
        <v>26</v>
      </c>
      <c r="J1824" t="s">
        <v>40</v>
      </c>
    </row>
    <row r="1825" spans="1:10">
      <c r="A1825" t="s">
        <v>2967</v>
      </c>
      <c r="B1825" t="s">
        <v>2968</v>
      </c>
      <c r="C1825" t="s">
        <v>1264</v>
      </c>
      <c r="D1825" t="s">
        <v>248</v>
      </c>
      <c r="E1825">
        <v>-162888</v>
      </c>
      <c r="F1825" t="s">
        <v>23</v>
      </c>
      <c r="G1825" t="s">
        <v>24</v>
      </c>
      <c r="H1825" t="s">
        <v>33</v>
      </c>
      <c r="I1825" t="s">
        <v>26</v>
      </c>
      <c r="J1825" t="s">
        <v>40</v>
      </c>
    </row>
    <row r="1826" spans="1:10">
      <c r="A1826" t="s">
        <v>2969</v>
      </c>
      <c r="B1826" t="s">
        <v>856</v>
      </c>
      <c r="C1826" t="s">
        <v>237</v>
      </c>
      <c r="D1826" t="s">
        <v>22</v>
      </c>
      <c r="E1826">
        <v>-190949</v>
      </c>
      <c r="F1826" t="s">
        <v>23</v>
      </c>
      <c r="G1826" t="s">
        <v>32</v>
      </c>
      <c r="H1826" t="s">
        <v>25</v>
      </c>
      <c r="I1826" t="s">
        <v>26</v>
      </c>
      <c r="J1826" t="s">
        <v>34</v>
      </c>
    </row>
    <row r="1827" spans="1:10">
      <c r="A1827" t="s">
        <v>2970</v>
      </c>
      <c r="B1827" t="s">
        <v>2243</v>
      </c>
      <c r="C1827" t="s">
        <v>21</v>
      </c>
      <c r="D1827" t="s">
        <v>22</v>
      </c>
      <c r="E1827">
        <v>-147589</v>
      </c>
      <c r="F1827" t="s">
        <v>23</v>
      </c>
      <c r="G1827" t="s">
        <v>32</v>
      </c>
      <c r="H1827" t="s">
        <v>25</v>
      </c>
      <c r="I1827" t="s">
        <v>39</v>
      </c>
      <c r="J1827" t="s">
        <v>34</v>
      </c>
    </row>
    <row r="1828" spans="1:10">
      <c r="A1828" t="s">
        <v>2971</v>
      </c>
      <c r="B1828" t="s">
        <v>1777</v>
      </c>
      <c r="C1828" t="s">
        <v>60</v>
      </c>
      <c r="D1828" t="s">
        <v>61</v>
      </c>
      <c r="E1828">
        <v>-61729</v>
      </c>
      <c r="F1828" t="s">
        <v>62</v>
      </c>
      <c r="G1828" t="s">
        <v>32</v>
      </c>
      <c r="H1828" t="s">
        <v>63</v>
      </c>
      <c r="I1828" t="s">
        <v>26</v>
      </c>
      <c r="J1828" t="s">
        <v>34</v>
      </c>
    </row>
    <row r="1829" spans="1:10">
      <c r="A1829" t="s">
        <v>2972</v>
      </c>
      <c r="B1829" t="s">
        <v>2168</v>
      </c>
      <c r="C1829" t="s">
        <v>129</v>
      </c>
      <c r="D1829" t="s">
        <v>38</v>
      </c>
      <c r="E1829">
        <v>-10327</v>
      </c>
      <c r="F1829" t="s">
        <v>23</v>
      </c>
      <c r="G1829" t="s">
        <v>24</v>
      </c>
      <c r="H1829" t="s">
        <v>33</v>
      </c>
      <c r="I1829" t="s">
        <v>39</v>
      </c>
      <c r="J1829" t="s">
        <v>40</v>
      </c>
    </row>
    <row r="1830" spans="1:10">
      <c r="A1830" t="s">
        <v>2973</v>
      </c>
      <c r="B1830" t="s">
        <v>1586</v>
      </c>
      <c r="C1830" t="s">
        <v>66</v>
      </c>
      <c r="D1830" t="s">
        <v>61</v>
      </c>
      <c r="E1830">
        <v>-36033</v>
      </c>
      <c r="F1830" t="s">
        <v>62</v>
      </c>
      <c r="G1830" t="s">
        <v>32</v>
      </c>
      <c r="H1830" t="s">
        <v>63</v>
      </c>
      <c r="I1830" t="s">
        <v>39</v>
      </c>
      <c r="J1830" t="s">
        <v>40</v>
      </c>
    </row>
    <row r="1831" spans="1:10">
      <c r="A1831" t="s">
        <v>2974</v>
      </c>
      <c r="B1831" t="s">
        <v>1550</v>
      </c>
      <c r="C1831" t="s">
        <v>802</v>
      </c>
      <c r="D1831" t="s">
        <v>440</v>
      </c>
      <c r="E1831">
        <v>-108818</v>
      </c>
      <c r="F1831" t="s">
        <v>23</v>
      </c>
      <c r="G1831" t="s">
        <v>32</v>
      </c>
      <c r="H1831" t="s">
        <v>33</v>
      </c>
      <c r="I1831" t="s">
        <v>39</v>
      </c>
      <c r="J1831" t="s">
        <v>34</v>
      </c>
    </row>
    <row r="1832" spans="1:10">
      <c r="A1832" t="s">
        <v>2975</v>
      </c>
      <c r="B1832" t="s">
        <v>1703</v>
      </c>
      <c r="C1832" t="s">
        <v>2976</v>
      </c>
      <c r="D1832" t="s">
        <v>136</v>
      </c>
      <c r="E1832">
        <v>-10374330</v>
      </c>
      <c r="F1832" t="s">
        <v>62</v>
      </c>
      <c r="G1832" t="s">
        <v>32</v>
      </c>
      <c r="H1832" t="s">
        <v>63</v>
      </c>
      <c r="I1832" t="s">
        <v>39</v>
      </c>
      <c r="J1832" t="s">
        <v>34</v>
      </c>
    </row>
    <row r="1833" spans="1:10">
      <c r="A1833" t="s">
        <v>2977</v>
      </c>
      <c r="B1833" t="s">
        <v>2367</v>
      </c>
      <c r="C1833" t="s">
        <v>519</v>
      </c>
      <c r="D1833" t="s">
        <v>44</v>
      </c>
      <c r="E1833">
        <v>-63624</v>
      </c>
      <c r="F1833" t="s">
        <v>23</v>
      </c>
      <c r="G1833" t="s">
        <v>32</v>
      </c>
      <c r="H1833" t="s">
        <v>33</v>
      </c>
      <c r="I1833" t="s">
        <v>45</v>
      </c>
      <c r="J1833" t="s">
        <v>34</v>
      </c>
    </row>
    <row r="1834" spans="1:10">
      <c r="A1834" t="s">
        <v>2978</v>
      </c>
      <c r="B1834" t="s">
        <v>2923</v>
      </c>
      <c r="C1834" t="s">
        <v>57</v>
      </c>
      <c r="D1834" t="s">
        <v>248</v>
      </c>
      <c r="E1834">
        <v>-87299</v>
      </c>
      <c r="F1834" t="s">
        <v>23</v>
      </c>
      <c r="G1834" t="s">
        <v>24</v>
      </c>
      <c r="H1834" t="s">
        <v>33</v>
      </c>
      <c r="I1834" t="s">
        <v>45</v>
      </c>
      <c r="J1834" t="s">
        <v>40</v>
      </c>
    </row>
    <row r="1835" spans="1:10">
      <c r="A1835" t="s">
        <v>2979</v>
      </c>
      <c r="B1835" t="s">
        <v>232</v>
      </c>
      <c r="C1835" t="s">
        <v>30</v>
      </c>
      <c r="D1835" t="s">
        <v>31</v>
      </c>
      <c r="E1835">
        <v>-16449</v>
      </c>
      <c r="F1835" t="s">
        <v>23</v>
      </c>
      <c r="G1835" t="s">
        <v>32</v>
      </c>
      <c r="H1835" t="s">
        <v>33</v>
      </c>
      <c r="I1835" t="s">
        <v>45</v>
      </c>
      <c r="J1835" t="s">
        <v>27</v>
      </c>
    </row>
    <row r="1836" spans="1:10">
      <c r="A1836" t="s">
        <v>2980</v>
      </c>
      <c r="B1836" t="s">
        <v>2981</v>
      </c>
      <c r="C1836" t="s">
        <v>224</v>
      </c>
      <c r="D1836" t="s">
        <v>78</v>
      </c>
      <c r="E1836">
        <v>-86531</v>
      </c>
      <c r="F1836" t="s">
        <v>23</v>
      </c>
      <c r="G1836" t="s">
        <v>32</v>
      </c>
      <c r="H1836" t="s">
        <v>79</v>
      </c>
      <c r="I1836" t="s">
        <v>26</v>
      </c>
      <c r="J1836" t="s">
        <v>27</v>
      </c>
    </row>
    <row r="1837" spans="1:10">
      <c r="A1837" t="s">
        <v>2982</v>
      </c>
      <c r="B1837" t="s">
        <v>2983</v>
      </c>
      <c r="C1837" t="s">
        <v>519</v>
      </c>
      <c r="D1837" t="s">
        <v>44</v>
      </c>
      <c r="E1837">
        <v>-178339</v>
      </c>
      <c r="F1837" t="s">
        <v>23</v>
      </c>
      <c r="G1837" t="s">
        <v>24</v>
      </c>
      <c r="H1837" t="s">
        <v>33</v>
      </c>
      <c r="I1837" t="s">
        <v>39</v>
      </c>
      <c r="J1837" t="s">
        <v>40</v>
      </c>
    </row>
    <row r="1838" spans="1:10">
      <c r="A1838" t="s">
        <v>2984</v>
      </c>
      <c r="B1838" t="s">
        <v>1521</v>
      </c>
      <c r="C1838" t="s">
        <v>106</v>
      </c>
      <c r="D1838" t="s">
        <v>31</v>
      </c>
      <c r="E1838">
        <v>-20910</v>
      </c>
      <c r="F1838" t="s">
        <v>23</v>
      </c>
      <c r="G1838" t="s">
        <v>32</v>
      </c>
      <c r="H1838" t="s">
        <v>33</v>
      </c>
      <c r="I1838" t="s">
        <v>39</v>
      </c>
      <c r="J1838" t="s">
        <v>27</v>
      </c>
    </row>
    <row r="1839" spans="1:10">
      <c r="A1839" t="s">
        <v>2965</v>
      </c>
      <c r="B1839" t="s">
        <v>635</v>
      </c>
      <c r="C1839" t="s">
        <v>84</v>
      </c>
      <c r="D1839" t="s">
        <v>78</v>
      </c>
      <c r="E1839">
        <v>-31505</v>
      </c>
      <c r="F1839" t="s">
        <v>23</v>
      </c>
      <c r="G1839" t="s">
        <v>32</v>
      </c>
      <c r="H1839" t="s">
        <v>79</v>
      </c>
      <c r="I1839" t="s">
        <v>26</v>
      </c>
      <c r="J1839" t="s">
        <v>34</v>
      </c>
    </row>
    <row r="1840" spans="1:10">
      <c r="A1840" t="s">
        <v>2985</v>
      </c>
      <c r="B1840" t="s">
        <v>2624</v>
      </c>
      <c r="C1840" t="s">
        <v>616</v>
      </c>
      <c r="D1840" t="s">
        <v>22</v>
      </c>
      <c r="E1840">
        <v>-191889</v>
      </c>
      <c r="F1840" t="s">
        <v>23</v>
      </c>
      <c r="G1840" t="s">
        <v>24</v>
      </c>
      <c r="H1840" t="s">
        <v>25</v>
      </c>
      <c r="I1840" t="s">
        <v>26</v>
      </c>
      <c r="J1840" t="s">
        <v>48</v>
      </c>
    </row>
    <row r="1841" spans="1:10">
      <c r="A1841" t="s">
        <v>2986</v>
      </c>
      <c r="B1841" t="s">
        <v>615</v>
      </c>
      <c r="C1841" t="s">
        <v>100</v>
      </c>
      <c r="D1841" t="s">
        <v>31</v>
      </c>
      <c r="E1841">
        <v>-29052</v>
      </c>
      <c r="F1841" t="s">
        <v>23</v>
      </c>
      <c r="G1841" t="s">
        <v>24</v>
      </c>
      <c r="H1841" t="s">
        <v>33</v>
      </c>
      <c r="I1841" t="s">
        <v>39</v>
      </c>
      <c r="J1841" t="s">
        <v>48</v>
      </c>
    </row>
    <row r="1842" spans="1:10">
      <c r="A1842" t="s">
        <v>2987</v>
      </c>
      <c r="B1842" t="s">
        <v>1368</v>
      </c>
      <c r="C1842" t="s">
        <v>166</v>
      </c>
      <c r="D1842" t="s">
        <v>31</v>
      </c>
      <c r="E1842">
        <v>-40654</v>
      </c>
      <c r="F1842" t="s">
        <v>23</v>
      </c>
      <c r="G1842" t="s">
        <v>32</v>
      </c>
      <c r="H1842" t="s">
        <v>33</v>
      </c>
      <c r="I1842" t="s">
        <v>26</v>
      </c>
      <c r="J1842" t="s">
        <v>48</v>
      </c>
    </row>
    <row r="1843" spans="1:10">
      <c r="A1843" t="s">
        <v>2988</v>
      </c>
      <c r="B1843" t="s">
        <v>821</v>
      </c>
      <c r="C1843" t="s">
        <v>224</v>
      </c>
      <c r="D1843" t="s">
        <v>1001</v>
      </c>
      <c r="E1843">
        <v>-50785</v>
      </c>
      <c r="F1843" t="s">
        <v>23</v>
      </c>
      <c r="G1843" t="s">
        <v>32</v>
      </c>
      <c r="H1843" t="s">
        <v>79</v>
      </c>
      <c r="I1843" t="s">
        <v>45</v>
      </c>
      <c r="J1843" t="s">
        <v>34</v>
      </c>
    </row>
    <row r="1844" spans="1:10">
      <c r="A1844" t="s">
        <v>2989</v>
      </c>
      <c r="B1844" t="s">
        <v>2357</v>
      </c>
      <c r="C1844" t="s">
        <v>177</v>
      </c>
      <c r="D1844" t="s">
        <v>78</v>
      </c>
      <c r="E1844">
        <v>-94888</v>
      </c>
      <c r="F1844" t="s">
        <v>23</v>
      </c>
      <c r="G1844" t="s">
        <v>32</v>
      </c>
      <c r="H1844" t="s">
        <v>79</v>
      </c>
      <c r="I1844" t="s">
        <v>39</v>
      </c>
      <c r="J1844" t="s">
        <v>48</v>
      </c>
    </row>
    <row r="1845" spans="1:10">
      <c r="A1845" t="s">
        <v>2990</v>
      </c>
      <c r="B1845" t="s">
        <v>419</v>
      </c>
      <c r="C1845" t="s">
        <v>103</v>
      </c>
      <c r="D1845" t="s">
        <v>78</v>
      </c>
      <c r="E1845">
        <v>-100119</v>
      </c>
      <c r="F1845" t="s">
        <v>23</v>
      </c>
      <c r="G1845" t="s">
        <v>24</v>
      </c>
      <c r="H1845" t="s">
        <v>79</v>
      </c>
      <c r="I1845" t="s">
        <v>45</v>
      </c>
      <c r="J1845" t="s">
        <v>48</v>
      </c>
    </row>
    <row r="1846" spans="1:10">
      <c r="A1846" t="s">
        <v>2991</v>
      </c>
      <c r="B1846" t="s">
        <v>1159</v>
      </c>
      <c r="C1846" t="s">
        <v>60</v>
      </c>
      <c r="D1846" t="s">
        <v>61</v>
      </c>
      <c r="E1846">
        <v>-48538</v>
      </c>
      <c r="F1846" t="s">
        <v>62</v>
      </c>
      <c r="G1846" t="s">
        <v>24</v>
      </c>
      <c r="H1846" t="s">
        <v>63</v>
      </c>
      <c r="I1846" t="s">
        <v>39</v>
      </c>
      <c r="J1846" t="s">
        <v>40</v>
      </c>
    </row>
    <row r="1847" spans="1:10">
      <c r="A1847" t="s">
        <v>2992</v>
      </c>
      <c r="B1847" t="s">
        <v>2993</v>
      </c>
      <c r="C1847" t="s">
        <v>2994</v>
      </c>
      <c r="D1847" t="s">
        <v>78</v>
      </c>
      <c r="E1847">
        <v>-42631</v>
      </c>
      <c r="F1847" t="s">
        <v>23</v>
      </c>
      <c r="G1847" t="s">
        <v>24</v>
      </c>
      <c r="H1847" t="s">
        <v>79</v>
      </c>
      <c r="I1847" t="s">
        <v>26</v>
      </c>
      <c r="J1847" t="s">
        <v>34</v>
      </c>
    </row>
    <row r="1848" spans="1:10">
      <c r="A1848" t="s">
        <v>2995</v>
      </c>
      <c r="B1848" t="s">
        <v>289</v>
      </c>
      <c r="C1848" t="s">
        <v>237</v>
      </c>
      <c r="D1848" t="s">
        <v>22</v>
      </c>
      <c r="E1848">
        <v>-197900</v>
      </c>
      <c r="F1848" t="s">
        <v>23</v>
      </c>
      <c r="G1848" t="s">
        <v>32</v>
      </c>
      <c r="H1848" t="s">
        <v>25</v>
      </c>
      <c r="I1848" t="s">
        <v>45</v>
      </c>
      <c r="J1848" t="s">
        <v>40</v>
      </c>
    </row>
    <row r="1849" spans="1:10">
      <c r="A1849" t="s">
        <v>2996</v>
      </c>
      <c r="B1849" t="s">
        <v>2997</v>
      </c>
      <c r="C1849" t="s">
        <v>218</v>
      </c>
      <c r="D1849" t="s">
        <v>157</v>
      </c>
      <c r="E1849">
        <v>622443</v>
      </c>
      <c r="F1849" t="s">
        <v>62</v>
      </c>
      <c r="G1849" t="s">
        <v>32</v>
      </c>
      <c r="H1849" t="s">
        <v>25</v>
      </c>
      <c r="I1849" t="s">
        <v>45</v>
      </c>
      <c r="J1849" t="s">
        <v>27</v>
      </c>
    </row>
    <row r="1850" spans="1:10">
      <c r="A1850" t="s">
        <v>2998</v>
      </c>
      <c r="B1850" t="s">
        <v>1703</v>
      </c>
      <c r="C1850" t="s">
        <v>161</v>
      </c>
      <c r="D1850" t="s">
        <v>22</v>
      </c>
      <c r="E1850">
        <v>-76247</v>
      </c>
      <c r="F1850" t="s">
        <v>23</v>
      </c>
      <c r="G1850" t="s">
        <v>32</v>
      </c>
      <c r="H1850" t="s">
        <v>25</v>
      </c>
      <c r="I1850" t="s">
        <v>39</v>
      </c>
      <c r="J1850" t="s">
        <v>34</v>
      </c>
    </row>
    <row r="1851" spans="1:10">
      <c r="A1851" t="s">
        <v>2999</v>
      </c>
      <c r="B1851" t="s">
        <v>1359</v>
      </c>
      <c r="C1851" t="s">
        <v>103</v>
      </c>
      <c r="D1851" t="s">
        <v>78</v>
      </c>
      <c r="E1851">
        <v>-20992</v>
      </c>
      <c r="F1851" t="s">
        <v>23</v>
      </c>
      <c r="G1851" t="s">
        <v>24</v>
      </c>
      <c r="H1851" t="s">
        <v>79</v>
      </c>
      <c r="I1851" t="s">
        <v>26</v>
      </c>
      <c r="J1851" t="s">
        <v>40</v>
      </c>
    </row>
    <row r="1852" spans="1:10">
      <c r="A1852" t="s">
        <v>3000</v>
      </c>
      <c r="B1852" t="s">
        <v>1267</v>
      </c>
      <c r="C1852" t="s">
        <v>51</v>
      </c>
      <c r="D1852" t="s">
        <v>31</v>
      </c>
      <c r="E1852">
        <v>-23579</v>
      </c>
      <c r="F1852" t="s">
        <v>23</v>
      </c>
      <c r="G1852" t="s">
        <v>32</v>
      </c>
      <c r="H1852" t="s">
        <v>33</v>
      </c>
      <c r="I1852" t="s">
        <v>45</v>
      </c>
      <c r="J1852" t="s">
        <v>40</v>
      </c>
    </row>
    <row r="1853" spans="1:10">
      <c r="A1853" t="s">
        <v>3001</v>
      </c>
      <c r="B1853" t="s">
        <v>3002</v>
      </c>
      <c r="C1853" t="s">
        <v>37</v>
      </c>
      <c r="D1853" t="s">
        <v>38</v>
      </c>
      <c r="E1853">
        <v>-17746</v>
      </c>
      <c r="F1853" t="s">
        <v>23</v>
      </c>
      <c r="G1853" t="s">
        <v>32</v>
      </c>
      <c r="H1853" t="s">
        <v>33</v>
      </c>
      <c r="I1853" t="s">
        <v>45</v>
      </c>
      <c r="J1853" t="s">
        <v>27</v>
      </c>
    </row>
    <row r="1854" spans="1:10">
      <c r="A1854" t="s">
        <v>3003</v>
      </c>
      <c r="B1854" t="s">
        <v>951</v>
      </c>
      <c r="C1854" t="s">
        <v>237</v>
      </c>
      <c r="D1854" t="s">
        <v>22</v>
      </c>
      <c r="E1854">
        <v>-170597</v>
      </c>
      <c r="F1854" t="s">
        <v>23</v>
      </c>
      <c r="G1854" t="s">
        <v>32</v>
      </c>
      <c r="H1854" t="s">
        <v>25</v>
      </c>
      <c r="I1854" t="s">
        <v>39</v>
      </c>
      <c r="J1854" t="s">
        <v>40</v>
      </c>
    </row>
    <row r="1855" spans="1:10">
      <c r="A1855" t="s">
        <v>3004</v>
      </c>
      <c r="B1855" t="s">
        <v>2290</v>
      </c>
      <c r="C1855" t="s">
        <v>687</v>
      </c>
      <c r="D1855" t="s">
        <v>44</v>
      </c>
      <c r="E1855">
        <v>-123588</v>
      </c>
      <c r="F1855" t="s">
        <v>23</v>
      </c>
      <c r="G1855" t="s">
        <v>24</v>
      </c>
      <c r="H1855" t="s">
        <v>33</v>
      </c>
      <c r="I1855" t="s">
        <v>26</v>
      </c>
      <c r="J1855" t="s">
        <v>48</v>
      </c>
    </row>
    <row r="1856" spans="1:10">
      <c r="A1856" t="s">
        <v>3005</v>
      </c>
      <c r="B1856" t="s">
        <v>3006</v>
      </c>
      <c r="C1856" t="s">
        <v>69</v>
      </c>
      <c r="D1856" t="s">
        <v>38</v>
      </c>
      <c r="E1856">
        <v>-27144</v>
      </c>
      <c r="F1856" t="s">
        <v>23</v>
      </c>
      <c r="G1856" t="s">
        <v>24</v>
      </c>
      <c r="H1856" t="s">
        <v>33</v>
      </c>
      <c r="I1856" t="s">
        <v>45</v>
      </c>
      <c r="J1856" t="s">
        <v>40</v>
      </c>
    </row>
    <row r="1857" spans="1:10">
      <c r="A1857" t="s">
        <v>3007</v>
      </c>
      <c r="B1857" t="s">
        <v>206</v>
      </c>
      <c r="C1857" t="s">
        <v>237</v>
      </c>
      <c r="D1857" t="s">
        <v>22</v>
      </c>
      <c r="E1857">
        <v>-134124</v>
      </c>
      <c r="F1857" t="s">
        <v>23</v>
      </c>
      <c r="G1857" t="s">
        <v>32</v>
      </c>
      <c r="H1857" t="s">
        <v>25</v>
      </c>
      <c r="I1857" t="s">
        <v>45</v>
      </c>
      <c r="J1857" t="s">
        <v>27</v>
      </c>
    </row>
    <row r="1858" spans="1:10">
      <c r="A1858" t="s">
        <v>3008</v>
      </c>
      <c r="B1858" t="s">
        <v>576</v>
      </c>
      <c r="C1858" t="s">
        <v>1039</v>
      </c>
      <c r="D1858" t="s">
        <v>440</v>
      </c>
      <c r="E1858">
        <v>-108248</v>
      </c>
      <c r="F1858" t="s">
        <v>23</v>
      </c>
      <c r="G1858" t="s">
        <v>24</v>
      </c>
      <c r="H1858" t="s">
        <v>33</v>
      </c>
      <c r="I1858" t="s">
        <v>45</v>
      </c>
      <c r="J1858" t="s">
        <v>48</v>
      </c>
    </row>
    <row r="1859" spans="1:10">
      <c r="A1859" t="s">
        <v>3009</v>
      </c>
      <c r="B1859" t="s">
        <v>1217</v>
      </c>
      <c r="C1859" t="s">
        <v>519</v>
      </c>
      <c r="D1859" t="s">
        <v>44</v>
      </c>
      <c r="E1859">
        <v>-118869</v>
      </c>
      <c r="F1859" t="s">
        <v>23</v>
      </c>
      <c r="G1859" t="s">
        <v>32</v>
      </c>
      <c r="H1859" t="s">
        <v>33</v>
      </c>
      <c r="I1859" t="s">
        <v>26</v>
      </c>
      <c r="J1859" t="s">
        <v>40</v>
      </c>
    </row>
    <row r="1860" spans="1:10">
      <c r="A1860" t="s">
        <v>3010</v>
      </c>
      <c r="B1860" t="s">
        <v>1773</v>
      </c>
      <c r="C1860" t="s">
        <v>166</v>
      </c>
      <c r="D1860" t="s">
        <v>31</v>
      </c>
      <c r="E1860">
        <v>-14315</v>
      </c>
      <c r="F1860" t="s">
        <v>23</v>
      </c>
      <c r="G1860" t="s">
        <v>24</v>
      </c>
      <c r="H1860" t="s">
        <v>33</v>
      </c>
      <c r="I1860" t="s">
        <v>39</v>
      </c>
      <c r="J1860" t="s">
        <v>34</v>
      </c>
    </row>
    <row r="1861" spans="1:10">
      <c r="A1861" t="s">
        <v>3011</v>
      </c>
      <c r="B1861" t="s">
        <v>1943</v>
      </c>
      <c r="C1861" t="s">
        <v>212</v>
      </c>
      <c r="D1861" t="s">
        <v>73</v>
      </c>
      <c r="E1861">
        <v>-59031</v>
      </c>
      <c r="F1861" t="s">
        <v>74</v>
      </c>
      <c r="G1861" t="s">
        <v>32</v>
      </c>
      <c r="H1861" t="s">
        <v>25</v>
      </c>
      <c r="I1861" t="s">
        <v>39</v>
      </c>
      <c r="J1861" t="s">
        <v>34</v>
      </c>
    </row>
    <row r="1862" spans="1:10">
      <c r="A1862" t="s">
        <v>3012</v>
      </c>
      <c r="B1862" t="s">
        <v>3013</v>
      </c>
      <c r="C1862" t="s">
        <v>84</v>
      </c>
      <c r="D1862" t="s">
        <v>78</v>
      </c>
      <c r="E1862">
        <v>-109970</v>
      </c>
      <c r="F1862" t="s">
        <v>23</v>
      </c>
      <c r="G1862" t="s">
        <v>32</v>
      </c>
      <c r="H1862" t="s">
        <v>79</v>
      </c>
      <c r="I1862" t="s">
        <v>26</v>
      </c>
      <c r="J1862" t="s">
        <v>48</v>
      </c>
    </row>
    <row r="1863" spans="1:10">
      <c r="A1863" t="s">
        <v>3014</v>
      </c>
      <c r="B1863" t="s">
        <v>1163</v>
      </c>
      <c r="C1863" t="s">
        <v>60</v>
      </c>
      <c r="D1863" t="s">
        <v>61</v>
      </c>
      <c r="E1863">
        <v>-64803</v>
      </c>
      <c r="F1863" t="s">
        <v>62</v>
      </c>
      <c r="G1863" t="s">
        <v>32</v>
      </c>
      <c r="H1863" t="s">
        <v>63</v>
      </c>
      <c r="I1863" t="s">
        <v>45</v>
      </c>
      <c r="J1863" t="s">
        <v>27</v>
      </c>
    </row>
    <row r="1864" spans="1:10">
      <c r="A1864" t="s">
        <v>3015</v>
      </c>
      <c r="B1864" t="s">
        <v>123</v>
      </c>
      <c r="C1864" t="s">
        <v>90</v>
      </c>
      <c r="D1864" t="s">
        <v>73</v>
      </c>
      <c r="E1864">
        <v>-14137</v>
      </c>
      <c r="F1864" t="s">
        <v>74</v>
      </c>
      <c r="G1864" t="s">
        <v>32</v>
      </c>
      <c r="H1864" t="s">
        <v>25</v>
      </c>
      <c r="I1864" t="s">
        <v>39</v>
      </c>
      <c r="J1864" t="s">
        <v>40</v>
      </c>
    </row>
    <row r="1865" spans="1:10">
      <c r="A1865" t="s">
        <v>3016</v>
      </c>
      <c r="B1865" t="s">
        <v>2284</v>
      </c>
      <c r="C1865" t="s">
        <v>156</v>
      </c>
      <c r="D1865" t="s">
        <v>157</v>
      </c>
      <c r="E1865">
        <v>586176</v>
      </c>
      <c r="F1865" t="s">
        <v>62</v>
      </c>
      <c r="G1865" t="s">
        <v>32</v>
      </c>
      <c r="H1865" t="s">
        <v>25</v>
      </c>
      <c r="I1865" t="s">
        <v>45</v>
      </c>
      <c r="J1865" t="s">
        <v>34</v>
      </c>
    </row>
    <row r="1866" spans="1:10">
      <c r="A1866" t="s">
        <v>3017</v>
      </c>
      <c r="B1866" t="s">
        <v>2622</v>
      </c>
      <c r="C1866" t="s">
        <v>271</v>
      </c>
      <c r="D1866" t="s">
        <v>187</v>
      </c>
      <c r="E1866">
        <v>-22169</v>
      </c>
      <c r="F1866" t="s">
        <v>74</v>
      </c>
      <c r="G1866" t="s">
        <v>24</v>
      </c>
      <c r="H1866" t="s">
        <v>25</v>
      </c>
      <c r="I1866" t="s">
        <v>26</v>
      </c>
      <c r="J1866" t="s">
        <v>40</v>
      </c>
    </row>
    <row r="1867" spans="1:10">
      <c r="A1867" t="s">
        <v>3018</v>
      </c>
      <c r="B1867" t="s">
        <v>295</v>
      </c>
      <c r="C1867" t="s">
        <v>224</v>
      </c>
      <c r="D1867" t="s">
        <v>1001</v>
      </c>
      <c r="E1867">
        <v>-105168</v>
      </c>
      <c r="F1867" t="s">
        <v>23</v>
      </c>
      <c r="G1867" t="s">
        <v>32</v>
      </c>
      <c r="H1867" t="s">
        <v>79</v>
      </c>
      <c r="I1867" t="s">
        <v>39</v>
      </c>
      <c r="J1867" t="s">
        <v>48</v>
      </c>
    </row>
    <row r="1868" spans="1:10">
      <c r="A1868" t="s">
        <v>3019</v>
      </c>
      <c r="B1868" t="s">
        <v>2697</v>
      </c>
      <c r="C1868" t="s">
        <v>57</v>
      </c>
      <c r="D1868" t="s">
        <v>44</v>
      </c>
      <c r="E1868">
        <v>-100227</v>
      </c>
      <c r="F1868" t="s">
        <v>23</v>
      </c>
      <c r="G1868" t="s">
        <v>24</v>
      </c>
      <c r="H1868" t="s">
        <v>33</v>
      </c>
      <c r="I1868" t="s">
        <v>26</v>
      </c>
      <c r="J1868" t="s">
        <v>40</v>
      </c>
    </row>
    <row r="1869" spans="1:10">
      <c r="A1869" t="s">
        <v>2687</v>
      </c>
      <c r="B1869" t="s">
        <v>1121</v>
      </c>
      <c r="C1869" t="s">
        <v>60</v>
      </c>
      <c r="D1869" t="s">
        <v>61</v>
      </c>
      <c r="E1869">
        <v>-57427</v>
      </c>
      <c r="F1869" t="s">
        <v>62</v>
      </c>
      <c r="G1869" t="s">
        <v>32</v>
      </c>
      <c r="H1869" t="s">
        <v>63</v>
      </c>
      <c r="I1869" t="s">
        <v>26</v>
      </c>
      <c r="J1869" t="s">
        <v>40</v>
      </c>
    </row>
    <row r="1870" spans="1:10">
      <c r="A1870" t="s">
        <v>3020</v>
      </c>
      <c r="B1870" t="s">
        <v>697</v>
      </c>
      <c r="C1870" t="s">
        <v>757</v>
      </c>
      <c r="D1870" t="s">
        <v>157</v>
      </c>
      <c r="E1870">
        <v>607022</v>
      </c>
      <c r="F1870" t="s">
        <v>62</v>
      </c>
      <c r="G1870" t="s">
        <v>32</v>
      </c>
      <c r="H1870" t="s">
        <v>25</v>
      </c>
      <c r="I1870" t="s">
        <v>45</v>
      </c>
      <c r="J1870" t="s">
        <v>34</v>
      </c>
    </row>
    <row r="1871" spans="1:10">
      <c r="A1871" t="s">
        <v>3021</v>
      </c>
      <c r="B1871" t="s">
        <v>2903</v>
      </c>
      <c r="C1871" t="s">
        <v>90</v>
      </c>
      <c r="D1871" t="s">
        <v>73</v>
      </c>
      <c r="E1871">
        <v>-34631</v>
      </c>
      <c r="F1871" t="s">
        <v>74</v>
      </c>
      <c r="G1871" t="s">
        <v>32</v>
      </c>
      <c r="H1871" t="s">
        <v>25</v>
      </c>
      <c r="I1871" t="s">
        <v>39</v>
      </c>
      <c r="J1871" t="s">
        <v>34</v>
      </c>
    </row>
    <row r="1872" spans="1:10">
      <c r="A1872" t="s">
        <v>3022</v>
      </c>
      <c r="B1872" t="s">
        <v>1636</v>
      </c>
      <c r="C1872" t="s">
        <v>166</v>
      </c>
      <c r="D1872" t="s">
        <v>31</v>
      </c>
      <c r="E1872">
        <v>-23472</v>
      </c>
      <c r="F1872" t="s">
        <v>23</v>
      </c>
      <c r="G1872" t="s">
        <v>24</v>
      </c>
      <c r="H1872" t="s">
        <v>33</v>
      </c>
      <c r="I1872" t="s">
        <v>39</v>
      </c>
      <c r="J1872" t="s">
        <v>27</v>
      </c>
    </row>
    <row r="1873" spans="1:10">
      <c r="A1873" t="s">
        <v>3023</v>
      </c>
      <c r="B1873" t="s">
        <v>3024</v>
      </c>
      <c r="C1873" t="s">
        <v>116</v>
      </c>
      <c r="D1873" t="s">
        <v>73</v>
      </c>
      <c r="E1873">
        <v>-89417</v>
      </c>
      <c r="F1873" t="s">
        <v>74</v>
      </c>
      <c r="G1873" t="s">
        <v>32</v>
      </c>
      <c r="H1873" t="s">
        <v>25</v>
      </c>
      <c r="I1873" t="s">
        <v>39</v>
      </c>
      <c r="J1873" t="s">
        <v>48</v>
      </c>
    </row>
    <row r="1874" spans="1:10">
      <c r="A1874" t="s">
        <v>3025</v>
      </c>
      <c r="B1874" t="s">
        <v>583</v>
      </c>
      <c r="C1874" t="s">
        <v>116</v>
      </c>
      <c r="D1874" t="s">
        <v>73</v>
      </c>
      <c r="E1874">
        <v>-94820</v>
      </c>
      <c r="F1874" t="s">
        <v>74</v>
      </c>
      <c r="G1874" t="s">
        <v>32</v>
      </c>
      <c r="H1874" t="s">
        <v>25</v>
      </c>
      <c r="I1874" t="s">
        <v>39</v>
      </c>
      <c r="J1874" t="s">
        <v>27</v>
      </c>
    </row>
    <row r="1875" spans="1:10">
      <c r="A1875" t="s">
        <v>3026</v>
      </c>
      <c r="B1875" t="s">
        <v>2710</v>
      </c>
      <c r="C1875" t="s">
        <v>271</v>
      </c>
      <c r="D1875" t="s">
        <v>73</v>
      </c>
      <c r="E1875">
        <v>-32978</v>
      </c>
      <c r="F1875" t="s">
        <v>74</v>
      </c>
      <c r="G1875" t="s">
        <v>24</v>
      </c>
      <c r="H1875" t="s">
        <v>25</v>
      </c>
      <c r="I1875" t="s">
        <v>45</v>
      </c>
      <c r="J1875" t="s">
        <v>40</v>
      </c>
    </row>
    <row r="1876" spans="1:10">
      <c r="A1876" t="s">
        <v>3027</v>
      </c>
      <c r="B1876" t="s">
        <v>2359</v>
      </c>
      <c r="C1876" t="s">
        <v>180</v>
      </c>
      <c r="D1876" t="s">
        <v>44</v>
      </c>
      <c r="E1876">
        <v>-126129</v>
      </c>
      <c r="F1876" t="s">
        <v>23</v>
      </c>
      <c r="G1876" t="s">
        <v>24</v>
      </c>
      <c r="H1876" t="s">
        <v>33</v>
      </c>
      <c r="I1876" t="s">
        <v>39</v>
      </c>
      <c r="J1876" t="s">
        <v>48</v>
      </c>
    </row>
    <row r="1877" spans="1:10">
      <c r="A1877" t="s">
        <v>3028</v>
      </c>
      <c r="B1877" t="s">
        <v>1090</v>
      </c>
      <c r="C1877" t="s">
        <v>116</v>
      </c>
      <c r="D1877" t="s">
        <v>73</v>
      </c>
      <c r="E1877">
        <v>-22963</v>
      </c>
      <c r="F1877" t="s">
        <v>74</v>
      </c>
      <c r="G1877" t="s">
        <v>32</v>
      </c>
      <c r="H1877" t="s">
        <v>25</v>
      </c>
      <c r="I1877" t="s">
        <v>26</v>
      </c>
      <c r="J1877" t="s">
        <v>48</v>
      </c>
    </row>
    <row r="1878" spans="1:10">
      <c r="A1878" t="s">
        <v>3029</v>
      </c>
      <c r="B1878" t="s">
        <v>3030</v>
      </c>
      <c r="C1878" t="s">
        <v>1676</v>
      </c>
      <c r="E1878">
        <v>-24880</v>
      </c>
      <c r="F1878" t="s">
        <v>74</v>
      </c>
      <c r="G1878" t="s">
        <v>32</v>
      </c>
      <c r="H1878" t="s">
        <v>25</v>
      </c>
      <c r="I1878" t="s">
        <v>39</v>
      </c>
      <c r="J1878" t="s">
        <v>34</v>
      </c>
    </row>
    <row r="1879" spans="1:10">
      <c r="A1879" t="s">
        <v>3031</v>
      </c>
      <c r="B1879" t="s">
        <v>1128</v>
      </c>
      <c r="C1879" t="s">
        <v>519</v>
      </c>
      <c r="D1879" t="s">
        <v>248</v>
      </c>
      <c r="E1879">
        <v>-121566</v>
      </c>
      <c r="F1879" t="s">
        <v>23</v>
      </c>
      <c r="G1879" t="s">
        <v>24</v>
      </c>
      <c r="H1879" t="s">
        <v>33</v>
      </c>
      <c r="I1879" t="s">
        <v>26</v>
      </c>
      <c r="J1879" t="s">
        <v>48</v>
      </c>
    </row>
    <row r="1880" spans="1:10">
      <c r="A1880" t="s">
        <v>3032</v>
      </c>
      <c r="B1880" t="s">
        <v>3033</v>
      </c>
      <c r="C1880" t="s">
        <v>100</v>
      </c>
      <c r="D1880" t="s">
        <v>31</v>
      </c>
      <c r="E1880">
        <v>-33430</v>
      </c>
      <c r="F1880" t="s">
        <v>23</v>
      </c>
      <c r="G1880" t="s">
        <v>24</v>
      </c>
      <c r="H1880" t="s">
        <v>33</v>
      </c>
      <c r="I1880" t="s">
        <v>26</v>
      </c>
      <c r="J1880" t="s">
        <v>40</v>
      </c>
    </row>
    <row r="1881" spans="1:10">
      <c r="A1881" t="s">
        <v>3034</v>
      </c>
      <c r="B1881" t="s">
        <v>1243</v>
      </c>
      <c r="C1881" t="s">
        <v>43</v>
      </c>
      <c r="D1881" t="s">
        <v>44</v>
      </c>
      <c r="E1881">
        <v>-141073</v>
      </c>
      <c r="F1881" t="s">
        <v>23</v>
      </c>
      <c r="G1881" t="s">
        <v>24</v>
      </c>
      <c r="H1881" t="s">
        <v>33</v>
      </c>
      <c r="I1881" t="s">
        <v>45</v>
      </c>
      <c r="J1881" t="s">
        <v>48</v>
      </c>
    </row>
    <row r="1882" spans="1:10">
      <c r="A1882" t="s">
        <v>3035</v>
      </c>
      <c r="B1882" t="s">
        <v>1331</v>
      </c>
      <c r="C1882" t="s">
        <v>51</v>
      </c>
      <c r="D1882" t="s">
        <v>31</v>
      </c>
      <c r="E1882">
        <v>-41094</v>
      </c>
      <c r="F1882" t="s">
        <v>23</v>
      </c>
      <c r="G1882" t="s">
        <v>24</v>
      </c>
      <c r="H1882" t="s">
        <v>33</v>
      </c>
      <c r="I1882" t="s">
        <v>45</v>
      </c>
      <c r="J1882" t="s">
        <v>27</v>
      </c>
    </row>
    <row r="1883" spans="1:10">
      <c r="A1883" t="s">
        <v>3036</v>
      </c>
      <c r="B1883" t="s">
        <v>3037</v>
      </c>
      <c r="C1883" t="s">
        <v>266</v>
      </c>
      <c r="D1883" t="s">
        <v>73</v>
      </c>
      <c r="E1883">
        <v>-88336</v>
      </c>
      <c r="F1883" t="s">
        <v>74</v>
      </c>
      <c r="G1883" t="s">
        <v>32</v>
      </c>
      <c r="H1883" t="s">
        <v>25</v>
      </c>
      <c r="I1883" t="s">
        <v>45</v>
      </c>
      <c r="J1883" t="s">
        <v>48</v>
      </c>
    </row>
    <row r="1884" spans="1:10">
      <c r="A1884" t="s">
        <v>3038</v>
      </c>
      <c r="B1884" t="s">
        <v>2717</v>
      </c>
      <c r="C1884" t="s">
        <v>43</v>
      </c>
      <c r="D1884" t="s">
        <v>44</v>
      </c>
      <c r="E1884">
        <v>-166034</v>
      </c>
      <c r="F1884" t="s">
        <v>23</v>
      </c>
      <c r="G1884" t="s">
        <v>32</v>
      </c>
      <c r="H1884" t="s">
        <v>33</v>
      </c>
      <c r="I1884" t="s">
        <v>26</v>
      </c>
      <c r="J1884" t="s">
        <v>40</v>
      </c>
    </row>
    <row r="1885" spans="1:10">
      <c r="A1885" t="s">
        <v>3039</v>
      </c>
      <c r="B1885" t="s">
        <v>3040</v>
      </c>
      <c r="C1885" t="s">
        <v>100</v>
      </c>
      <c r="D1885" t="s">
        <v>31</v>
      </c>
      <c r="E1885">
        <v>-24939</v>
      </c>
      <c r="F1885" t="s">
        <v>23</v>
      </c>
      <c r="G1885" t="s">
        <v>24</v>
      </c>
      <c r="H1885" t="s">
        <v>33</v>
      </c>
      <c r="I1885" t="s">
        <v>39</v>
      </c>
      <c r="J1885" t="s">
        <v>40</v>
      </c>
    </row>
    <row r="1886" spans="1:10">
      <c r="A1886" t="s">
        <v>3041</v>
      </c>
      <c r="B1886" t="s">
        <v>3042</v>
      </c>
      <c r="C1886" t="s">
        <v>177</v>
      </c>
      <c r="D1886" t="s">
        <v>78</v>
      </c>
      <c r="E1886">
        <v>-70139</v>
      </c>
      <c r="F1886" t="s">
        <v>23</v>
      </c>
      <c r="G1886" t="s">
        <v>24</v>
      </c>
      <c r="H1886" t="s">
        <v>79</v>
      </c>
      <c r="I1886" t="s">
        <v>26</v>
      </c>
      <c r="J1886" t="s">
        <v>48</v>
      </c>
    </row>
    <row r="1887" spans="1:10">
      <c r="A1887" t="s">
        <v>3043</v>
      </c>
      <c r="B1887" t="s">
        <v>458</v>
      </c>
      <c r="C1887" t="s">
        <v>51</v>
      </c>
      <c r="D1887" t="s">
        <v>31</v>
      </c>
      <c r="E1887">
        <v>-13284</v>
      </c>
      <c r="F1887" t="s">
        <v>23</v>
      </c>
      <c r="G1887" t="s">
        <v>24</v>
      </c>
      <c r="H1887" t="s">
        <v>33</v>
      </c>
      <c r="I1887" t="s">
        <v>45</v>
      </c>
      <c r="J1887" t="s">
        <v>48</v>
      </c>
    </row>
    <row r="1888" spans="1:10">
      <c r="A1888" t="s">
        <v>3044</v>
      </c>
      <c r="B1888" t="s">
        <v>2997</v>
      </c>
      <c r="C1888" t="s">
        <v>935</v>
      </c>
      <c r="D1888" t="s">
        <v>22</v>
      </c>
      <c r="E1888">
        <v>-91210</v>
      </c>
      <c r="F1888" t="s">
        <v>23</v>
      </c>
      <c r="G1888" t="s">
        <v>32</v>
      </c>
      <c r="H1888" t="s">
        <v>25</v>
      </c>
      <c r="I1888" t="s">
        <v>45</v>
      </c>
      <c r="J1888" t="s">
        <v>27</v>
      </c>
    </row>
    <row r="1889" spans="1:10">
      <c r="A1889" t="s">
        <v>3045</v>
      </c>
      <c r="B1889" t="s">
        <v>2729</v>
      </c>
      <c r="C1889" t="s">
        <v>43</v>
      </c>
      <c r="D1889" t="s">
        <v>465</v>
      </c>
      <c r="E1889">
        <v>-161214</v>
      </c>
      <c r="F1889" t="s">
        <v>23</v>
      </c>
      <c r="G1889" t="s">
        <v>32</v>
      </c>
      <c r="H1889" t="s">
        <v>33</v>
      </c>
      <c r="I1889" t="s">
        <v>39</v>
      </c>
      <c r="J1889" t="s">
        <v>40</v>
      </c>
    </row>
    <row r="1890" spans="1:10">
      <c r="A1890" t="s">
        <v>3046</v>
      </c>
      <c r="B1890" t="s">
        <v>3047</v>
      </c>
      <c r="C1890" t="s">
        <v>77</v>
      </c>
      <c r="D1890" t="s">
        <v>78</v>
      </c>
      <c r="E1890">
        <v>-71408</v>
      </c>
      <c r="F1890" t="s">
        <v>23</v>
      </c>
      <c r="G1890" t="s">
        <v>24</v>
      </c>
      <c r="H1890" t="s">
        <v>79</v>
      </c>
      <c r="I1890" t="s">
        <v>45</v>
      </c>
      <c r="J1890" t="s">
        <v>48</v>
      </c>
    </row>
    <row r="1891" spans="1:10">
      <c r="A1891" t="s">
        <v>3048</v>
      </c>
      <c r="B1891" t="s">
        <v>782</v>
      </c>
      <c r="C1891" t="s">
        <v>21</v>
      </c>
      <c r="D1891" t="s">
        <v>22</v>
      </c>
      <c r="E1891">
        <v>-216525</v>
      </c>
      <c r="F1891" t="s">
        <v>23</v>
      </c>
      <c r="G1891" t="s">
        <v>32</v>
      </c>
      <c r="H1891" t="s">
        <v>25</v>
      </c>
      <c r="I1891" t="s">
        <v>39</v>
      </c>
      <c r="J1891" t="s">
        <v>34</v>
      </c>
    </row>
    <row r="1892" spans="1:10">
      <c r="A1892" t="s">
        <v>3049</v>
      </c>
      <c r="B1892" t="s">
        <v>1163</v>
      </c>
      <c r="C1892" t="s">
        <v>935</v>
      </c>
      <c r="D1892" t="s">
        <v>320</v>
      </c>
      <c r="E1892">
        <v>-141132</v>
      </c>
      <c r="F1892" t="s">
        <v>23</v>
      </c>
      <c r="G1892" t="s">
        <v>32</v>
      </c>
      <c r="H1892" t="s">
        <v>25</v>
      </c>
      <c r="I1892" t="s">
        <v>45</v>
      </c>
      <c r="J1892" t="s">
        <v>27</v>
      </c>
    </row>
    <row r="1893" spans="1:10">
      <c r="A1893" t="s">
        <v>3050</v>
      </c>
      <c r="B1893" t="s">
        <v>497</v>
      </c>
      <c r="C1893" t="s">
        <v>66</v>
      </c>
      <c r="D1893" t="s">
        <v>61</v>
      </c>
      <c r="E1893">
        <v>-44198</v>
      </c>
      <c r="F1893" t="s">
        <v>62</v>
      </c>
      <c r="G1893" t="s">
        <v>24</v>
      </c>
      <c r="H1893" t="s">
        <v>63</v>
      </c>
      <c r="I1893" t="s">
        <v>39</v>
      </c>
      <c r="J1893" t="s">
        <v>34</v>
      </c>
    </row>
    <row r="1894" spans="1:10">
      <c r="A1894" t="s">
        <v>3051</v>
      </c>
      <c r="B1894" t="s">
        <v>3052</v>
      </c>
      <c r="C1894" t="s">
        <v>439</v>
      </c>
      <c r="D1894" t="s">
        <v>440</v>
      </c>
      <c r="E1894">
        <v>-126506</v>
      </c>
      <c r="F1894" t="s">
        <v>23</v>
      </c>
      <c r="G1894" t="s">
        <v>24</v>
      </c>
      <c r="H1894" t="s">
        <v>33</v>
      </c>
      <c r="I1894" t="s">
        <v>45</v>
      </c>
      <c r="J1894" t="s">
        <v>34</v>
      </c>
    </row>
    <row r="1895" spans="1:10">
      <c r="A1895" t="s">
        <v>3053</v>
      </c>
      <c r="B1895" t="s">
        <v>2717</v>
      </c>
      <c r="C1895" t="s">
        <v>3054</v>
      </c>
      <c r="D1895" t="s">
        <v>136</v>
      </c>
      <c r="E1895">
        <v>-10691820</v>
      </c>
      <c r="F1895" t="s">
        <v>62</v>
      </c>
      <c r="G1895" t="s">
        <v>32</v>
      </c>
      <c r="H1895" t="s">
        <v>63</v>
      </c>
      <c r="I1895" t="s">
        <v>26</v>
      </c>
      <c r="J1895" t="s">
        <v>40</v>
      </c>
    </row>
    <row r="1896" spans="1:10">
      <c r="A1896" t="s">
        <v>3055</v>
      </c>
      <c r="B1896" t="s">
        <v>3056</v>
      </c>
      <c r="C1896" t="s">
        <v>293</v>
      </c>
      <c r="D1896" t="s">
        <v>157</v>
      </c>
      <c r="E1896">
        <v>697388</v>
      </c>
      <c r="F1896" t="s">
        <v>62</v>
      </c>
      <c r="G1896" t="s">
        <v>32</v>
      </c>
      <c r="H1896" t="s">
        <v>25</v>
      </c>
      <c r="I1896" t="s">
        <v>39</v>
      </c>
      <c r="J1896" t="s">
        <v>34</v>
      </c>
    </row>
    <row r="1897" spans="1:10">
      <c r="A1897" t="s">
        <v>3057</v>
      </c>
      <c r="B1897" t="s">
        <v>1331</v>
      </c>
      <c r="C1897" t="s">
        <v>66</v>
      </c>
      <c r="D1897" t="s">
        <v>61</v>
      </c>
      <c r="E1897">
        <v>-14359</v>
      </c>
      <c r="F1897" t="s">
        <v>62</v>
      </c>
      <c r="G1897" t="s">
        <v>32</v>
      </c>
      <c r="H1897" t="s">
        <v>63</v>
      </c>
      <c r="I1897" t="s">
        <v>45</v>
      </c>
      <c r="J1897" t="s">
        <v>27</v>
      </c>
    </row>
    <row r="1898" spans="1:10">
      <c r="A1898" t="s">
        <v>3058</v>
      </c>
      <c r="B1898" t="s">
        <v>814</v>
      </c>
      <c r="C1898" t="s">
        <v>30</v>
      </c>
      <c r="D1898" t="s">
        <v>31</v>
      </c>
      <c r="E1898">
        <v>-15603</v>
      </c>
      <c r="F1898" t="s">
        <v>23</v>
      </c>
      <c r="G1898" t="s">
        <v>32</v>
      </c>
      <c r="H1898" t="s">
        <v>33</v>
      </c>
      <c r="I1898" t="s">
        <v>45</v>
      </c>
      <c r="J1898" t="s">
        <v>48</v>
      </c>
    </row>
    <row r="1899" spans="1:10">
      <c r="A1899" t="s">
        <v>3059</v>
      </c>
      <c r="B1899" t="s">
        <v>597</v>
      </c>
      <c r="C1899" t="s">
        <v>169</v>
      </c>
      <c r="D1899" t="s">
        <v>73</v>
      </c>
      <c r="E1899">
        <v>-33520</v>
      </c>
      <c r="F1899" t="s">
        <v>74</v>
      </c>
      <c r="G1899" t="s">
        <v>32</v>
      </c>
      <c r="H1899" t="s">
        <v>25</v>
      </c>
      <c r="I1899" t="s">
        <v>39</v>
      </c>
      <c r="J1899" t="s">
        <v>34</v>
      </c>
    </row>
    <row r="1900" spans="1:10">
      <c r="A1900" t="s">
        <v>3060</v>
      </c>
      <c r="B1900" t="s">
        <v>1086</v>
      </c>
      <c r="C1900" t="s">
        <v>166</v>
      </c>
      <c r="D1900" t="s">
        <v>31</v>
      </c>
      <c r="E1900">
        <v>-26276</v>
      </c>
      <c r="F1900" t="s">
        <v>23</v>
      </c>
      <c r="G1900" t="s">
        <v>24</v>
      </c>
      <c r="H1900" t="s">
        <v>33</v>
      </c>
      <c r="I1900" t="s">
        <v>39</v>
      </c>
      <c r="J1900" t="s">
        <v>40</v>
      </c>
    </row>
    <row r="1901" spans="1:10">
      <c r="A1901" t="s">
        <v>3061</v>
      </c>
      <c r="B1901" t="s">
        <v>1491</v>
      </c>
      <c r="C1901" t="s">
        <v>266</v>
      </c>
      <c r="D1901" t="s">
        <v>73</v>
      </c>
      <c r="E1901">
        <v>-47514</v>
      </c>
      <c r="F1901" t="s">
        <v>74</v>
      </c>
      <c r="G1901" t="s">
        <v>24</v>
      </c>
      <c r="H1901" t="s">
        <v>25</v>
      </c>
      <c r="I1901" t="s">
        <v>45</v>
      </c>
      <c r="J1901" t="s">
        <v>34</v>
      </c>
    </row>
    <row r="1902" spans="1:10">
      <c r="A1902" t="s">
        <v>3062</v>
      </c>
      <c r="B1902" t="s">
        <v>3063</v>
      </c>
      <c r="C1902" t="s">
        <v>177</v>
      </c>
      <c r="D1902" t="s">
        <v>78</v>
      </c>
      <c r="E1902">
        <v>-49398</v>
      </c>
      <c r="F1902" t="s">
        <v>23</v>
      </c>
      <c r="G1902" t="s">
        <v>24</v>
      </c>
      <c r="H1902" t="s">
        <v>79</v>
      </c>
      <c r="I1902" t="s">
        <v>45</v>
      </c>
      <c r="J1902" t="s">
        <v>27</v>
      </c>
    </row>
    <row r="1903" spans="1:10">
      <c r="A1903" t="s">
        <v>3064</v>
      </c>
      <c r="B1903" t="s">
        <v>295</v>
      </c>
      <c r="C1903" t="s">
        <v>215</v>
      </c>
      <c r="D1903" t="s">
        <v>61</v>
      </c>
      <c r="E1903">
        <v>-12552</v>
      </c>
      <c r="F1903" t="s">
        <v>62</v>
      </c>
      <c r="G1903" t="s">
        <v>32</v>
      </c>
      <c r="H1903" t="s">
        <v>63</v>
      </c>
      <c r="I1903" t="s">
        <v>39</v>
      </c>
      <c r="J1903" t="s">
        <v>48</v>
      </c>
    </row>
    <row r="1904" spans="1:10">
      <c r="A1904" t="s">
        <v>3065</v>
      </c>
      <c r="B1904" t="s">
        <v>637</v>
      </c>
      <c r="C1904" t="s">
        <v>132</v>
      </c>
      <c r="D1904" t="s">
        <v>73</v>
      </c>
      <c r="E1904">
        <v>-40768</v>
      </c>
      <c r="F1904" t="s">
        <v>74</v>
      </c>
      <c r="G1904" t="s">
        <v>32</v>
      </c>
      <c r="H1904" t="s">
        <v>25</v>
      </c>
      <c r="I1904" t="s">
        <v>26</v>
      </c>
      <c r="J1904" t="s">
        <v>34</v>
      </c>
    </row>
    <row r="1905" spans="1:10">
      <c r="A1905" t="s">
        <v>508</v>
      </c>
      <c r="B1905" t="s">
        <v>338</v>
      </c>
      <c r="C1905" t="s">
        <v>60</v>
      </c>
      <c r="D1905" t="s">
        <v>61</v>
      </c>
      <c r="E1905">
        <v>-18356</v>
      </c>
      <c r="F1905" t="s">
        <v>62</v>
      </c>
      <c r="G1905" t="s">
        <v>24</v>
      </c>
      <c r="H1905" t="s">
        <v>63</v>
      </c>
      <c r="I1905" t="s">
        <v>26</v>
      </c>
      <c r="J1905" t="s">
        <v>40</v>
      </c>
    </row>
    <row r="1906" spans="1:10">
      <c r="A1906" t="s">
        <v>3066</v>
      </c>
      <c r="B1906" t="s">
        <v>2826</v>
      </c>
      <c r="C1906" t="s">
        <v>129</v>
      </c>
      <c r="D1906" t="s">
        <v>38</v>
      </c>
      <c r="E1906">
        <v>-15272</v>
      </c>
      <c r="F1906" t="s">
        <v>23</v>
      </c>
      <c r="G1906" t="s">
        <v>32</v>
      </c>
      <c r="H1906" t="s">
        <v>33</v>
      </c>
      <c r="I1906" t="s">
        <v>26</v>
      </c>
      <c r="J1906" t="s">
        <v>27</v>
      </c>
    </row>
    <row r="1907" spans="1:10">
      <c r="A1907" t="s">
        <v>3067</v>
      </c>
      <c r="B1907" t="s">
        <v>1513</v>
      </c>
      <c r="C1907" t="s">
        <v>37</v>
      </c>
      <c r="D1907" t="s">
        <v>38</v>
      </c>
      <c r="E1907">
        <v>-50849</v>
      </c>
      <c r="F1907" t="s">
        <v>23</v>
      </c>
      <c r="G1907" t="s">
        <v>24</v>
      </c>
      <c r="H1907" t="s">
        <v>33</v>
      </c>
      <c r="I1907" t="s">
        <v>45</v>
      </c>
      <c r="J1907" t="s">
        <v>34</v>
      </c>
    </row>
    <row r="1908" spans="1:10">
      <c r="A1908" t="s">
        <v>3068</v>
      </c>
      <c r="B1908" t="s">
        <v>355</v>
      </c>
      <c r="C1908" t="s">
        <v>283</v>
      </c>
      <c r="D1908" t="s">
        <v>44</v>
      </c>
      <c r="E1908">
        <v>-110920</v>
      </c>
      <c r="F1908" t="s">
        <v>23</v>
      </c>
      <c r="G1908" t="s">
        <v>24</v>
      </c>
      <c r="H1908" t="s">
        <v>33</v>
      </c>
      <c r="I1908" t="s">
        <v>39</v>
      </c>
      <c r="J1908" t="s">
        <v>48</v>
      </c>
    </row>
    <row r="1909" spans="1:10">
      <c r="A1909" t="s">
        <v>3069</v>
      </c>
      <c r="B1909" t="s">
        <v>1354</v>
      </c>
      <c r="C1909" t="s">
        <v>339</v>
      </c>
      <c r="D1909" t="s">
        <v>157</v>
      </c>
      <c r="E1909">
        <v>615492</v>
      </c>
      <c r="F1909" t="s">
        <v>62</v>
      </c>
      <c r="G1909" t="s">
        <v>32</v>
      </c>
      <c r="H1909" t="s">
        <v>25</v>
      </c>
      <c r="I1909" t="s">
        <v>45</v>
      </c>
      <c r="J1909" t="s">
        <v>40</v>
      </c>
    </row>
    <row r="1910" spans="1:10">
      <c r="A1910" t="s">
        <v>3070</v>
      </c>
      <c r="B1910" t="s">
        <v>3071</v>
      </c>
      <c r="C1910" t="s">
        <v>169</v>
      </c>
      <c r="D1910" t="s">
        <v>73</v>
      </c>
      <c r="E1910">
        <v>-11154</v>
      </c>
      <c r="F1910" t="s">
        <v>74</v>
      </c>
      <c r="G1910" t="s">
        <v>24</v>
      </c>
      <c r="H1910" t="s">
        <v>25</v>
      </c>
      <c r="I1910" t="s">
        <v>39</v>
      </c>
      <c r="J1910" t="s">
        <v>27</v>
      </c>
    </row>
    <row r="1911" spans="1:10">
      <c r="A1911" t="s">
        <v>3072</v>
      </c>
      <c r="B1911" t="s">
        <v>3073</v>
      </c>
      <c r="C1911" t="s">
        <v>90</v>
      </c>
      <c r="D1911" t="s">
        <v>73</v>
      </c>
      <c r="E1911">
        <v>-21506</v>
      </c>
      <c r="F1911" t="s">
        <v>74</v>
      </c>
      <c r="G1911" t="s">
        <v>24</v>
      </c>
      <c r="H1911" t="s">
        <v>25</v>
      </c>
      <c r="I1911" t="s">
        <v>45</v>
      </c>
      <c r="J1911" t="s">
        <v>48</v>
      </c>
    </row>
    <row r="1912" spans="1:10">
      <c r="A1912" t="s">
        <v>3074</v>
      </c>
      <c r="B1912" t="s">
        <v>1201</v>
      </c>
      <c r="C1912" t="s">
        <v>132</v>
      </c>
      <c r="D1912" t="s">
        <v>73</v>
      </c>
      <c r="E1912">
        <v>-71176</v>
      </c>
      <c r="F1912" t="s">
        <v>74</v>
      </c>
      <c r="G1912" t="s">
        <v>24</v>
      </c>
      <c r="H1912" t="s">
        <v>25</v>
      </c>
      <c r="I1912" t="s">
        <v>45</v>
      </c>
      <c r="J1912" t="s">
        <v>34</v>
      </c>
    </row>
    <row r="1913" spans="1:10">
      <c r="A1913" t="s">
        <v>3075</v>
      </c>
      <c r="B1913" t="s">
        <v>1061</v>
      </c>
      <c r="C1913" t="s">
        <v>802</v>
      </c>
      <c r="D1913" t="s">
        <v>440</v>
      </c>
      <c r="E1913">
        <v>-97216</v>
      </c>
      <c r="F1913" t="s">
        <v>23</v>
      </c>
      <c r="G1913" t="s">
        <v>32</v>
      </c>
      <c r="H1913" t="s">
        <v>33</v>
      </c>
      <c r="I1913" t="s">
        <v>26</v>
      </c>
      <c r="J1913" t="s">
        <v>40</v>
      </c>
    </row>
    <row r="1914" spans="1:10">
      <c r="A1914" t="s">
        <v>3076</v>
      </c>
      <c r="B1914" t="s">
        <v>3077</v>
      </c>
      <c r="C1914" t="s">
        <v>468</v>
      </c>
      <c r="D1914" t="s">
        <v>440</v>
      </c>
      <c r="E1914">
        <v>-144464</v>
      </c>
      <c r="F1914" t="s">
        <v>23</v>
      </c>
      <c r="G1914" t="s">
        <v>24</v>
      </c>
      <c r="H1914" t="s">
        <v>33</v>
      </c>
      <c r="I1914" t="s">
        <v>45</v>
      </c>
      <c r="J1914" t="s">
        <v>48</v>
      </c>
    </row>
    <row r="1915" spans="1:10">
      <c r="A1915" t="s">
        <v>3078</v>
      </c>
      <c r="B1915" t="s">
        <v>2699</v>
      </c>
      <c r="C1915" t="s">
        <v>51</v>
      </c>
      <c r="D1915" t="s">
        <v>31</v>
      </c>
      <c r="E1915">
        <v>-19710</v>
      </c>
      <c r="F1915" t="s">
        <v>23</v>
      </c>
      <c r="G1915" t="s">
        <v>32</v>
      </c>
      <c r="H1915" t="s">
        <v>33</v>
      </c>
      <c r="I1915" t="s">
        <v>45</v>
      </c>
      <c r="J1915" t="s">
        <v>40</v>
      </c>
    </row>
    <row r="1916" spans="1:10">
      <c r="A1916" t="s">
        <v>3079</v>
      </c>
      <c r="B1916" t="s">
        <v>1758</v>
      </c>
      <c r="C1916" t="s">
        <v>215</v>
      </c>
      <c r="D1916" t="s">
        <v>61</v>
      </c>
      <c r="E1916">
        <v>-21695</v>
      </c>
      <c r="F1916" t="s">
        <v>62</v>
      </c>
      <c r="G1916" t="s">
        <v>24</v>
      </c>
      <c r="H1916" t="s">
        <v>63</v>
      </c>
      <c r="I1916" t="s">
        <v>26</v>
      </c>
      <c r="J1916" t="s">
        <v>27</v>
      </c>
    </row>
    <row r="1917" spans="1:10">
      <c r="A1917" t="s">
        <v>3080</v>
      </c>
      <c r="B1917" t="s">
        <v>816</v>
      </c>
      <c r="C1917" t="s">
        <v>60</v>
      </c>
      <c r="D1917" t="s">
        <v>61</v>
      </c>
      <c r="E1917">
        <v>-53011</v>
      </c>
      <c r="F1917" t="s">
        <v>62</v>
      </c>
      <c r="G1917" t="s">
        <v>32</v>
      </c>
      <c r="H1917" t="s">
        <v>63</v>
      </c>
      <c r="I1917" t="s">
        <v>26</v>
      </c>
      <c r="J1917" t="s">
        <v>48</v>
      </c>
    </row>
    <row r="1918" spans="1:10">
      <c r="A1918" t="s">
        <v>3081</v>
      </c>
      <c r="B1918" t="s">
        <v>812</v>
      </c>
      <c r="C1918" t="s">
        <v>218</v>
      </c>
      <c r="D1918" t="s">
        <v>157</v>
      </c>
      <c r="E1918">
        <v>517287</v>
      </c>
      <c r="F1918" t="s">
        <v>62</v>
      </c>
      <c r="G1918" t="s">
        <v>32</v>
      </c>
      <c r="H1918" t="s">
        <v>25</v>
      </c>
      <c r="I1918" t="s">
        <v>26</v>
      </c>
      <c r="J1918" t="s">
        <v>27</v>
      </c>
    </row>
    <row r="1919" spans="1:10">
      <c r="A1919" t="s">
        <v>3082</v>
      </c>
      <c r="B1919" t="s">
        <v>3083</v>
      </c>
      <c r="C1919" t="s">
        <v>66</v>
      </c>
      <c r="D1919" t="s">
        <v>61</v>
      </c>
      <c r="E1919">
        <v>-63834</v>
      </c>
      <c r="F1919" t="s">
        <v>62</v>
      </c>
      <c r="G1919" t="s">
        <v>32</v>
      </c>
      <c r="H1919" t="s">
        <v>63</v>
      </c>
      <c r="I1919" t="s">
        <v>39</v>
      </c>
      <c r="J1919" t="s">
        <v>34</v>
      </c>
    </row>
    <row r="1920" spans="1:10">
      <c r="A1920" t="s">
        <v>3084</v>
      </c>
      <c r="B1920" t="s">
        <v>825</v>
      </c>
      <c r="C1920" t="s">
        <v>166</v>
      </c>
      <c r="D1920" t="s">
        <v>31</v>
      </c>
      <c r="E1920">
        <v>-33203</v>
      </c>
      <c r="F1920" t="s">
        <v>23</v>
      </c>
      <c r="G1920" t="s">
        <v>24</v>
      </c>
      <c r="H1920" t="s">
        <v>33</v>
      </c>
      <c r="I1920" t="s">
        <v>26</v>
      </c>
      <c r="J1920" t="s">
        <v>48</v>
      </c>
    </row>
    <row r="1921" spans="1:10">
      <c r="A1921" t="s">
        <v>3085</v>
      </c>
      <c r="B1921" t="s">
        <v>497</v>
      </c>
      <c r="C1921" t="s">
        <v>212</v>
      </c>
      <c r="D1921" t="s">
        <v>73</v>
      </c>
      <c r="E1921">
        <v>-81060</v>
      </c>
      <c r="F1921" t="s">
        <v>74</v>
      </c>
      <c r="G1921" t="s">
        <v>24</v>
      </c>
      <c r="H1921" t="s">
        <v>25</v>
      </c>
      <c r="I1921" t="s">
        <v>39</v>
      </c>
      <c r="J1921" t="s">
        <v>34</v>
      </c>
    </row>
    <row r="1922" spans="1:10">
      <c r="A1922" t="s">
        <v>3086</v>
      </c>
      <c r="B1922" t="s">
        <v>2161</v>
      </c>
      <c r="C1922" t="s">
        <v>132</v>
      </c>
      <c r="D1922" t="s">
        <v>111</v>
      </c>
      <c r="E1922">
        <v>-76492</v>
      </c>
      <c r="F1922" t="s">
        <v>74</v>
      </c>
      <c r="G1922" t="s">
        <v>32</v>
      </c>
      <c r="H1922" t="s">
        <v>25</v>
      </c>
      <c r="I1922" t="s">
        <v>45</v>
      </c>
      <c r="J1922" t="s">
        <v>48</v>
      </c>
    </row>
    <row r="1923" spans="1:10">
      <c r="A1923" t="s">
        <v>3087</v>
      </c>
      <c r="B1923" t="s">
        <v>3088</v>
      </c>
      <c r="C1923" t="s">
        <v>687</v>
      </c>
      <c r="E1923">
        <v>-120799</v>
      </c>
      <c r="F1923" t="s">
        <v>23</v>
      </c>
      <c r="G1923" t="s">
        <v>24</v>
      </c>
      <c r="H1923" t="s">
        <v>33</v>
      </c>
      <c r="I1923" t="s">
        <v>26</v>
      </c>
      <c r="J1923" t="s">
        <v>40</v>
      </c>
    </row>
    <row r="1924" spans="1:10">
      <c r="A1924" t="s">
        <v>3089</v>
      </c>
      <c r="B1924" t="s">
        <v>3090</v>
      </c>
      <c r="C1924" t="s">
        <v>69</v>
      </c>
      <c r="D1924" t="s">
        <v>38</v>
      </c>
      <c r="E1924">
        <v>-24776</v>
      </c>
      <c r="F1924" t="s">
        <v>23</v>
      </c>
      <c r="G1924" t="s">
        <v>32</v>
      </c>
      <c r="H1924" t="s">
        <v>33</v>
      </c>
      <c r="I1924" t="s">
        <v>45</v>
      </c>
      <c r="J1924" t="s">
        <v>34</v>
      </c>
    </row>
    <row r="1925" spans="1:10">
      <c r="A1925" t="s">
        <v>3091</v>
      </c>
      <c r="B1925" t="s">
        <v>961</v>
      </c>
      <c r="C1925" t="s">
        <v>66</v>
      </c>
      <c r="D1925" t="s">
        <v>61</v>
      </c>
      <c r="E1925">
        <v>-18180</v>
      </c>
      <c r="F1925" t="s">
        <v>62</v>
      </c>
      <c r="G1925" t="s">
        <v>32</v>
      </c>
      <c r="H1925" t="s">
        <v>63</v>
      </c>
      <c r="I1925" t="s">
        <v>26</v>
      </c>
      <c r="J1925" t="s">
        <v>27</v>
      </c>
    </row>
    <row r="1926" spans="1:10">
      <c r="A1926" t="s">
        <v>3092</v>
      </c>
      <c r="B1926" t="s">
        <v>2365</v>
      </c>
      <c r="C1926" t="s">
        <v>293</v>
      </c>
      <c r="D1926" t="s">
        <v>157</v>
      </c>
      <c r="E1926">
        <v>534314</v>
      </c>
      <c r="F1926" t="s">
        <v>62</v>
      </c>
      <c r="G1926" t="s">
        <v>32</v>
      </c>
      <c r="H1926" t="s">
        <v>25</v>
      </c>
      <c r="I1926" t="s">
        <v>26</v>
      </c>
      <c r="J1926" t="s">
        <v>27</v>
      </c>
    </row>
    <row r="1927" spans="1:10">
      <c r="A1927" t="s">
        <v>3093</v>
      </c>
      <c r="B1927" t="s">
        <v>3094</v>
      </c>
      <c r="C1927" t="s">
        <v>30</v>
      </c>
      <c r="D1927" t="s">
        <v>31</v>
      </c>
      <c r="E1927">
        <v>-29586</v>
      </c>
      <c r="F1927" t="s">
        <v>23</v>
      </c>
      <c r="G1927" t="s">
        <v>24</v>
      </c>
      <c r="H1927" t="s">
        <v>33</v>
      </c>
      <c r="I1927" t="s">
        <v>45</v>
      </c>
      <c r="J1927" t="s">
        <v>40</v>
      </c>
    </row>
    <row r="1928" spans="1:10">
      <c r="A1928" t="s">
        <v>3095</v>
      </c>
      <c r="B1928" t="s">
        <v>973</v>
      </c>
      <c r="C1928" t="s">
        <v>37</v>
      </c>
      <c r="D1928" t="s">
        <v>38</v>
      </c>
      <c r="E1928">
        <v>-54751</v>
      </c>
      <c r="F1928" t="s">
        <v>23</v>
      </c>
      <c r="G1928" t="s">
        <v>24</v>
      </c>
      <c r="H1928" t="s">
        <v>33</v>
      </c>
      <c r="I1928" t="s">
        <v>26</v>
      </c>
      <c r="J1928" t="s">
        <v>40</v>
      </c>
    </row>
    <row r="1929" spans="1:10">
      <c r="A1929" t="s">
        <v>3096</v>
      </c>
      <c r="B1929" t="s">
        <v>1667</v>
      </c>
      <c r="C1929" t="s">
        <v>687</v>
      </c>
      <c r="D1929" t="s">
        <v>44</v>
      </c>
      <c r="E1929">
        <v>-55096</v>
      </c>
      <c r="F1929" t="s">
        <v>23</v>
      </c>
      <c r="G1929" t="s">
        <v>24</v>
      </c>
      <c r="H1929" t="s">
        <v>33</v>
      </c>
      <c r="I1929" t="s">
        <v>26</v>
      </c>
      <c r="J1929" t="s">
        <v>27</v>
      </c>
    </row>
    <row r="1930" spans="1:10">
      <c r="A1930" t="s">
        <v>3097</v>
      </c>
      <c r="B1930" t="s">
        <v>2483</v>
      </c>
      <c r="C1930" t="s">
        <v>132</v>
      </c>
      <c r="D1930" t="s">
        <v>73</v>
      </c>
      <c r="E1930">
        <v>-74724</v>
      </c>
      <c r="F1930" t="s">
        <v>74</v>
      </c>
      <c r="G1930" t="s">
        <v>32</v>
      </c>
      <c r="H1930" t="s">
        <v>25</v>
      </c>
      <c r="I1930" t="s">
        <v>39</v>
      </c>
      <c r="J1930" t="s">
        <v>40</v>
      </c>
    </row>
    <row r="1931" spans="1:10">
      <c r="A1931" t="s">
        <v>3098</v>
      </c>
      <c r="B1931" t="s">
        <v>365</v>
      </c>
      <c r="C1931" t="s">
        <v>177</v>
      </c>
      <c r="D1931" t="s">
        <v>78</v>
      </c>
      <c r="E1931">
        <v>-69149</v>
      </c>
      <c r="F1931" t="s">
        <v>23</v>
      </c>
      <c r="G1931" t="s">
        <v>32</v>
      </c>
      <c r="H1931" t="s">
        <v>79</v>
      </c>
      <c r="I1931" t="s">
        <v>45</v>
      </c>
      <c r="J1931" t="s">
        <v>34</v>
      </c>
    </row>
    <row r="1932" spans="1:10">
      <c r="A1932" t="s">
        <v>3099</v>
      </c>
      <c r="B1932" t="s">
        <v>2126</v>
      </c>
      <c r="C1932" t="s">
        <v>218</v>
      </c>
      <c r="D1932" t="s">
        <v>157</v>
      </c>
      <c r="E1932">
        <v>532987</v>
      </c>
      <c r="F1932" t="s">
        <v>62</v>
      </c>
      <c r="G1932" t="s">
        <v>32</v>
      </c>
      <c r="H1932" t="s">
        <v>25</v>
      </c>
      <c r="I1932" t="s">
        <v>26</v>
      </c>
      <c r="J1932" t="s">
        <v>40</v>
      </c>
    </row>
    <row r="1933" spans="1:10">
      <c r="A1933" t="s">
        <v>3100</v>
      </c>
      <c r="B1933" t="s">
        <v>1435</v>
      </c>
      <c r="C1933" t="s">
        <v>100</v>
      </c>
      <c r="D1933" t="s">
        <v>31</v>
      </c>
      <c r="E1933">
        <v>-29001</v>
      </c>
      <c r="F1933" t="s">
        <v>23</v>
      </c>
      <c r="G1933" t="s">
        <v>32</v>
      </c>
      <c r="H1933" t="s">
        <v>33</v>
      </c>
      <c r="I1933" t="s">
        <v>45</v>
      </c>
      <c r="J1933" t="s">
        <v>48</v>
      </c>
    </row>
    <row r="1934" spans="1:10">
      <c r="A1934" t="s">
        <v>3101</v>
      </c>
      <c r="B1934" t="s">
        <v>2513</v>
      </c>
      <c r="C1934" t="s">
        <v>69</v>
      </c>
      <c r="D1934" t="s">
        <v>38</v>
      </c>
      <c r="E1934">
        <v>-35474</v>
      </c>
      <c r="F1934" t="s">
        <v>23</v>
      </c>
      <c r="G1934" t="s">
        <v>32</v>
      </c>
      <c r="H1934" t="s">
        <v>33</v>
      </c>
      <c r="I1934" t="s">
        <v>26</v>
      </c>
      <c r="J1934" t="s">
        <v>40</v>
      </c>
    </row>
    <row r="1935" spans="1:10">
      <c r="A1935" t="s">
        <v>3102</v>
      </c>
      <c r="B1935" t="s">
        <v>3103</v>
      </c>
      <c r="C1935" t="s">
        <v>283</v>
      </c>
      <c r="D1935" t="s">
        <v>44</v>
      </c>
      <c r="E1935">
        <v>-60706</v>
      </c>
      <c r="F1935" t="s">
        <v>23</v>
      </c>
      <c r="G1935" t="s">
        <v>24</v>
      </c>
      <c r="H1935" t="s">
        <v>33</v>
      </c>
      <c r="I1935" t="s">
        <v>26</v>
      </c>
      <c r="J1935" t="s">
        <v>27</v>
      </c>
    </row>
    <row r="1936" spans="1:10">
      <c r="A1936" t="s">
        <v>3104</v>
      </c>
      <c r="B1936" t="s">
        <v>3105</v>
      </c>
      <c r="C1936" t="s">
        <v>116</v>
      </c>
      <c r="D1936" t="s">
        <v>73</v>
      </c>
      <c r="E1936">
        <v>-38771</v>
      </c>
      <c r="F1936" t="s">
        <v>74</v>
      </c>
      <c r="G1936" t="s">
        <v>32</v>
      </c>
      <c r="H1936" t="s">
        <v>25</v>
      </c>
      <c r="I1936" t="s">
        <v>26</v>
      </c>
      <c r="J1936" t="s">
        <v>34</v>
      </c>
    </row>
    <row r="1937" spans="1:10">
      <c r="A1937" t="s">
        <v>3106</v>
      </c>
      <c r="B1937" t="s">
        <v>772</v>
      </c>
      <c r="C1937" t="s">
        <v>66</v>
      </c>
      <c r="D1937" t="s">
        <v>61</v>
      </c>
      <c r="E1937">
        <v>-37638</v>
      </c>
      <c r="F1937" t="s">
        <v>62</v>
      </c>
      <c r="G1937" t="s">
        <v>32</v>
      </c>
      <c r="H1937" t="s">
        <v>63</v>
      </c>
      <c r="I1937" t="s">
        <v>39</v>
      </c>
      <c r="J1937" t="s">
        <v>48</v>
      </c>
    </row>
    <row r="1938" spans="1:10">
      <c r="A1938" t="s">
        <v>3107</v>
      </c>
      <c r="B1938" t="s">
        <v>2646</v>
      </c>
      <c r="C1938" t="s">
        <v>174</v>
      </c>
      <c r="D1938" t="s">
        <v>22</v>
      </c>
      <c r="E1938">
        <v>-109869</v>
      </c>
      <c r="F1938" t="s">
        <v>23</v>
      </c>
      <c r="G1938" t="s">
        <v>24</v>
      </c>
      <c r="H1938" t="s">
        <v>25</v>
      </c>
      <c r="I1938" t="s">
        <v>45</v>
      </c>
      <c r="J1938" t="s">
        <v>48</v>
      </c>
    </row>
    <row r="1939" spans="1:10">
      <c r="A1939" t="s">
        <v>3108</v>
      </c>
      <c r="B1939" t="s">
        <v>2951</v>
      </c>
      <c r="C1939" t="s">
        <v>180</v>
      </c>
      <c r="D1939" t="s">
        <v>44</v>
      </c>
      <c r="E1939">
        <v>-177698</v>
      </c>
      <c r="F1939" t="s">
        <v>23</v>
      </c>
      <c r="G1939" t="s">
        <v>32</v>
      </c>
      <c r="H1939" t="s">
        <v>33</v>
      </c>
      <c r="I1939" t="s">
        <v>26</v>
      </c>
      <c r="J1939" t="s">
        <v>48</v>
      </c>
    </row>
    <row r="1940" spans="1:10">
      <c r="A1940" t="s">
        <v>3109</v>
      </c>
      <c r="B1940" t="s">
        <v>3110</v>
      </c>
      <c r="C1940" t="s">
        <v>533</v>
      </c>
      <c r="D1940" t="s">
        <v>61</v>
      </c>
      <c r="E1940">
        <v>-31679</v>
      </c>
      <c r="F1940" t="s">
        <v>62</v>
      </c>
      <c r="G1940" t="s">
        <v>24</v>
      </c>
      <c r="H1940" t="s">
        <v>63</v>
      </c>
      <c r="I1940" t="s">
        <v>39</v>
      </c>
      <c r="J1940" t="s">
        <v>34</v>
      </c>
    </row>
    <row r="1941" spans="1:10">
      <c r="A1941" t="s">
        <v>3111</v>
      </c>
      <c r="B1941" t="s">
        <v>719</v>
      </c>
      <c r="C1941" t="s">
        <v>66</v>
      </c>
      <c r="D1941" t="s">
        <v>61</v>
      </c>
      <c r="E1941">
        <v>-42619</v>
      </c>
      <c r="F1941" t="s">
        <v>62</v>
      </c>
      <c r="G1941" t="s">
        <v>32</v>
      </c>
      <c r="H1941" t="s">
        <v>63</v>
      </c>
      <c r="I1941" t="s">
        <v>39</v>
      </c>
      <c r="J1941" t="s">
        <v>40</v>
      </c>
    </row>
    <row r="1942" spans="1:10">
      <c r="A1942" t="s">
        <v>3112</v>
      </c>
      <c r="B1942" t="s">
        <v>234</v>
      </c>
      <c r="C1942" t="s">
        <v>87</v>
      </c>
      <c r="D1942" t="s">
        <v>22</v>
      </c>
      <c r="E1942">
        <v>-193767</v>
      </c>
      <c r="F1942" t="s">
        <v>23</v>
      </c>
      <c r="G1942" t="s">
        <v>24</v>
      </c>
      <c r="H1942" t="s">
        <v>25</v>
      </c>
      <c r="I1942" t="s">
        <v>45</v>
      </c>
      <c r="J1942" t="s">
        <v>40</v>
      </c>
    </row>
    <row r="1943" spans="1:10">
      <c r="A1943" t="s">
        <v>3113</v>
      </c>
      <c r="B1943" t="s">
        <v>3114</v>
      </c>
      <c r="C1943" t="s">
        <v>93</v>
      </c>
      <c r="D1943" t="s">
        <v>73</v>
      </c>
      <c r="E1943">
        <v>-77984</v>
      </c>
      <c r="F1943" t="s">
        <v>74</v>
      </c>
      <c r="G1943" t="s">
        <v>32</v>
      </c>
      <c r="H1943" t="s">
        <v>25</v>
      </c>
      <c r="I1943" t="s">
        <v>26</v>
      </c>
      <c r="J1943" t="s">
        <v>27</v>
      </c>
    </row>
    <row r="1944" spans="1:10">
      <c r="A1944" t="s">
        <v>3115</v>
      </c>
      <c r="B1944" t="s">
        <v>482</v>
      </c>
      <c r="C1944" t="s">
        <v>345</v>
      </c>
      <c r="E1944">
        <v>-215477</v>
      </c>
      <c r="F1944" t="s">
        <v>23</v>
      </c>
      <c r="G1944" t="s">
        <v>24</v>
      </c>
      <c r="H1944" t="s">
        <v>25</v>
      </c>
      <c r="I1944" t="s">
        <v>45</v>
      </c>
      <c r="J1944" t="s">
        <v>40</v>
      </c>
    </row>
    <row r="1945" spans="1:10">
      <c r="A1945" t="s">
        <v>3116</v>
      </c>
      <c r="B1945" t="s">
        <v>2488</v>
      </c>
      <c r="C1945" t="s">
        <v>266</v>
      </c>
      <c r="D1945" t="s">
        <v>73</v>
      </c>
      <c r="E1945">
        <v>-33668</v>
      </c>
      <c r="F1945" t="s">
        <v>74</v>
      </c>
      <c r="G1945" t="s">
        <v>24</v>
      </c>
      <c r="H1945" t="s">
        <v>25</v>
      </c>
      <c r="I1945" t="s">
        <v>45</v>
      </c>
      <c r="J1945" t="s">
        <v>48</v>
      </c>
    </row>
    <row r="1946" spans="1:10">
      <c r="A1946" t="s">
        <v>3117</v>
      </c>
      <c r="B1946" t="s">
        <v>901</v>
      </c>
      <c r="C1946" t="s">
        <v>66</v>
      </c>
      <c r="D1946" t="s">
        <v>61</v>
      </c>
      <c r="E1946">
        <v>-40455</v>
      </c>
      <c r="F1946" t="s">
        <v>62</v>
      </c>
      <c r="G1946" t="s">
        <v>24</v>
      </c>
      <c r="H1946" t="s">
        <v>63</v>
      </c>
      <c r="I1946" t="s">
        <v>26</v>
      </c>
      <c r="J1946" t="s">
        <v>40</v>
      </c>
    </row>
    <row r="1947" spans="1:10">
      <c r="A1947" t="s">
        <v>3118</v>
      </c>
      <c r="B1947" t="s">
        <v>3119</v>
      </c>
      <c r="C1947" t="s">
        <v>60</v>
      </c>
      <c r="D1947" t="s">
        <v>61</v>
      </c>
      <c r="E1947">
        <v>-34154</v>
      </c>
      <c r="F1947" t="s">
        <v>62</v>
      </c>
      <c r="G1947" t="s">
        <v>32</v>
      </c>
      <c r="H1947" t="s">
        <v>63</v>
      </c>
      <c r="I1947" t="s">
        <v>45</v>
      </c>
      <c r="J1947" t="s">
        <v>40</v>
      </c>
    </row>
    <row r="1948" spans="1:10">
      <c r="A1948" t="s">
        <v>3120</v>
      </c>
      <c r="B1948" t="s">
        <v>3121</v>
      </c>
      <c r="C1948" t="s">
        <v>271</v>
      </c>
      <c r="D1948" t="s">
        <v>187</v>
      </c>
      <c r="E1948">
        <v>-66459</v>
      </c>
      <c r="F1948" t="s">
        <v>74</v>
      </c>
      <c r="G1948" t="s">
        <v>32</v>
      </c>
      <c r="H1948" t="s">
        <v>25</v>
      </c>
      <c r="I1948" t="s">
        <v>45</v>
      </c>
      <c r="J1948" t="s">
        <v>48</v>
      </c>
    </row>
    <row r="1949" spans="1:10">
      <c r="A1949" t="s">
        <v>2071</v>
      </c>
      <c r="B1949" t="s">
        <v>631</v>
      </c>
      <c r="C1949" t="s">
        <v>1676</v>
      </c>
      <c r="D1949" t="s">
        <v>73</v>
      </c>
      <c r="E1949">
        <v>-22530</v>
      </c>
      <c r="F1949" t="s">
        <v>74</v>
      </c>
      <c r="G1949" t="s">
        <v>32</v>
      </c>
      <c r="H1949" t="s">
        <v>25</v>
      </c>
      <c r="I1949" t="s">
        <v>26</v>
      </c>
      <c r="J1949" t="s">
        <v>34</v>
      </c>
    </row>
    <row r="1950" spans="1:10">
      <c r="A1950" t="s">
        <v>3122</v>
      </c>
      <c r="B1950" t="s">
        <v>1821</v>
      </c>
      <c r="C1950" t="s">
        <v>166</v>
      </c>
      <c r="E1950">
        <v>-6519</v>
      </c>
      <c r="F1950" t="s">
        <v>23</v>
      </c>
      <c r="G1950" t="s">
        <v>24</v>
      </c>
      <c r="H1950" t="s">
        <v>33</v>
      </c>
      <c r="I1950" t="s">
        <v>45</v>
      </c>
      <c r="J1950" t="s">
        <v>27</v>
      </c>
    </row>
    <row r="1951" spans="1:10">
      <c r="A1951" t="s">
        <v>3123</v>
      </c>
      <c r="B1951" t="s">
        <v>2488</v>
      </c>
      <c r="C1951" t="s">
        <v>60</v>
      </c>
      <c r="D1951" t="s">
        <v>61</v>
      </c>
      <c r="E1951">
        <v>-24934</v>
      </c>
      <c r="F1951" t="s">
        <v>62</v>
      </c>
      <c r="G1951" t="s">
        <v>24</v>
      </c>
      <c r="H1951" t="s">
        <v>63</v>
      </c>
      <c r="I1951" t="s">
        <v>45</v>
      </c>
      <c r="J1951" t="s">
        <v>48</v>
      </c>
    </row>
    <row r="1952" spans="1:10">
      <c r="A1952" t="s">
        <v>3124</v>
      </c>
      <c r="B1952" t="s">
        <v>549</v>
      </c>
      <c r="C1952" t="s">
        <v>129</v>
      </c>
      <c r="D1952" t="s">
        <v>38</v>
      </c>
      <c r="E1952">
        <v>-27626</v>
      </c>
      <c r="F1952" t="s">
        <v>23</v>
      </c>
      <c r="G1952" t="s">
        <v>24</v>
      </c>
      <c r="H1952" t="s">
        <v>33</v>
      </c>
      <c r="I1952" t="s">
        <v>45</v>
      </c>
      <c r="J1952" t="s">
        <v>34</v>
      </c>
    </row>
    <row r="1953" spans="1:10">
      <c r="A1953" t="s">
        <v>3125</v>
      </c>
      <c r="B1953" t="s">
        <v>355</v>
      </c>
      <c r="C1953" t="s">
        <v>93</v>
      </c>
      <c r="D1953" t="s">
        <v>73</v>
      </c>
      <c r="E1953">
        <v>-36048</v>
      </c>
      <c r="F1953" t="s">
        <v>74</v>
      </c>
      <c r="G1953" t="s">
        <v>32</v>
      </c>
      <c r="H1953" t="s">
        <v>25</v>
      </c>
      <c r="I1953" t="s">
        <v>39</v>
      </c>
      <c r="J1953" t="s">
        <v>48</v>
      </c>
    </row>
    <row r="1954" spans="1:10">
      <c r="A1954" t="s">
        <v>3126</v>
      </c>
      <c r="B1954" t="s">
        <v>1295</v>
      </c>
      <c r="C1954" t="s">
        <v>66</v>
      </c>
      <c r="D1954" t="s">
        <v>61</v>
      </c>
      <c r="E1954">
        <v>-40847</v>
      </c>
      <c r="F1954" t="s">
        <v>62</v>
      </c>
      <c r="G1954" t="s">
        <v>24</v>
      </c>
      <c r="H1954" t="s">
        <v>63</v>
      </c>
      <c r="I1954" t="s">
        <v>26</v>
      </c>
      <c r="J1954" t="s">
        <v>27</v>
      </c>
    </row>
    <row r="1955" spans="1:10">
      <c r="A1955" t="s">
        <v>3127</v>
      </c>
      <c r="B1955" t="s">
        <v>3128</v>
      </c>
      <c r="C1955" t="s">
        <v>215</v>
      </c>
      <c r="D1955" t="s">
        <v>61</v>
      </c>
      <c r="E1955">
        <v>-14778</v>
      </c>
      <c r="F1955" t="s">
        <v>62</v>
      </c>
      <c r="G1955" t="s">
        <v>32</v>
      </c>
      <c r="H1955" t="s">
        <v>63</v>
      </c>
      <c r="I1955" t="s">
        <v>45</v>
      </c>
      <c r="J1955" t="s">
        <v>27</v>
      </c>
    </row>
    <row r="1956" spans="1:10">
      <c r="A1956" t="s">
        <v>3129</v>
      </c>
      <c r="B1956" t="s">
        <v>3130</v>
      </c>
      <c r="C1956" t="s">
        <v>212</v>
      </c>
      <c r="D1956" t="s">
        <v>73</v>
      </c>
      <c r="E1956">
        <v>-71682</v>
      </c>
      <c r="F1956" t="s">
        <v>74</v>
      </c>
      <c r="G1956" t="s">
        <v>24</v>
      </c>
      <c r="H1956" t="s">
        <v>25</v>
      </c>
      <c r="I1956" t="s">
        <v>26</v>
      </c>
      <c r="J1956" t="s">
        <v>48</v>
      </c>
    </row>
    <row r="1957" spans="1:10">
      <c r="A1957" t="s">
        <v>3131</v>
      </c>
      <c r="B1957" t="s">
        <v>432</v>
      </c>
      <c r="C1957" t="s">
        <v>192</v>
      </c>
      <c r="D1957" t="s">
        <v>207</v>
      </c>
      <c r="E1957">
        <v>-84810</v>
      </c>
      <c r="F1957" t="s">
        <v>23</v>
      </c>
      <c r="G1957" t="s">
        <v>32</v>
      </c>
      <c r="H1957" t="s">
        <v>25</v>
      </c>
      <c r="I1957" t="s">
        <v>26</v>
      </c>
      <c r="J1957" t="s">
        <v>27</v>
      </c>
    </row>
    <row r="1958" spans="1:10">
      <c r="A1958" t="s">
        <v>3132</v>
      </c>
      <c r="B1958" t="s">
        <v>2376</v>
      </c>
      <c r="C1958" t="s">
        <v>116</v>
      </c>
      <c r="D1958" t="s">
        <v>187</v>
      </c>
      <c r="E1958">
        <v>-23826</v>
      </c>
      <c r="F1958" t="s">
        <v>74</v>
      </c>
      <c r="G1958" t="s">
        <v>32</v>
      </c>
      <c r="H1958" t="s">
        <v>25</v>
      </c>
      <c r="I1958" t="s">
        <v>26</v>
      </c>
      <c r="J1958" t="s">
        <v>27</v>
      </c>
    </row>
    <row r="1959" spans="1:10">
      <c r="A1959" t="s">
        <v>3133</v>
      </c>
      <c r="B1959" t="s">
        <v>2233</v>
      </c>
      <c r="C1959" t="s">
        <v>51</v>
      </c>
      <c r="D1959" t="s">
        <v>31</v>
      </c>
      <c r="E1959">
        <v>-8695</v>
      </c>
      <c r="F1959" t="s">
        <v>23</v>
      </c>
      <c r="G1959" t="s">
        <v>32</v>
      </c>
      <c r="H1959" t="s">
        <v>33</v>
      </c>
      <c r="I1959" t="s">
        <v>26</v>
      </c>
      <c r="J1959" t="s">
        <v>48</v>
      </c>
    </row>
    <row r="1960" spans="1:10">
      <c r="A1960" t="s">
        <v>3134</v>
      </c>
      <c r="B1960" t="s">
        <v>1168</v>
      </c>
      <c r="C1960" t="s">
        <v>69</v>
      </c>
      <c r="D1960" t="s">
        <v>38</v>
      </c>
      <c r="E1960">
        <v>-52866</v>
      </c>
      <c r="F1960" t="s">
        <v>23</v>
      </c>
      <c r="G1960" t="s">
        <v>24</v>
      </c>
      <c r="H1960" t="s">
        <v>33</v>
      </c>
      <c r="I1960" t="s">
        <v>39</v>
      </c>
      <c r="J1960" t="s">
        <v>40</v>
      </c>
    </row>
    <row r="1961" spans="1:10">
      <c r="A1961" t="s">
        <v>3135</v>
      </c>
      <c r="B1961" t="s">
        <v>3136</v>
      </c>
      <c r="C1961" t="s">
        <v>77</v>
      </c>
      <c r="D1961" t="s">
        <v>78</v>
      </c>
      <c r="E1961">
        <v>-61254</v>
      </c>
      <c r="F1961" t="s">
        <v>23</v>
      </c>
      <c r="G1961" t="s">
        <v>24</v>
      </c>
      <c r="H1961" t="s">
        <v>79</v>
      </c>
      <c r="I1961" t="s">
        <v>45</v>
      </c>
      <c r="J1961" t="s">
        <v>27</v>
      </c>
    </row>
    <row r="1962" spans="1:10">
      <c r="A1962" t="s">
        <v>3137</v>
      </c>
      <c r="B1962" t="s">
        <v>749</v>
      </c>
      <c r="C1962" t="s">
        <v>37</v>
      </c>
      <c r="D1962" t="s">
        <v>38</v>
      </c>
      <c r="E1962">
        <v>-37685</v>
      </c>
      <c r="F1962" t="s">
        <v>23</v>
      </c>
      <c r="G1962" t="s">
        <v>32</v>
      </c>
      <c r="H1962" t="s">
        <v>33</v>
      </c>
      <c r="I1962" t="s">
        <v>39</v>
      </c>
      <c r="J1962" t="s">
        <v>40</v>
      </c>
    </row>
    <row r="1963" spans="1:10">
      <c r="A1963" t="s">
        <v>3138</v>
      </c>
      <c r="B1963" t="s">
        <v>3139</v>
      </c>
      <c r="C1963" t="s">
        <v>66</v>
      </c>
      <c r="D1963" t="s">
        <v>61</v>
      </c>
      <c r="E1963">
        <v>-60724</v>
      </c>
      <c r="F1963" t="s">
        <v>62</v>
      </c>
      <c r="G1963" t="s">
        <v>24</v>
      </c>
      <c r="H1963" t="s">
        <v>63</v>
      </c>
      <c r="I1963" t="s">
        <v>45</v>
      </c>
      <c r="J1963" t="s">
        <v>48</v>
      </c>
    </row>
    <row r="1964" spans="1:10">
      <c r="A1964" t="s">
        <v>3140</v>
      </c>
      <c r="B1964" t="s">
        <v>1506</v>
      </c>
      <c r="C1964" t="s">
        <v>177</v>
      </c>
      <c r="D1964" t="s">
        <v>78</v>
      </c>
      <c r="E1964">
        <v>-101461</v>
      </c>
      <c r="F1964" t="s">
        <v>23</v>
      </c>
      <c r="G1964" t="s">
        <v>32</v>
      </c>
      <c r="H1964" t="s">
        <v>79</v>
      </c>
      <c r="I1964" t="s">
        <v>26</v>
      </c>
      <c r="J1964" t="s">
        <v>48</v>
      </c>
    </row>
    <row r="1965" spans="1:10">
      <c r="A1965" t="s">
        <v>3141</v>
      </c>
      <c r="B1965" t="s">
        <v>3142</v>
      </c>
      <c r="C1965" t="s">
        <v>802</v>
      </c>
      <c r="D1965" t="s">
        <v>440</v>
      </c>
      <c r="E1965">
        <v>-102993</v>
      </c>
      <c r="F1965" t="s">
        <v>23</v>
      </c>
      <c r="G1965" t="s">
        <v>32</v>
      </c>
      <c r="H1965" t="s">
        <v>33</v>
      </c>
      <c r="I1965" t="s">
        <v>45</v>
      </c>
      <c r="J1965" t="s">
        <v>27</v>
      </c>
    </row>
    <row r="1966" spans="1:10">
      <c r="A1966" t="s">
        <v>3143</v>
      </c>
      <c r="B1966" t="s">
        <v>2855</v>
      </c>
      <c r="C1966" t="s">
        <v>66</v>
      </c>
      <c r="D1966" t="s">
        <v>61</v>
      </c>
      <c r="E1966">
        <v>-48314</v>
      </c>
      <c r="F1966" t="s">
        <v>62</v>
      </c>
      <c r="G1966" t="s">
        <v>24</v>
      </c>
      <c r="H1966" t="s">
        <v>63</v>
      </c>
      <c r="I1966" t="s">
        <v>26</v>
      </c>
      <c r="J1966" t="s">
        <v>40</v>
      </c>
    </row>
    <row r="1967" spans="1:10">
      <c r="A1967" t="s">
        <v>3144</v>
      </c>
      <c r="B1967" t="s">
        <v>2968</v>
      </c>
      <c r="C1967" t="s">
        <v>66</v>
      </c>
      <c r="D1967" t="s">
        <v>61</v>
      </c>
      <c r="E1967">
        <v>-24202</v>
      </c>
      <c r="F1967" t="s">
        <v>62</v>
      </c>
      <c r="G1967" t="s">
        <v>32</v>
      </c>
      <c r="H1967" t="s">
        <v>63</v>
      </c>
      <c r="I1967" t="s">
        <v>26</v>
      </c>
      <c r="J1967" t="s">
        <v>40</v>
      </c>
    </row>
    <row r="1968" spans="1:10">
      <c r="A1968" t="s">
        <v>3145</v>
      </c>
      <c r="B1968" t="s">
        <v>3146</v>
      </c>
      <c r="C1968" t="s">
        <v>103</v>
      </c>
      <c r="D1968" t="s">
        <v>78</v>
      </c>
      <c r="E1968">
        <v>-119799</v>
      </c>
      <c r="F1968" t="s">
        <v>23</v>
      </c>
      <c r="G1968" t="s">
        <v>24</v>
      </c>
      <c r="H1968" t="s">
        <v>79</v>
      </c>
      <c r="I1968" t="s">
        <v>39</v>
      </c>
      <c r="J1968" t="s">
        <v>48</v>
      </c>
    </row>
    <row r="1969" spans="1:10">
      <c r="A1969" t="s">
        <v>3147</v>
      </c>
      <c r="B1969" t="s">
        <v>295</v>
      </c>
      <c r="C1969" t="s">
        <v>100</v>
      </c>
      <c r="D1969" t="s">
        <v>31</v>
      </c>
      <c r="E1969">
        <v>-34228</v>
      </c>
      <c r="F1969" t="s">
        <v>23</v>
      </c>
      <c r="G1969" t="s">
        <v>24</v>
      </c>
      <c r="H1969" t="s">
        <v>33</v>
      </c>
      <c r="I1969" t="s">
        <v>39</v>
      </c>
      <c r="J1969" t="s">
        <v>48</v>
      </c>
    </row>
    <row r="1970" spans="1:10">
      <c r="A1970" t="s">
        <v>3148</v>
      </c>
      <c r="B1970" t="s">
        <v>3149</v>
      </c>
      <c r="C1970" t="s">
        <v>215</v>
      </c>
      <c r="D1970" t="s">
        <v>61</v>
      </c>
      <c r="E1970">
        <v>-41014</v>
      </c>
      <c r="F1970" t="s">
        <v>62</v>
      </c>
      <c r="G1970" t="s">
        <v>32</v>
      </c>
      <c r="H1970" t="s">
        <v>63</v>
      </c>
      <c r="I1970" t="s">
        <v>26</v>
      </c>
      <c r="J1970" t="s">
        <v>34</v>
      </c>
    </row>
    <row r="1971" spans="1:10">
      <c r="A1971" t="s">
        <v>3150</v>
      </c>
      <c r="B1971" t="s">
        <v>3151</v>
      </c>
      <c r="C1971" t="s">
        <v>100</v>
      </c>
      <c r="D1971" t="s">
        <v>31</v>
      </c>
      <c r="E1971">
        <v>-44944</v>
      </c>
      <c r="F1971" t="s">
        <v>23</v>
      </c>
      <c r="G1971" t="s">
        <v>24</v>
      </c>
      <c r="H1971" t="s">
        <v>33</v>
      </c>
      <c r="I1971" t="s">
        <v>26</v>
      </c>
      <c r="J1971" t="s">
        <v>27</v>
      </c>
    </row>
    <row r="1972" spans="1:10">
      <c r="A1972" t="s">
        <v>3152</v>
      </c>
      <c r="B1972" t="s">
        <v>3153</v>
      </c>
      <c r="C1972" t="s">
        <v>90</v>
      </c>
      <c r="D1972" t="s">
        <v>73</v>
      </c>
      <c r="E1972">
        <v>-46304</v>
      </c>
      <c r="F1972" t="s">
        <v>74</v>
      </c>
      <c r="G1972" t="s">
        <v>32</v>
      </c>
      <c r="H1972" t="s">
        <v>25</v>
      </c>
      <c r="I1972" t="s">
        <v>39</v>
      </c>
      <c r="J1972" t="s">
        <v>34</v>
      </c>
    </row>
    <row r="1973" spans="1:10">
      <c r="A1973" t="s">
        <v>3154</v>
      </c>
      <c r="B1973" t="s">
        <v>1205</v>
      </c>
      <c r="C1973" t="s">
        <v>21</v>
      </c>
      <c r="D1973" t="s">
        <v>22</v>
      </c>
      <c r="E1973">
        <v>-143875</v>
      </c>
      <c r="F1973" t="s">
        <v>23</v>
      </c>
      <c r="G1973" t="s">
        <v>32</v>
      </c>
      <c r="H1973" t="s">
        <v>25</v>
      </c>
      <c r="I1973" t="s">
        <v>45</v>
      </c>
      <c r="J1973" t="s">
        <v>27</v>
      </c>
    </row>
    <row r="1974" spans="1:10">
      <c r="A1974" t="s">
        <v>3155</v>
      </c>
      <c r="B1974" t="s">
        <v>2040</v>
      </c>
      <c r="C1974" t="s">
        <v>60</v>
      </c>
      <c r="D1974" t="s">
        <v>61</v>
      </c>
      <c r="E1974">
        <v>-58902</v>
      </c>
      <c r="F1974" t="s">
        <v>62</v>
      </c>
      <c r="G1974" t="s">
        <v>24</v>
      </c>
      <c r="H1974" t="s">
        <v>63</v>
      </c>
      <c r="I1974" t="s">
        <v>39</v>
      </c>
      <c r="J1974" t="s">
        <v>40</v>
      </c>
    </row>
    <row r="1975" spans="1:10">
      <c r="A1975" t="s">
        <v>3156</v>
      </c>
      <c r="B1975" t="s">
        <v>121</v>
      </c>
      <c r="C1975" t="s">
        <v>1039</v>
      </c>
      <c r="D1975" t="s">
        <v>440</v>
      </c>
      <c r="E1975">
        <v>-139193</v>
      </c>
      <c r="F1975" t="s">
        <v>23</v>
      </c>
      <c r="G1975" t="s">
        <v>24</v>
      </c>
      <c r="H1975" t="s">
        <v>33</v>
      </c>
      <c r="I1975" t="s">
        <v>39</v>
      </c>
      <c r="J1975" t="s">
        <v>40</v>
      </c>
    </row>
    <row r="1976" spans="1:10">
      <c r="A1976" t="s">
        <v>3157</v>
      </c>
      <c r="B1976" t="s">
        <v>608</v>
      </c>
      <c r="C1976" t="s">
        <v>84</v>
      </c>
      <c r="D1976" t="s">
        <v>78</v>
      </c>
      <c r="E1976">
        <v>-34715</v>
      </c>
      <c r="F1976" t="s">
        <v>23</v>
      </c>
      <c r="G1976" t="s">
        <v>24</v>
      </c>
      <c r="H1976" t="s">
        <v>79</v>
      </c>
      <c r="I1976" t="s">
        <v>45</v>
      </c>
      <c r="J1976" t="s">
        <v>48</v>
      </c>
    </row>
    <row r="1977" spans="1:10">
      <c r="A1977" t="s">
        <v>3158</v>
      </c>
      <c r="B1977" t="s">
        <v>3159</v>
      </c>
      <c r="C1977" t="s">
        <v>224</v>
      </c>
      <c r="E1977">
        <v>-97157</v>
      </c>
      <c r="F1977" t="s">
        <v>23</v>
      </c>
      <c r="G1977" t="s">
        <v>24</v>
      </c>
      <c r="H1977" t="s">
        <v>79</v>
      </c>
      <c r="I1977" t="s">
        <v>26</v>
      </c>
      <c r="J1977" t="s">
        <v>27</v>
      </c>
    </row>
    <row r="1978" spans="1:10">
      <c r="A1978" t="s">
        <v>3160</v>
      </c>
      <c r="B1978" t="s">
        <v>3161</v>
      </c>
      <c r="C1978" t="s">
        <v>310</v>
      </c>
      <c r="D1978" t="s">
        <v>22</v>
      </c>
      <c r="E1978">
        <v>-167987</v>
      </c>
      <c r="F1978" t="s">
        <v>23</v>
      </c>
      <c r="G1978" t="s">
        <v>24</v>
      </c>
      <c r="H1978" t="s">
        <v>25</v>
      </c>
      <c r="I1978" t="s">
        <v>45</v>
      </c>
      <c r="J1978" t="s">
        <v>34</v>
      </c>
    </row>
    <row r="1979" spans="1:10">
      <c r="A1979" t="s">
        <v>3162</v>
      </c>
      <c r="B1979" t="s">
        <v>3163</v>
      </c>
      <c r="C1979" t="s">
        <v>339</v>
      </c>
      <c r="D1979" t="s">
        <v>157</v>
      </c>
      <c r="E1979">
        <v>599211</v>
      </c>
      <c r="F1979" t="s">
        <v>62</v>
      </c>
      <c r="G1979" t="s">
        <v>32</v>
      </c>
      <c r="H1979" t="s">
        <v>25</v>
      </c>
      <c r="I1979" t="s">
        <v>45</v>
      </c>
      <c r="J1979" t="s">
        <v>34</v>
      </c>
    </row>
    <row r="1980" spans="1:10">
      <c r="A1980" t="s">
        <v>3164</v>
      </c>
      <c r="B1980" t="s">
        <v>602</v>
      </c>
      <c r="C1980" t="s">
        <v>2258</v>
      </c>
      <c r="D1980" t="s">
        <v>38</v>
      </c>
      <c r="E1980">
        <v>-22380</v>
      </c>
      <c r="F1980" t="s">
        <v>23</v>
      </c>
      <c r="G1980" t="s">
        <v>24</v>
      </c>
      <c r="H1980" t="s">
        <v>33</v>
      </c>
      <c r="I1980" t="s">
        <v>26</v>
      </c>
      <c r="J1980" t="s">
        <v>34</v>
      </c>
    </row>
    <row r="1981" spans="1:10">
      <c r="A1981" t="s">
        <v>3165</v>
      </c>
      <c r="B1981" t="s">
        <v>996</v>
      </c>
      <c r="C1981" t="s">
        <v>224</v>
      </c>
      <c r="D1981" t="s">
        <v>78</v>
      </c>
      <c r="E1981">
        <v>-100181</v>
      </c>
      <c r="F1981" t="s">
        <v>23</v>
      </c>
      <c r="G1981" t="s">
        <v>24</v>
      </c>
      <c r="H1981" t="s">
        <v>79</v>
      </c>
      <c r="I1981" t="s">
        <v>45</v>
      </c>
      <c r="J1981" t="s">
        <v>40</v>
      </c>
    </row>
    <row r="1982" spans="1:10">
      <c r="A1982" t="s">
        <v>3166</v>
      </c>
      <c r="B1982" t="s">
        <v>3167</v>
      </c>
      <c r="C1982" t="s">
        <v>103</v>
      </c>
      <c r="D1982" t="s">
        <v>664</v>
      </c>
      <c r="E1982">
        <v>-54893</v>
      </c>
      <c r="F1982" t="s">
        <v>23</v>
      </c>
      <c r="G1982" t="s">
        <v>24</v>
      </c>
      <c r="H1982" t="s">
        <v>79</v>
      </c>
      <c r="I1982" t="s">
        <v>26</v>
      </c>
      <c r="J1982" t="s">
        <v>34</v>
      </c>
    </row>
    <row r="1983" spans="1:10">
      <c r="A1983" t="s">
        <v>3168</v>
      </c>
      <c r="B1983" t="s">
        <v>1176</v>
      </c>
      <c r="C1983" t="s">
        <v>90</v>
      </c>
      <c r="D1983" t="s">
        <v>73</v>
      </c>
      <c r="E1983">
        <v>-28027</v>
      </c>
      <c r="F1983" t="s">
        <v>74</v>
      </c>
      <c r="G1983" t="s">
        <v>24</v>
      </c>
      <c r="H1983" t="s">
        <v>25</v>
      </c>
      <c r="I1983" t="s">
        <v>45</v>
      </c>
      <c r="J1983" t="s">
        <v>34</v>
      </c>
    </row>
    <row r="1984" spans="1:10">
      <c r="A1984" t="s">
        <v>3169</v>
      </c>
      <c r="B1984" t="s">
        <v>1166</v>
      </c>
      <c r="C1984" t="s">
        <v>37</v>
      </c>
      <c r="D1984" t="s">
        <v>38</v>
      </c>
      <c r="E1984">
        <v>-18672</v>
      </c>
      <c r="F1984" t="s">
        <v>23</v>
      </c>
      <c r="G1984" t="s">
        <v>32</v>
      </c>
      <c r="H1984" t="s">
        <v>33</v>
      </c>
      <c r="I1984" t="s">
        <v>26</v>
      </c>
      <c r="J1984" t="s">
        <v>27</v>
      </c>
    </row>
    <row r="1985" spans="1:10">
      <c r="A1985" t="s">
        <v>3170</v>
      </c>
      <c r="B1985" t="s">
        <v>730</v>
      </c>
      <c r="C1985" t="s">
        <v>60</v>
      </c>
      <c r="D1985" t="s">
        <v>61</v>
      </c>
      <c r="E1985">
        <v>-16369</v>
      </c>
      <c r="F1985" t="s">
        <v>62</v>
      </c>
      <c r="G1985" t="s">
        <v>24</v>
      </c>
      <c r="H1985" t="s">
        <v>63</v>
      </c>
      <c r="I1985" t="s">
        <v>39</v>
      </c>
      <c r="J1985" t="s">
        <v>48</v>
      </c>
    </row>
    <row r="1986" spans="1:10">
      <c r="A1986" t="s">
        <v>3171</v>
      </c>
      <c r="B1986" t="s">
        <v>814</v>
      </c>
      <c r="C1986" t="s">
        <v>126</v>
      </c>
      <c r="D1986" t="s">
        <v>31</v>
      </c>
      <c r="E1986">
        <v>-32517</v>
      </c>
      <c r="F1986" t="s">
        <v>23</v>
      </c>
      <c r="G1986" t="s">
        <v>24</v>
      </c>
      <c r="H1986" t="s">
        <v>33</v>
      </c>
      <c r="I1986" t="s">
        <v>45</v>
      </c>
      <c r="J1986" t="s">
        <v>48</v>
      </c>
    </row>
    <row r="1987" spans="1:10">
      <c r="A1987" t="s">
        <v>3172</v>
      </c>
      <c r="B1987" t="s">
        <v>878</v>
      </c>
      <c r="C1987" t="s">
        <v>169</v>
      </c>
      <c r="D1987" t="s">
        <v>73</v>
      </c>
      <c r="E1987">
        <v>-36020</v>
      </c>
      <c r="F1987" t="s">
        <v>74</v>
      </c>
      <c r="G1987" t="s">
        <v>32</v>
      </c>
      <c r="H1987" t="s">
        <v>25</v>
      </c>
      <c r="I1987" t="s">
        <v>45</v>
      </c>
      <c r="J1987" t="s">
        <v>48</v>
      </c>
    </row>
    <row r="1988" spans="1:10">
      <c r="A1988" t="s">
        <v>3173</v>
      </c>
      <c r="B1988" t="s">
        <v>3174</v>
      </c>
      <c r="C1988" t="s">
        <v>30</v>
      </c>
      <c r="D1988" t="s">
        <v>31</v>
      </c>
      <c r="E1988">
        <v>-15678</v>
      </c>
      <c r="F1988" t="s">
        <v>23</v>
      </c>
      <c r="G1988" t="s">
        <v>24</v>
      </c>
      <c r="H1988" t="s">
        <v>33</v>
      </c>
      <c r="I1988" t="s">
        <v>39</v>
      </c>
      <c r="J1988" t="s">
        <v>48</v>
      </c>
    </row>
    <row r="1989" spans="1:10">
      <c r="A1989" t="s">
        <v>3175</v>
      </c>
      <c r="B1989" t="s">
        <v>3176</v>
      </c>
      <c r="C1989" t="s">
        <v>54</v>
      </c>
      <c r="D1989" t="s">
        <v>38</v>
      </c>
      <c r="E1989">
        <v>-33599</v>
      </c>
      <c r="F1989" t="s">
        <v>23</v>
      </c>
      <c r="G1989" t="s">
        <v>24</v>
      </c>
      <c r="H1989" t="s">
        <v>33</v>
      </c>
      <c r="I1989" t="s">
        <v>45</v>
      </c>
      <c r="J1989" t="s">
        <v>40</v>
      </c>
    </row>
    <row r="1990" spans="1:10">
      <c r="A1990" t="s">
        <v>3177</v>
      </c>
      <c r="B1990" t="s">
        <v>1000</v>
      </c>
      <c r="C1990" t="s">
        <v>271</v>
      </c>
      <c r="D1990" t="s">
        <v>73</v>
      </c>
      <c r="E1990">
        <v>-57025</v>
      </c>
      <c r="F1990" t="s">
        <v>74</v>
      </c>
      <c r="G1990" t="s">
        <v>32</v>
      </c>
      <c r="H1990" t="s">
        <v>25</v>
      </c>
      <c r="I1990" t="s">
        <v>45</v>
      </c>
      <c r="J1990" t="s">
        <v>27</v>
      </c>
    </row>
    <row r="1991" spans="1:10">
      <c r="A1991" t="s">
        <v>3178</v>
      </c>
      <c r="B1991" t="s">
        <v>1863</v>
      </c>
      <c r="C1991" t="s">
        <v>60</v>
      </c>
      <c r="D1991" t="s">
        <v>61</v>
      </c>
      <c r="E1991">
        <v>-64431</v>
      </c>
      <c r="F1991" t="s">
        <v>62</v>
      </c>
      <c r="G1991" t="s">
        <v>24</v>
      </c>
      <c r="H1991" t="s">
        <v>63</v>
      </c>
      <c r="I1991" t="s">
        <v>26</v>
      </c>
      <c r="J1991" t="s">
        <v>48</v>
      </c>
    </row>
    <row r="1992" spans="1:10">
      <c r="A1992" t="s">
        <v>3179</v>
      </c>
      <c r="B1992" t="s">
        <v>223</v>
      </c>
      <c r="C1992" t="s">
        <v>519</v>
      </c>
      <c r="D1992" t="s">
        <v>44</v>
      </c>
      <c r="E1992">
        <v>-106973</v>
      </c>
      <c r="F1992" t="s">
        <v>23</v>
      </c>
      <c r="G1992" t="s">
        <v>24</v>
      </c>
      <c r="H1992" t="s">
        <v>33</v>
      </c>
      <c r="I1992" t="s">
        <v>26</v>
      </c>
      <c r="J1992" t="s">
        <v>34</v>
      </c>
    </row>
    <row r="1993" spans="1:10">
      <c r="A1993" t="s">
        <v>3180</v>
      </c>
      <c r="B1993" t="s">
        <v>278</v>
      </c>
      <c r="C1993" t="s">
        <v>106</v>
      </c>
      <c r="D1993" t="s">
        <v>31</v>
      </c>
      <c r="E1993">
        <v>-26012</v>
      </c>
      <c r="F1993" t="s">
        <v>23</v>
      </c>
      <c r="G1993" t="s">
        <v>24</v>
      </c>
      <c r="H1993" t="s">
        <v>33</v>
      </c>
      <c r="I1993" t="s">
        <v>26</v>
      </c>
      <c r="J1993" t="s">
        <v>27</v>
      </c>
    </row>
    <row r="1994" spans="1:10">
      <c r="A1994" t="s">
        <v>3181</v>
      </c>
      <c r="B1994" t="s">
        <v>230</v>
      </c>
      <c r="C1994" t="s">
        <v>132</v>
      </c>
      <c r="D1994" t="s">
        <v>187</v>
      </c>
      <c r="E1994">
        <v>-26218</v>
      </c>
      <c r="F1994" t="s">
        <v>74</v>
      </c>
      <c r="G1994" t="s">
        <v>32</v>
      </c>
      <c r="H1994" t="s">
        <v>25</v>
      </c>
      <c r="I1994" t="s">
        <v>39</v>
      </c>
      <c r="J1994" t="s">
        <v>27</v>
      </c>
    </row>
    <row r="1995" spans="1:10">
      <c r="A1995" t="s">
        <v>3182</v>
      </c>
      <c r="B1995" t="s">
        <v>3183</v>
      </c>
      <c r="C1995" t="s">
        <v>100</v>
      </c>
      <c r="E1995">
        <v>-22494</v>
      </c>
      <c r="F1995" t="s">
        <v>23</v>
      </c>
      <c r="G1995" t="s">
        <v>24</v>
      </c>
      <c r="H1995" t="s">
        <v>33</v>
      </c>
      <c r="I1995" t="s">
        <v>26</v>
      </c>
      <c r="J1995" t="s">
        <v>48</v>
      </c>
    </row>
    <row r="1996" spans="1:10">
      <c r="A1996" t="s">
        <v>3184</v>
      </c>
      <c r="B1996" t="s">
        <v>1823</v>
      </c>
      <c r="C1996" t="s">
        <v>169</v>
      </c>
      <c r="D1996" t="s">
        <v>73</v>
      </c>
      <c r="E1996">
        <v>-88750</v>
      </c>
      <c r="F1996" t="s">
        <v>74</v>
      </c>
      <c r="G1996" t="s">
        <v>32</v>
      </c>
      <c r="H1996" t="s">
        <v>25</v>
      </c>
      <c r="I1996" t="s">
        <v>26</v>
      </c>
      <c r="J1996" t="s">
        <v>40</v>
      </c>
    </row>
    <row r="1997" spans="1:10">
      <c r="A1997" t="s">
        <v>3185</v>
      </c>
      <c r="B1997" t="s">
        <v>2080</v>
      </c>
      <c r="C1997" t="s">
        <v>143</v>
      </c>
      <c r="D1997" t="s">
        <v>78</v>
      </c>
      <c r="E1997">
        <v>-21959</v>
      </c>
      <c r="F1997" t="s">
        <v>23</v>
      </c>
      <c r="G1997" t="s">
        <v>32</v>
      </c>
      <c r="H1997" t="s">
        <v>79</v>
      </c>
      <c r="I1997" t="s">
        <v>39</v>
      </c>
      <c r="J1997" t="s">
        <v>34</v>
      </c>
    </row>
    <row r="1998" spans="1:10">
      <c r="A1998" t="s">
        <v>3186</v>
      </c>
      <c r="B1998" t="s">
        <v>110</v>
      </c>
      <c r="C1998" t="s">
        <v>439</v>
      </c>
      <c r="D1998" t="s">
        <v>440</v>
      </c>
      <c r="E1998">
        <v>-104632</v>
      </c>
      <c r="F1998" t="s">
        <v>23</v>
      </c>
      <c r="G1998" t="s">
        <v>24</v>
      </c>
      <c r="H1998" t="s">
        <v>33</v>
      </c>
      <c r="I1998" t="s">
        <v>39</v>
      </c>
      <c r="J1998" t="s">
        <v>34</v>
      </c>
    </row>
    <row r="1999" spans="1:10">
      <c r="A1999" t="s">
        <v>3187</v>
      </c>
      <c r="B1999" t="s">
        <v>1921</v>
      </c>
      <c r="C1999" t="s">
        <v>215</v>
      </c>
      <c r="D1999" t="s">
        <v>61</v>
      </c>
      <c r="E1999">
        <v>-52159</v>
      </c>
      <c r="F1999" t="s">
        <v>62</v>
      </c>
      <c r="G1999" t="s">
        <v>24</v>
      </c>
      <c r="H1999" t="s">
        <v>63</v>
      </c>
      <c r="I1999" t="s">
        <v>26</v>
      </c>
      <c r="J1999" t="s">
        <v>48</v>
      </c>
    </row>
    <row r="2000" spans="1:10">
      <c r="A2000" t="s">
        <v>3188</v>
      </c>
      <c r="B2000" t="s">
        <v>1579</v>
      </c>
      <c r="C2000" t="s">
        <v>129</v>
      </c>
      <c r="D2000" t="s">
        <v>38</v>
      </c>
      <c r="E2000">
        <v>-41836</v>
      </c>
      <c r="F2000" t="s">
        <v>23</v>
      </c>
      <c r="G2000" t="s">
        <v>24</v>
      </c>
      <c r="H2000" t="s">
        <v>33</v>
      </c>
      <c r="I2000" t="s">
        <v>45</v>
      </c>
      <c r="J2000" t="s">
        <v>40</v>
      </c>
    </row>
    <row r="2001" spans="1:10">
      <c r="A2001" t="s">
        <v>3189</v>
      </c>
      <c r="B2001" t="s">
        <v>2000</v>
      </c>
      <c r="C2001" t="s">
        <v>72</v>
      </c>
      <c r="D2001" t="s">
        <v>73</v>
      </c>
      <c r="E2001">
        <v>-22505</v>
      </c>
      <c r="F2001" t="s">
        <v>74</v>
      </c>
      <c r="G2001" t="s">
        <v>32</v>
      </c>
      <c r="H2001" t="s">
        <v>25</v>
      </c>
      <c r="I2001" t="s">
        <v>45</v>
      </c>
      <c r="J2001" t="s">
        <v>34</v>
      </c>
    </row>
    <row r="2002" spans="1:10">
      <c r="A2002" t="s">
        <v>3190</v>
      </c>
      <c r="B2002" t="s">
        <v>3191</v>
      </c>
      <c r="C2002" t="s">
        <v>156</v>
      </c>
      <c r="D2002" t="s">
        <v>157</v>
      </c>
      <c r="E2002">
        <v>539476</v>
      </c>
      <c r="F2002" t="s">
        <v>62</v>
      </c>
      <c r="G2002" t="s">
        <v>32</v>
      </c>
      <c r="H2002" t="s">
        <v>25</v>
      </c>
      <c r="I2002" t="s">
        <v>26</v>
      </c>
      <c r="J2002" t="s">
        <v>40</v>
      </c>
    </row>
    <row r="2003" spans="1:10">
      <c r="A2003" t="s">
        <v>3192</v>
      </c>
      <c r="B2003" t="s">
        <v>559</v>
      </c>
      <c r="C2003" t="s">
        <v>106</v>
      </c>
      <c r="D2003" t="s">
        <v>31</v>
      </c>
      <c r="E2003">
        <v>-7436</v>
      </c>
      <c r="F2003" t="s">
        <v>23</v>
      </c>
      <c r="G2003" t="s">
        <v>32</v>
      </c>
      <c r="H2003" t="s">
        <v>33</v>
      </c>
      <c r="I2003" t="s">
        <v>45</v>
      </c>
      <c r="J2003" t="s">
        <v>48</v>
      </c>
    </row>
    <row r="2004" spans="1:10">
      <c r="A2004" t="s">
        <v>3193</v>
      </c>
      <c r="B2004" t="s">
        <v>994</v>
      </c>
      <c r="C2004" t="s">
        <v>224</v>
      </c>
      <c r="D2004" t="s">
        <v>78</v>
      </c>
      <c r="E2004">
        <v>-50300</v>
      </c>
      <c r="F2004" t="s">
        <v>23</v>
      </c>
      <c r="G2004" t="s">
        <v>24</v>
      </c>
      <c r="H2004" t="s">
        <v>79</v>
      </c>
      <c r="I2004" t="s">
        <v>39</v>
      </c>
      <c r="J2004" t="s">
        <v>27</v>
      </c>
    </row>
    <row r="2005" spans="1:10">
      <c r="A2005" t="s">
        <v>3194</v>
      </c>
      <c r="B2005" t="s">
        <v>1433</v>
      </c>
      <c r="C2005" t="s">
        <v>51</v>
      </c>
      <c r="D2005" t="s">
        <v>31</v>
      </c>
      <c r="E2005">
        <v>-10326</v>
      </c>
      <c r="F2005" t="s">
        <v>23</v>
      </c>
      <c r="G2005" t="s">
        <v>32</v>
      </c>
      <c r="H2005" t="s">
        <v>33</v>
      </c>
      <c r="I2005" t="s">
        <v>45</v>
      </c>
      <c r="J2005" t="s">
        <v>40</v>
      </c>
    </row>
    <row r="2006" spans="1:10">
      <c r="A2006" t="s">
        <v>3195</v>
      </c>
      <c r="B2006" t="s">
        <v>797</v>
      </c>
      <c r="C2006" t="s">
        <v>255</v>
      </c>
      <c r="D2006" t="s">
        <v>22</v>
      </c>
      <c r="E2006">
        <v>-106280</v>
      </c>
      <c r="F2006" t="s">
        <v>23</v>
      </c>
      <c r="G2006" t="s">
        <v>32</v>
      </c>
      <c r="H2006" t="s">
        <v>25</v>
      </c>
      <c r="I2006" t="s">
        <v>26</v>
      </c>
      <c r="J2006" t="s">
        <v>34</v>
      </c>
    </row>
    <row r="2007" spans="1:10">
      <c r="A2007" t="s">
        <v>3196</v>
      </c>
      <c r="B2007" t="s">
        <v>1568</v>
      </c>
      <c r="C2007" t="s">
        <v>143</v>
      </c>
      <c r="D2007" t="s">
        <v>78</v>
      </c>
      <c r="E2007">
        <v>-99523</v>
      </c>
      <c r="F2007" t="s">
        <v>23</v>
      </c>
      <c r="G2007" t="s">
        <v>24</v>
      </c>
      <c r="H2007" t="s">
        <v>79</v>
      </c>
      <c r="I2007" t="s">
        <v>45</v>
      </c>
      <c r="J2007" t="s">
        <v>40</v>
      </c>
    </row>
    <row r="2008" spans="1:10">
      <c r="A2008" t="s">
        <v>3197</v>
      </c>
      <c r="B2008" t="s">
        <v>782</v>
      </c>
      <c r="C2008" t="s">
        <v>177</v>
      </c>
      <c r="D2008" t="s">
        <v>78</v>
      </c>
      <c r="E2008">
        <v>-41144</v>
      </c>
      <c r="F2008" t="s">
        <v>23</v>
      </c>
      <c r="G2008" t="s">
        <v>32</v>
      </c>
      <c r="H2008" t="s">
        <v>79</v>
      </c>
      <c r="I2008" t="s">
        <v>39</v>
      </c>
      <c r="J2008" t="s">
        <v>34</v>
      </c>
    </row>
    <row r="2009" spans="1:10">
      <c r="A2009" t="s">
        <v>3198</v>
      </c>
      <c r="B2009" t="s">
        <v>1573</v>
      </c>
      <c r="C2009" t="s">
        <v>519</v>
      </c>
      <c r="D2009" t="s">
        <v>44</v>
      </c>
      <c r="E2009">
        <v>-62017</v>
      </c>
      <c r="F2009" t="s">
        <v>23</v>
      </c>
      <c r="G2009" t="s">
        <v>32</v>
      </c>
      <c r="H2009" t="s">
        <v>33</v>
      </c>
      <c r="I2009" t="s">
        <v>45</v>
      </c>
      <c r="J2009" t="s">
        <v>34</v>
      </c>
    </row>
    <row r="2010" spans="1:10">
      <c r="A2010" t="s">
        <v>3199</v>
      </c>
      <c r="B2010" t="s">
        <v>1088</v>
      </c>
      <c r="C2010" t="s">
        <v>69</v>
      </c>
      <c r="D2010" t="s">
        <v>38</v>
      </c>
      <c r="E2010">
        <v>-30593</v>
      </c>
      <c r="F2010" t="s">
        <v>23</v>
      </c>
      <c r="G2010" t="s">
        <v>32</v>
      </c>
      <c r="H2010" t="s">
        <v>33</v>
      </c>
      <c r="I2010" t="s">
        <v>39</v>
      </c>
      <c r="J2010" t="s">
        <v>27</v>
      </c>
    </row>
    <row r="2011" spans="1:10">
      <c r="A2011" t="s">
        <v>3200</v>
      </c>
      <c r="B2011" t="s">
        <v>206</v>
      </c>
      <c r="C2011" t="s">
        <v>808</v>
      </c>
      <c r="D2011" t="s">
        <v>22</v>
      </c>
      <c r="E2011">
        <v>-211988</v>
      </c>
      <c r="F2011" t="s">
        <v>23</v>
      </c>
      <c r="G2011" t="s">
        <v>32</v>
      </c>
      <c r="H2011" t="s">
        <v>25</v>
      </c>
      <c r="I2011" t="s">
        <v>45</v>
      </c>
      <c r="J2011" t="s">
        <v>27</v>
      </c>
    </row>
    <row r="2012" spans="1:10">
      <c r="A2012" t="s">
        <v>3201</v>
      </c>
      <c r="B2012" t="s">
        <v>2252</v>
      </c>
      <c r="C2012" t="s">
        <v>143</v>
      </c>
      <c r="D2012" t="s">
        <v>78</v>
      </c>
      <c r="E2012">
        <v>-78620</v>
      </c>
      <c r="F2012" t="s">
        <v>23</v>
      </c>
      <c r="G2012" t="s">
        <v>24</v>
      </c>
      <c r="H2012" t="s">
        <v>79</v>
      </c>
      <c r="I2012" t="s">
        <v>26</v>
      </c>
      <c r="J2012" t="s">
        <v>27</v>
      </c>
    </row>
    <row r="2013" spans="1:10">
      <c r="A2013" t="s">
        <v>3202</v>
      </c>
      <c r="B2013" t="s">
        <v>494</v>
      </c>
      <c r="C2013" t="s">
        <v>37</v>
      </c>
      <c r="D2013" t="s">
        <v>38</v>
      </c>
      <c r="E2013">
        <v>-12762</v>
      </c>
      <c r="F2013" t="s">
        <v>23</v>
      </c>
      <c r="G2013" t="s">
        <v>32</v>
      </c>
      <c r="H2013" t="s">
        <v>33</v>
      </c>
      <c r="I2013" t="s">
        <v>39</v>
      </c>
      <c r="J2013" t="s">
        <v>27</v>
      </c>
    </row>
    <row r="2014" spans="1:10">
      <c r="A2014" t="s">
        <v>3203</v>
      </c>
      <c r="B2014" t="s">
        <v>3204</v>
      </c>
      <c r="C2014" t="s">
        <v>439</v>
      </c>
      <c r="D2014" t="s">
        <v>440</v>
      </c>
      <c r="E2014">
        <v>-137116</v>
      </c>
      <c r="F2014" t="s">
        <v>23</v>
      </c>
      <c r="G2014" t="s">
        <v>24</v>
      </c>
      <c r="H2014" t="s">
        <v>33</v>
      </c>
      <c r="I2014" t="s">
        <v>39</v>
      </c>
      <c r="J2014" t="s">
        <v>34</v>
      </c>
    </row>
    <row r="2015" spans="1:10">
      <c r="A2015" t="s">
        <v>3205</v>
      </c>
      <c r="B2015" t="s">
        <v>2430</v>
      </c>
      <c r="C2015" t="s">
        <v>169</v>
      </c>
      <c r="E2015">
        <v>-38613</v>
      </c>
      <c r="F2015" t="s">
        <v>74</v>
      </c>
      <c r="G2015" t="s">
        <v>24</v>
      </c>
      <c r="H2015" t="s">
        <v>25</v>
      </c>
      <c r="I2015" t="s">
        <v>26</v>
      </c>
      <c r="J2015" t="s">
        <v>34</v>
      </c>
    </row>
    <row r="2016" spans="1:10">
      <c r="A2016" t="s">
        <v>3206</v>
      </c>
      <c r="B2016" t="s">
        <v>2639</v>
      </c>
      <c r="C2016" t="s">
        <v>237</v>
      </c>
      <c r="D2016" t="s">
        <v>22</v>
      </c>
      <c r="E2016">
        <v>-157972</v>
      </c>
      <c r="F2016" t="s">
        <v>23</v>
      </c>
      <c r="G2016" t="s">
        <v>32</v>
      </c>
      <c r="H2016" t="s">
        <v>25</v>
      </c>
      <c r="I2016" t="s">
        <v>45</v>
      </c>
      <c r="J2016" t="s">
        <v>27</v>
      </c>
    </row>
    <row r="2017" spans="1:10">
      <c r="A2017" t="s">
        <v>3207</v>
      </c>
      <c r="B2017" t="s">
        <v>3208</v>
      </c>
      <c r="C2017" t="s">
        <v>143</v>
      </c>
      <c r="D2017" t="s">
        <v>78</v>
      </c>
      <c r="E2017">
        <v>-27015</v>
      </c>
      <c r="F2017" t="s">
        <v>23</v>
      </c>
      <c r="G2017" t="s">
        <v>24</v>
      </c>
      <c r="H2017" t="s">
        <v>79</v>
      </c>
      <c r="I2017" t="s">
        <v>26</v>
      </c>
      <c r="J2017" t="s">
        <v>34</v>
      </c>
    </row>
    <row r="2018" spans="1:10">
      <c r="A2018" t="s">
        <v>3209</v>
      </c>
      <c r="B2018" t="s">
        <v>1937</v>
      </c>
      <c r="C2018" t="s">
        <v>166</v>
      </c>
      <c r="D2018" t="s">
        <v>31</v>
      </c>
      <c r="E2018">
        <v>-30802</v>
      </c>
      <c r="F2018" t="s">
        <v>23</v>
      </c>
      <c r="G2018" t="s">
        <v>32</v>
      </c>
      <c r="H2018" t="s">
        <v>33</v>
      </c>
      <c r="I2018" t="s">
        <v>39</v>
      </c>
      <c r="J2018" t="s">
        <v>48</v>
      </c>
    </row>
    <row r="2019" spans="1:10">
      <c r="A2019" t="s">
        <v>3210</v>
      </c>
      <c r="B2019" t="s">
        <v>1013</v>
      </c>
      <c r="C2019" t="s">
        <v>215</v>
      </c>
      <c r="D2019" t="s">
        <v>61</v>
      </c>
      <c r="E2019">
        <v>-47430</v>
      </c>
      <c r="F2019" t="s">
        <v>62</v>
      </c>
      <c r="G2019" t="s">
        <v>24</v>
      </c>
      <c r="H2019" t="s">
        <v>63</v>
      </c>
      <c r="I2019" t="s">
        <v>39</v>
      </c>
      <c r="J2019" t="s">
        <v>34</v>
      </c>
    </row>
    <row r="2020" spans="1:10">
      <c r="A2020" t="s">
        <v>3211</v>
      </c>
      <c r="B2020" t="s">
        <v>3212</v>
      </c>
      <c r="C2020" t="s">
        <v>283</v>
      </c>
      <c r="D2020" t="s">
        <v>44</v>
      </c>
      <c r="E2020">
        <v>-36671</v>
      </c>
      <c r="F2020" t="s">
        <v>23</v>
      </c>
      <c r="G2020" t="s">
        <v>32</v>
      </c>
      <c r="H2020" t="s">
        <v>33</v>
      </c>
      <c r="I2020" t="s">
        <v>26</v>
      </c>
      <c r="J2020" t="s">
        <v>40</v>
      </c>
    </row>
    <row r="2021" spans="1:10">
      <c r="A2021" t="s">
        <v>3213</v>
      </c>
      <c r="B2021" t="s">
        <v>3214</v>
      </c>
      <c r="C2021" t="s">
        <v>345</v>
      </c>
      <c r="D2021" t="s">
        <v>22</v>
      </c>
      <c r="E2021">
        <v>-183578</v>
      </c>
      <c r="F2021" t="s">
        <v>23</v>
      </c>
      <c r="G2021" t="s">
        <v>32</v>
      </c>
      <c r="H2021" t="s">
        <v>25</v>
      </c>
      <c r="I2021" t="s">
        <v>39</v>
      </c>
      <c r="J2021" t="s">
        <v>34</v>
      </c>
    </row>
    <row r="2022" spans="1:10">
      <c r="A2022" t="s">
        <v>3215</v>
      </c>
      <c r="B2022" t="s">
        <v>831</v>
      </c>
      <c r="C2022" t="s">
        <v>174</v>
      </c>
      <c r="D2022" t="s">
        <v>22</v>
      </c>
      <c r="E2022">
        <v>-96262</v>
      </c>
      <c r="F2022" t="s">
        <v>23</v>
      </c>
      <c r="G2022" t="s">
        <v>32</v>
      </c>
      <c r="H2022" t="s">
        <v>25</v>
      </c>
      <c r="I2022" t="s">
        <v>26</v>
      </c>
      <c r="J2022" t="s">
        <v>27</v>
      </c>
    </row>
    <row r="2023" spans="1:10">
      <c r="A2023" t="s">
        <v>3216</v>
      </c>
      <c r="B2023" t="s">
        <v>3217</v>
      </c>
      <c r="C2023" t="s">
        <v>43</v>
      </c>
      <c r="D2023" t="s">
        <v>44</v>
      </c>
      <c r="E2023">
        <v>-166615</v>
      </c>
      <c r="F2023" t="s">
        <v>23</v>
      </c>
      <c r="G2023" t="s">
        <v>32</v>
      </c>
      <c r="H2023" t="s">
        <v>33</v>
      </c>
      <c r="I2023" t="s">
        <v>45</v>
      </c>
      <c r="J2023" t="s">
        <v>27</v>
      </c>
    </row>
    <row r="2024" spans="1:10">
      <c r="A2024" t="s">
        <v>3218</v>
      </c>
      <c r="B2024" t="s">
        <v>923</v>
      </c>
      <c r="C2024" t="s">
        <v>345</v>
      </c>
      <c r="D2024" t="s">
        <v>22</v>
      </c>
      <c r="E2024">
        <v>-176693</v>
      </c>
      <c r="F2024" t="s">
        <v>23</v>
      </c>
      <c r="G2024" t="s">
        <v>32</v>
      </c>
      <c r="H2024" t="s">
        <v>25</v>
      </c>
      <c r="I2024" t="s">
        <v>26</v>
      </c>
      <c r="J2024" t="s">
        <v>48</v>
      </c>
    </row>
    <row r="2025" spans="1:10">
      <c r="A2025" t="s">
        <v>3219</v>
      </c>
      <c r="B2025" t="s">
        <v>1428</v>
      </c>
      <c r="C2025" t="s">
        <v>215</v>
      </c>
      <c r="D2025" t="s">
        <v>61</v>
      </c>
      <c r="E2025">
        <v>-47541</v>
      </c>
      <c r="F2025" t="s">
        <v>62</v>
      </c>
      <c r="G2025" t="s">
        <v>32</v>
      </c>
      <c r="H2025" t="s">
        <v>63</v>
      </c>
      <c r="I2025" t="s">
        <v>39</v>
      </c>
      <c r="J2025" t="s">
        <v>34</v>
      </c>
    </row>
    <row r="2026" spans="1:10">
      <c r="A2026" t="s">
        <v>3220</v>
      </c>
      <c r="B2026" t="s">
        <v>2430</v>
      </c>
      <c r="C2026" t="s">
        <v>218</v>
      </c>
      <c r="D2026" t="s">
        <v>157</v>
      </c>
      <c r="E2026">
        <v>521122</v>
      </c>
      <c r="F2026" t="s">
        <v>62</v>
      </c>
      <c r="G2026" t="s">
        <v>32</v>
      </c>
      <c r="H2026" t="s">
        <v>25</v>
      </c>
      <c r="I2026" t="s">
        <v>26</v>
      </c>
      <c r="J2026" t="s">
        <v>34</v>
      </c>
    </row>
    <row r="2027" spans="1:10">
      <c r="A2027" t="s">
        <v>3221</v>
      </c>
      <c r="B2027" t="s">
        <v>1339</v>
      </c>
      <c r="C2027" t="s">
        <v>271</v>
      </c>
      <c r="D2027" t="s">
        <v>73</v>
      </c>
      <c r="E2027">
        <v>-78137</v>
      </c>
      <c r="F2027" t="s">
        <v>74</v>
      </c>
      <c r="G2027" t="s">
        <v>32</v>
      </c>
      <c r="H2027" t="s">
        <v>25</v>
      </c>
      <c r="I2027" t="s">
        <v>39</v>
      </c>
      <c r="J2027" t="s">
        <v>40</v>
      </c>
    </row>
    <row r="2028" spans="1:10">
      <c r="A2028" t="s">
        <v>3222</v>
      </c>
      <c r="B2028" t="s">
        <v>2002</v>
      </c>
      <c r="C2028" t="s">
        <v>305</v>
      </c>
      <c r="D2028" t="s">
        <v>38</v>
      </c>
      <c r="E2028">
        <v>-49099</v>
      </c>
      <c r="F2028" t="s">
        <v>23</v>
      </c>
      <c r="G2028" t="s">
        <v>32</v>
      </c>
      <c r="H2028" t="s">
        <v>33</v>
      </c>
      <c r="I2028" t="s">
        <v>39</v>
      </c>
      <c r="J2028" t="s">
        <v>34</v>
      </c>
    </row>
    <row r="2029" spans="1:10">
      <c r="A2029" t="s">
        <v>3223</v>
      </c>
      <c r="B2029" t="s">
        <v>1521</v>
      </c>
      <c r="C2029" t="s">
        <v>54</v>
      </c>
      <c r="D2029" t="s">
        <v>38</v>
      </c>
      <c r="E2029">
        <v>-14949</v>
      </c>
      <c r="F2029" t="s">
        <v>23</v>
      </c>
      <c r="G2029" t="s">
        <v>32</v>
      </c>
      <c r="H2029" t="s">
        <v>33</v>
      </c>
      <c r="I2029" t="s">
        <v>39</v>
      </c>
      <c r="J2029" t="s">
        <v>27</v>
      </c>
    </row>
    <row r="2030" spans="1:10">
      <c r="A2030" t="s">
        <v>3224</v>
      </c>
      <c r="B2030" t="s">
        <v>2884</v>
      </c>
      <c r="C2030" t="s">
        <v>536</v>
      </c>
      <c r="D2030" t="s">
        <v>31</v>
      </c>
      <c r="E2030">
        <v>-27913</v>
      </c>
      <c r="F2030" t="s">
        <v>23</v>
      </c>
      <c r="G2030" t="s">
        <v>32</v>
      </c>
      <c r="H2030" t="s">
        <v>33</v>
      </c>
      <c r="I2030" t="s">
        <v>45</v>
      </c>
      <c r="J2030" t="s">
        <v>40</v>
      </c>
    </row>
    <row r="2031" spans="1:10">
      <c r="A2031" t="s">
        <v>3225</v>
      </c>
      <c r="B2031" t="s">
        <v>2662</v>
      </c>
      <c r="C2031" t="s">
        <v>66</v>
      </c>
      <c r="D2031" t="s">
        <v>61</v>
      </c>
      <c r="E2031">
        <v>-49916</v>
      </c>
      <c r="F2031" t="s">
        <v>62</v>
      </c>
      <c r="G2031" t="s">
        <v>24</v>
      </c>
      <c r="H2031" t="s">
        <v>63</v>
      </c>
      <c r="I2031" t="s">
        <v>26</v>
      </c>
      <c r="J2031" t="s">
        <v>48</v>
      </c>
    </row>
    <row r="2032" spans="1:10">
      <c r="A2032" t="s">
        <v>3226</v>
      </c>
      <c r="B2032" t="s">
        <v>2294</v>
      </c>
      <c r="C2032" t="s">
        <v>116</v>
      </c>
      <c r="E2032">
        <v>-39942</v>
      </c>
      <c r="F2032" t="s">
        <v>74</v>
      </c>
      <c r="G2032" t="s">
        <v>32</v>
      </c>
      <c r="H2032" t="s">
        <v>25</v>
      </c>
      <c r="I2032" t="s">
        <v>39</v>
      </c>
      <c r="J2032" t="s">
        <v>40</v>
      </c>
    </row>
    <row r="2033" spans="1:10">
      <c r="A2033" t="s">
        <v>3227</v>
      </c>
      <c r="B2033" t="s">
        <v>186</v>
      </c>
      <c r="C2033" t="s">
        <v>100</v>
      </c>
      <c r="E2033">
        <v>-38501</v>
      </c>
      <c r="F2033" t="s">
        <v>23</v>
      </c>
      <c r="G2033" t="s">
        <v>32</v>
      </c>
      <c r="H2033" t="s">
        <v>33</v>
      </c>
      <c r="I2033" t="s">
        <v>26</v>
      </c>
      <c r="J2033" t="s">
        <v>40</v>
      </c>
    </row>
    <row r="2034" spans="1:10">
      <c r="A2034" t="s">
        <v>3228</v>
      </c>
      <c r="B2034" t="s">
        <v>3229</v>
      </c>
      <c r="C2034" t="s">
        <v>237</v>
      </c>
      <c r="D2034" t="s">
        <v>22</v>
      </c>
      <c r="E2034">
        <v>-78054</v>
      </c>
      <c r="F2034" t="s">
        <v>23</v>
      </c>
      <c r="G2034" t="s">
        <v>32</v>
      </c>
      <c r="H2034" t="s">
        <v>25</v>
      </c>
      <c r="I2034" t="s">
        <v>45</v>
      </c>
      <c r="J2034" t="s">
        <v>27</v>
      </c>
    </row>
    <row r="2035" spans="1:10">
      <c r="A2035" t="s">
        <v>3230</v>
      </c>
      <c r="B2035" t="s">
        <v>401</v>
      </c>
      <c r="C2035" t="s">
        <v>84</v>
      </c>
      <c r="D2035" t="s">
        <v>78</v>
      </c>
      <c r="E2035">
        <v>-51718</v>
      </c>
      <c r="F2035" t="s">
        <v>23</v>
      </c>
      <c r="G2035" t="s">
        <v>24</v>
      </c>
      <c r="H2035" t="s">
        <v>79</v>
      </c>
      <c r="I2035" t="s">
        <v>45</v>
      </c>
      <c r="J2035" t="s">
        <v>48</v>
      </c>
    </row>
    <row r="2036" spans="1:10">
      <c r="A2036" t="s">
        <v>3231</v>
      </c>
      <c r="B2036" t="s">
        <v>3232</v>
      </c>
      <c r="C2036" t="s">
        <v>215</v>
      </c>
      <c r="D2036" t="s">
        <v>61</v>
      </c>
      <c r="E2036">
        <v>-39437</v>
      </c>
      <c r="F2036" t="s">
        <v>62</v>
      </c>
      <c r="G2036" t="s">
        <v>32</v>
      </c>
      <c r="H2036" t="s">
        <v>63</v>
      </c>
      <c r="I2036" t="s">
        <v>45</v>
      </c>
      <c r="J2036" t="s">
        <v>40</v>
      </c>
    </row>
    <row r="2037" spans="1:10">
      <c r="A2037" t="s">
        <v>3233</v>
      </c>
      <c r="B2037" t="s">
        <v>955</v>
      </c>
      <c r="C2037" t="s">
        <v>169</v>
      </c>
      <c r="D2037" t="s">
        <v>73</v>
      </c>
      <c r="E2037">
        <v>-72166</v>
      </c>
      <c r="F2037" t="s">
        <v>74</v>
      </c>
      <c r="G2037" t="s">
        <v>32</v>
      </c>
      <c r="H2037" t="s">
        <v>25</v>
      </c>
      <c r="I2037" t="s">
        <v>45</v>
      </c>
      <c r="J2037" t="s">
        <v>34</v>
      </c>
    </row>
    <row r="2038" spans="1:10">
      <c r="A2038" t="s">
        <v>3234</v>
      </c>
      <c r="B2038" t="s">
        <v>3235</v>
      </c>
      <c r="C2038" t="s">
        <v>84</v>
      </c>
      <c r="D2038" t="s">
        <v>664</v>
      </c>
      <c r="E2038">
        <v>-44301</v>
      </c>
      <c r="F2038" t="s">
        <v>23</v>
      </c>
      <c r="G2038" t="s">
        <v>32</v>
      </c>
      <c r="H2038" t="s">
        <v>79</v>
      </c>
      <c r="I2038" t="s">
        <v>45</v>
      </c>
      <c r="J2038" t="s">
        <v>34</v>
      </c>
    </row>
    <row r="2039" spans="1:10">
      <c r="A2039" t="s">
        <v>3236</v>
      </c>
      <c r="B2039" t="s">
        <v>1750</v>
      </c>
      <c r="C2039" t="s">
        <v>283</v>
      </c>
      <c r="D2039" t="s">
        <v>44</v>
      </c>
      <c r="E2039">
        <v>-113517</v>
      </c>
      <c r="F2039" t="s">
        <v>23</v>
      </c>
      <c r="G2039" t="s">
        <v>32</v>
      </c>
      <c r="H2039" t="s">
        <v>33</v>
      </c>
      <c r="I2039" t="s">
        <v>26</v>
      </c>
      <c r="J2039" t="s">
        <v>27</v>
      </c>
    </row>
    <row r="2040" spans="1:10">
      <c r="A2040" t="s">
        <v>3237</v>
      </c>
      <c r="B2040" t="s">
        <v>1364</v>
      </c>
      <c r="C2040" t="s">
        <v>51</v>
      </c>
      <c r="D2040" t="s">
        <v>31</v>
      </c>
      <c r="E2040">
        <v>-7519</v>
      </c>
      <c r="F2040" t="s">
        <v>23</v>
      </c>
      <c r="G2040" t="s">
        <v>32</v>
      </c>
      <c r="H2040" t="s">
        <v>33</v>
      </c>
      <c r="I2040" t="s">
        <v>39</v>
      </c>
      <c r="J2040" t="s">
        <v>40</v>
      </c>
    </row>
    <row r="2041" spans="1:10">
      <c r="A2041" t="s">
        <v>3238</v>
      </c>
      <c r="B2041" t="s">
        <v>3239</v>
      </c>
      <c r="C2041" t="s">
        <v>237</v>
      </c>
      <c r="D2041" t="s">
        <v>22</v>
      </c>
      <c r="E2041">
        <v>-67557</v>
      </c>
      <c r="F2041" t="s">
        <v>23</v>
      </c>
      <c r="G2041" t="s">
        <v>32</v>
      </c>
      <c r="H2041" t="s">
        <v>25</v>
      </c>
      <c r="I2041" t="s">
        <v>39</v>
      </c>
      <c r="J2041" t="s">
        <v>40</v>
      </c>
    </row>
    <row r="2042" spans="1:10">
      <c r="A2042" t="s">
        <v>3240</v>
      </c>
      <c r="B2042" t="s">
        <v>2903</v>
      </c>
      <c r="C2042" t="s">
        <v>66</v>
      </c>
      <c r="D2042" t="s">
        <v>61</v>
      </c>
      <c r="E2042">
        <v>-54437</v>
      </c>
      <c r="F2042" t="s">
        <v>62</v>
      </c>
      <c r="G2042" t="s">
        <v>32</v>
      </c>
      <c r="H2042" t="s">
        <v>63</v>
      </c>
      <c r="I2042" t="s">
        <v>39</v>
      </c>
      <c r="J2042" t="s">
        <v>34</v>
      </c>
    </row>
    <row r="2043" spans="1:10">
      <c r="A2043" t="s">
        <v>3241</v>
      </c>
      <c r="B2043" t="s">
        <v>2022</v>
      </c>
      <c r="C2043" t="s">
        <v>143</v>
      </c>
      <c r="D2043" t="s">
        <v>78</v>
      </c>
      <c r="E2043">
        <v>-67980</v>
      </c>
      <c r="F2043" t="s">
        <v>23</v>
      </c>
      <c r="G2043" t="s">
        <v>24</v>
      </c>
      <c r="H2043" t="s">
        <v>79</v>
      </c>
      <c r="I2043" t="s">
        <v>39</v>
      </c>
      <c r="J2043" t="s">
        <v>34</v>
      </c>
    </row>
    <row r="2044" spans="1:10">
      <c r="A2044" t="s">
        <v>3242</v>
      </c>
      <c r="B2044" t="s">
        <v>1905</v>
      </c>
      <c r="C2044" t="s">
        <v>293</v>
      </c>
      <c r="D2044" t="s">
        <v>157</v>
      </c>
      <c r="E2044">
        <v>644023</v>
      </c>
      <c r="F2044" t="s">
        <v>62</v>
      </c>
      <c r="G2044" t="s">
        <v>32</v>
      </c>
      <c r="H2044" t="s">
        <v>25</v>
      </c>
      <c r="I2044" t="s">
        <v>26</v>
      </c>
      <c r="J2044" t="s">
        <v>48</v>
      </c>
    </row>
    <row r="2045" spans="1:10">
      <c r="A2045" t="s">
        <v>3243</v>
      </c>
      <c r="B2045" t="s">
        <v>739</v>
      </c>
      <c r="C2045" t="s">
        <v>43</v>
      </c>
      <c r="D2045" t="s">
        <v>44</v>
      </c>
      <c r="E2045">
        <v>-161542</v>
      </c>
      <c r="F2045" t="s">
        <v>23</v>
      </c>
      <c r="G2045" t="s">
        <v>24</v>
      </c>
      <c r="H2045" t="s">
        <v>33</v>
      </c>
      <c r="I2045" t="s">
        <v>39</v>
      </c>
      <c r="J2045" t="s">
        <v>48</v>
      </c>
    </row>
    <row r="2046" spans="1:10">
      <c r="A2046" t="s">
        <v>3244</v>
      </c>
      <c r="B2046" t="s">
        <v>3245</v>
      </c>
      <c r="C2046" t="s">
        <v>519</v>
      </c>
      <c r="D2046" t="s">
        <v>44</v>
      </c>
      <c r="E2046">
        <v>-106845</v>
      </c>
      <c r="F2046" t="s">
        <v>23</v>
      </c>
      <c r="G2046" t="s">
        <v>24</v>
      </c>
      <c r="H2046" t="s">
        <v>33</v>
      </c>
      <c r="I2046" t="s">
        <v>39</v>
      </c>
      <c r="J2046" t="s">
        <v>27</v>
      </c>
    </row>
    <row r="2047" spans="1:10">
      <c r="A2047" t="s">
        <v>3246</v>
      </c>
      <c r="B2047" t="s">
        <v>2070</v>
      </c>
      <c r="C2047" t="s">
        <v>169</v>
      </c>
      <c r="D2047" t="s">
        <v>73</v>
      </c>
      <c r="E2047">
        <v>-83644</v>
      </c>
      <c r="F2047" t="s">
        <v>74</v>
      </c>
      <c r="G2047" t="s">
        <v>32</v>
      </c>
      <c r="H2047" t="s">
        <v>25</v>
      </c>
      <c r="I2047" t="s">
        <v>39</v>
      </c>
      <c r="J2047" t="s">
        <v>27</v>
      </c>
    </row>
    <row r="2048" spans="1:10">
      <c r="A2048" t="s">
        <v>3247</v>
      </c>
      <c r="B2048" t="s">
        <v>2022</v>
      </c>
      <c r="C2048" t="s">
        <v>54</v>
      </c>
      <c r="D2048" t="s">
        <v>38</v>
      </c>
      <c r="E2048">
        <v>-28558</v>
      </c>
      <c r="F2048" t="s">
        <v>23</v>
      </c>
      <c r="G2048" t="s">
        <v>32</v>
      </c>
      <c r="H2048" t="s">
        <v>33</v>
      </c>
      <c r="I2048" t="s">
        <v>39</v>
      </c>
      <c r="J2048" t="s">
        <v>34</v>
      </c>
    </row>
    <row r="2049" spans="1:10">
      <c r="A2049" t="s">
        <v>3248</v>
      </c>
      <c r="B2049" t="s">
        <v>1051</v>
      </c>
      <c r="C2049" t="s">
        <v>77</v>
      </c>
      <c r="D2049" t="s">
        <v>78</v>
      </c>
      <c r="E2049">
        <v>-46976</v>
      </c>
      <c r="F2049" t="s">
        <v>23</v>
      </c>
      <c r="G2049" t="s">
        <v>24</v>
      </c>
      <c r="H2049" t="s">
        <v>79</v>
      </c>
      <c r="I2049" t="s">
        <v>39</v>
      </c>
      <c r="J2049" t="s">
        <v>34</v>
      </c>
    </row>
    <row r="2050" spans="1:10">
      <c r="A2050" t="s">
        <v>3249</v>
      </c>
      <c r="B2050" t="s">
        <v>3250</v>
      </c>
      <c r="C2050" t="s">
        <v>106</v>
      </c>
      <c r="E2050">
        <v>-8888</v>
      </c>
      <c r="F2050" t="s">
        <v>23</v>
      </c>
      <c r="G2050" t="s">
        <v>32</v>
      </c>
      <c r="H2050" t="s">
        <v>33</v>
      </c>
      <c r="I2050" t="s">
        <v>39</v>
      </c>
      <c r="J2050" t="s">
        <v>27</v>
      </c>
    </row>
    <row r="2051" spans="1:10">
      <c r="A2051" t="s">
        <v>3251</v>
      </c>
      <c r="B2051" t="s">
        <v>523</v>
      </c>
      <c r="C2051" t="s">
        <v>161</v>
      </c>
      <c r="D2051" t="s">
        <v>22</v>
      </c>
      <c r="E2051">
        <v>-196232</v>
      </c>
      <c r="F2051" t="s">
        <v>23</v>
      </c>
      <c r="G2051" t="s">
        <v>24</v>
      </c>
      <c r="H2051" t="s">
        <v>25</v>
      </c>
      <c r="I2051" t="s">
        <v>45</v>
      </c>
      <c r="J2051" t="s">
        <v>40</v>
      </c>
    </row>
    <row r="2052" spans="1:10">
      <c r="A2052" t="s">
        <v>3252</v>
      </c>
      <c r="B2052" t="s">
        <v>2909</v>
      </c>
      <c r="C2052" t="s">
        <v>177</v>
      </c>
      <c r="D2052" t="s">
        <v>78</v>
      </c>
      <c r="E2052">
        <v>-117153</v>
      </c>
      <c r="F2052" t="s">
        <v>23</v>
      </c>
      <c r="G2052" t="s">
        <v>32</v>
      </c>
      <c r="H2052" t="s">
        <v>79</v>
      </c>
      <c r="I2052" t="s">
        <v>45</v>
      </c>
      <c r="J2052" t="s">
        <v>34</v>
      </c>
    </row>
    <row r="2053" spans="1:10">
      <c r="A2053" t="s">
        <v>3253</v>
      </c>
      <c r="B2053" t="s">
        <v>2249</v>
      </c>
      <c r="C2053" t="s">
        <v>310</v>
      </c>
      <c r="D2053" t="s">
        <v>22</v>
      </c>
      <c r="E2053">
        <v>-130720</v>
      </c>
      <c r="F2053" t="s">
        <v>23</v>
      </c>
      <c r="G2053" t="s">
        <v>24</v>
      </c>
      <c r="H2053" t="s">
        <v>25</v>
      </c>
      <c r="I2053" t="s">
        <v>39</v>
      </c>
      <c r="J2053" t="s">
        <v>48</v>
      </c>
    </row>
    <row r="2054" spans="1:10">
      <c r="A2054" t="s">
        <v>3254</v>
      </c>
      <c r="B2054" t="s">
        <v>637</v>
      </c>
      <c r="C2054" t="s">
        <v>51</v>
      </c>
      <c r="D2054" t="s">
        <v>31</v>
      </c>
      <c r="E2054">
        <v>-19872</v>
      </c>
      <c r="F2054" t="s">
        <v>23</v>
      </c>
      <c r="G2054" t="s">
        <v>24</v>
      </c>
      <c r="H2054" t="s">
        <v>33</v>
      </c>
      <c r="I2054" t="s">
        <v>26</v>
      </c>
      <c r="J2054" t="s">
        <v>34</v>
      </c>
    </row>
    <row r="2055" spans="1:10">
      <c r="A2055" t="s">
        <v>3255</v>
      </c>
      <c r="B2055" t="s">
        <v>3103</v>
      </c>
      <c r="C2055" t="s">
        <v>143</v>
      </c>
      <c r="D2055" t="s">
        <v>664</v>
      </c>
      <c r="E2055">
        <v>-79918</v>
      </c>
      <c r="F2055" t="s">
        <v>23</v>
      </c>
      <c r="G2055" t="s">
        <v>24</v>
      </c>
      <c r="H2055" t="s">
        <v>79</v>
      </c>
      <c r="I2055" t="s">
        <v>26</v>
      </c>
      <c r="J2055" t="s">
        <v>27</v>
      </c>
    </row>
    <row r="2056" spans="1:10">
      <c r="A2056" t="s">
        <v>3256</v>
      </c>
      <c r="B2056" t="s">
        <v>2626</v>
      </c>
      <c r="C2056" t="s">
        <v>519</v>
      </c>
      <c r="D2056" t="s">
        <v>44</v>
      </c>
      <c r="E2056">
        <v>-85584</v>
      </c>
      <c r="F2056" t="s">
        <v>23</v>
      </c>
      <c r="G2056" t="s">
        <v>24</v>
      </c>
      <c r="H2056" t="s">
        <v>33</v>
      </c>
      <c r="I2056" t="s">
        <v>26</v>
      </c>
      <c r="J2056" t="s">
        <v>48</v>
      </c>
    </row>
    <row r="2057" spans="1:10">
      <c r="A2057" t="s">
        <v>3257</v>
      </c>
      <c r="B2057" t="s">
        <v>424</v>
      </c>
      <c r="C2057" t="s">
        <v>132</v>
      </c>
      <c r="D2057" t="s">
        <v>73</v>
      </c>
      <c r="E2057">
        <v>-11448</v>
      </c>
      <c r="F2057" t="s">
        <v>74</v>
      </c>
      <c r="G2057" t="s">
        <v>32</v>
      </c>
      <c r="H2057" t="s">
        <v>25</v>
      </c>
      <c r="I2057" t="s">
        <v>39</v>
      </c>
      <c r="J2057" t="s">
        <v>40</v>
      </c>
    </row>
    <row r="2058" spans="1:10">
      <c r="A2058" t="s">
        <v>3258</v>
      </c>
      <c r="B2058" t="s">
        <v>1925</v>
      </c>
      <c r="C2058" t="s">
        <v>93</v>
      </c>
      <c r="D2058" t="s">
        <v>73</v>
      </c>
      <c r="E2058">
        <v>-74164</v>
      </c>
      <c r="F2058" t="s">
        <v>74</v>
      </c>
      <c r="G2058" t="s">
        <v>32</v>
      </c>
      <c r="H2058" t="s">
        <v>25</v>
      </c>
      <c r="I2058" t="s">
        <v>26</v>
      </c>
      <c r="J2058" t="s">
        <v>27</v>
      </c>
    </row>
    <row r="2059" spans="1:10">
      <c r="A2059" t="s">
        <v>3259</v>
      </c>
      <c r="B2059" t="s">
        <v>2394</v>
      </c>
      <c r="C2059" t="s">
        <v>271</v>
      </c>
      <c r="D2059" t="s">
        <v>73</v>
      </c>
      <c r="E2059">
        <v>-83801</v>
      </c>
      <c r="F2059" t="s">
        <v>74</v>
      </c>
      <c r="G2059" t="s">
        <v>32</v>
      </c>
      <c r="H2059" t="s">
        <v>25</v>
      </c>
      <c r="I2059" t="s">
        <v>39</v>
      </c>
      <c r="J2059" t="s">
        <v>48</v>
      </c>
    </row>
    <row r="2060" spans="1:10">
      <c r="A2060" t="s">
        <v>3260</v>
      </c>
      <c r="B2060" t="s">
        <v>184</v>
      </c>
      <c r="C2060" t="s">
        <v>345</v>
      </c>
      <c r="D2060" t="s">
        <v>22</v>
      </c>
      <c r="E2060">
        <v>-80604</v>
      </c>
      <c r="F2060" t="s">
        <v>23</v>
      </c>
      <c r="G2060" t="s">
        <v>24</v>
      </c>
      <c r="H2060" t="s">
        <v>25</v>
      </c>
      <c r="I2060" t="s">
        <v>39</v>
      </c>
      <c r="J2060" t="s">
        <v>34</v>
      </c>
    </row>
    <row r="2061" spans="1:10">
      <c r="A2061" t="s">
        <v>3261</v>
      </c>
      <c r="B2061" t="s">
        <v>50</v>
      </c>
      <c r="C2061" t="s">
        <v>3262</v>
      </c>
      <c r="D2061" t="s">
        <v>44</v>
      </c>
      <c r="E2061">
        <v>-115003</v>
      </c>
      <c r="F2061" t="s">
        <v>23</v>
      </c>
      <c r="G2061" t="s">
        <v>24</v>
      </c>
      <c r="H2061" t="s">
        <v>33</v>
      </c>
      <c r="I2061" t="s">
        <v>26</v>
      </c>
      <c r="J2061" t="s">
        <v>34</v>
      </c>
    </row>
    <row r="2062" spans="1:10">
      <c r="A2062" t="s">
        <v>3263</v>
      </c>
      <c r="B2062" t="s">
        <v>3047</v>
      </c>
      <c r="C2062" t="s">
        <v>339</v>
      </c>
      <c r="D2062" t="s">
        <v>157</v>
      </c>
      <c r="E2062">
        <v>686425</v>
      </c>
      <c r="F2062" t="s">
        <v>62</v>
      </c>
      <c r="G2062" t="s">
        <v>32</v>
      </c>
      <c r="H2062" t="s">
        <v>25</v>
      </c>
      <c r="I2062" t="s">
        <v>45</v>
      </c>
      <c r="J2062" t="s">
        <v>48</v>
      </c>
    </row>
    <row r="2063" spans="1:10">
      <c r="A2063" t="s">
        <v>3264</v>
      </c>
      <c r="B2063" t="s">
        <v>1354</v>
      </c>
      <c r="C2063" t="s">
        <v>51</v>
      </c>
      <c r="D2063" t="s">
        <v>31</v>
      </c>
      <c r="E2063">
        <v>-31519</v>
      </c>
      <c r="F2063" t="s">
        <v>23</v>
      </c>
      <c r="G2063" t="s">
        <v>32</v>
      </c>
      <c r="H2063" t="s">
        <v>33</v>
      </c>
      <c r="I2063" t="s">
        <v>45</v>
      </c>
      <c r="J2063" t="s">
        <v>40</v>
      </c>
    </row>
    <row r="2064" spans="1:10">
      <c r="A2064" t="s">
        <v>3265</v>
      </c>
      <c r="B2064" t="s">
        <v>983</v>
      </c>
      <c r="C2064" t="s">
        <v>212</v>
      </c>
      <c r="D2064" t="s">
        <v>73</v>
      </c>
      <c r="E2064">
        <v>-82576</v>
      </c>
      <c r="F2064" t="s">
        <v>74</v>
      </c>
      <c r="G2064" t="s">
        <v>24</v>
      </c>
      <c r="H2064" t="s">
        <v>25</v>
      </c>
      <c r="I2064" t="s">
        <v>39</v>
      </c>
      <c r="J2064" t="s">
        <v>40</v>
      </c>
    </row>
    <row r="2065" spans="1:10">
      <c r="A2065" t="s">
        <v>3266</v>
      </c>
      <c r="B2065" t="s">
        <v>3267</v>
      </c>
      <c r="C2065" t="s">
        <v>802</v>
      </c>
      <c r="D2065" t="s">
        <v>440</v>
      </c>
      <c r="E2065">
        <v>-142787</v>
      </c>
      <c r="F2065" t="s">
        <v>23</v>
      </c>
      <c r="G2065" t="s">
        <v>32</v>
      </c>
      <c r="H2065" t="s">
        <v>33</v>
      </c>
      <c r="I2065" t="s">
        <v>26</v>
      </c>
      <c r="J2065" t="s">
        <v>48</v>
      </c>
    </row>
    <row r="2066" spans="1:10">
      <c r="A2066" t="s">
        <v>3268</v>
      </c>
      <c r="B2066" t="s">
        <v>557</v>
      </c>
      <c r="C2066" t="s">
        <v>271</v>
      </c>
      <c r="E2066">
        <v>-25891</v>
      </c>
      <c r="F2066" t="s">
        <v>74</v>
      </c>
      <c r="G2066" t="s">
        <v>24</v>
      </c>
      <c r="H2066" t="s">
        <v>25</v>
      </c>
      <c r="I2066" t="s">
        <v>39</v>
      </c>
      <c r="J2066" t="s">
        <v>48</v>
      </c>
    </row>
    <row r="2067" spans="1:10">
      <c r="A2067" t="s">
        <v>3269</v>
      </c>
      <c r="B2067" t="s">
        <v>3270</v>
      </c>
      <c r="C2067" t="s">
        <v>266</v>
      </c>
      <c r="D2067" t="s">
        <v>73</v>
      </c>
      <c r="E2067">
        <v>-84706</v>
      </c>
      <c r="F2067" t="s">
        <v>74</v>
      </c>
      <c r="G2067" t="s">
        <v>24</v>
      </c>
      <c r="H2067" t="s">
        <v>25</v>
      </c>
      <c r="I2067" t="s">
        <v>45</v>
      </c>
      <c r="J2067" t="s">
        <v>48</v>
      </c>
    </row>
    <row r="2068" spans="1:10">
      <c r="A2068" t="s">
        <v>3271</v>
      </c>
      <c r="B2068" t="s">
        <v>3110</v>
      </c>
      <c r="C2068" t="s">
        <v>283</v>
      </c>
      <c r="D2068" t="s">
        <v>388</v>
      </c>
      <c r="E2068">
        <v>-149852</v>
      </c>
      <c r="F2068" t="s">
        <v>23</v>
      </c>
      <c r="G2068" t="s">
        <v>32</v>
      </c>
      <c r="H2068" t="s">
        <v>33</v>
      </c>
      <c r="I2068" t="s">
        <v>39</v>
      </c>
      <c r="J2068" t="s">
        <v>34</v>
      </c>
    </row>
    <row r="2069" spans="1:10">
      <c r="A2069" t="s">
        <v>3272</v>
      </c>
      <c r="B2069" t="s">
        <v>2176</v>
      </c>
      <c r="C2069" t="s">
        <v>84</v>
      </c>
      <c r="D2069" t="s">
        <v>78</v>
      </c>
      <c r="E2069">
        <v>-107361</v>
      </c>
      <c r="F2069" t="s">
        <v>23</v>
      </c>
      <c r="G2069" t="s">
        <v>24</v>
      </c>
      <c r="H2069" t="s">
        <v>79</v>
      </c>
      <c r="I2069" t="s">
        <v>45</v>
      </c>
      <c r="J2069" t="s">
        <v>34</v>
      </c>
    </row>
    <row r="2070" spans="1:10">
      <c r="A2070" t="s">
        <v>3273</v>
      </c>
      <c r="B2070" t="s">
        <v>1875</v>
      </c>
      <c r="C2070" t="s">
        <v>100</v>
      </c>
      <c r="D2070" t="s">
        <v>31</v>
      </c>
      <c r="E2070">
        <v>-28158</v>
      </c>
      <c r="F2070" t="s">
        <v>23</v>
      </c>
      <c r="G2070" t="s">
        <v>24</v>
      </c>
      <c r="H2070" t="s">
        <v>33</v>
      </c>
      <c r="I2070" t="s">
        <v>45</v>
      </c>
      <c r="J2070" t="s">
        <v>27</v>
      </c>
    </row>
    <row r="2071" spans="1:10">
      <c r="A2071" t="s">
        <v>3274</v>
      </c>
      <c r="B2071" t="s">
        <v>2712</v>
      </c>
      <c r="C2071" t="s">
        <v>215</v>
      </c>
      <c r="D2071" t="s">
        <v>61</v>
      </c>
      <c r="E2071">
        <v>-43347</v>
      </c>
      <c r="F2071" t="s">
        <v>62</v>
      </c>
      <c r="G2071" t="s">
        <v>24</v>
      </c>
      <c r="H2071" t="s">
        <v>63</v>
      </c>
      <c r="I2071" t="s">
        <v>39</v>
      </c>
      <c r="J2071" t="s">
        <v>34</v>
      </c>
    </row>
    <row r="2072" spans="1:10">
      <c r="A2072" t="s">
        <v>3275</v>
      </c>
      <c r="B2072" t="s">
        <v>3276</v>
      </c>
      <c r="C2072" t="s">
        <v>166</v>
      </c>
      <c r="D2072" t="s">
        <v>31</v>
      </c>
      <c r="E2072">
        <v>-15281</v>
      </c>
      <c r="F2072" t="s">
        <v>23</v>
      </c>
      <c r="G2072" t="s">
        <v>32</v>
      </c>
      <c r="H2072" t="s">
        <v>33</v>
      </c>
      <c r="I2072" t="s">
        <v>39</v>
      </c>
      <c r="J2072" t="s">
        <v>34</v>
      </c>
    </row>
    <row r="2073" spans="1:10">
      <c r="A2073" t="s">
        <v>3277</v>
      </c>
      <c r="B2073" t="s">
        <v>2886</v>
      </c>
      <c r="C2073" t="s">
        <v>180</v>
      </c>
      <c r="D2073" t="s">
        <v>44</v>
      </c>
      <c r="E2073">
        <v>-42345</v>
      </c>
      <c r="F2073" t="s">
        <v>23</v>
      </c>
      <c r="G2073" t="s">
        <v>32</v>
      </c>
      <c r="H2073" t="s">
        <v>33</v>
      </c>
      <c r="I2073" t="s">
        <v>39</v>
      </c>
      <c r="J2073" t="s">
        <v>48</v>
      </c>
    </row>
    <row r="2074" spans="1:10">
      <c r="A2074" t="s">
        <v>3278</v>
      </c>
      <c r="B2074" t="s">
        <v>1284</v>
      </c>
      <c r="C2074" t="s">
        <v>103</v>
      </c>
      <c r="D2074" t="s">
        <v>78</v>
      </c>
      <c r="E2074">
        <v>-89838</v>
      </c>
      <c r="F2074" t="s">
        <v>23</v>
      </c>
      <c r="G2074" t="s">
        <v>24</v>
      </c>
      <c r="H2074" t="s">
        <v>79</v>
      </c>
      <c r="I2074" t="s">
        <v>26</v>
      </c>
      <c r="J2074" t="s">
        <v>27</v>
      </c>
    </row>
    <row r="2075" spans="1:10">
      <c r="A2075" t="s">
        <v>1622</v>
      </c>
      <c r="B2075" t="s">
        <v>1623</v>
      </c>
      <c r="C2075" t="s">
        <v>60</v>
      </c>
      <c r="D2075" t="s">
        <v>61</v>
      </c>
      <c r="E2075">
        <v>-33284</v>
      </c>
      <c r="F2075" t="s">
        <v>62</v>
      </c>
      <c r="G2075" t="s">
        <v>24</v>
      </c>
      <c r="H2075" t="s">
        <v>63</v>
      </c>
      <c r="I2075" t="s">
        <v>26</v>
      </c>
      <c r="J2075" t="s">
        <v>34</v>
      </c>
    </row>
    <row r="2076" spans="1:10">
      <c r="A2076" t="s">
        <v>3279</v>
      </c>
      <c r="B2076" t="s">
        <v>1748</v>
      </c>
      <c r="C2076" t="s">
        <v>72</v>
      </c>
      <c r="D2076" t="s">
        <v>73</v>
      </c>
      <c r="E2076">
        <v>-94562</v>
      </c>
      <c r="F2076" t="s">
        <v>74</v>
      </c>
      <c r="G2076" t="s">
        <v>32</v>
      </c>
      <c r="H2076" t="s">
        <v>25</v>
      </c>
      <c r="I2076" t="s">
        <v>45</v>
      </c>
      <c r="J2076" t="s">
        <v>48</v>
      </c>
    </row>
    <row r="2077" spans="1:10">
      <c r="A2077" t="s">
        <v>3280</v>
      </c>
      <c r="B2077" t="s">
        <v>3281</v>
      </c>
      <c r="C2077" t="s">
        <v>890</v>
      </c>
      <c r="D2077" t="s">
        <v>440</v>
      </c>
      <c r="E2077">
        <v>-95420</v>
      </c>
      <c r="F2077" t="s">
        <v>23</v>
      </c>
      <c r="G2077" t="s">
        <v>24</v>
      </c>
      <c r="H2077" t="s">
        <v>33</v>
      </c>
      <c r="I2077" t="s">
        <v>45</v>
      </c>
      <c r="J2077" t="s">
        <v>34</v>
      </c>
    </row>
    <row r="2078" spans="1:10">
      <c r="A2078" t="s">
        <v>3282</v>
      </c>
      <c r="B2078" t="s">
        <v>115</v>
      </c>
      <c r="C2078" t="s">
        <v>283</v>
      </c>
      <c r="D2078" t="s">
        <v>44</v>
      </c>
      <c r="E2078">
        <v>-85306</v>
      </c>
      <c r="F2078" t="s">
        <v>23</v>
      </c>
      <c r="G2078" t="s">
        <v>24</v>
      </c>
      <c r="H2078" t="s">
        <v>33</v>
      </c>
      <c r="I2078" t="s">
        <v>45</v>
      </c>
      <c r="J2078" t="s">
        <v>48</v>
      </c>
    </row>
    <row r="2079" spans="1:10">
      <c r="A2079" t="s">
        <v>3283</v>
      </c>
      <c r="B2079" t="s">
        <v>1491</v>
      </c>
      <c r="C2079" t="s">
        <v>215</v>
      </c>
      <c r="D2079" t="s">
        <v>61</v>
      </c>
      <c r="E2079">
        <v>-25818</v>
      </c>
      <c r="F2079" t="s">
        <v>62</v>
      </c>
      <c r="G2079" t="s">
        <v>24</v>
      </c>
      <c r="H2079" t="s">
        <v>63</v>
      </c>
      <c r="I2079" t="s">
        <v>45</v>
      </c>
      <c r="J2079" t="s">
        <v>34</v>
      </c>
    </row>
    <row r="2080" spans="1:10">
      <c r="A2080" t="s">
        <v>3284</v>
      </c>
      <c r="B2080" t="s">
        <v>3285</v>
      </c>
      <c r="C2080" t="s">
        <v>166</v>
      </c>
      <c r="D2080" t="s">
        <v>31</v>
      </c>
      <c r="E2080">
        <v>-36729</v>
      </c>
      <c r="F2080" t="s">
        <v>23</v>
      </c>
      <c r="G2080" t="s">
        <v>32</v>
      </c>
      <c r="H2080" t="s">
        <v>33</v>
      </c>
      <c r="I2080" t="s">
        <v>26</v>
      </c>
      <c r="J2080" t="s">
        <v>27</v>
      </c>
    </row>
    <row r="2081" spans="1:10">
      <c r="A2081" t="s">
        <v>3286</v>
      </c>
      <c r="B2081" t="s">
        <v>3287</v>
      </c>
      <c r="C2081" t="s">
        <v>237</v>
      </c>
      <c r="D2081" t="s">
        <v>22</v>
      </c>
      <c r="E2081">
        <v>-133851</v>
      </c>
      <c r="F2081" t="s">
        <v>23</v>
      </c>
      <c r="G2081" t="s">
        <v>24</v>
      </c>
      <c r="H2081" t="s">
        <v>25</v>
      </c>
      <c r="I2081" t="s">
        <v>26</v>
      </c>
      <c r="J2081" t="s">
        <v>27</v>
      </c>
    </row>
    <row r="2082" spans="1:10">
      <c r="A2082" t="s">
        <v>3288</v>
      </c>
      <c r="B2082" t="s">
        <v>1933</v>
      </c>
      <c r="C2082" t="s">
        <v>51</v>
      </c>
      <c r="D2082" t="s">
        <v>31</v>
      </c>
      <c r="E2082">
        <v>-31568</v>
      </c>
      <c r="F2082" t="s">
        <v>23</v>
      </c>
      <c r="G2082" t="s">
        <v>32</v>
      </c>
      <c r="H2082" t="s">
        <v>33</v>
      </c>
      <c r="I2082" t="s">
        <v>39</v>
      </c>
      <c r="J2082" t="s">
        <v>48</v>
      </c>
    </row>
    <row r="2083" spans="1:10">
      <c r="A2083" t="s">
        <v>3289</v>
      </c>
      <c r="B2083" t="s">
        <v>3042</v>
      </c>
      <c r="C2083" t="s">
        <v>266</v>
      </c>
      <c r="D2083" t="s">
        <v>73</v>
      </c>
      <c r="E2083">
        <v>-17514</v>
      </c>
      <c r="F2083" t="s">
        <v>74</v>
      </c>
      <c r="G2083" t="s">
        <v>32</v>
      </c>
      <c r="H2083" t="s">
        <v>25</v>
      </c>
      <c r="I2083" t="s">
        <v>26</v>
      </c>
      <c r="J2083" t="s">
        <v>48</v>
      </c>
    </row>
    <row r="2084" spans="1:10">
      <c r="A2084" t="s">
        <v>3290</v>
      </c>
      <c r="B2084" t="s">
        <v>1325</v>
      </c>
      <c r="C2084" t="s">
        <v>174</v>
      </c>
      <c r="D2084" t="s">
        <v>22</v>
      </c>
      <c r="E2084">
        <v>-26311</v>
      </c>
      <c r="F2084" t="s">
        <v>23</v>
      </c>
      <c r="G2084" t="s">
        <v>32</v>
      </c>
      <c r="H2084" t="s">
        <v>25</v>
      </c>
      <c r="I2084" t="s">
        <v>39</v>
      </c>
      <c r="J2084" t="s">
        <v>27</v>
      </c>
    </row>
    <row r="2085" spans="1:10">
      <c r="A2085" t="s">
        <v>3291</v>
      </c>
      <c r="B2085" t="s">
        <v>572</v>
      </c>
      <c r="C2085" t="s">
        <v>93</v>
      </c>
      <c r="D2085" t="s">
        <v>302</v>
      </c>
      <c r="E2085">
        <v>-57809</v>
      </c>
      <c r="F2085" t="s">
        <v>74</v>
      </c>
      <c r="G2085" t="s">
        <v>24</v>
      </c>
      <c r="H2085" t="s">
        <v>25</v>
      </c>
      <c r="I2085" t="s">
        <v>45</v>
      </c>
      <c r="J2085" t="s">
        <v>27</v>
      </c>
    </row>
    <row r="2086" spans="1:10">
      <c r="A2086" t="s">
        <v>3292</v>
      </c>
      <c r="B2086" t="s">
        <v>3293</v>
      </c>
      <c r="C2086" t="s">
        <v>129</v>
      </c>
      <c r="D2086" t="s">
        <v>38</v>
      </c>
      <c r="E2086">
        <v>-48662</v>
      </c>
      <c r="F2086" t="s">
        <v>23</v>
      </c>
      <c r="G2086" t="s">
        <v>24</v>
      </c>
      <c r="H2086" t="s">
        <v>33</v>
      </c>
      <c r="I2086" t="s">
        <v>26</v>
      </c>
      <c r="J2086" t="s">
        <v>27</v>
      </c>
    </row>
    <row r="2087" spans="1:10">
      <c r="A2087" t="s">
        <v>3294</v>
      </c>
      <c r="B2087" t="s">
        <v>2312</v>
      </c>
      <c r="C2087" t="s">
        <v>166</v>
      </c>
      <c r="D2087" t="s">
        <v>31</v>
      </c>
      <c r="E2087">
        <v>-35989</v>
      </c>
      <c r="F2087" t="s">
        <v>23</v>
      </c>
      <c r="G2087" t="s">
        <v>24</v>
      </c>
      <c r="H2087" t="s">
        <v>33</v>
      </c>
      <c r="I2087" t="s">
        <v>26</v>
      </c>
      <c r="J2087" t="s">
        <v>40</v>
      </c>
    </row>
    <row r="2088" spans="1:10">
      <c r="A2088" t="s">
        <v>3295</v>
      </c>
      <c r="B2088" t="s">
        <v>625</v>
      </c>
      <c r="C2088" t="s">
        <v>169</v>
      </c>
      <c r="D2088" t="s">
        <v>73</v>
      </c>
      <c r="E2088">
        <v>-50611</v>
      </c>
      <c r="F2088" t="s">
        <v>74</v>
      </c>
      <c r="G2088" t="s">
        <v>24</v>
      </c>
      <c r="H2088" t="s">
        <v>25</v>
      </c>
      <c r="I2088" t="s">
        <v>39</v>
      </c>
      <c r="J2088" t="s">
        <v>27</v>
      </c>
    </row>
    <row r="2089" spans="1:10">
      <c r="A2089" t="s">
        <v>3296</v>
      </c>
      <c r="B2089" t="s">
        <v>3297</v>
      </c>
      <c r="C2089" t="s">
        <v>271</v>
      </c>
      <c r="D2089" t="s">
        <v>73</v>
      </c>
      <c r="E2089">
        <v>-89714</v>
      </c>
      <c r="F2089" t="s">
        <v>74</v>
      </c>
      <c r="G2089" t="s">
        <v>24</v>
      </c>
      <c r="H2089" t="s">
        <v>25</v>
      </c>
      <c r="I2089" t="s">
        <v>39</v>
      </c>
      <c r="J2089" t="s">
        <v>27</v>
      </c>
    </row>
    <row r="2090" spans="1:10">
      <c r="A2090" t="s">
        <v>3298</v>
      </c>
      <c r="B2090" t="s">
        <v>3299</v>
      </c>
      <c r="C2090" t="s">
        <v>174</v>
      </c>
      <c r="D2090" t="s">
        <v>22</v>
      </c>
      <c r="E2090">
        <v>-216492</v>
      </c>
      <c r="F2090" t="s">
        <v>23</v>
      </c>
      <c r="G2090" t="s">
        <v>32</v>
      </c>
      <c r="H2090" t="s">
        <v>25</v>
      </c>
      <c r="I2090" t="s">
        <v>26</v>
      </c>
      <c r="J2090" t="s">
        <v>40</v>
      </c>
    </row>
    <row r="2091" spans="1:10">
      <c r="A2091" t="s">
        <v>3300</v>
      </c>
      <c r="B2091" t="s">
        <v>905</v>
      </c>
      <c r="C2091" t="s">
        <v>180</v>
      </c>
      <c r="D2091" t="s">
        <v>44</v>
      </c>
      <c r="E2091">
        <v>-134883</v>
      </c>
      <c r="F2091" t="s">
        <v>23</v>
      </c>
      <c r="G2091" t="s">
        <v>24</v>
      </c>
      <c r="H2091" t="s">
        <v>33</v>
      </c>
      <c r="I2091" t="s">
        <v>26</v>
      </c>
      <c r="J2091" t="s">
        <v>34</v>
      </c>
    </row>
    <row r="2092" spans="1:10">
      <c r="A2092" t="s">
        <v>3301</v>
      </c>
      <c r="B2092" t="s">
        <v>3302</v>
      </c>
      <c r="C2092" t="s">
        <v>271</v>
      </c>
      <c r="D2092" t="s">
        <v>73</v>
      </c>
      <c r="E2092">
        <v>-72871</v>
      </c>
      <c r="F2092" t="s">
        <v>74</v>
      </c>
      <c r="G2092" t="s">
        <v>32</v>
      </c>
      <c r="H2092" t="s">
        <v>25</v>
      </c>
      <c r="I2092" t="s">
        <v>45</v>
      </c>
      <c r="J2092" t="s">
        <v>40</v>
      </c>
    </row>
    <row r="2093" spans="1:10">
      <c r="A2093" t="s">
        <v>3303</v>
      </c>
      <c r="B2093" t="s">
        <v>721</v>
      </c>
      <c r="C2093" t="s">
        <v>93</v>
      </c>
      <c r="D2093" t="s">
        <v>73</v>
      </c>
      <c r="E2093">
        <v>-77355</v>
      </c>
      <c r="F2093" t="s">
        <v>74</v>
      </c>
      <c r="G2093" t="s">
        <v>24</v>
      </c>
      <c r="H2093" t="s">
        <v>25</v>
      </c>
      <c r="I2093" t="s">
        <v>39</v>
      </c>
      <c r="J2093" t="s">
        <v>40</v>
      </c>
    </row>
    <row r="2094" spans="1:10">
      <c r="A2094" t="s">
        <v>3304</v>
      </c>
      <c r="B2094" t="s">
        <v>138</v>
      </c>
      <c r="C2094" t="s">
        <v>215</v>
      </c>
      <c r="D2094" t="s">
        <v>61</v>
      </c>
      <c r="E2094">
        <v>-56163</v>
      </c>
      <c r="F2094" t="s">
        <v>62</v>
      </c>
      <c r="G2094" t="s">
        <v>24</v>
      </c>
      <c r="H2094" t="s">
        <v>63</v>
      </c>
      <c r="I2094" t="s">
        <v>39</v>
      </c>
      <c r="J2094" t="s">
        <v>34</v>
      </c>
    </row>
    <row r="2095" spans="1:10">
      <c r="A2095" t="s">
        <v>3305</v>
      </c>
      <c r="B2095" t="s">
        <v>708</v>
      </c>
      <c r="C2095" t="s">
        <v>106</v>
      </c>
      <c r="D2095" t="s">
        <v>31</v>
      </c>
      <c r="E2095">
        <v>-25696</v>
      </c>
      <c r="F2095" t="s">
        <v>23</v>
      </c>
      <c r="G2095" t="s">
        <v>32</v>
      </c>
      <c r="H2095" t="s">
        <v>33</v>
      </c>
      <c r="I2095" t="s">
        <v>45</v>
      </c>
      <c r="J2095" t="s">
        <v>27</v>
      </c>
    </row>
    <row r="2096" spans="1:10">
      <c r="A2096" t="s">
        <v>3306</v>
      </c>
      <c r="B2096" t="s">
        <v>301</v>
      </c>
      <c r="C2096" t="s">
        <v>66</v>
      </c>
      <c r="D2096" t="s">
        <v>61</v>
      </c>
      <c r="E2096">
        <v>-62098</v>
      </c>
      <c r="F2096" t="s">
        <v>62</v>
      </c>
      <c r="G2096" t="s">
        <v>24</v>
      </c>
      <c r="H2096" t="s">
        <v>63</v>
      </c>
      <c r="I2096" t="s">
        <v>26</v>
      </c>
      <c r="J2096" t="s">
        <v>34</v>
      </c>
    </row>
    <row r="2097" spans="1:10">
      <c r="A2097" t="s">
        <v>3307</v>
      </c>
      <c r="B2097" t="s">
        <v>3308</v>
      </c>
      <c r="C2097" t="s">
        <v>166</v>
      </c>
      <c r="D2097" t="s">
        <v>31</v>
      </c>
      <c r="E2097">
        <v>-6348</v>
      </c>
      <c r="F2097" t="s">
        <v>23</v>
      </c>
      <c r="G2097" t="s">
        <v>24</v>
      </c>
      <c r="H2097" t="s">
        <v>33</v>
      </c>
      <c r="I2097" t="s">
        <v>26</v>
      </c>
      <c r="J2097" t="s">
        <v>40</v>
      </c>
    </row>
    <row r="2098" spans="1:10">
      <c r="A2098" t="s">
        <v>3309</v>
      </c>
      <c r="B2098" t="s">
        <v>217</v>
      </c>
      <c r="C2098" t="s">
        <v>30</v>
      </c>
      <c r="D2098" t="s">
        <v>31</v>
      </c>
      <c r="E2098">
        <v>-21577</v>
      </c>
      <c r="F2098" t="s">
        <v>23</v>
      </c>
      <c r="G2098" t="s">
        <v>24</v>
      </c>
      <c r="H2098" t="s">
        <v>33</v>
      </c>
      <c r="I2098" t="s">
        <v>45</v>
      </c>
      <c r="J2098" t="s">
        <v>27</v>
      </c>
    </row>
    <row r="2099" spans="1:10">
      <c r="A2099" t="s">
        <v>3310</v>
      </c>
      <c r="B2099" t="s">
        <v>3311</v>
      </c>
      <c r="C2099" t="s">
        <v>616</v>
      </c>
      <c r="D2099" t="s">
        <v>320</v>
      </c>
      <c r="E2099">
        <v>-142992</v>
      </c>
      <c r="F2099" t="s">
        <v>23</v>
      </c>
      <c r="G2099" t="s">
        <v>24</v>
      </c>
      <c r="H2099" t="s">
        <v>25</v>
      </c>
      <c r="I2099" t="s">
        <v>26</v>
      </c>
      <c r="J2099" t="s">
        <v>40</v>
      </c>
    </row>
    <row r="2100" spans="1:10">
      <c r="A2100" t="s">
        <v>3312</v>
      </c>
      <c r="B2100" t="s">
        <v>3313</v>
      </c>
      <c r="C2100" t="s">
        <v>212</v>
      </c>
      <c r="D2100" t="s">
        <v>187</v>
      </c>
      <c r="E2100">
        <v>-82852</v>
      </c>
      <c r="F2100" t="s">
        <v>74</v>
      </c>
      <c r="G2100" t="s">
        <v>32</v>
      </c>
      <c r="H2100" t="s">
        <v>25</v>
      </c>
      <c r="I2100" t="s">
        <v>45</v>
      </c>
      <c r="J2100" t="s">
        <v>40</v>
      </c>
    </row>
    <row r="2101" spans="1:10">
      <c r="A2101" t="s">
        <v>3314</v>
      </c>
      <c r="B2101" t="s">
        <v>2634</v>
      </c>
      <c r="C2101" t="s">
        <v>103</v>
      </c>
      <c r="D2101" t="s">
        <v>78</v>
      </c>
      <c r="E2101">
        <v>-90282</v>
      </c>
      <c r="F2101" t="s">
        <v>23</v>
      </c>
      <c r="G2101" t="s">
        <v>32</v>
      </c>
      <c r="H2101" t="s">
        <v>79</v>
      </c>
      <c r="I2101" t="s">
        <v>39</v>
      </c>
      <c r="J2101" t="s">
        <v>40</v>
      </c>
    </row>
    <row r="2102" spans="1:10">
      <c r="A2102" t="s">
        <v>3315</v>
      </c>
      <c r="B2102" t="s">
        <v>3316</v>
      </c>
      <c r="C2102" t="s">
        <v>90</v>
      </c>
      <c r="D2102" t="s">
        <v>73</v>
      </c>
      <c r="E2102">
        <v>-86774</v>
      </c>
      <c r="F2102" t="s">
        <v>74</v>
      </c>
      <c r="G2102" t="s">
        <v>24</v>
      </c>
      <c r="H2102" t="s">
        <v>25</v>
      </c>
      <c r="I2102" t="s">
        <v>26</v>
      </c>
      <c r="J2102" t="s">
        <v>40</v>
      </c>
    </row>
    <row r="2103" spans="1:10">
      <c r="A2103" t="s">
        <v>3317</v>
      </c>
      <c r="B2103" t="s">
        <v>3318</v>
      </c>
      <c r="C2103" t="s">
        <v>30</v>
      </c>
      <c r="E2103">
        <v>-32210</v>
      </c>
      <c r="F2103" t="s">
        <v>23</v>
      </c>
      <c r="G2103" t="s">
        <v>32</v>
      </c>
      <c r="H2103" t="s">
        <v>33</v>
      </c>
      <c r="I2103" t="s">
        <v>26</v>
      </c>
      <c r="J2103" t="s">
        <v>40</v>
      </c>
    </row>
    <row r="2104" spans="1:10">
      <c r="A2104" t="s">
        <v>251</v>
      </c>
      <c r="B2104" t="s">
        <v>252</v>
      </c>
      <c r="C2104" t="s">
        <v>169</v>
      </c>
      <c r="D2104" t="s">
        <v>73</v>
      </c>
      <c r="E2104">
        <v>-60431</v>
      </c>
      <c r="F2104" t="s">
        <v>74</v>
      </c>
      <c r="G2104" t="s">
        <v>24</v>
      </c>
      <c r="H2104" t="s">
        <v>25</v>
      </c>
      <c r="I2104" t="s">
        <v>26</v>
      </c>
      <c r="J2104" t="s">
        <v>34</v>
      </c>
    </row>
    <row r="2105" spans="1:10">
      <c r="A2105" t="s">
        <v>3319</v>
      </c>
      <c r="B2105" t="s">
        <v>1742</v>
      </c>
      <c r="C2105" t="s">
        <v>345</v>
      </c>
      <c r="D2105" t="s">
        <v>331</v>
      </c>
      <c r="E2105">
        <v>-55286</v>
      </c>
      <c r="F2105" t="s">
        <v>23</v>
      </c>
      <c r="G2105" t="s">
        <v>24</v>
      </c>
      <c r="H2105" t="s">
        <v>25</v>
      </c>
      <c r="I2105" t="s">
        <v>26</v>
      </c>
      <c r="J2105" t="s">
        <v>34</v>
      </c>
    </row>
    <row r="2106" spans="1:10">
      <c r="A2106" t="s">
        <v>3320</v>
      </c>
      <c r="B2106" t="s">
        <v>2855</v>
      </c>
      <c r="C2106" t="s">
        <v>215</v>
      </c>
      <c r="D2106" t="s">
        <v>61</v>
      </c>
      <c r="E2106">
        <v>-40719</v>
      </c>
      <c r="F2106" t="s">
        <v>62</v>
      </c>
      <c r="G2106" t="s">
        <v>24</v>
      </c>
      <c r="H2106" t="s">
        <v>63</v>
      </c>
      <c r="I2106" t="s">
        <v>26</v>
      </c>
      <c r="J2106" t="s">
        <v>40</v>
      </c>
    </row>
    <row r="2107" spans="1:10">
      <c r="A2107" t="s">
        <v>3321</v>
      </c>
      <c r="B2107" t="s">
        <v>2290</v>
      </c>
      <c r="C2107" t="s">
        <v>60</v>
      </c>
      <c r="D2107" t="s">
        <v>61</v>
      </c>
      <c r="E2107">
        <v>-52698</v>
      </c>
      <c r="F2107" t="s">
        <v>62</v>
      </c>
      <c r="G2107" t="s">
        <v>24</v>
      </c>
      <c r="H2107" t="s">
        <v>63</v>
      </c>
      <c r="I2107" t="s">
        <v>26</v>
      </c>
      <c r="J2107" t="s">
        <v>48</v>
      </c>
    </row>
    <row r="2108" spans="1:10">
      <c r="A2108" t="s">
        <v>3322</v>
      </c>
      <c r="B2108" t="s">
        <v>3323</v>
      </c>
      <c r="C2108" t="s">
        <v>305</v>
      </c>
      <c r="D2108" t="s">
        <v>38</v>
      </c>
      <c r="E2108">
        <v>-40695</v>
      </c>
      <c r="F2108" t="s">
        <v>23</v>
      </c>
      <c r="G2108" t="s">
        <v>24</v>
      </c>
      <c r="H2108" t="s">
        <v>33</v>
      </c>
      <c r="I2108" t="s">
        <v>26</v>
      </c>
      <c r="J2108" t="s">
        <v>40</v>
      </c>
    </row>
    <row r="2109" spans="1:10">
      <c r="A2109" t="s">
        <v>3324</v>
      </c>
      <c r="B2109" t="s">
        <v>1707</v>
      </c>
      <c r="C2109" t="s">
        <v>100</v>
      </c>
      <c r="D2109" t="s">
        <v>31</v>
      </c>
      <c r="E2109">
        <v>-24218</v>
      </c>
      <c r="F2109" t="s">
        <v>23</v>
      </c>
      <c r="G2109" t="s">
        <v>32</v>
      </c>
      <c r="H2109" t="s">
        <v>33</v>
      </c>
      <c r="I2109" t="s">
        <v>45</v>
      </c>
      <c r="J2109" t="s">
        <v>40</v>
      </c>
    </row>
    <row r="2110" spans="1:10">
      <c r="A2110" t="s">
        <v>3325</v>
      </c>
      <c r="B2110" t="s">
        <v>1806</v>
      </c>
      <c r="C2110" t="s">
        <v>290</v>
      </c>
      <c r="D2110" t="s">
        <v>440</v>
      </c>
      <c r="E2110">
        <v>-123059</v>
      </c>
      <c r="F2110" t="s">
        <v>23</v>
      </c>
      <c r="G2110" t="s">
        <v>32</v>
      </c>
      <c r="H2110" t="s">
        <v>33</v>
      </c>
      <c r="I2110" t="s">
        <v>26</v>
      </c>
      <c r="J2110" t="s">
        <v>27</v>
      </c>
    </row>
    <row r="2111" spans="1:10">
      <c r="A2111" t="s">
        <v>3326</v>
      </c>
      <c r="B2111" t="s">
        <v>836</v>
      </c>
      <c r="C2111" t="s">
        <v>143</v>
      </c>
      <c r="D2111" t="s">
        <v>78</v>
      </c>
      <c r="E2111">
        <v>-37356</v>
      </c>
      <c r="F2111" t="s">
        <v>23</v>
      </c>
      <c r="G2111" t="s">
        <v>32</v>
      </c>
      <c r="H2111" t="s">
        <v>79</v>
      </c>
      <c r="I2111" t="s">
        <v>26</v>
      </c>
      <c r="J2111" t="s">
        <v>48</v>
      </c>
    </row>
    <row r="2112" spans="1:10">
      <c r="A2112" t="s">
        <v>3327</v>
      </c>
      <c r="B2112" t="s">
        <v>304</v>
      </c>
      <c r="C2112" t="s">
        <v>802</v>
      </c>
      <c r="D2112" t="s">
        <v>440</v>
      </c>
      <c r="E2112">
        <v>-132954</v>
      </c>
      <c r="F2112" t="s">
        <v>23</v>
      </c>
      <c r="G2112" t="s">
        <v>24</v>
      </c>
      <c r="H2112" t="s">
        <v>33</v>
      </c>
      <c r="I2112" t="s">
        <v>26</v>
      </c>
      <c r="J2112" t="s">
        <v>40</v>
      </c>
    </row>
    <row r="2113" spans="1:10">
      <c r="A2113" t="s">
        <v>3328</v>
      </c>
      <c r="B2113" t="s">
        <v>351</v>
      </c>
      <c r="C2113" t="s">
        <v>237</v>
      </c>
      <c r="D2113" t="s">
        <v>22</v>
      </c>
      <c r="E2113">
        <v>-101916</v>
      </c>
      <c r="F2113" t="s">
        <v>23</v>
      </c>
      <c r="G2113" t="s">
        <v>24</v>
      </c>
      <c r="H2113" t="s">
        <v>25</v>
      </c>
      <c r="I2113" t="s">
        <v>39</v>
      </c>
      <c r="J2113" t="s">
        <v>34</v>
      </c>
    </row>
    <row r="2114" spans="1:10">
      <c r="A2114" t="s">
        <v>3329</v>
      </c>
      <c r="B2114" t="s">
        <v>1252</v>
      </c>
      <c r="C2114" t="s">
        <v>271</v>
      </c>
      <c r="D2114" t="s">
        <v>73</v>
      </c>
      <c r="E2114">
        <v>-40688</v>
      </c>
      <c r="F2114" t="s">
        <v>74</v>
      </c>
      <c r="G2114" t="s">
        <v>32</v>
      </c>
      <c r="H2114" t="s">
        <v>25</v>
      </c>
      <c r="I2114" t="s">
        <v>45</v>
      </c>
      <c r="J2114" t="s">
        <v>27</v>
      </c>
    </row>
    <row r="2115" spans="1:10">
      <c r="A2115" t="s">
        <v>3330</v>
      </c>
      <c r="B2115" t="s">
        <v>1017</v>
      </c>
      <c r="C2115" t="s">
        <v>143</v>
      </c>
      <c r="D2115" t="s">
        <v>371</v>
      </c>
      <c r="E2115">
        <v>-101627</v>
      </c>
      <c r="F2115" t="s">
        <v>23</v>
      </c>
      <c r="G2115" t="s">
        <v>32</v>
      </c>
      <c r="H2115" t="s">
        <v>79</v>
      </c>
      <c r="I2115" t="s">
        <v>39</v>
      </c>
      <c r="J2115" t="s">
        <v>34</v>
      </c>
    </row>
    <row r="2116" spans="1:10">
      <c r="A2116" t="s">
        <v>3331</v>
      </c>
      <c r="B2116" t="s">
        <v>655</v>
      </c>
      <c r="C2116" t="s">
        <v>51</v>
      </c>
      <c r="D2116" t="s">
        <v>31</v>
      </c>
      <c r="E2116">
        <v>-37957</v>
      </c>
      <c r="F2116" t="s">
        <v>23</v>
      </c>
      <c r="G2116" t="s">
        <v>32</v>
      </c>
      <c r="H2116" t="s">
        <v>33</v>
      </c>
      <c r="I2116" t="s">
        <v>26</v>
      </c>
      <c r="J2116" t="s">
        <v>48</v>
      </c>
    </row>
    <row r="2117" spans="1:10">
      <c r="A2117" t="s">
        <v>3332</v>
      </c>
      <c r="B2117" t="s">
        <v>3333</v>
      </c>
      <c r="C2117" t="s">
        <v>757</v>
      </c>
      <c r="D2117" t="s">
        <v>157</v>
      </c>
      <c r="E2117">
        <v>537345</v>
      </c>
      <c r="F2117" t="s">
        <v>62</v>
      </c>
      <c r="G2117" t="s">
        <v>32</v>
      </c>
      <c r="H2117" t="s">
        <v>25</v>
      </c>
      <c r="I2117" t="s">
        <v>26</v>
      </c>
      <c r="J2117" t="s">
        <v>34</v>
      </c>
    </row>
    <row r="2118" spans="1:10">
      <c r="A2118" t="s">
        <v>3334</v>
      </c>
      <c r="B2118" t="s">
        <v>3335</v>
      </c>
      <c r="C2118" t="s">
        <v>60</v>
      </c>
      <c r="D2118" t="s">
        <v>61</v>
      </c>
      <c r="E2118">
        <v>-64387</v>
      </c>
      <c r="F2118" t="s">
        <v>62</v>
      </c>
      <c r="G2118" t="s">
        <v>32</v>
      </c>
      <c r="H2118" t="s">
        <v>63</v>
      </c>
      <c r="I2118" t="s">
        <v>26</v>
      </c>
      <c r="J2118" t="s">
        <v>27</v>
      </c>
    </row>
    <row r="2119" spans="1:10">
      <c r="A2119" t="s">
        <v>3336</v>
      </c>
      <c r="B2119" t="s">
        <v>1510</v>
      </c>
      <c r="C2119" t="s">
        <v>169</v>
      </c>
      <c r="D2119" t="s">
        <v>73</v>
      </c>
      <c r="E2119">
        <v>-23653</v>
      </c>
      <c r="F2119" t="s">
        <v>74</v>
      </c>
      <c r="G2119" t="s">
        <v>24</v>
      </c>
      <c r="H2119" t="s">
        <v>25</v>
      </c>
      <c r="I2119" t="s">
        <v>45</v>
      </c>
      <c r="J2119" t="s">
        <v>48</v>
      </c>
    </row>
    <row r="2120" spans="1:10">
      <c r="A2120" t="s">
        <v>3337</v>
      </c>
      <c r="B2120" t="s">
        <v>3338</v>
      </c>
      <c r="C2120" t="s">
        <v>30</v>
      </c>
      <c r="D2120" t="s">
        <v>31</v>
      </c>
      <c r="E2120">
        <v>-5788</v>
      </c>
      <c r="F2120" t="s">
        <v>23</v>
      </c>
      <c r="G2120" t="s">
        <v>24</v>
      </c>
      <c r="H2120" t="s">
        <v>33</v>
      </c>
      <c r="I2120" t="s">
        <v>45</v>
      </c>
      <c r="J2120" t="s">
        <v>48</v>
      </c>
    </row>
    <row r="2121" spans="1:10">
      <c r="A2121" t="s">
        <v>3339</v>
      </c>
      <c r="B2121" t="s">
        <v>3340</v>
      </c>
      <c r="C2121" t="s">
        <v>166</v>
      </c>
      <c r="D2121" t="s">
        <v>31</v>
      </c>
      <c r="E2121">
        <v>-42125</v>
      </c>
      <c r="F2121" t="s">
        <v>23</v>
      </c>
      <c r="G2121" t="s">
        <v>32</v>
      </c>
      <c r="H2121" t="s">
        <v>33</v>
      </c>
      <c r="I2121" t="s">
        <v>45</v>
      </c>
      <c r="J2121" t="s">
        <v>27</v>
      </c>
    </row>
    <row r="2122" spans="1:10">
      <c r="A2122" t="s">
        <v>3341</v>
      </c>
      <c r="B2122" t="s">
        <v>1989</v>
      </c>
      <c r="C2122" t="s">
        <v>215</v>
      </c>
      <c r="D2122" t="s">
        <v>61</v>
      </c>
      <c r="E2122">
        <v>-39711</v>
      </c>
      <c r="F2122" t="s">
        <v>62</v>
      </c>
      <c r="G2122" t="s">
        <v>24</v>
      </c>
      <c r="H2122" t="s">
        <v>63</v>
      </c>
      <c r="I2122" t="s">
        <v>39</v>
      </c>
      <c r="J2122" t="s">
        <v>27</v>
      </c>
    </row>
    <row r="2123" spans="1:10">
      <c r="A2123" t="s">
        <v>3342</v>
      </c>
      <c r="B2123" t="s">
        <v>790</v>
      </c>
      <c r="C2123" t="s">
        <v>100</v>
      </c>
      <c r="D2123" t="s">
        <v>31</v>
      </c>
      <c r="E2123">
        <v>-24975</v>
      </c>
      <c r="F2123" t="s">
        <v>23</v>
      </c>
      <c r="G2123" t="s">
        <v>32</v>
      </c>
      <c r="H2123" t="s">
        <v>33</v>
      </c>
      <c r="I2123" t="s">
        <v>39</v>
      </c>
      <c r="J2123" t="s">
        <v>27</v>
      </c>
    </row>
    <row r="2124" spans="1:10">
      <c r="A2124" t="s">
        <v>3343</v>
      </c>
      <c r="B2124" t="s">
        <v>1239</v>
      </c>
      <c r="C2124" t="s">
        <v>116</v>
      </c>
      <c r="D2124" t="s">
        <v>73</v>
      </c>
      <c r="E2124">
        <v>-86616</v>
      </c>
      <c r="F2124" t="s">
        <v>74</v>
      </c>
      <c r="G2124" t="s">
        <v>24</v>
      </c>
      <c r="H2124" t="s">
        <v>25</v>
      </c>
      <c r="I2124" t="s">
        <v>45</v>
      </c>
      <c r="J2124" t="s">
        <v>27</v>
      </c>
    </row>
    <row r="2125" spans="1:10">
      <c r="A2125" t="s">
        <v>3344</v>
      </c>
      <c r="B2125" t="s">
        <v>335</v>
      </c>
      <c r="C2125" t="s">
        <v>132</v>
      </c>
      <c r="D2125" t="s">
        <v>111</v>
      </c>
      <c r="E2125">
        <v>-70491</v>
      </c>
      <c r="F2125" t="s">
        <v>74</v>
      </c>
      <c r="G2125" t="s">
        <v>32</v>
      </c>
      <c r="H2125" t="s">
        <v>25</v>
      </c>
      <c r="I2125" t="s">
        <v>39</v>
      </c>
      <c r="J2125" t="s">
        <v>40</v>
      </c>
    </row>
    <row r="2126" spans="1:10">
      <c r="A2126" t="s">
        <v>3345</v>
      </c>
      <c r="B2126" t="s">
        <v>2196</v>
      </c>
      <c r="C2126" t="s">
        <v>271</v>
      </c>
      <c r="D2126" t="s">
        <v>73</v>
      </c>
      <c r="E2126">
        <v>-22464</v>
      </c>
      <c r="F2126" t="s">
        <v>74</v>
      </c>
      <c r="G2126" t="s">
        <v>24</v>
      </c>
      <c r="H2126" t="s">
        <v>25</v>
      </c>
      <c r="I2126" t="s">
        <v>26</v>
      </c>
      <c r="J2126" t="s">
        <v>48</v>
      </c>
    </row>
    <row r="2127" spans="1:10">
      <c r="A2127" t="s">
        <v>3346</v>
      </c>
      <c r="B2127" t="s">
        <v>3347</v>
      </c>
      <c r="C2127" t="s">
        <v>339</v>
      </c>
      <c r="D2127" t="s">
        <v>157</v>
      </c>
      <c r="E2127">
        <v>718258</v>
      </c>
      <c r="F2127" t="s">
        <v>62</v>
      </c>
      <c r="G2127" t="s">
        <v>32</v>
      </c>
      <c r="H2127" t="s">
        <v>25</v>
      </c>
      <c r="I2127" t="s">
        <v>39</v>
      </c>
      <c r="J2127" t="s">
        <v>27</v>
      </c>
    </row>
    <row r="2128" spans="1:10">
      <c r="A2128" t="s">
        <v>3348</v>
      </c>
      <c r="B2128" t="s">
        <v>217</v>
      </c>
      <c r="C2128" t="s">
        <v>30</v>
      </c>
      <c r="D2128" t="s">
        <v>31</v>
      </c>
      <c r="E2128">
        <v>-29773</v>
      </c>
      <c r="F2128" t="s">
        <v>23</v>
      </c>
      <c r="G2128" t="s">
        <v>24</v>
      </c>
      <c r="H2128" t="s">
        <v>33</v>
      </c>
      <c r="I2128" t="s">
        <v>45</v>
      </c>
      <c r="J2128" t="s">
        <v>27</v>
      </c>
    </row>
    <row r="2129" spans="1:10">
      <c r="A2129" t="s">
        <v>3349</v>
      </c>
      <c r="B2129" t="s">
        <v>3350</v>
      </c>
      <c r="C2129" t="s">
        <v>468</v>
      </c>
      <c r="D2129" t="s">
        <v>440</v>
      </c>
      <c r="E2129">
        <v>-104025</v>
      </c>
      <c r="F2129" t="s">
        <v>23</v>
      </c>
      <c r="G2129" t="s">
        <v>32</v>
      </c>
      <c r="H2129" t="s">
        <v>33</v>
      </c>
      <c r="I2129" t="s">
        <v>45</v>
      </c>
      <c r="J2129" t="s">
        <v>40</v>
      </c>
    </row>
    <row r="2130" spans="1:10">
      <c r="A2130" t="s">
        <v>3351</v>
      </c>
      <c r="B2130" t="s">
        <v>436</v>
      </c>
      <c r="C2130" t="s">
        <v>77</v>
      </c>
      <c r="D2130" t="s">
        <v>78</v>
      </c>
      <c r="E2130">
        <v>-48907</v>
      </c>
      <c r="F2130" t="s">
        <v>23</v>
      </c>
      <c r="G2130" t="s">
        <v>32</v>
      </c>
      <c r="H2130" t="s">
        <v>79</v>
      </c>
      <c r="I2130" t="s">
        <v>39</v>
      </c>
      <c r="J2130" t="s">
        <v>40</v>
      </c>
    </row>
    <row r="2131" spans="1:10">
      <c r="A2131" t="s">
        <v>3352</v>
      </c>
      <c r="B2131" t="s">
        <v>252</v>
      </c>
      <c r="C2131" t="s">
        <v>43</v>
      </c>
      <c r="D2131" t="s">
        <v>44</v>
      </c>
      <c r="E2131">
        <v>-41793</v>
      </c>
      <c r="F2131" t="s">
        <v>23</v>
      </c>
      <c r="G2131" t="s">
        <v>24</v>
      </c>
      <c r="H2131" t="s">
        <v>33</v>
      </c>
      <c r="I2131" t="s">
        <v>26</v>
      </c>
      <c r="J2131" t="s">
        <v>34</v>
      </c>
    </row>
    <row r="2132" spans="1:10">
      <c r="A2132" t="s">
        <v>3353</v>
      </c>
      <c r="B2132" t="s">
        <v>3217</v>
      </c>
      <c r="C2132" t="s">
        <v>60</v>
      </c>
      <c r="D2132" t="s">
        <v>61</v>
      </c>
      <c r="E2132">
        <v>-41392</v>
      </c>
      <c r="F2132" t="s">
        <v>62</v>
      </c>
      <c r="G2132" t="s">
        <v>32</v>
      </c>
      <c r="H2132" t="s">
        <v>63</v>
      </c>
      <c r="I2132" t="s">
        <v>45</v>
      </c>
      <c r="J2132" t="s">
        <v>27</v>
      </c>
    </row>
    <row r="2133" spans="1:10">
      <c r="A2133" t="s">
        <v>3354</v>
      </c>
      <c r="B2133" t="s">
        <v>2176</v>
      </c>
      <c r="C2133" t="s">
        <v>93</v>
      </c>
      <c r="D2133" t="s">
        <v>73</v>
      </c>
      <c r="E2133">
        <v>-31999</v>
      </c>
      <c r="F2133" t="s">
        <v>74</v>
      </c>
      <c r="G2133" t="s">
        <v>24</v>
      </c>
      <c r="H2133" t="s">
        <v>25</v>
      </c>
      <c r="I2133" t="s">
        <v>45</v>
      </c>
      <c r="J2133" t="s">
        <v>34</v>
      </c>
    </row>
    <row r="2134" spans="1:10">
      <c r="A2134" t="s">
        <v>3355</v>
      </c>
      <c r="B2134" t="s">
        <v>252</v>
      </c>
      <c r="C2134" t="s">
        <v>166</v>
      </c>
      <c r="D2134" t="s">
        <v>31</v>
      </c>
      <c r="E2134">
        <v>-44402</v>
      </c>
      <c r="F2134" t="s">
        <v>23</v>
      </c>
      <c r="G2134" t="s">
        <v>24</v>
      </c>
      <c r="H2134" t="s">
        <v>33</v>
      </c>
      <c r="I2134" t="s">
        <v>26</v>
      </c>
      <c r="J2134" t="s">
        <v>34</v>
      </c>
    </row>
    <row r="2135" spans="1:10">
      <c r="A2135" t="s">
        <v>3356</v>
      </c>
      <c r="B2135" t="s">
        <v>285</v>
      </c>
      <c r="C2135" t="s">
        <v>942</v>
      </c>
      <c r="D2135" t="s">
        <v>38</v>
      </c>
      <c r="E2135">
        <v>-49215</v>
      </c>
      <c r="F2135" t="s">
        <v>23</v>
      </c>
      <c r="G2135" t="s">
        <v>32</v>
      </c>
      <c r="H2135" t="s">
        <v>33</v>
      </c>
      <c r="I2135" t="s">
        <v>45</v>
      </c>
      <c r="J2135" t="s">
        <v>40</v>
      </c>
    </row>
    <row r="2136" spans="1:10">
      <c r="A2136" t="s">
        <v>3357</v>
      </c>
      <c r="B2136" t="s">
        <v>3358</v>
      </c>
      <c r="C2136" t="s">
        <v>72</v>
      </c>
      <c r="D2136" t="s">
        <v>73</v>
      </c>
      <c r="E2136">
        <v>-85767</v>
      </c>
      <c r="F2136" t="s">
        <v>74</v>
      </c>
      <c r="G2136" t="s">
        <v>24</v>
      </c>
      <c r="H2136" t="s">
        <v>25</v>
      </c>
      <c r="I2136" t="s">
        <v>39</v>
      </c>
      <c r="J2136" t="s">
        <v>34</v>
      </c>
    </row>
    <row r="2137" spans="1:10">
      <c r="A2137" t="s">
        <v>3359</v>
      </c>
      <c r="B2137" t="s">
        <v>1608</v>
      </c>
      <c r="C2137" t="s">
        <v>3360</v>
      </c>
      <c r="D2137" t="s">
        <v>136</v>
      </c>
      <c r="E2137">
        <v>-10561099</v>
      </c>
      <c r="F2137" t="s">
        <v>62</v>
      </c>
      <c r="G2137" t="s">
        <v>32</v>
      </c>
      <c r="H2137" t="s">
        <v>63</v>
      </c>
      <c r="I2137" t="s">
        <v>39</v>
      </c>
      <c r="J2137" t="s">
        <v>48</v>
      </c>
    </row>
    <row r="2138" spans="1:10">
      <c r="A2138" t="s">
        <v>3361</v>
      </c>
      <c r="B2138" t="s">
        <v>3362</v>
      </c>
      <c r="C2138" t="s">
        <v>77</v>
      </c>
      <c r="D2138" t="s">
        <v>78</v>
      </c>
      <c r="E2138">
        <v>-113889</v>
      </c>
      <c r="F2138" t="s">
        <v>23</v>
      </c>
      <c r="G2138" t="s">
        <v>24</v>
      </c>
      <c r="H2138" t="s">
        <v>79</v>
      </c>
      <c r="I2138" t="s">
        <v>45</v>
      </c>
      <c r="J2138" t="s">
        <v>48</v>
      </c>
    </row>
    <row r="2139" spans="1:10">
      <c r="A2139" t="s">
        <v>3363</v>
      </c>
      <c r="B2139" t="s">
        <v>324</v>
      </c>
      <c r="C2139" t="s">
        <v>106</v>
      </c>
      <c r="D2139" t="s">
        <v>31</v>
      </c>
      <c r="E2139">
        <v>-35731</v>
      </c>
      <c r="F2139" t="s">
        <v>23</v>
      </c>
      <c r="G2139" t="s">
        <v>24</v>
      </c>
      <c r="H2139" t="s">
        <v>33</v>
      </c>
      <c r="I2139" t="s">
        <v>26</v>
      </c>
      <c r="J2139" t="s">
        <v>34</v>
      </c>
    </row>
    <row r="2140" spans="1:10">
      <c r="A2140" t="s">
        <v>3364</v>
      </c>
      <c r="B2140" t="s">
        <v>2599</v>
      </c>
      <c r="C2140" t="s">
        <v>156</v>
      </c>
      <c r="D2140" t="s">
        <v>157</v>
      </c>
      <c r="E2140">
        <v>690651</v>
      </c>
      <c r="F2140" t="s">
        <v>62</v>
      </c>
      <c r="G2140" t="s">
        <v>32</v>
      </c>
      <c r="H2140" t="s">
        <v>25</v>
      </c>
      <c r="I2140" t="s">
        <v>39</v>
      </c>
      <c r="J2140" t="s">
        <v>40</v>
      </c>
    </row>
    <row r="2141" spans="1:10">
      <c r="A2141" t="s">
        <v>3365</v>
      </c>
      <c r="B2141" t="s">
        <v>29</v>
      </c>
      <c r="C2141" t="s">
        <v>54</v>
      </c>
      <c r="D2141" t="s">
        <v>38</v>
      </c>
      <c r="E2141">
        <v>-10841</v>
      </c>
      <c r="F2141" t="s">
        <v>23</v>
      </c>
      <c r="G2141" t="s">
        <v>24</v>
      </c>
      <c r="H2141" t="s">
        <v>33</v>
      </c>
      <c r="I2141" t="s">
        <v>26</v>
      </c>
      <c r="J2141" t="s">
        <v>34</v>
      </c>
    </row>
    <row r="2142" spans="1:10">
      <c r="A2142" t="s">
        <v>3366</v>
      </c>
      <c r="B2142" t="s">
        <v>2578</v>
      </c>
      <c r="C2142" t="s">
        <v>169</v>
      </c>
      <c r="D2142" t="s">
        <v>73</v>
      </c>
      <c r="E2142">
        <v>-39831</v>
      </c>
      <c r="F2142" t="s">
        <v>74</v>
      </c>
      <c r="G2142" t="s">
        <v>32</v>
      </c>
      <c r="H2142" t="s">
        <v>25</v>
      </c>
      <c r="I2142" t="s">
        <v>26</v>
      </c>
      <c r="J2142" t="s">
        <v>40</v>
      </c>
    </row>
    <row r="2143" spans="1:10">
      <c r="A2143" t="s">
        <v>3367</v>
      </c>
      <c r="B2143" t="s">
        <v>1901</v>
      </c>
      <c r="C2143" t="s">
        <v>60</v>
      </c>
      <c r="E2143">
        <v>-39837</v>
      </c>
      <c r="F2143" t="s">
        <v>62</v>
      </c>
      <c r="G2143" t="s">
        <v>24</v>
      </c>
      <c r="H2143" t="s">
        <v>63</v>
      </c>
      <c r="I2143" t="s">
        <v>26</v>
      </c>
      <c r="J2143" t="s">
        <v>27</v>
      </c>
    </row>
    <row r="2144" spans="1:10">
      <c r="A2144" t="s">
        <v>3368</v>
      </c>
      <c r="B2144" t="s">
        <v>1333</v>
      </c>
      <c r="C2144" t="s">
        <v>271</v>
      </c>
      <c r="D2144" t="s">
        <v>73</v>
      </c>
      <c r="E2144">
        <v>-54500</v>
      </c>
      <c r="F2144" t="s">
        <v>74</v>
      </c>
      <c r="G2144" t="s">
        <v>24</v>
      </c>
      <c r="H2144" t="s">
        <v>25</v>
      </c>
      <c r="I2144" t="s">
        <v>45</v>
      </c>
      <c r="J2144" t="s">
        <v>27</v>
      </c>
    </row>
    <row r="2145" spans="1:10">
      <c r="A2145" t="s">
        <v>3369</v>
      </c>
      <c r="B2145" t="s">
        <v>2007</v>
      </c>
      <c r="C2145" t="s">
        <v>293</v>
      </c>
      <c r="D2145" t="s">
        <v>157</v>
      </c>
      <c r="E2145">
        <v>605387</v>
      </c>
      <c r="F2145" t="s">
        <v>62</v>
      </c>
      <c r="G2145" t="s">
        <v>32</v>
      </c>
      <c r="H2145" t="s">
        <v>25</v>
      </c>
      <c r="I2145" t="s">
        <v>45</v>
      </c>
      <c r="J2145" t="s">
        <v>34</v>
      </c>
    </row>
    <row r="2146" spans="1:10">
      <c r="A2146" t="s">
        <v>3370</v>
      </c>
      <c r="B2146" t="s">
        <v>3371</v>
      </c>
      <c r="C2146" t="s">
        <v>310</v>
      </c>
      <c r="D2146" t="s">
        <v>22</v>
      </c>
      <c r="E2146">
        <v>-194739</v>
      </c>
      <c r="F2146" t="s">
        <v>23</v>
      </c>
      <c r="G2146" t="s">
        <v>32</v>
      </c>
      <c r="H2146" t="s">
        <v>25</v>
      </c>
      <c r="I2146" t="s">
        <v>45</v>
      </c>
      <c r="J2146" t="s">
        <v>27</v>
      </c>
    </row>
    <row r="2147" spans="1:10">
      <c r="A2147" t="s">
        <v>3372</v>
      </c>
      <c r="B2147" t="s">
        <v>578</v>
      </c>
      <c r="C2147" t="s">
        <v>106</v>
      </c>
      <c r="D2147" t="s">
        <v>31</v>
      </c>
      <c r="E2147">
        <v>-21513</v>
      </c>
      <c r="F2147" t="s">
        <v>23</v>
      </c>
      <c r="G2147" t="s">
        <v>24</v>
      </c>
      <c r="H2147" t="s">
        <v>33</v>
      </c>
      <c r="I2147" t="s">
        <v>45</v>
      </c>
      <c r="J2147" t="s">
        <v>48</v>
      </c>
    </row>
    <row r="2148" spans="1:10">
      <c r="A2148" t="s">
        <v>3373</v>
      </c>
      <c r="B2148" t="s">
        <v>3374</v>
      </c>
      <c r="C2148" t="s">
        <v>100</v>
      </c>
      <c r="D2148" t="s">
        <v>31</v>
      </c>
      <c r="E2148">
        <v>-29538</v>
      </c>
      <c r="F2148" t="s">
        <v>23</v>
      </c>
      <c r="G2148" t="s">
        <v>24</v>
      </c>
      <c r="H2148" t="s">
        <v>33</v>
      </c>
      <c r="I2148" t="s">
        <v>45</v>
      </c>
      <c r="J2148" t="s">
        <v>48</v>
      </c>
    </row>
    <row r="2149" spans="1:10">
      <c r="A2149" t="s">
        <v>3375</v>
      </c>
      <c r="B2149" t="s">
        <v>951</v>
      </c>
      <c r="C2149" t="s">
        <v>60</v>
      </c>
      <c r="D2149" t="s">
        <v>61</v>
      </c>
      <c r="E2149">
        <v>-40076</v>
      </c>
      <c r="F2149" t="s">
        <v>62</v>
      </c>
      <c r="G2149" t="s">
        <v>32</v>
      </c>
      <c r="H2149" t="s">
        <v>63</v>
      </c>
      <c r="I2149" t="s">
        <v>39</v>
      </c>
      <c r="J2149" t="s">
        <v>40</v>
      </c>
    </row>
    <row r="2150" spans="1:10">
      <c r="A2150" t="s">
        <v>3376</v>
      </c>
      <c r="B2150" t="s">
        <v>831</v>
      </c>
      <c r="C2150" t="s">
        <v>271</v>
      </c>
      <c r="D2150" t="s">
        <v>73</v>
      </c>
      <c r="E2150">
        <v>-33192</v>
      </c>
      <c r="F2150" t="s">
        <v>74</v>
      </c>
      <c r="G2150" t="s">
        <v>24</v>
      </c>
      <c r="H2150" t="s">
        <v>25</v>
      </c>
      <c r="I2150" t="s">
        <v>26</v>
      </c>
      <c r="J2150" t="s">
        <v>27</v>
      </c>
    </row>
    <row r="2151" spans="1:10">
      <c r="A2151" t="s">
        <v>3377</v>
      </c>
      <c r="B2151" t="s">
        <v>2007</v>
      </c>
      <c r="C2151" t="s">
        <v>93</v>
      </c>
      <c r="D2151" t="s">
        <v>73</v>
      </c>
      <c r="E2151">
        <v>-88969</v>
      </c>
      <c r="F2151" t="s">
        <v>74</v>
      </c>
      <c r="G2151" t="s">
        <v>24</v>
      </c>
      <c r="H2151" t="s">
        <v>25</v>
      </c>
      <c r="I2151" t="s">
        <v>45</v>
      </c>
      <c r="J2151" t="s">
        <v>34</v>
      </c>
    </row>
    <row r="2152" spans="1:10">
      <c r="A2152" t="s">
        <v>3378</v>
      </c>
      <c r="B2152" t="s">
        <v>941</v>
      </c>
      <c r="C2152" t="s">
        <v>757</v>
      </c>
      <c r="D2152" t="s">
        <v>157</v>
      </c>
      <c r="E2152">
        <v>703480</v>
      </c>
      <c r="F2152" t="s">
        <v>62</v>
      </c>
      <c r="G2152" t="s">
        <v>32</v>
      </c>
      <c r="H2152" t="s">
        <v>25</v>
      </c>
      <c r="I2152" t="s">
        <v>45</v>
      </c>
      <c r="J2152" t="s">
        <v>48</v>
      </c>
    </row>
    <row r="2153" spans="1:10">
      <c r="A2153" t="s">
        <v>3379</v>
      </c>
      <c r="B2153" t="s">
        <v>3121</v>
      </c>
      <c r="C2153" t="s">
        <v>54</v>
      </c>
      <c r="D2153" t="s">
        <v>38</v>
      </c>
      <c r="E2153">
        <v>-33483</v>
      </c>
      <c r="F2153" t="s">
        <v>23</v>
      </c>
      <c r="G2153" t="s">
        <v>24</v>
      </c>
      <c r="H2153" t="s">
        <v>33</v>
      </c>
      <c r="I2153" t="s">
        <v>45</v>
      </c>
      <c r="J2153" t="s">
        <v>48</v>
      </c>
    </row>
    <row r="2154" spans="1:10">
      <c r="A2154" t="s">
        <v>3380</v>
      </c>
      <c r="B2154" t="s">
        <v>2316</v>
      </c>
      <c r="C2154" t="s">
        <v>132</v>
      </c>
      <c r="D2154" t="s">
        <v>73</v>
      </c>
      <c r="E2154">
        <v>-91540</v>
      </c>
      <c r="F2154" t="s">
        <v>74</v>
      </c>
      <c r="G2154" t="s">
        <v>32</v>
      </c>
      <c r="H2154" t="s">
        <v>25</v>
      </c>
      <c r="I2154" t="s">
        <v>45</v>
      </c>
      <c r="J2154" t="s">
        <v>34</v>
      </c>
    </row>
    <row r="2155" spans="1:10">
      <c r="A2155" t="s">
        <v>3381</v>
      </c>
      <c r="B2155" t="s">
        <v>3382</v>
      </c>
      <c r="C2155" t="s">
        <v>66</v>
      </c>
      <c r="D2155" t="s">
        <v>61</v>
      </c>
      <c r="E2155">
        <v>-33254</v>
      </c>
      <c r="F2155" t="s">
        <v>62</v>
      </c>
      <c r="G2155" t="s">
        <v>32</v>
      </c>
      <c r="H2155" t="s">
        <v>63</v>
      </c>
      <c r="I2155" t="s">
        <v>39</v>
      </c>
      <c r="J2155" t="s">
        <v>27</v>
      </c>
    </row>
    <row r="2156" spans="1:10">
      <c r="A2156" t="s">
        <v>3383</v>
      </c>
      <c r="B2156" t="s">
        <v>3121</v>
      </c>
      <c r="C2156" t="s">
        <v>60</v>
      </c>
      <c r="D2156" t="s">
        <v>61</v>
      </c>
      <c r="E2156">
        <v>-51535</v>
      </c>
      <c r="F2156" t="s">
        <v>62</v>
      </c>
      <c r="G2156" t="s">
        <v>24</v>
      </c>
      <c r="H2156" t="s">
        <v>63</v>
      </c>
      <c r="I2156" t="s">
        <v>45</v>
      </c>
      <c r="J2156" t="s">
        <v>48</v>
      </c>
    </row>
    <row r="2157" spans="1:10">
      <c r="A2157" t="s">
        <v>3384</v>
      </c>
      <c r="B2157" t="s">
        <v>793</v>
      </c>
      <c r="C2157" t="s">
        <v>192</v>
      </c>
      <c r="D2157" t="s">
        <v>22</v>
      </c>
      <c r="E2157">
        <v>-81292</v>
      </c>
      <c r="F2157" t="s">
        <v>23</v>
      </c>
      <c r="G2157" t="s">
        <v>32</v>
      </c>
      <c r="H2157" t="s">
        <v>25</v>
      </c>
      <c r="I2157" t="s">
        <v>39</v>
      </c>
      <c r="J2157" t="s">
        <v>34</v>
      </c>
    </row>
    <row r="2158" spans="1:10">
      <c r="A2158" t="s">
        <v>3385</v>
      </c>
      <c r="B2158" t="s">
        <v>1513</v>
      </c>
      <c r="C2158" t="s">
        <v>221</v>
      </c>
      <c r="D2158" t="s">
        <v>61</v>
      </c>
      <c r="E2158">
        <v>-48863</v>
      </c>
      <c r="F2158" t="s">
        <v>62</v>
      </c>
      <c r="G2158" t="s">
        <v>24</v>
      </c>
      <c r="H2158" t="s">
        <v>63</v>
      </c>
      <c r="I2158" t="s">
        <v>45</v>
      </c>
      <c r="J2158" t="s">
        <v>34</v>
      </c>
    </row>
    <row r="2159" spans="1:10">
      <c r="A2159" t="s">
        <v>3386</v>
      </c>
      <c r="B2159" t="s">
        <v>3083</v>
      </c>
      <c r="C2159" t="s">
        <v>84</v>
      </c>
      <c r="D2159" t="s">
        <v>78</v>
      </c>
      <c r="E2159">
        <v>-60886</v>
      </c>
      <c r="F2159" t="s">
        <v>23</v>
      </c>
      <c r="G2159" t="s">
        <v>24</v>
      </c>
      <c r="H2159" t="s">
        <v>79</v>
      </c>
      <c r="I2159" t="s">
        <v>39</v>
      </c>
      <c r="J2159" t="s">
        <v>34</v>
      </c>
    </row>
    <row r="2160" spans="1:10">
      <c r="A2160" t="s">
        <v>3387</v>
      </c>
      <c r="B2160" t="s">
        <v>3388</v>
      </c>
      <c r="C2160" t="s">
        <v>180</v>
      </c>
      <c r="D2160" t="s">
        <v>44</v>
      </c>
      <c r="E2160">
        <v>-166542</v>
      </c>
      <c r="F2160" t="s">
        <v>23</v>
      </c>
      <c r="G2160" t="s">
        <v>24</v>
      </c>
      <c r="H2160" t="s">
        <v>33</v>
      </c>
      <c r="I2160" t="s">
        <v>26</v>
      </c>
      <c r="J2160" t="s">
        <v>34</v>
      </c>
    </row>
    <row r="2161" spans="1:10">
      <c r="A2161" t="s">
        <v>3389</v>
      </c>
      <c r="B2161" t="s">
        <v>2129</v>
      </c>
      <c r="C2161" t="s">
        <v>169</v>
      </c>
      <c r="D2161" t="s">
        <v>73</v>
      </c>
      <c r="E2161">
        <v>-53702</v>
      </c>
      <c r="F2161" t="s">
        <v>74</v>
      </c>
      <c r="G2161" t="s">
        <v>24</v>
      </c>
      <c r="H2161" t="s">
        <v>25</v>
      </c>
      <c r="I2161" t="s">
        <v>39</v>
      </c>
      <c r="J2161" t="s">
        <v>48</v>
      </c>
    </row>
    <row r="2162" spans="1:10">
      <c r="A2162" t="s">
        <v>3390</v>
      </c>
      <c r="B2162" t="s">
        <v>2055</v>
      </c>
      <c r="C2162" t="s">
        <v>215</v>
      </c>
      <c r="D2162" t="s">
        <v>61</v>
      </c>
      <c r="E2162">
        <v>-47144</v>
      </c>
      <c r="F2162" t="s">
        <v>62</v>
      </c>
      <c r="G2162" t="s">
        <v>32</v>
      </c>
      <c r="H2162" t="s">
        <v>63</v>
      </c>
      <c r="I2162" t="s">
        <v>45</v>
      </c>
      <c r="J2162" t="s">
        <v>27</v>
      </c>
    </row>
    <row r="2163" spans="1:10">
      <c r="A2163" t="s">
        <v>3391</v>
      </c>
      <c r="B2163" t="s">
        <v>3392</v>
      </c>
      <c r="C2163" t="s">
        <v>310</v>
      </c>
      <c r="E2163">
        <v>-130586</v>
      </c>
      <c r="F2163" t="s">
        <v>23</v>
      </c>
      <c r="G2163" t="s">
        <v>32</v>
      </c>
      <c r="H2163" t="s">
        <v>25</v>
      </c>
      <c r="I2163" t="s">
        <v>39</v>
      </c>
      <c r="J2163" t="s">
        <v>40</v>
      </c>
    </row>
    <row r="2164" spans="1:10">
      <c r="A2164" t="s">
        <v>3393</v>
      </c>
      <c r="B2164" t="s">
        <v>2233</v>
      </c>
      <c r="C2164" t="s">
        <v>687</v>
      </c>
      <c r="D2164" t="s">
        <v>44</v>
      </c>
      <c r="E2164">
        <v>-157786</v>
      </c>
      <c r="F2164" t="s">
        <v>23</v>
      </c>
      <c r="G2164" t="s">
        <v>32</v>
      </c>
      <c r="H2164" t="s">
        <v>33</v>
      </c>
      <c r="I2164" t="s">
        <v>26</v>
      </c>
      <c r="J2164" t="s">
        <v>48</v>
      </c>
    </row>
    <row r="2165" spans="1:10">
      <c r="A2165" t="s">
        <v>3394</v>
      </c>
      <c r="B2165" t="s">
        <v>2691</v>
      </c>
      <c r="C2165" t="s">
        <v>169</v>
      </c>
      <c r="D2165" t="s">
        <v>73</v>
      </c>
      <c r="E2165">
        <v>-83703</v>
      </c>
      <c r="F2165" t="s">
        <v>74</v>
      </c>
      <c r="G2165" t="s">
        <v>24</v>
      </c>
      <c r="H2165" t="s">
        <v>25</v>
      </c>
      <c r="I2165" t="s">
        <v>39</v>
      </c>
      <c r="J2165" t="s">
        <v>27</v>
      </c>
    </row>
    <row r="2166" spans="1:10">
      <c r="A2166" t="s">
        <v>3395</v>
      </c>
      <c r="B2166" t="s">
        <v>3396</v>
      </c>
      <c r="C2166" t="s">
        <v>66</v>
      </c>
      <c r="D2166" t="s">
        <v>61</v>
      </c>
      <c r="E2166">
        <v>-60502</v>
      </c>
      <c r="F2166" t="s">
        <v>62</v>
      </c>
      <c r="G2166" t="s">
        <v>32</v>
      </c>
      <c r="H2166" t="s">
        <v>63</v>
      </c>
      <c r="I2166" t="s">
        <v>26</v>
      </c>
      <c r="J2166" t="s">
        <v>34</v>
      </c>
    </row>
    <row r="2167" spans="1:10">
      <c r="A2167" t="s">
        <v>3397</v>
      </c>
      <c r="B2167" t="s">
        <v>1124</v>
      </c>
      <c r="C2167" t="s">
        <v>72</v>
      </c>
      <c r="D2167" t="s">
        <v>73</v>
      </c>
      <c r="E2167">
        <v>-61230</v>
      </c>
      <c r="F2167" t="s">
        <v>74</v>
      </c>
      <c r="G2167" t="s">
        <v>32</v>
      </c>
      <c r="H2167" t="s">
        <v>25</v>
      </c>
      <c r="I2167" t="s">
        <v>45</v>
      </c>
      <c r="J2167" t="s">
        <v>27</v>
      </c>
    </row>
    <row r="2168" spans="1:10">
      <c r="A2168" t="s">
        <v>3398</v>
      </c>
      <c r="B2168" t="s">
        <v>3399</v>
      </c>
      <c r="C2168" t="s">
        <v>51</v>
      </c>
      <c r="D2168" t="s">
        <v>31</v>
      </c>
      <c r="E2168">
        <v>-16972</v>
      </c>
      <c r="F2168" t="s">
        <v>23</v>
      </c>
      <c r="G2168" t="s">
        <v>32</v>
      </c>
      <c r="H2168" t="s">
        <v>33</v>
      </c>
      <c r="I2168" t="s">
        <v>39</v>
      </c>
      <c r="J2168" t="s">
        <v>34</v>
      </c>
    </row>
    <row r="2169" spans="1:10">
      <c r="A2169" t="s">
        <v>3400</v>
      </c>
      <c r="B2169" t="s">
        <v>910</v>
      </c>
      <c r="C2169" t="s">
        <v>192</v>
      </c>
      <c r="D2169" t="s">
        <v>22</v>
      </c>
      <c r="E2169">
        <v>-208605</v>
      </c>
      <c r="F2169" t="s">
        <v>23</v>
      </c>
      <c r="G2169" t="s">
        <v>24</v>
      </c>
      <c r="H2169" t="s">
        <v>25</v>
      </c>
      <c r="I2169" t="s">
        <v>26</v>
      </c>
      <c r="J2169" t="s">
        <v>40</v>
      </c>
    </row>
    <row r="2170" spans="1:10">
      <c r="A2170" t="s">
        <v>3401</v>
      </c>
      <c r="B2170" t="s">
        <v>3402</v>
      </c>
      <c r="C2170" t="s">
        <v>60</v>
      </c>
      <c r="D2170" t="s">
        <v>61</v>
      </c>
      <c r="E2170">
        <v>-47856</v>
      </c>
      <c r="F2170" t="s">
        <v>62</v>
      </c>
      <c r="G2170" t="s">
        <v>32</v>
      </c>
      <c r="H2170" t="s">
        <v>63</v>
      </c>
      <c r="I2170" t="s">
        <v>45</v>
      </c>
      <c r="J2170" t="s">
        <v>27</v>
      </c>
    </row>
    <row r="2171" spans="1:10">
      <c r="A2171" t="s">
        <v>3403</v>
      </c>
      <c r="B2171" t="s">
        <v>2299</v>
      </c>
      <c r="C2171" t="s">
        <v>69</v>
      </c>
      <c r="D2171" t="s">
        <v>38</v>
      </c>
      <c r="E2171">
        <v>-43365</v>
      </c>
      <c r="F2171" t="s">
        <v>23</v>
      </c>
      <c r="G2171" t="s">
        <v>32</v>
      </c>
      <c r="H2171" t="s">
        <v>33</v>
      </c>
      <c r="I2171" t="s">
        <v>26</v>
      </c>
      <c r="J2171" t="s">
        <v>27</v>
      </c>
    </row>
    <row r="2172" spans="1:10">
      <c r="A2172" t="s">
        <v>3404</v>
      </c>
      <c r="B2172" t="s">
        <v>655</v>
      </c>
      <c r="C2172" t="s">
        <v>169</v>
      </c>
      <c r="D2172" t="s">
        <v>73</v>
      </c>
      <c r="E2172">
        <v>-79529</v>
      </c>
      <c r="F2172" t="s">
        <v>74</v>
      </c>
      <c r="G2172" t="s">
        <v>24</v>
      </c>
      <c r="H2172" t="s">
        <v>25</v>
      </c>
      <c r="I2172" t="s">
        <v>26</v>
      </c>
      <c r="J2172" t="s">
        <v>48</v>
      </c>
    </row>
    <row r="2173" spans="1:10">
      <c r="A2173" t="s">
        <v>3405</v>
      </c>
      <c r="B2173" t="s">
        <v>749</v>
      </c>
      <c r="C2173" t="s">
        <v>169</v>
      </c>
      <c r="D2173" t="s">
        <v>73</v>
      </c>
      <c r="E2173">
        <v>-29260</v>
      </c>
      <c r="F2173" t="s">
        <v>74</v>
      </c>
      <c r="G2173" t="s">
        <v>24</v>
      </c>
      <c r="H2173" t="s">
        <v>25</v>
      </c>
      <c r="I2173" t="s">
        <v>39</v>
      </c>
      <c r="J2173" t="s">
        <v>40</v>
      </c>
    </row>
    <row r="2174" spans="1:10">
      <c r="A2174" t="s">
        <v>3406</v>
      </c>
      <c r="B2174" t="s">
        <v>3407</v>
      </c>
      <c r="C2174" t="s">
        <v>802</v>
      </c>
      <c r="D2174" t="s">
        <v>440</v>
      </c>
      <c r="E2174">
        <v>-145476</v>
      </c>
      <c r="F2174" t="s">
        <v>23</v>
      </c>
      <c r="G2174" t="s">
        <v>24</v>
      </c>
      <c r="H2174" t="s">
        <v>33</v>
      </c>
      <c r="I2174" t="s">
        <v>39</v>
      </c>
      <c r="J2174" t="s">
        <v>40</v>
      </c>
    </row>
    <row r="2175" spans="1:10">
      <c r="A2175" t="s">
        <v>3408</v>
      </c>
      <c r="B2175" t="s">
        <v>1925</v>
      </c>
      <c r="C2175" t="s">
        <v>116</v>
      </c>
      <c r="D2175" t="s">
        <v>73</v>
      </c>
      <c r="E2175">
        <v>-24015</v>
      </c>
      <c r="F2175" t="s">
        <v>74</v>
      </c>
      <c r="G2175" t="s">
        <v>32</v>
      </c>
      <c r="H2175" t="s">
        <v>25</v>
      </c>
      <c r="I2175" t="s">
        <v>26</v>
      </c>
      <c r="J2175" t="s">
        <v>27</v>
      </c>
    </row>
    <row r="2176" spans="1:10">
      <c r="A2176" t="s">
        <v>3409</v>
      </c>
      <c r="B2176" t="s">
        <v>1903</v>
      </c>
      <c r="C2176" t="s">
        <v>37</v>
      </c>
      <c r="D2176" t="s">
        <v>38</v>
      </c>
      <c r="E2176">
        <v>-16774</v>
      </c>
      <c r="F2176" t="s">
        <v>23</v>
      </c>
      <c r="G2176" t="s">
        <v>24</v>
      </c>
      <c r="H2176" t="s">
        <v>33</v>
      </c>
      <c r="I2176" t="s">
        <v>26</v>
      </c>
      <c r="J2176" t="s">
        <v>48</v>
      </c>
    </row>
    <row r="2177" spans="1:10">
      <c r="A2177" t="s">
        <v>3410</v>
      </c>
      <c r="B2177" t="s">
        <v>1428</v>
      </c>
      <c r="C2177" t="s">
        <v>212</v>
      </c>
      <c r="D2177" t="s">
        <v>111</v>
      </c>
      <c r="E2177">
        <v>-32218</v>
      </c>
      <c r="F2177" t="s">
        <v>74</v>
      </c>
      <c r="G2177" t="s">
        <v>24</v>
      </c>
      <c r="H2177" t="s">
        <v>25</v>
      </c>
      <c r="I2177" t="s">
        <v>39</v>
      </c>
      <c r="J2177" t="s">
        <v>34</v>
      </c>
    </row>
    <row r="2178" spans="1:10">
      <c r="A2178" t="s">
        <v>3411</v>
      </c>
      <c r="B2178" t="s">
        <v>2574</v>
      </c>
      <c r="C2178" t="s">
        <v>757</v>
      </c>
      <c r="D2178" t="s">
        <v>157</v>
      </c>
      <c r="E2178">
        <v>758949</v>
      </c>
      <c r="F2178" t="s">
        <v>62</v>
      </c>
      <c r="G2178" t="s">
        <v>32</v>
      </c>
      <c r="H2178" t="s">
        <v>25</v>
      </c>
      <c r="I2178" t="s">
        <v>39</v>
      </c>
      <c r="J2178" t="s">
        <v>48</v>
      </c>
    </row>
    <row r="2179" spans="1:10">
      <c r="A2179" t="s">
        <v>3412</v>
      </c>
      <c r="B2179" t="s">
        <v>359</v>
      </c>
      <c r="C2179" t="s">
        <v>57</v>
      </c>
      <c r="D2179" t="s">
        <v>248</v>
      </c>
      <c r="E2179">
        <v>-83870</v>
      </c>
      <c r="F2179" t="s">
        <v>23</v>
      </c>
      <c r="G2179" t="s">
        <v>32</v>
      </c>
      <c r="H2179" t="s">
        <v>33</v>
      </c>
      <c r="I2179" t="s">
        <v>45</v>
      </c>
      <c r="J2179" t="s">
        <v>48</v>
      </c>
    </row>
    <row r="2180" spans="1:10">
      <c r="A2180" t="s">
        <v>3413</v>
      </c>
      <c r="B2180" t="s">
        <v>3414</v>
      </c>
      <c r="C2180" t="s">
        <v>51</v>
      </c>
      <c r="D2180" t="s">
        <v>31</v>
      </c>
      <c r="E2180">
        <v>-18295</v>
      </c>
      <c r="F2180" t="s">
        <v>23</v>
      </c>
      <c r="G2180" t="s">
        <v>32</v>
      </c>
      <c r="H2180" t="s">
        <v>33</v>
      </c>
      <c r="I2180" t="s">
        <v>45</v>
      </c>
      <c r="J2180" t="s">
        <v>34</v>
      </c>
    </row>
    <row r="2181" spans="1:10">
      <c r="A2181" t="s">
        <v>3415</v>
      </c>
      <c r="B2181" t="s">
        <v>3416</v>
      </c>
      <c r="C2181" t="s">
        <v>345</v>
      </c>
      <c r="D2181" t="s">
        <v>207</v>
      </c>
      <c r="E2181">
        <v>-47167</v>
      </c>
      <c r="F2181" t="s">
        <v>23</v>
      </c>
      <c r="G2181" t="s">
        <v>24</v>
      </c>
      <c r="H2181" t="s">
        <v>25</v>
      </c>
      <c r="I2181" t="s">
        <v>45</v>
      </c>
      <c r="J2181" t="s">
        <v>40</v>
      </c>
    </row>
    <row r="2182" spans="1:10">
      <c r="A2182" t="s">
        <v>3417</v>
      </c>
      <c r="B2182" t="s">
        <v>2821</v>
      </c>
      <c r="C2182" t="s">
        <v>192</v>
      </c>
      <c r="D2182" t="s">
        <v>22</v>
      </c>
      <c r="E2182">
        <v>-198334</v>
      </c>
      <c r="F2182" t="s">
        <v>23</v>
      </c>
      <c r="G2182" t="s">
        <v>24</v>
      </c>
      <c r="H2182" t="s">
        <v>25</v>
      </c>
      <c r="I2182" t="s">
        <v>45</v>
      </c>
      <c r="J2182" t="s">
        <v>40</v>
      </c>
    </row>
    <row r="2183" spans="1:10">
      <c r="A2183" t="s">
        <v>3418</v>
      </c>
      <c r="B2183" t="s">
        <v>3419</v>
      </c>
      <c r="C2183" t="s">
        <v>215</v>
      </c>
      <c r="D2183" t="s">
        <v>61</v>
      </c>
      <c r="E2183">
        <v>-16637</v>
      </c>
      <c r="F2183" t="s">
        <v>62</v>
      </c>
      <c r="G2183" t="s">
        <v>24</v>
      </c>
      <c r="H2183" t="s">
        <v>63</v>
      </c>
      <c r="I2183" t="s">
        <v>45</v>
      </c>
      <c r="J2183" t="s">
        <v>40</v>
      </c>
    </row>
    <row r="2184" spans="1:10">
      <c r="A2184" t="s">
        <v>3195</v>
      </c>
      <c r="B2184" t="s">
        <v>797</v>
      </c>
      <c r="C2184" t="s">
        <v>255</v>
      </c>
      <c r="D2184" t="s">
        <v>22</v>
      </c>
      <c r="E2184">
        <v>-106280</v>
      </c>
      <c r="F2184" t="s">
        <v>23</v>
      </c>
      <c r="G2184" t="s">
        <v>32</v>
      </c>
      <c r="H2184" t="s">
        <v>25</v>
      </c>
      <c r="I2184" t="s">
        <v>26</v>
      </c>
      <c r="J2184" t="s">
        <v>34</v>
      </c>
    </row>
    <row r="2185" spans="1:10">
      <c r="A2185" t="s">
        <v>3420</v>
      </c>
      <c r="B2185" t="s">
        <v>1170</v>
      </c>
      <c r="C2185" t="s">
        <v>66</v>
      </c>
      <c r="D2185" t="s">
        <v>61</v>
      </c>
      <c r="E2185">
        <v>-18587</v>
      </c>
      <c r="F2185" t="s">
        <v>62</v>
      </c>
      <c r="G2185" t="s">
        <v>32</v>
      </c>
      <c r="H2185" t="s">
        <v>63</v>
      </c>
      <c r="I2185" t="s">
        <v>45</v>
      </c>
      <c r="J2185" t="s">
        <v>34</v>
      </c>
    </row>
    <row r="2186" spans="1:10">
      <c r="A2186" t="s">
        <v>3421</v>
      </c>
      <c r="B2186" t="s">
        <v>1665</v>
      </c>
      <c r="C2186" t="s">
        <v>84</v>
      </c>
      <c r="D2186" t="s">
        <v>78</v>
      </c>
      <c r="E2186">
        <v>-27245</v>
      </c>
      <c r="F2186" t="s">
        <v>23</v>
      </c>
      <c r="G2186" t="s">
        <v>24</v>
      </c>
      <c r="H2186" t="s">
        <v>79</v>
      </c>
      <c r="I2186" t="s">
        <v>39</v>
      </c>
      <c r="J2186" t="s">
        <v>27</v>
      </c>
    </row>
    <row r="2187" spans="1:10">
      <c r="A2187" t="s">
        <v>3422</v>
      </c>
      <c r="B2187" t="s">
        <v>344</v>
      </c>
      <c r="C2187" t="s">
        <v>90</v>
      </c>
      <c r="D2187" t="s">
        <v>73</v>
      </c>
      <c r="E2187">
        <v>-61454</v>
      </c>
      <c r="F2187" t="s">
        <v>74</v>
      </c>
      <c r="G2187" t="s">
        <v>24</v>
      </c>
      <c r="H2187" t="s">
        <v>25</v>
      </c>
      <c r="I2187" t="s">
        <v>45</v>
      </c>
      <c r="J2187" t="s">
        <v>27</v>
      </c>
    </row>
    <row r="2188" spans="1:10">
      <c r="A2188" t="s">
        <v>3423</v>
      </c>
      <c r="B2188" t="s">
        <v>1430</v>
      </c>
      <c r="C2188" t="s">
        <v>84</v>
      </c>
      <c r="D2188" t="s">
        <v>78</v>
      </c>
      <c r="E2188">
        <v>-119296</v>
      </c>
      <c r="F2188" t="s">
        <v>23</v>
      </c>
      <c r="G2188" t="s">
        <v>24</v>
      </c>
      <c r="H2188" t="s">
        <v>79</v>
      </c>
      <c r="I2188" t="s">
        <v>39</v>
      </c>
      <c r="J2188" t="s">
        <v>34</v>
      </c>
    </row>
    <row r="2189" spans="1:10">
      <c r="A2189" t="s">
        <v>3424</v>
      </c>
      <c r="B2189" t="s">
        <v>2129</v>
      </c>
      <c r="C2189" t="s">
        <v>143</v>
      </c>
      <c r="D2189" t="s">
        <v>78</v>
      </c>
      <c r="E2189">
        <v>-62867</v>
      </c>
      <c r="F2189" t="s">
        <v>23</v>
      </c>
      <c r="G2189" t="s">
        <v>24</v>
      </c>
      <c r="H2189" t="s">
        <v>79</v>
      </c>
      <c r="I2189" t="s">
        <v>39</v>
      </c>
      <c r="J2189" t="s">
        <v>48</v>
      </c>
    </row>
    <row r="2190" spans="1:10">
      <c r="A2190" t="s">
        <v>3425</v>
      </c>
      <c r="B2190" t="s">
        <v>2997</v>
      </c>
      <c r="C2190" t="s">
        <v>69</v>
      </c>
      <c r="D2190" t="s">
        <v>38</v>
      </c>
      <c r="E2190">
        <v>-12256</v>
      </c>
      <c r="F2190" t="s">
        <v>23</v>
      </c>
      <c r="G2190" t="s">
        <v>32</v>
      </c>
      <c r="H2190" t="s">
        <v>33</v>
      </c>
      <c r="I2190" t="s">
        <v>45</v>
      </c>
      <c r="J2190" t="s">
        <v>27</v>
      </c>
    </row>
    <row r="2191" spans="1:10">
      <c r="A2191" t="s">
        <v>3426</v>
      </c>
      <c r="B2191" t="s">
        <v>727</v>
      </c>
      <c r="C2191" t="s">
        <v>60</v>
      </c>
      <c r="D2191" t="s">
        <v>61</v>
      </c>
      <c r="E2191">
        <v>-36464</v>
      </c>
      <c r="F2191" t="s">
        <v>62</v>
      </c>
      <c r="G2191" t="s">
        <v>24</v>
      </c>
      <c r="H2191" t="s">
        <v>63</v>
      </c>
      <c r="I2191" t="s">
        <v>26</v>
      </c>
      <c r="J2191" t="s">
        <v>40</v>
      </c>
    </row>
    <row r="2192" spans="1:10">
      <c r="A2192" t="s">
        <v>3427</v>
      </c>
      <c r="B2192" t="s">
        <v>506</v>
      </c>
      <c r="C2192" t="s">
        <v>177</v>
      </c>
      <c r="D2192" t="s">
        <v>78</v>
      </c>
      <c r="E2192">
        <v>-86207</v>
      </c>
      <c r="F2192" t="s">
        <v>23</v>
      </c>
      <c r="G2192" t="s">
        <v>24</v>
      </c>
      <c r="H2192" t="s">
        <v>79</v>
      </c>
      <c r="I2192" t="s">
        <v>45</v>
      </c>
      <c r="J2192" t="s">
        <v>40</v>
      </c>
    </row>
    <row r="2193" spans="1:10">
      <c r="A2193" t="s">
        <v>3428</v>
      </c>
      <c r="B2193" t="s">
        <v>2578</v>
      </c>
      <c r="C2193" t="s">
        <v>305</v>
      </c>
      <c r="D2193" t="s">
        <v>38</v>
      </c>
      <c r="E2193">
        <v>-32645</v>
      </c>
      <c r="F2193" t="s">
        <v>23</v>
      </c>
      <c r="G2193" t="s">
        <v>32</v>
      </c>
      <c r="H2193" t="s">
        <v>33</v>
      </c>
      <c r="I2193" t="s">
        <v>26</v>
      </c>
      <c r="J2193" t="s">
        <v>40</v>
      </c>
    </row>
    <row r="2194" spans="1:10">
      <c r="A2194" t="s">
        <v>3429</v>
      </c>
      <c r="B2194" t="s">
        <v>3430</v>
      </c>
      <c r="C2194" t="s">
        <v>271</v>
      </c>
      <c r="D2194" t="s">
        <v>73</v>
      </c>
      <c r="E2194">
        <v>-82061</v>
      </c>
      <c r="F2194" t="s">
        <v>74</v>
      </c>
      <c r="G2194" t="s">
        <v>24</v>
      </c>
      <c r="H2194" t="s">
        <v>25</v>
      </c>
      <c r="I2194" t="s">
        <v>39</v>
      </c>
      <c r="J2194" t="s">
        <v>48</v>
      </c>
    </row>
    <row r="2195" spans="1:10">
      <c r="A2195" t="s">
        <v>3431</v>
      </c>
      <c r="B2195" t="s">
        <v>307</v>
      </c>
      <c r="C2195" t="s">
        <v>60</v>
      </c>
      <c r="D2195" t="s">
        <v>61</v>
      </c>
      <c r="E2195">
        <v>-13250</v>
      </c>
      <c r="F2195" t="s">
        <v>62</v>
      </c>
      <c r="G2195" t="s">
        <v>24</v>
      </c>
      <c r="H2195" t="s">
        <v>63</v>
      </c>
      <c r="I2195" t="s">
        <v>26</v>
      </c>
      <c r="J2195" t="s">
        <v>48</v>
      </c>
    </row>
    <row r="2196" spans="1:10">
      <c r="A2196" t="s">
        <v>3432</v>
      </c>
      <c r="B2196" t="s">
        <v>2274</v>
      </c>
      <c r="C2196" t="s">
        <v>215</v>
      </c>
      <c r="D2196" t="s">
        <v>61</v>
      </c>
      <c r="E2196">
        <v>-61984</v>
      </c>
      <c r="F2196" t="s">
        <v>62</v>
      </c>
      <c r="G2196" t="s">
        <v>32</v>
      </c>
      <c r="H2196" t="s">
        <v>63</v>
      </c>
      <c r="I2196" t="s">
        <v>45</v>
      </c>
      <c r="J2196" t="s">
        <v>48</v>
      </c>
    </row>
    <row r="2197" spans="1:10">
      <c r="A2197" t="s">
        <v>3433</v>
      </c>
      <c r="B2197" t="s">
        <v>953</v>
      </c>
      <c r="C2197" t="s">
        <v>935</v>
      </c>
      <c r="D2197" t="s">
        <v>22</v>
      </c>
      <c r="E2197">
        <v>-122285</v>
      </c>
      <c r="F2197" t="s">
        <v>23</v>
      </c>
      <c r="G2197" t="s">
        <v>32</v>
      </c>
      <c r="H2197" t="s">
        <v>25</v>
      </c>
      <c r="I2197" t="s">
        <v>45</v>
      </c>
      <c r="J2197" t="s">
        <v>40</v>
      </c>
    </row>
    <row r="2198" spans="1:10">
      <c r="A2198" t="s">
        <v>3434</v>
      </c>
      <c r="B2198" t="s">
        <v>3435</v>
      </c>
      <c r="C2198" t="s">
        <v>66</v>
      </c>
      <c r="D2198" t="s">
        <v>61</v>
      </c>
      <c r="E2198">
        <v>-26935</v>
      </c>
      <c r="F2198" t="s">
        <v>62</v>
      </c>
      <c r="G2198" t="s">
        <v>32</v>
      </c>
      <c r="H2198" t="s">
        <v>63</v>
      </c>
      <c r="I2198" t="s">
        <v>26</v>
      </c>
      <c r="J2198" t="s">
        <v>34</v>
      </c>
    </row>
    <row r="2199" spans="1:10">
      <c r="A2199" t="s">
        <v>3436</v>
      </c>
      <c r="B2199" t="s">
        <v>71</v>
      </c>
      <c r="C2199" t="s">
        <v>90</v>
      </c>
      <c r="D2199" t="s">
        <v>73</v>
      </c>
      <c r="E2199">
        <v>-51186</v>
      </c>
      <c r="F2199" t="s">
        <v>74</v>
      </c>
      <c r="G2199" t="s">
        <v>24</v>
      </c>
      <c r="H2199" t="s">
        <v>25</v>
      </c>
      <c r="I2199" t="s">
        <v>39</v>
      </c>
      <c r="J2199" t="s">
        <v>27</v>
      </c>
    </row>
    <row r="2200" spans="1:10">
      <c r="A2200" t="s">
        <v>3437</v>
      </c>
      <c r="B2200" t="s">
        <v>470</v>
      </c>
      <c r="C2200" t="s">
        <v>100</v>
      </c>
      <c r="D2200" t="s">
        <v>31</v>
      </c>
      <c r="E2200">
        <v>-33094</v>
      </c>
      <c r="F2200" t="s">
        <v>23</v>
      </c>
      <c r="G2200" t="s">
        <v>24</v>
      </c>
      <c r="H2200" t="s">
        <v>33</v>
      </c>
      <c r="I2200" t="s">
        <v>45</v>
      </c>
      <c r="J2200" t="s">
        <v>48</v>
      </c>
    </row>
    <row r="2201" spans="1:10">
      <c r="A2201" t="s">
        <v>3438</v>
      </c>
      <c r="B2201" t="s">
        <v>1174</v>
      </c>
      <c r="C2201" t="s">
        <v>271</v>
      </c>
      <c r="D2201" t="s">
        <v>73</v>
      </c>
      <c r="E2201">
        <v>-25973</v>
      </c>
      <c r="F2201" t="s">
        <v>74</v>
      </c>
      <c r="G2201" t="s">
        <v>32</v>
      </c>
      <c r="H2201" t="s">
        <v>25</v>
      </c>
      <c r="I2201" t="s">
        <v>26</v>
      </c>
      <c r="J2201" t="s">
        <v>40</v>
      </c>
    </row>
    <row r="2202" spans="1:10">
      <c r="A2202" t="s">
        <v>3439</v>
      </c>
      <c r="B2202" t="s">
        <v>597</v>
      </c>
      <c r="C2202" t="s">
        <v>161</v>
      </c>
      <c r="D2202" t="s">
        <v>193</v>
      </c>
      <c r="E2202">
        <v>-96010</v>
      </c>
      <c r="F2202" t="s">
        <v>23</v>
      </c>
      <c r="G2202" t="s">
        <v>24</v>
      </c>
      <c r="H2202" t="s">
        <v>25</v>
      </c>
      <c r="I2202" t="s">
        <v>39</v>
      </c>
      <c r="J2202" t="s">
        <v>34</v>
      </c>
    </row>
    <row r="2203" spans="1:10">
      <c r="A2203" t="s">
        <v>3440</v>
      </c>
      <c r="B2203" t="s">
        <v>292</v>
      </c>
      <c r="C2203" t="s">
        <v>66</v>
      </c>
      <c r="D2203" t="s">
        <v>61</v>
      </c>
      <c r="E2203">
        <v>-29501</v>
      </c>
      <c r="F2203" t="s">
        <v>62</v>
      </c>
      <c r="G2203" t="s">
        <v>32</v>
      </c>
      <c r="H2203" t="s">
        <v>63</v>
      </c>
      <c r="I2203" t="s">
        <v>39</v>
      </c>
      <c r="J2203" t="s">
        <v>40</v>
      </c>
    </row>
    <row r="2204" spans="1:10">
      <c r="A2204" t="s">
        <v>3441</v>
      </c>
      <c r="B2204" t="s">
        <v>1170</v>
      </c>
      <c r="C2204" t="s">
        <v>215</v>
      </c>
      <c r="D2204" t="s">
        <v>61</v>
      </c>
      <c r="E2204">
        <v>-28327</v>
      </c>
      <c r="F2204" t="s">
        <v>62</v>
      </c>
      <c r="G2204" t="s">
        <v>32</v>
      </c>
      <c r="H2204" t="s">
        <v>63</v>
      </c>
      <c r="I2204" t="s">
        <v>45</v>
      </c>
      <c r="J2204" t="s">
        <v>34</v>
      </c>
    </row>
    <row r="2205" spans="1:10">
      <c r="A2205" t="s">
        <v>3442</v>
      </c>
      <c r="B2205" t="s">
        <v>1875</v>
      </c>
      <c r="C2205" t="s">
        <v>271</v>
      </c>
      <c r="D2205" t="s">
        <v>73</v>
      </c>
      <c r="E2205">
        <v>-42486</v>
      </c>
      <c r="F2205" t="s">
        <v>74</v>
      </c>
      <c r="G2205" t="s">
        <v>24</v>
      </c>
      <c r="H2205" t="s">
        <v>25</v>
      </c>
      <c r="I2205" t="s">
        <v>45</v>
      </c>
      <c r="J2205" t="s">
        <v>27</v>
      </c>
    </row>
    <row r="2206" spans="1:10">
      <c r="A2206" t="s">
        <v>3443</v>
      </c>
      <c r="B2206" t="s">
        <v>557</v>
      </c>
      <c r="C2206" t="s">
        <v>66</v>
      </c>
      <c r="D2206" t="s">
        <v>61</v>
      </c>
      <c r="E2206">
        <v>-36175</v>
      </c>
      <c r="F2206" t="s">
        <v>62</v>
      </c>
      <c r="G2206" t="s">
        <v>32</v>
      </c>
      <c r="H2206" t="s">
        <v>63</v>
      </c>
      <c r="I2206" t="s">
        <v>39</v>
      </c>
      <c r="J2206" t="s">
        <v>48</v>
      </c>
    </row>
    <row r="2207" spans="1:10">
      <c r="A2207" t="s">
        <v>3444</v>
      </c>
      <c r="B2207" t="s">
        <v>458</v>
      </c>
      <c r="C2207" t="s">
        <v>43</v>
      </c>
      <c r="D2207" t="s">
        <v>44</v>
      </c>
      <c r="E2207">
        <v>-112047</v>
      </c>
      <c r="F2207" t="s">
        <v>23</v>
      </c>
      <c r="G2207" t="s">
        <v>32</v>
      </c>
      <c r="H2207" t="s">
        <v>33</v>
      </c>
      <c r="I2207" t="s">
        <v>45</v>
      </c>
      <c r="J2207" t="s">
        <v>48</v>
      </c>
    </row>
    <row r="2208" spans="1:10">
      <c r="A2208" t="s">
        <v>3445</v>
      </c>
      <c r="B2208" t="s">
        <v>823</v>
      </c>
      <c r="C2208" t="s">
        <v>93</v>
      </c>
      <c r="D2208" t="s">
        <v>73</v>
      </c>
      <c r="E2208">
        <v>-78855</v>
      </c>
      <c r="F2208" t="s">
        <v>74</v>
      </c>
      <c r="G2208" t="s">
        <v>32</v>
      </c>
      <c r="H2208" t="s">
        <v>25</v>
      </c>
      <c r="I2208" t="s">
        <v>26</v>
      </c>
      <c r="J2208" t="s">
        <v>48</v>
      </c>
    </row>
    <row r="2209" spans="1:10">
      <c r="A2209" t="s">
        <v>3446</v>
      </c>
      <c r="B2209" t="s">
        <v>2829</v>
      </c>
      <c r="C2209" t="s">
        <v>169</v>
      </c>
      <c r="D2209" t="s">
        <v>73</v>
      </c>
      <c r="E2209">
        <v>-60649</v>
      </c>
      <c r="F2209" t="s">
        <v>74</v>
      </c>
      <c r="G2209" t="s">
        <v>32</v>
      </c>
      <c r="H2209" t="s">
        <v>25</v>
      </c>
      <c r="I2209" t="s">
        <v>45</v>
      </c>
      <c r="J2209" t="s">
        <v>34</v>
      </c>
    </row>
    <row r="2210" spans="1:10">
      <c r="A2210" t="s">
        <v>3447</v>
      </c>
      <c r="B2210" t="s">
        <v>2821</v>
      </c>
      <c r="C2210" t="s">
        <v>1048</v>
      </c>
      <c r="D2210" t="s">
        <v>31</v>
      </c>
      <c r="E2210">
        <v>-8058</v>
      </c>
      <c r="F2210" t="s">
        <v>23</v>
      </c>
      <c r="G2210" t="s">
        <v>24</v>
      </c>
      <c r="H2210" t="s">
        <v>33</v>
      </c>
      <c r="I2210" t="s">
        <v>45</v>
      </c>
      <c r="J2210" t="s">
        <v>40</v>
      </c>
    </row>
    <row r="2211" spans="1:10">
      <c r="A2211" t="s">
        <v>3448</v>
      </c>
      <c r="B2211" t="s">
        <v>1130</v>
      </c>
      <c r="C2211" t="s">
        <v>215</v>
      </c>
      <c r="D2211" t="s">
        <v>61</v>
      </c>
      <c r="E2211">
        <v>-32787</v>
      </c>
      <c r="F2211" t="s">
        <v>62</v>
      </c>
      <c r="G2211" t="s">
        <v>24</v>
      </c>
      <c r="H2211" t="s">
        <v>63</v>
      </c>
      <c r="I2211" t="s">
        <v>45</v>
      </c>
      <c r="J2211" t="s">
        <v>40</v>
      </c>
    </row>
    <row r="2212" spans="1:10">
      <c r="A2212" t="s">
        <v>3449</v>
      </c>
      <c r="B2212" t="s">
        <v>1257</v>
      </c>
      <c r="C2212" t="s">
        <v>116</v>
      </c>
      <c r="D2212" t="s">
        <v>73</v>
      </c>
      <c r="E2212">
        <v>-44208</v>
      </c>
      <c r="F2212" t="s">
        <v>74</v>
      </c>
      <c r="G2212" t="s">
        <v>32</v>
      </c>
      <c r="H2212" t="s">
        <v>25</v>
      </c>
      <c r="I2212" t="s">
        <v>26</v>
      </c>
      <c r="J2212" t="s">
        <v>34</v>
      </c>
    </row>
    <row r="2213" spans="1:10">
      <c r="A2213" t="s">
        <v>3450</v>
      </c>
      <c r="B2213" t="s">
        <v>470</v>
      </c>
      <c r="C2213" t="s">
        <v>935</v>
      </c>
      <c r="D2213" t="s">
        <v>22</v>
      </c>
      <c r="E2213">
        <v>-104837</v>
      </c>
      <c r="F2213" t="s">
        <v>23</v>
      </c>
      <c r="G2213" t="s">
        <v>32</v>
      </c>
      <c r="H2213" t="s">
        <v>25</v>
      </c>
      <c r="I2213" t="s">
        <v>45</v>
      </c>
      <c r="J2213" t="s">
        <v>48</v>
      </c>
    </row>
    <row r="2214" spans="1:10">
      <c r="A2214" t="s">
        <v>3451</v>
      </c>
      <c r="B2214" t="s">
        <v>1005</v>
      </c>
      <c r="C2214" t="s">
        <v>212</v>
      </c>
      <c r="D2214" t="s">
        <v>73</v>
      </c>
      <c r="E2214">
        <v>-68776</v>
      </c>
      <c r="F2214" t="s">
        <v>74</v>
      </c>
      <c r="G2214" t="s">
        <v>32</v>
      </c>
      <c r="H2214" t="s">
        <v>25</v>
      </c>
      <c r="I2214" t="s">
        <v>26</v>
      </c>
      <c r="J2214" t="s">
        <v>48</v>
      </c>
    </row>
    <row r="2215" spans="1:10">
      <c r="A2215" t="s">
        <v>3452</v>
      </c>
      <c r="B2215" t="s">
        <v>2544</v>
      </c>
      <c r="C2215" t="s">
        <v>54</v>
      </c>
      <c r="D2215" t="s">
        <v>38</v>
      </c>
      <c r="E2215">
        <v>-54194</v>
      </c>
      <c r="F2215" t="s">
        <v>23</v>
      </c>
      <c r="G2215" t="s">
        <v>24</v>
      </c>
      <c r="H2215" t="s">
        <v>33</v>
      </c>
      <c r="I2215" t="s">
        <v>26</v>
      </c>
      <c r="J2215" t="s">
        <v>27</v>
      </c>
    </row>
    <row r="2216" spans="1:10">
      <c r="A2216" t="s">
        <v>3453</v>
      </c>
      <c r="B2216" t="s">
        <v>3454</v>
      </c>
      <c r="C2216" t="s">
        <v>37</v>
      </c>
      <c r="D2216" t="s">
        <v>38</v>
      </c>
      <c r="E2216">
        <v>-49376</v>
      </c>
      <c r="F2216" t="s">
        <v>23</v>
      </c>
      <c r="G2216" t="s">
        <v>32</v>
      </c>
      <c r="H2216" t="s">
        <v>33</v>
      </c>
      <c r="I2216" t="s">
        <v>26</v>
      </c>
      <c r="J2216" t="s">
        <v>27</v>
      </c>
    </row>
    <row r="2217" spans="1:10">
      <c r="A2217" t="s">
        <v>3455</v>
      </c>
      <c r="B2217" t="s">
        <v>3456</v>
      </c>
      <c r="C2217" t="s">
        <v>468</v>
      </c>
      <c r="D2217" t="s">
        <v>440</v>
      </c>
      <c r="E2217">
        <v>-116532</v>
      </c>
      <c r="F2217" t="s">
        <v>23</v>
      </c>
      <c r="G2217" t="s">
        <v>24</v>
      </c>
      <c r="H2217" t="s">
        <v>33</v>
      </c>
      <c r="I2217" t="s">
        <v>39</v>
      </c>
      <c r="J2217" t="s">
        <v>27</v>
      </c>
    </row>
    <row r="2218" spans="1:10">
      <c r="A2218" t="s">
        <v>3457</v>
      </c>
      <c r="B2218" t="s">
        <v>532</v>
      </c>
      <c r="C2218" t="s">
        <v>66</v>
      </c>
      <c r="D2218" t="s">
        <v>61</v>
      </c>
      <c r="E2218">
        <v>-33253</v>
      </c>
      <c r="F2218" t="s">
        <v>62</v>
      </c>
      <c r="G2218" t="s">
        <v>24</v>
      </c>
      <c r="H2218" t="s">
        <v>63</v>
      </c>
      <c r="I2218" t="s">
        <v>39</v>
      </c>
      <c r="J2218" t="s">
        <v>40</v>
      </c>
    </row>
    <row r="2219" spans="1:10">
      <c r="A2219" t="s">
        <v>2538</v>
      </c>
      <c r="B2219" t="s">
        <v>1978</v>
      </c>
      <c r="C2219" t="s">
        <v>84</v>
      </c>
      <c r="D2219" t="s">
        <v>78</v>
      </c>
      <c r="E2219">
        <v>-117227</v>
      </c>
      <c r="F2219" t="s">
        <v>23</v>
      </c>
      <c r="G2219" t="s">
        <v>24</v>
      </c>
      <c r="H2219" t="s">
        <v>79</v>
      </c>
      <c r="I2219" t="s">
        <v>26</v>
      </c>
      <c r="J2219" t="s">
        <v>40</v>
      </c>
    </row>
    <row r="2220" spans="1:10">
      <c r="A2220" t="s">
        <v>3458</v>
      </c>
      <c r="B2220" t="s">
        <v>1134</v>
      </c>
      <c r="C2220" t="s">
        <v>255</v>
      </c>
      <c r="D2220" t="s">
        <v>22</v>
      </c>
      <c r="E2220">
        <v>-203911</v>
      </c>
      <c r="F2220" t="s">
        <v>23</v>
      </c>
      <c r="G2220" t="s">
        <v>32</v>
      </c>
      <c r="H2220" t="s">
        <v>25</v>
      </c>
      <c r="I2220" t="s">
        <v>45</v>
      </c>
      <c r="J2220" t="s">
        <v>34</v>
      </c>
    </row>
    <row r="2221" spans="1:10">
      <c r="A2221" t="s">
        <v>3459</v>
      </c>
      <c r="B2221" t="s">
        <v>3460</v>
      </c>
      <c r="C2221" t="s">
        <v>533</v>
      </c>
      <c r="D2221" t="s">
        <v>61</v>
      </c>
      <c r="E2221">
        <v>-61815</v>
      </c>
      <c r="F2221" t="s">
        <v>62</v>
      </c>
      <c r="G2221" t="s">
        <v>32</v>
      </c>
      <c r="H2221" t="s">
        <v>63</v>
      </c>
      <c r="I2221" t="s">
        <v>45</v>
      </c>
      <c r="J2221" t="s">
        <v>27</v>
      </c>
    </row>
    <row r="2222" spans="1:10">
      <c r="A2222" t="s">
        <v>3461</v>
      </c>
      <c r="B2222" t="s">
        <v>953</v>
      </c>
      <c r="C2222" t="s">
        <v>37</v>
      </c>
      <c r="D2222" t="s">
        <v>38</v>
      </c>
      <c r="E2222">
        <v>-17924</v>
      </c>
      <c r="F2222" t="s">
        <v>23</v>
      </c>
      <c r="G2222" t="s">
        <v>32</v>
      </c>
      <c r="H2222" t="s">
        <v>33</v>
      </c>
      <c r="I2222" t="s">
        <v>45</v>
      </c>
      <c r="J2222" t="s">
        <v>40</v>
      </c>
    </row>
    <row r="2223" spans="1:10">
      <c r="A2223" t="s">
        <v>3462</v>
      </c>
      <c r="B2223" t="s">
        <v>838</v>
      </c>
      <c r="C2223" t="s">
        <v>161</v>
      </c>
      <c r="D2223" t="s">
        <v>320</v>
      </c>
      <c r="E2223">
        <v>-62020</v>
      </c>
      <c r="F2223" t="s">
        <v>23</v>
      </c>
      <c r="G2223" t="s">
        <v>24</v>
      </c>
      <c r="H2223" t="s">
        <v>25</v>
      </c>
      <c r="I2223" t="s">
        <v>45</v>
      </c>
      <c r="J2223" t="s">
        <v>27</v>
      </c>
    </row>
    <row r="2224" spans="1:10">
      <c r="A2224" t="s">
        <v>3463</v>
      </c>
      <c r="B2224" t="s">
        <v>484</v>
      </c>
      <c r="C2224" t="s">
        <v>161</v>
      </c>
      <c r="D2224" t="s">
        <v>22</v>
      </c>
      <c r="E2224">
        <v>-70771</v>
      </c>
      <c r="F2224" t="s">
        <v>23</v>
      </c>
      <c r="G2224" t="s">
        <v>24</v>
      </c>
      <c r="H2224" t="s">
        <v>25</v>
      </c>
      <c r="I2224" t="s">
        <v>39</v>
      </c>
      <c r="J2224" t="s">
        <v>48</v>
      </c>
    </row>
    <row r="2225" spans="1:10">
      <c r="A2225" t="s">
        <v>3464</v>
      </c>
      <c r="B2225" t="s">
        <v>412</v>
      </c>
      <c r="C2225" t="s">
        <v>180</v>
      </c>
      <c r="D2225" t="s">
        <v>248</v>
      </c>
      <c r="E2225">
        <v>-147785</v>
      </c>
      <c r="F2225" t="s">
        <v>23</v>
      </c>
      <c r="G2225" t="s">
        <v>24</v>
      </c>
      <c r="H2225" t="s">
        <v>33</v>
      </c>
      <c r="I2225" t="s">
        <v>39</v>
      </c>
      <c r="J2225" t="s">
        <v>48</v>
      </c>
    </row>
    <row r="2226" spans="1:10">
      <c r="A2226" t="s">
        <v>3465</v>
      </c>
      <c r="B2226" t="s">
        <v>625</v>
      </c>
      <c r="C2226" t="s">
        <v>106</v>
      </c>
      <c r="E2226">
        <v>-8322</v>
      </c>
      <c r="F2226" t="s">
        <v>23</v>
      </c>
      <c r="G2226" t="s">
        <v>24</v>
      </c>
      <c r="H2226" t="s">
        <v>33</v>
      </c>
      <c r="I2226" t="s">
        <v>39</v>
      </c>
      <c r="J2226" t="s">
        <v>27</v>
      </c>
    </row>
    <row r="2227" spans="1:10">
      <c r="A2227" t="s">
        <v>3466</v>
      </c>
      <c r="B2227" t="s">
        <v>886</v>
      </c>
      <c r="C2227" t="s">
        <v>93</v>
      </c>
      <c r="D2227" t="s">
        <v>73</v>
      </c>
      <c r="E2227">
        <v>-67083</v>
      </c>
      <c r="F2227" t="s">
        <v>74</v>
      </c>
      <c r="G2227" t="s">
        <v>32</v>
      </c>
      <c r="H2227" t="s">
        <v>25</v>
      </c>
      <c r="I2227" t="s">
        <v>45</v>
      </c>
      <c r="J2227" t="s">
        <v>27</v>
      </c>
    </row>
    <row r="2228" spans="1:10">
      <c r="A2228" t="s">
        <v>3467</v>
      </c>
      <c r="B2228" t="s">
        <v>745</v>
      </c>
      <c r="C2228" t="s">
        <v>180</v>
      </c>
      <c r="D2228" t="s">
        <v>465</v>
      </c>
      <c r="E2228">
        <v>-82749</v>
      </c>
      <c r="F2228" t="s">
        <v>23</v>
      </c>
      <c r="G2228" t="s">
        <v>24</v>
      </c>
      <c r="H2228" t="s">
        <v>33</v>
      </c>
      <c r="I2228" t="s">
        <v>39</v>
      </c>
      <c r="J2228" t="s">
        <v>34</v>
      </c>
    </row>
    <row r="2229" spans="1:10">
      <c r="A2229" t="s">
        <v>3468</v>
      </c>
      <c r="B2229" t="s">
        <v>2768</v>
      </c>
      <c r="C2229" t="s">
        <v>37</v>
      </c>
      <c r="D2229" t="s">
        <v>38</v>
      </c>
      <c r="E2229">
        <v>-50086</v>
      </c>
      <c r="F2229" t="s">
        <v>23</v>
      </c>
      <c r="G2229" t="s">
        <v>32</v>
      </c>
      <c r="H2229" t="s">
        <v>33</v>
      </c>
      <c r="I2229" t="s">
        <v>39</v>
      </c>
      <c r="J2229" t="s">
        <v>48</v>
      </c>
    </row>
    <row r="2230" spans="1:10">
      <c r="A2230" t="s">
        <v>3469</v>
      </c>
      <c r="B2230" t="s">
        <v>2637</v>
      </c>
      <c r="C2230" t="s">
        <v>215</v>
      </c>
      <c r="D2230" t="s">
        <v>61</v>
      </c>
      <c r="E2230">
        <v>-32569</v>
      </c>
      <c r="F2230" t="s">
        <v>62</v>
      </c>
      <c r="G2230" t="s">
        <v>32</v>
      </c>
      <c r="H2230" t="s">
        <v>63</v>
      </c>
      <c r="I2230" t="s">
        <v>26</v>
      </c>
      <c r="J2230" t="s">
        <v>48</v>
      </c>
    </row>
    <row r="2231" spans="1:10">
      <c r="A2231" t="s">
        <v>3470</v>
      </c>
      <c r="B2231" t="s">
        <v>1562</v>
      </c>
      <c r="C2231" t="s">
        <v>266</v>
      </c>
      <c r="D2231" t="s">
        <v>73</v>
      </c>
      <c r="E2231">
        <v>-37762</v>
      </c>
      <c r="F2231" t="s">
        <v>74</v>
      </c>
      <c r="G2231" t="s">
        <v>32</v>
      </c>
      <c r="H2231" t="s">
        <v>25</v>
      </c>
      <c r="I2231" t="s">
        <v>45</v>
      </c>
      <c r="J2231" t="s">
        <v>27</v>
      </c>
    </row>
    <row r="2232" spans="1:10">
      <c r="A2232" t="s">
        <v>3471</v>
      </c>
      <c r="B2232" t="s">
        <v>140</v>
      </c>
      <c r="C2232" t="s">
        <v>215</v>
      </c>
      <c r="D2232" t="s">
        <v>61</v>
      </c>
      <c r="E2232">
        <v>-40086</v>
      </c>
      <c r="F2232" t="s">
        <v>62</v>
      </c>
      <c r="G2232" t="s">
        <v>24</v>
      </c>
      <c r="H2232" t="s">
        <v>63</v>
      </c>
      <c r="I2232" t="s">
        <v>39</v>
      </c>
      <c r="J2232" t="s">
        <v>27</v>
      </c>
    </row>
    <row r="2233" spans="1:10">
      <c r="A2233" t="s">
        <v>3472</v>
      </c>
      <c r="B2233" t="s">
        <v>850</v>
      </c>
      <c r="C2233" t="s">
        <v>66</v>
      </c>
      <c r="D2233" t="s">
        <v>61</v>
      </c>
      <c r="E2233">
        <v>-34629</v>
      </c>
      <c r="F2233" t="s">
        <v>62</v>
      </c>
      <c r="G2233" t="s">
        <v>24</v>
      </c>
      <c r="H2233" t="s">
        <v>63</v>
      </c>
      <c r="I2233" t="s">
        <v>45</v>
      </c>
      <c r="J2233" t="s">
        <v>48</v>
      </c>
    </row>
    <row r="2234" spans="1:10">
      <c r="A2234" t="s">
        <v>3473</v>
      </c>
      <c r="B2234" t="s">
        <v>1323</v>
      </c>
      <c r="C2234" t="s">
        <v>156</v>
      </c>
      <c r="D2234" t="s">
        <v>157</v>
      </c>
      <c r="E2234">
        <v>617557</v>
      </c>
      <c r="F2234" t="s">
        <v>62</v>
      </c>
      <c r="G2234" t="s">
        <v>32</v>
      </c>
      <c r="H2234" t="s">
        <v>25</v>
      </c>
      <c r="I2234" t="s">
        <v>45</v>
      </c>
      <c r="J2234" t="s">
        <v>27</v>
      </c>
    </row>
    <row r="2235" spans="1:10">
      <c r="A2235" t="s">
        <v>3363</v>
      </c>
      <c r="B2235" t="s">
        <v>324</v>
      </c>
      <c r="C2235" t="s">
        <v>106</v>
      </c>
      <c r="D2235" t="s">
        <v>31</v>
      </c>
      <c r="E2235">
        <v>-35731</v>
      </c>
      <c r="F2235" t="s">
        <v>23</v>
      </c>
      <c r="G2235" t="s">
        <v>24</v>
      </c>
      <c r="H2235" t="s">
        <v>33</v>
      </c>
      <c r="I2235" t="s">
        <v>26</v>
      </c>
      <c r="J2235" t="s">
        <v>34</v>
      </c>
    </row>
    <row r="2236" spans="1:10">
      <c r="A2236" t="s">
        <v>3474</v>
      </c>
      <c r="B2236" t="s">
        <v>3475</v>
      </c>
      <c r="C2236" t="s">
        <v>77</v>
      </c>
      <c r="D2236" t="s">
        <v>78</v>
      </c>
      <c r="E2236">
        <v>-59987</v>
      </c>
      <c r="F2236" t="s">
        <v>23</v>
      </c>
      <c r="G2236" t="s">
        <v>24</v>
      </c>
      <c r="H2236" t="s">
        <v>79</v>
      </c>
      <c r="I2236" t="s">
        <v>45</v>
      </c>
      <c r="J2236" t="s">
        <v>34</v>
      </c>
    </row>
    <row r="2237" spans="1:10">
      <c r="A2237" t="s">
        <v>3476</v>
      </c>
      <c r="B2237" t="s">
        <v>1763</v>
      </c>
      <c r="C2237" t="s">
        <v>3477</v>
      </c>
      <c r="D2237" t="s">
        <v>136</v>
      </c>
      <c r="E2237">
        <v>-10373737</v>
      </c>
      <c r="F2237" t="s">
        <v>62</v>
      </c>
      <c r="G2237" t="s">
        <v>32</v>
      </c>
      <c r="H2237" t="s">
        <v>63</v>
      </c>
      <c r="I2237" t="s">
        <v>26</v>
      </c>
      <c r="J2237" t="s">
        <v>40</v>
      </c>
    </row>
    <row r="2238" spans="1:10">
      <c r="A2238" t="s">
        <v>3478</v>
      </c>
      <c r="B2238" t="s">
        <v>273</v>
      </c>
      <c r="C2238" t="s">
        <v>1753</v>
      </c>
      <c r="D2238" t="s">
        <v>73</v>
      </c>
      <c r="E2238">
        <v>-82620</v>
      </c>
      <c r="F2238" t="s">
        <v>74</v>
      </c>
      <c r="G2238" t="s">
        <v>24</v>
      </c>
      <c r="H2238" t="s">
        <v>25</v>
      </c>
      <c r="I2238" t="s">
        <v>39</v>
      </c>
      <c r="J2238" t="s">
        <v>48</v>
      </c>
    </row>
    <row r="2239" spans="1:10">
      <c r="A2239" t="s">
        <v>3479</v>
      </c>
      <c r="B2239" t="s">
        <v>3480</v>
      </c>
      <c r="C2239" t="s">
        <v>255</v>
      </c>
      <c r="D2239" t="s">
        <v>22</v>
      </c>
      <c r="E2239">
        <v>-35178</v>
      </c>
      <c r="F2239" t="s">
        <v>23</v>
      </c>
      <c r="G2239" t="s">
        <v>24</v>
      </c>
      <c r="H2239" t="s">
        <v>25</v>
      </c>
      <c r="I2239" t="s">
        <v>39</v>
      </c>
      <c r="J2239" t="s">
        <v>34</v>
      </c>
    </row>
    <row r="2240" spans="1:10">
      <c r="A2240" t="s">
        <v>3481</v>
      </c>
      <c r="B2240" t="s">
        <v>3174</v>
      </c>
      <c r="C2240" t="s">
        <v>616</v>
      </c>
      <c r="D2240" t="s">
        <v>193</v>
      </c>
      <c r="E2240">
        <v>-48222</v>
      </c>
      <c r="F2240" t="s">
        <v>23</v>
      </c>
      <c r="G2240" t="s">
        <v>24</v>
      </c>
      <c r="H2240" t="s">
        <v>25</v>
      </c>
      <c r="I2240" t="s">
        <v>39</v>
      </c>
      <c r="J2240" t="s">
        <v>48</v>
      </c>
    </row>
    <row r="2241" spans="1:10">
      <c r="A2241" t="s">
        <v>3482</v>
      </c>
      <c r="B2241" t="s">
        <v>518</v>
      </c>
      <c r="C2241" t="s">
        <v>221</v>
      </c>
      <c r="D2241" t="s">
        <v>61</v>
      </c>
      <c r="E2241">
        <v>-57221</v>
      </c>
      <c r="F2241" t="s">
        <v>62</v>
      </c>
      <c r="G2241" t="s">
        <v>32</v>
      </c>
      <c r="H2241" t="s">
        <v>63</v>
      </c>
      <c r="I2241" t="s">
        <v>39</v>
      </c>
      <c r="J2241" t="s">
        <v>40</v>
      </c>
    </row>
    <row r="2242" spans="1:10">
      <c r="A2242" t="s">
        <v>3483</v>
      </c>
      <c r="B2242" t="s">
        <v>446</v>
      </c>
      <c r="C2242" t="s">
        <v>51</v>
      </c>
      <c r="D2242" t="s">
        <v>31</v>
      </c>
      <c r="E2242">
        <v>-19730</v>
      </c>
      <c r="F2242" t="s">
        <v>23</v>
      </c>
      <c r="G2242" t="s">
        <v>32</v>
      </c>
      <c r="H2242" t="s">
        <v>33</v>
      </c>
      <c r="I2242" t="s">
        <v>45</v>
      </c>
      <c r="J2242" t="s">
        <v>27</v>
      </c>
    </row>
    <row r="2243" spans="1:10">
      <c r="A2243" t="s">
        <v>3484</v>
      </c>
      <c r="B2243" t="s">
        <v>3485</v>
      </c>
      <c r="C2243" t="s">
        <v>290</v>
      </c>
      <c r="D2243" t="s">
        <v>440</v>
      </c>
      <c r="E2243">
        <v>-116408</v>
      </c>
      <c r="F2243" t="s">
        <v>23</v>
      </c>
      <c r="G2243" t="s">
        <v>24</v>
      </c>
      <c r="H2243" t="s">
        <v>33</v>
      </c>
      <c r="I2243" t="s">
        <v>39</v>
      </c>
      <c r="J2243" t="s">
        <v>48</v>
      </c>
    </row>
    <row r="2244" spans="1:10">
      <c r="A2244" t="s">
        <v>3486</v>
      </c>
      <c r="B2244" t="s">
        <v>2292</v>
      </c>
      <c r="C2244" t="s">
        <v>3487</v>
      </c>
      <c r="D2244" t="s">
        <v>136</v>
      </c>
      <c r="E2244">
        <v>-10334865</v>
      </c>
      <c r="F2244" t="s">
        <v>62</v>
      </c>
      <c r="G2244" t="s">
        <v>32</v>
      </c>
      <c r="H2244" t="s">
        <v>63</v>
      </c>
      <c r="I2244" t="s">
        <v>45</v>
      </c>
      <c r="J2244" t="s">
        <v>27</v>
      </c>
    </row>
    <row r="2245" spans="1:10">
      <c r="A2245" t="s">
        <v>3488</v>
      </c>
      <c r="B2245" t="s">
        <v>1748</v>
      </c>
      <c r="C2245" t="s">
        <v>2363</v>
      </c>
      <c r="D2245" t="s">
        <v>44</v>
      </c>
      <c r="E2245">
        <v>-94200</v>
      </c>
      <c r="F2245" t="s">
        <v>23</v>
      </c>
      <c r="G2245" t="s">
        <v>32</v>
      </c>
      <c r="H2245" t="s">
        <v>33</v>
      </c>
      <c r="I2245" t="s">
        <v>45</v>
      </c>
      <c r="J2245" t="s">
        <v>48</v>
      </c>
    </row>
    <row r="2246" spans="1:10">
      <c r="A2246" t="s">
        <v>3489</v>
      </c>
      <c r="B2246" t="s">
        <v>381</v>
      </c>
      <c r="C2246" t="s">
        <v>103</v>
      </c>
      <c r="D2246" t="s">
        <v>78</v>
      </c>
      <c r="E2246">
        <v>-89852</v>
      </c>
      <c r="F2246" t="s">
        <v>23</v>
      </c>
      <c r="G2246" t="s">
        <v>32</v>
      </c>
      <c r="H2246" t="s">
        <v>79</v>
      </c>
      <c r="I2246" t="s">
        <v>39</v>
      </c>
      <c r="J2246" t="s">
        <v>27</v>
      </c>
    </row>
    <row r="2247" spans="1:10">
      <c r="A2247" t="s">
        <v>3490</v>
      </c>
      <c r="B2247" t="s">
        <v>790</v>
      </c>
      <c r="C2247" t="s">
        <v>43</v>
      </c>
      <c r="D2247" t="s">
        <v>248</v>
      </c>
      <c r="E2247">
        <v>-97840</v>
      </c>
      <c r="F2247" t="s">
        <v>23</v>
      </c>
      <c r="G2247" t="s">
        <v>32</v>
      </c>
      <c r="H2247" t="s">
        <v>33</v>
      </c>
      <c r="I2247" t="s">
        <v>39</v>
      </c>
      <c r="J2247" t="s">
        <v>27</v>
      </c>
    </row>
    <row r="2248" spans="1:10">
      <c r="A2248" t="s">
        <v>3491</v>
      </c>
      <c r="B2248" t="s">
        <v>3454</v>
      </c>
      <c r="C2248" t="s">
        <v>215</v>
      </c>
      <c r="D2248" t="s">
        <v>61</v>
      </c>
      <c r="E2248">
        <v>-46426</v>
      </c>
      <c r="F2248" t="s">
        <v>62</v>
      </c>
      <c r="G2248" t="s">
        <v>32</v>
      </c>
      <c r="H2248" t="s">
        <v>63</v>
      </c>
      <c r="I2248" t="s">
        <v>26</v>
      </c>
      <c r="J2248" t="s">
        <v>27</v>
      </c>
    </row>
    <row r="2249" spans="1:10">
      <c r="A2249" t="s">
        <v>3492</v>
      </c>
      <c r="B2249" t="s">
        <v>29</v>
      </c>
      <c r="C2249" t="s">
        <v>37</v>
      </c>
      <c r="D2249" t="s">
        <v>38</v>
      </c>
      <c r="E2249">
        <v>-35262</v>
      </c>
      <c r="F2249" t="s">
        <v>23</v>
      </c>
      <c r="G2249" t="s">
        <v>24</v>
      </c>
      <c r="H2249" t="s">
        <v>33</v>
      </c>
      <c r="I2249" t="s">
        <v>26</v>
      </c>
      <c r="J2249" t="s">
        <v>34</v>
      </c>
    </row>
    <row r="2250" spans="1:10">
      <c r="A2250" t="s">
        <v>3493</v>
      </c>
      <c r="B2250" t="s">
        <v>1415</v>
      </c>
      <c r="C2250" t="s">
        <v>54</v>
      </c>
      <c r="D2250" t="s">
        <v>38</v>
      </c>
      <c r="E2250">
        <v>-31962</v>
      </c>
      <c r="F2250" t="s">
        <v>23</v>
      </c>
      <c r="G2250" t="s">
        <v>24</v>
      </c>
      <c r="H2250" t="s">
        <v>33</v>
      </c>
      <c r="I2250" t="s">
        <v>26</v>
      </c>
      <c r="J2250" t="s">
        <v>48</v>
      </c>
    </row>
    <row r="2251" spans="1:10">
      <c r="A2251" t="s">
        <v>3494</v>
      </c>
      <c r="B2251" t="s">
        <v>1516</v>
      </c>
      <c r="C2251" t="s">
        <v>166</v>
      </c>
      <c r="D2251" t="s">
        <v>31</v>
      </c>
      <c r="E2251">
        <v>-14727</v>
      </c>
      <c r="F2251" t="s">
        <v>23</v>
      </c>
      <c r="G2251" t="s">
        <v>32</v>
      </c>
      <c r="H2251" t="s">
        <v>33</v>
      </c>
      <c r="I2251" t="s">
        <v>45</v>
      </c>
      <c r="J2251" t="s">
        <v>34</v>
      </c>
    </row>
    <row r="2252" spans="1:10">
      <c r="A2252" t="s">
        <v>3495</v>
      </c>
      <c r="B2252" t="s">
        <v>1627</v>
      </c>
      <c r="C2252" t="s">
        <v>890</v>
      </c>
      <c r="E2252">
        <v>-159176</v>
      </c>
      <c r="F2252" t="s">
        <v>23</v>
      </c>
      <c r="G2252" t="s">
        <v>32</v>
      </c>
      <c r="H2252" t="s">
        <v>33</v>
      </c>
      <c r="I2252" t="s">
        <v>26</v>
      </c>
      <c r="J2252" t="s">
        <v>48</v>
      </c>
    </row>
    <row r="2253" spans="1:10">
      <c r="A2253" t="s">
        <v>3496</v>
      </c>
      <c r="B2253" t="s">
        <v>3497</v>
      </c>
      <c r="C2253" t="s">
        <v>106</v>
      </c>
      <c r="D2253" t="s">
        <v>31</v>
      </c>
      <c r="E2253">
        <v>-16458</v>
      </c>
      <c r="F2253" t="s">
        <v>23</v>
      </c>
      <c r="G2253" t="s">
        <v>24</v>
      </c>
      <c r="H2253" t="s">
        <v>33</v>
      </c>
      <c r="I2253" t="s">
        <v>39</v>
      </c>
      <c r="J2253" t="s">
        <v>40</v>
      </c>
    </row>
    <row r="2254" spans="1:10">
      <c r="A2254" t="s">
        <v>3498</v>
      </c>
      <c r="B2254" t="s">
        <v>580</v>
      </c>
      <c r="C2254" t="s">
        <v>305</v>
      </c>
      <c r="D2254" t="s">
        <v>38</v>
      </c>
      <c r="E2254">
        <v>-36827</v>
      </c>
      <c r="F2254" t="s">
        <v>23</v>
      </c>
      <c r="G2254" t="s">
        <v>32</v>
      </c>
      <c r="H2254" t="s">
        <v>33</v>
      </c>
      <c r="I2254" t="s">
        <v>26</v>
      </c>
      <c r="J2254" t="s">
        <v>34</v>
      </c>
    </row>
    <row r="2255" spans="1:10">
      <c r="A2255" t="s">
        <v>3499</v>
      </c>
      <c r="B2255" t="s">
        <v>2090</v>
      </c>
      <c r="C2255" t="s">
        <v>119</v>
      </c>
      <c r="D2255" t="s">
        <v>73</v>
      </c>
      <c r="E2255">
        <v>-75792</v>
      </c>
      <c r="F2255" t="s">
        <v>74</v>
      </c>
      <c r="G2255" t="s">
        <v>32</v>
      </c>
      <c r="H2255" t="s">
        <v>25</v>
      </c>
      <c r="I2255" t="s">
        <v>45</v>
      </c>
      <c r="J2255" t="s">
        <v>34</v>
      </c>
    </row>
    <row r="2256" spans="1:10">
      <c r="A2256" t="s">
        <v>3500</v>
      </c>
      <c r="B2256" t="s">
        <v>3501</v>
      </c>
      <c r="C2256" t="s">
        <v>161</v>
      </c>
      <c r="D2256" t="s">
        <v>320</v>
      </c>
      <c r="E2256">
        <v>-53376</v>
      </c>
      <c r="F2256" t="s">
        <v>23</v>
      </c>
      <c r="G2256" t="s">
        <v>24</v>
      </c>
      <c r="H2256" t="s">
        <v>25</v>
      </c>
      <c r="I2256" t="s">
        <v>45</v>
      </c>
      <c r="J2256" t="s">
        <v>27</v>
      </c>
    </row>
    <row r="2257" spans="1:10">
      <c r="A2257" t="s">
        <v>3502</v>
      </c>
      <c r="B2257" t="s">
        <v>3090</v>
      </c>
      <c r="C2257" t="s">
        <v>51</v>
      </c>
      <c r="D2257" t="s">
        <v>31</v>
      </c>
      <c r="E2257">
        <v>-22484</v>
      </c>
      <c r="F2257" t="s">
        <v>23</v>
      </c>
      <c r="G2257" t="s">
        <v>32</v>
      </c>
      <c r="H2257" t="s">
        <v>33</v>
      </c>
      <c r="I2257" t="s">
        <v>45</v>
      </c>
      <c r="J2257" t="s">
        <v>34</v>
      </c>
    </row>
    <row r="2258" spans="1:10">
      <c r="A2258" t="s">
        <v>3503</v>
      </c>
      <c r="B2258" t="s">
        <v>342</v>
      </c>
      <c r="C2258" t="s">
        <v>616</v>
      </c>
      <c r="D2258" t="s">
        <v>22</v>
      </c>
      <c r="E2258">
        <v>-180676</v>
      </c>
      <c r="F2258" t="s">
        <v>23</v>
      </c>
      <c r="G2258" t="s">
        <v>24</v>
      </c>
      <c r="H2258" t="s">
        <v>25</v>
      </c>
      <c r="I2258" t="s">
        <v>26</v>
      </c>
      <c r="J2258" t="s">
        <v>48</v>
      </c>
    </row>
    <row r="2259" spans="1:10">
      <c r="A2259" t="s">
        <v>3504</v>
      </c>
      <c r="B2259" t="s">
        <v>361</v>
      </c>
      <c r="C2259" t="s">
        <v>37</v>
      </c>
      <c r="D2259" t="s">
        <v>38</v>
      </c>
      <c r="E2259">
        <v>-23409</v>
      </c>
      <c r="F2259" t="s">
        <v>23</v>
      </c>
      <c r="G2259" t="s">
        <v>32</v>
      </c>
      <c r="H2259" t="s">
        <v>33</v>
      </c>
      <c r="I2259" t="s">
        <v>45</v>
      </c>
      <c r="J2259" t="s">
        <v>27</v>
      </c>
    </row>
    <row r="2260" spans="1:10">
      <c r="A2260" t="s">
        <v>3505</v>
      </c>
      <c r="B2260" t="s">
        <v>3506</v>
      </c>
      <c r="C2260" t="s">
        <v>687</v>
      </c>
      <c r="E2260">
        <v>-173039</v>
      </c>
      <c r="F2260" t="s">
        <v>23</v>
      </c>
      <c r="G2260" t="s">
        <v>24</v>
      </c>
      <c r="H2260" t="s">
        <v>33</v>
      </c>
      <c r="I2260" t="s">
        <v>39</v>
      </c>
      <c r="J2260" t="s">
        <v>27</v>
      </c>
    </row>
    <row r="2261" spans="1:10">
      <c r="A2261" t="s">
        <v>3507</v>
      </c>
      <c r="B2261" t="s">
        <v>3508</v>
      </c>
      <c r="C2261" t="s">
        <v>166</v>
      </c>
      <c r="D2261" t="s">
        <v>31</v>
      </c>
      <c r="E2261">
        <v>-16088</v>
      </c>
      <c r="F2261" t="s">
        <v>23</v>
      </c>
      <c r="G2261" t="s">
        <v>32</v>
      </c>
      <c r="H2261" t="s">
        <v>33</v>
      </c>
      <c r="I2261" t="s">
        <v>26</v>
      </c>
      <c r="J2261" t="s">
        <v>40</v>
      </c>
    </row>
    <row r="2262" spans="1:10">
      <c r="A2262" t="s">
        <v>3509</v>
      </c>
      <c r="B2262" t="s">
        <v>563</v>
      </c>
      <c r="C2262" t="s">
        <v>103</v>
      </c>
      <c r="D2262" t="s">
        <v>78</v>
      </c>
      <c r="E2262">
        <v>-60178</v>
      </c>
      <c r="F2262" t="s">
        <v>23</v>
      </c>
      <c r="G2262" t="s">
        <v>24</v>
      </c>
      <c r="H2262" t="s">
        <v>79</v>
      </c>
      <c r="I2262" t="s">
        <v>39</v>
      </c>
      <c r="J2262" t="s">
        <v>34</v>
      </c>
    </row>
    <row r="2263" spans="1:10">
      <c r="A2263" t="s">
        <v>3510</v>
      </c>
      <c r="B2263" t="s">
        <v>1409</v>
      </c>
      <c r="C2263" t="s">
        <v>156</v>
      </c>
      <c r="D2263" t="s">
        <v>157</v>
      </c>
      <c r="E2263">
        <v>544391</v>
      </c>
      <c r="F2263" t="s">
        <v>62</v>
      </c>
      <c r="G2263" t="s">
        <v>32</v>
      </c>
      <c r="H2263" t="s">
        <v>25</v>
      </c>
      <c r="I2263" t="s">
        <v>26</v>
      </c>
      <c r="J2263" t="s">
        <v>34</v>
      </c>
    </row>
    <row r="2264" spans="1:10">
      <c r="A2264" t="s">
        <v>3511</v>
      </c>
      <c r="B2264" t="s">
        <v>1577</v>
      </c>
      <c r="C2264" t="s">
        <v>802</v>
      </c>
      <c r="D2264" t="s">
        <v>440</v>
      </c>
      <c r="E2264">
        <v>-136394</v>
      </c>
      <c r="F2264" t="s">
        <v>23</v>
      </c>
      <c r="G2264" t="s">
        <v>32</v>
      </c>
      <c r="H2264" t="s">
        <v>33</v>
      </c>
      <c r="I2264" t="s">
        <v>26</v>
      </c>
      <c r="J2264" t="s">
        <v>48</v>
      </c>
    </row>
    <row r="2265" spans="1:10">
      <c r="A2265" t="s">
        <v>3512</v>
      </c>
      <c r="B2265" t="s">
        <v>793</v>
      </c>
      <c r="C2265" t="s">
        <v>66</v>
      </c>
      <c r="D2265" t="s">
        <v>61</v>
      </c>
      <c r="E2265">
        <v>-23629</v>
      </c>
      <c r="F2265" t="s">
        <v>62</v>
      </c>
      <c r="G2265" t="s">
        <v>32</v>
      </c>
      <c r="H2265" t="s">
        <v>63</v>
      </c>
      <c r="I2265" t="s">
        <v>39</v>
      </c>
      <c r="J2265" t="s">
        <v>34</v>
      </c>
    </row>
    <row r="2266" spans="1:10">
      <c r="A2266" t="s">
        <v>3513</v>
      </c>
      <c r="B2266" t="s">
        <v>1166</v>
      </c>
      <c r="C2266" t="s">
        <v>215</v>
      </c>
      <c r="D2266" t="s">
        <v>61</v>
      </c>
      <c r="E2266">
        <v>-14894</v>
      </c>
      <c r="F2266" t="s">
        <v>62</v>
      </c>
      <c r="G2266" t="s">
        <v>24</v>
      </c>
      <c r="H2266" t="s">
        <v>63</v>
      </c>
      <c r="I2266" t="s">
        <v>26</v>
      </c>
      <c r="J2266" t="s">
        <v>27</v>
      </c>
    </row>
    <row r="2267" spans="1:10">
      <c r="A2267" t="s">
        <v>3514</v>
      </c>
      <c r="B2267" t="s">
        <v>525</v>
      </c>
      <c r="C2267" t="s">
        <v>271</v>
      </c>
      <c r="D2267" t="s">
        <v>73</v>
      </c>
      <c r="E2267">
        <v>-59435</v>
      </c>
      <c r="F2267" t="s">
        <v>74</v>
      </c>
      <c r="G2267" t="s">
        <v>24</v>
      </c>
      <c r="H2267" t="s">
        <v>25</v>
      </c>
      <c r="I2267" t="s">
        <v>26</v>
      </c>
      <c r="J2267" t="s">
        <v>48</v>
      </c>
    </row>
    <row r="2268" spans="1:10">
      <c r="A2268" t="s">
        <v>3515</v>
      </c>
      <c r="B2268" t="s">
        <v>3516</v>
      </c>
      <c r="C2268" t="s">
        <v>3517</v>
      </c>
      <c r="D2268" t="s">
        <v>136</v>
      </c>
      <c r="E2268">
        <v>-10313912</v>
      </c>
      <c r="F2268" t="s">
        <v>62</v>
      </c>
      <c r="G2268" t="s">
        <v>32</v>
      </c>
      <c r="H2268" t="s">
        <v>63</v>
      </c>
      <c r="I2268" t="s">
        <v>26</v>
      </c>
      <c r="J2268" t="s">
        <v>34</v>
      </c>
    </row>
    <row r="2269" spans="1:10">
      <c r="A2269" t="s">
        <v>3518</v>
      </c>
      <c r="B2269" t="s">
        <v>2911</v>
      </c>
      <c r="C2269" t="s">
        <v>271</v>
      </c>
      <c r="D2269" t="s">
        <v>73</v>
      </c>
      <c r="E2269">
        <v>-55731</v>
      </c>
      <c r="F2269" t="s">
        <v>74</v>
      </c>
      <c r="G2269" t="s">
        <v>32</v>
      </c>
      <c r="H2269" t="s">
        <v>25</v>
      </c>
      <c r="I2269" t="s">
        <v>45</v>
      </c>
      <c r="J2269" t="s">
        <v>48</v>
      </c>
    </row>
    <row r="2270" spans="1:10">
      <c r="A2270" t="s">
        <v>3519</v>
      </c>
      <c r="B2270" t="s">
        <v>1128</v>
      </c>
      <c r="C2270" t="s">
        <v>935</v>
      </c>
      <c r="D2270" t="s">
        <v>22</v>
      </c>
      <c r="E2270">
        <v>-161291</v>
      </c>
      <c r="F2270" t="s">
        <v>23</v>
      </c>
      <c r="G2270" t="s">
        <v>32</v>
      </c>
      <c r="H2270" t="s">
        <v>25</v>
      </c>
      <c r="I2270" t="s">
        <v>26</v>
      </c>
      <c r="J2270" t="s">
        <v>48</v>
      </c>
    </row>
    <row r="2271" spans="1:10">
      <c r="A2271" t="s">
        <v>3520</v>
      </c>
      <c r="B2271" t="s">
        <v>2517</v>
      </c>
      <c r="C2271" t="s">
        <v>802</v>
      </c>
      <c r="D2271" t="s">
        <v>440</v>
      </c>
      <c r="E2271">
        <v>-144117</v>
      </c>
      <c r="F2271" t="s">
        <v>23</v>
      </c>
      <c r="G2271" t="s">
        <v>32</v>
      </c>
      <c r="H2271" t="s">
        <v>33</v>
      </c>
      <c r="I2271" t="s">
        <v>26</v>
      </c>
      <c r="J2271" t="s">
        <v>34</v>
      </c>
    </row>
    <row r="2272" spans="1:10">
      <c r="A2272" t="s">
        <v>3521</v>
      </c>
      <c r="B2272" t="s">
        <v>2955</v>
      </c>
      <c r="C2272" t="s">
        <v>177</v>
      </c>
      <c r="E2272">
        <v>-32956</v>
      </c>
      <c r="F2272" t="s">
        <v>23</v>
      </c>
      <c r="G2272" t="s">
        <v>32</v>
      </c>
      <c r="H2272" t="s">
        <v>79</v>
      </c>
      <c r="I2272" t="s">
        <v>39</v>
      </c>
      <c r="J2272" t="s">
        <v>34</v>
      </c>
    </row>
    <row r="2273" spans="1:10">
      <c r="A2273" t="s">
        <v>3522</v>
      </c>
      <c r="B2273" t="s">
        <v>1084</v>
      </c>
      <c r="C2273" t="s">
        <v>66</v>
      </c>
      <c r="D2273" t="s">
        <v>61</v>
      </c>
      <c r="E2273">
        <v>-21606</v>
      </c>
      <c r="F2273" t="s">
        <v>62</v>
      </c>
      <c r="G2273" t="s">
        <v>24</v>
      </c>
      <c r="H2273" t="s">
        <v>63</v>
      </c>
      <c r="I2273" t="s">
        <v>45</v>
      </c>
      <c r="J2273" t="s">
        <v>40</v>
      </c>
    </row>
    <row r="2274" spans="1:10">
      <c r="A2274" t="s">
        <v>3523</v>
      </c>
      <c r="B2274" t="s">
        <v>3524</v>
      </c>
      <c r="C2274" t="s">
        <v>69</v>
      </c>
      <c r="D2274" t="s">
        <v>38</v>
      </c>
      <c r="E2274">
        <v>-38630</v>
      </c>
      <c r="F2274" t="s">
        <v>23</v>
      </c>
      <c r="G2274" t="s">
        <v>24</v>
      </c>
      <c r="H2274" t="s">
        <v>33</v>
      </c>
      <c r="I2274" t="s">
        <v>26</v>
      </c>
      <c r="J2274" t="s">
        <v>34</v>
      </c>
    </row>
    <row r="2275" spans="1:10">
      <c r="A2275" t="s">
        <v>3525</v>
      </c>
      <c r="B2275" t="s">
        <v>961</v>
      </c>
      <c r="C2275" t="s">
        <v>215</v>
      </c>
      <c r="D2275" t="s">
        <v>61</v>
      </c>
      <c r="E2275">
        <v>-30541</v>
      </c>
      <c r="F2275" t="s">
        <v>62</v>
      </c>
      <c r="G2275" t="s">
        <v>24</v>
      </c>
      <c r="H2275" t="s">
        <v>63</v>
      </c>
      <c r="I2275" t="s">
        <v>26</v>
      </c>
      <c r="J2275" t="s">
        <v>27</v>
      </c>
    </row>
    <row r="2276" spans="1:10">
      <c r="A2276" t="s">
        <v>3526</v>
      </c>
      <c r="B2276" t="s">
        <v>957</v>
      </c>
      <c r="C2276" t="s">
        <v>51</v>
      </c>
      <c r="D2276" t="s">
        <v>31</v>
      </c>
      <c r="E2276">
        <v>-27142</v>
      </c>
      <c r="F2276" t="s">
        <v>23</v>
      </c>
      <c r="G2276" t="s">
        <v>24</v>
      </c>
      <c r="H2276" t="s">
        <v>33</v>
      </c>
      <c r="I2276" t="s">
        <v>26</v>
      </c>
      <c r="J2276" t="s">
        <v>27</v>
      </c>
    </row>
    <row r="2277" spans="1:10">
      <c r="A2277" t="s">
        <v>3527</v>
      </c>
      <c r="B2277" t="s">
        <v>217</v>
      </c>
      <c r="C2277" t="s">
        <v>345</v>
      </c>
      <c r="D2277" t="s">
        <v>22</v>
      </c>
      <c r="E2277">
        <v>-55182</v>
      </c>
      <c r="F2277" t="s">
        <v>23</v>
      </c>
      <c r="G2277" t="s">
        <v>32</v>
      </c>
      <c r="H2277" t="s">
        <v>25</v>
      </c>
      <c r="I2277" t="s">
        <v>45</v>
      </c>
      <c r="J2277" t="s">
        <v>27</v>
      </c>
    </row>
    <row r="2278" spans="1:10">
      <c r="A2278" t="s">
        <v>3528</v>
      </c>
      <c r="B2278" t="s">
        <v>1630</v>
      </c>
      <c r="C2278" t="s">
        <v>93</v>
      </c>
      <c r="D2278" t="s">
        <v>73</v>
      </c>
      <c r="E2278">
        <v>-30089</v>
      </c>
      <c r="F2278" t="s">
        <v>74</v>
      </c>
      <c r="G2278" t="s">
        <v>24</v>
      </c>
      <c r="H2278" t="s">
        <v>25</v>
      </c>
      <c r="I2278" t="s">
        <v>45</v>
      </c>
      <c r="J2278" t="s">
        <v>34</v>
      </c>
    </row>
    <row r="2279" spans="1:10">
      <c r="A2279" t="s">
        <v>3529</v>
      </c>
      <c r="B2279" t="s">
        <v>2436</v>
      </c>
      <c r="C2279" t="s">
        <v>283</v>
      </c>
      <c r="D2279" t="s">
        <v>248</v>
      </c>
      <c r="E2279">
        <v>-111768</v>
      </c>
      <c r="F2279" t="s">
        <v>23</v>
      </c>
      <c r="G2279" t="s">
        <v>24</v>
      </c>
      <c r="H2279" t="s">
        <v>33</v>
      </c>
      <c r="I2279" t="s">
        <v>39</v>
      </c>
      <c r="J2279" t="s">
        <v>40</v>
      </c>
    </row>
    <row r="2280" spans="1:10">
      <c r="A2280" t="s">
        <v>3530</v>
      </c>
      <c r="B2280" t="s">
        <v>3340</v>
      </c>
      <c r="C2280" t="s">
        <v>69</v>
      </c>
      <c r="D2280" t="s">
        <v>38</v>
      </c>
      <c r="E2280">
        <v>-47254</v>
      </c>
      <c r="F2280" t="s">
        <v>23</v>
      </c>
      <c r="G2280" t="s">
        <v>32</v>
      </c>
      <c r="H2280" t="s">
        <v>33</v>
      </c>
      <c r="I2280" t="s">
        <v>45</v>
      </c>
      <c r="J2280" t="s">
        <v>27</v>
      </c>
    </row>
    <row r="2281" spans="1:10">
      <c r="A2281" t="s">
        <v>3531</v>
      </c>
      <c r="B2281" t="s">
        <v>1176</v>
      </c>
      <c r="C2281" t="s">
        <v>72</v>
      </c>
      <c r="D2281" t="s">
        <v>302</v>
      </c>
      <c r="E2281">
        <v>-34976</v>
      </c>
      <c r="F2281" t="s">
        <v>74</v>
      </c>
      <c r="G2281" t="s">
        <v>32</v>
      </c>
      <c r="H2281" t="s">
        <v>25</v>
      </c>
      <c r="I2281" t="s">
        <v>45</v>
      </c>
      <c r="J2281" t="s">
        <v>34</v>
      </c>
    </row>
    <row r="2282" spans="1:10">
      <c r="A2282" t="s">
        <v>3532</v>
      </c>
      <c r="B2282" t="s">
        <v>3533</v>
      </c>
      <c r="C2282" t="s">
        <v>3534</v>
      </c>
      <c r="D2282" t="s">
        <v>136</v>
      </c>
      <c r="E2282">
        <v>-10364967</v>
      </c>
      <c r="F2282" t="s">
        <v>62</v>
      </c>
      <c r="G2282" t="s">
        <v>32</v>
      </c>
      <c r="H2282" t="s">
        <v>63</v>
      </c>
      <c r="I2282" t="s">
        <v>45</v>
      </c>
      <c r="J2282" t="s">
        <v>27</v>
      </c>
    </row>
    <row r="2283" spans="1:10">
      <c r="A2283" t="s">
        <v>3535</v>
      </c>
      <c r="B2283" t="s">
        <v>234</v>
      </c>
      <c r="C2283" t="s">
        <v>30</v>
      </c>
      <c r="D2283" t="s">
        <v>31</v>
      </c>
      <c r="E2283">
        <v>-18778</v>
      </c>
      <c r="F2283" t="s">
        <v>23</v>
      </c>
      <c r="G2283" t="s">
        <v>32</v>
      </c>
      <c r="H2283" t="s">
        <v>33</v>
      </c>
      <c r="I2283" t="s">
        <v>45</v>
      </c>
      <c r="J2283" t="s">
        <v>40</v>
      </c>
    </row>
    <row r="2284" spans="1:10">
      <c r="A2284" t="s">
        <v>3536</v>
      </c>
      <c r="B2284" t="s">
        <v>1895</v>
      </c>
      <c r="C2284" t="s">
        <v>30</v>
      </c>
      <c r="D2284" t="s">
        <v>31</v>
      </c>
      <c r="E2284">
        <v>-15837</v>
      </c>
      <c r="F2284" t="s">
        <v>23</v>
      </c>
      <c r="G2284" t="s">
        <v>32</v>
      </c>
      <c r="H2284" t="s">
        <v>33</v>
      </c>
      <c r="I2284" t="s">
        <v>45</v>
      </c>
      <c r="J2284" t="s">
        <v>40</v>
      </c>
    </row>
    <row r="2285" spans="1:10">
      <c r="A2285" t="s">
        <v>3537</v>
      </c>
      <c r="B2285" t="s">
        <v>2519</v>
      </c>
      <c r="C2285" t="s">
        <v>66</v>
      </c>
      <c r="D2285" t="s">
        <v>61</v>
      </c>
      <c r="E2285">
        <v>-17037</v>
      </c>
      <c r="F2285" t="s">
        <v>62</v>
      </c>
      <c r="G2285" t="s">
        <v>24</v>
      </c>
      <c r="H2285" t="s">
        <v>63</v>
      </c>
      <c r="I2285" t="s">
        <v>26</v>
      </c>
      <c r="J2285" t="s">
        <v>27</v>
      </c>
    </row>
    <row r="2286" spans="1:10">
      <c r="A2286" t="s">
        <v>3538</v>
      </c>
      <c r="B2286" t="s">
        <v>3539</v>
      </c>
      <c r="C2286" t="s">
        <v>77</v>
      </c>
      <c r="D2286" t="s">
        <v>78</v>
      </c>
      <c r="E2286">
        <v>-97969</v>
      </c>
      <c r="F2286" t="s">
        <v>23</v>
      </c>
      <c r="G2286" t="s">
        <v>32</v>
      </c>
      <c r="H2286" t="s">
        <v>79</v>
      </c>
      <c r="I2286" t="s">
        <v>45</v>
      </c>
      <c r="J2286" t="s">
        <v>48</v>
      </c>
    </row>
    <row r="2287" spans="1:10">
      <c r="A2287" t="s">
        <v>3540</v>
      </c>
      <c r="B2287" t="s">
        <v>1257</v>
      </c>
      <c r="C2287" t="s">
        <v>166</v>
      </c>
      <c r="D2287" t="s">
        <v>31</v>
      </c>
      <c r="E2287">
        <v>-40763</v>
      </c>
      <c r="F2287" t="s">
        <v>23</v>
      </c>
      <c r="G2287" t="s">
        <v>32</v>
      </c>
      <c r="H2287" t="s">
        <v>33</v>
      </c>
      <c r="I2287" t="s">
        <v>26</v>
      </c>
      <c r="J2287" t="s">
        <v>34</v>
      </c>
    </row>
    <row r="2288" spans="1:10">
      <c r="A2288" t="s">
        <v>3541</v>
      </c>
      <c r="B2288" t="s">
        <v>3542</v>
      </c>
      <c r="C2288" t="s">
        <v>202</v>
      </c>
      <c r="D2288" t="s">
        <v>22</v>
      </c>
      <c r="E2288">
        <v>-84838</v>
      </c>
      <c r="F2288" t="s">
        <v>23</v>
      </c>
      <c r="G2288" t="s">
        <v>24</v>
      </c>
      <c r="H2288" t="s">
        <v>25</v>
      </c>
      <c r="I2288" t="s">
        <v>45</v>
      </c>
      <c r="J2288" t="s">
        <v>34</v>
      </c>
    </row>
    <row r="2289" spans="1:10">
      <c r="A2289" t="s">
        <v>3543</v>
      </c>
      <c r="B2289" t="s">
        <v>2474</v>
      </c>
      <c r="C2289" t="s">
        <v>93</v>
      </c>
      <c r="D2289" t="s">
        <v>73</v>
      </c>
      <c r="E2289">
        <v>-10021</v>
      </c>
      <c r="F2289" t="s">
        <v>74</v>
      </c>
      <c r="G2289" t="s">
        <v>32</v>
      </c>
      <c r="H2289" t="s">
        <v>25</v>
      </c>
      <c r="I2289" t="s">
        <v>39</v>
      </c>
      <c r="J2289" t="s">
        <v>40</v>
      </c>
    </row>
    <row r="2290" spans="1:10">
      <c r="A2290" t="s">
        <v>3544</v>
      </c>
      <c r="B2290" t="s">
        <v>613</v>
      </c>
      <c r="C2290" t="s">
        <v>283</v>
      </c>
      <c r="D2290" t="s">
        <v>44</v>
      </c>
      <c r="E2290">
        <v>-63336</v>
      </c>
      <c r="F2290" t="s">
        <v>23</v>
      </c>
      <c r="G2290" t="s">
        <v>24</v>
      </c>
      <c r="H2290" t="s">
        <v>33</v>
      </c>
      <c r="I2290" t="s">
        <v>26</v>
      </c>
      <c r="J2290" t="s">
        <v>34</v>
      </c>
    </row>
    <row r="2291" spans="1:10">
      <c r="A2291" t="s">
        <v>3545</v>
      </c>
      <c r="B2291" t="s">
        <v>693</v>
      </c>
      <c r="C2291" t="s">
        <v>180</v>
      </c>
      <c r="D2291" t="s">
        <v>44</v>
      </c>
      <c r="E2291">
        <v>-93622</v>
      </c>
      <c r="F2291" t="s">
        <v>23</v>
      </c>
      <c r="G2291" t="s">
        <v>32</v>
      </c>
      <c r="H2291" t="s">
        <v>33</v>
      </c>
      <c r="I2291" t="s">
        <v>45</v>
      </c>
      <c r="J2291" t="s">
        <v>27</v>
      </c>
    </row>
    <row r="2292" spans="1:10">
      <c r="A2292" t="s">
        <v>3546</v>
      </c>
      <c r="B2292" t="s">
        <v>3547</v>
      </c>
      <c r="C2292" t="s">
        <v>1964</v>
      </c>
      <c r="D2292" t="s">
        <v>31</v>
      </c>
      <c r="E2292">
        <v>-43770</v>
      </c>
      <c r="F2292" t="s">
        <v>23</v>
      </c>
      <c r="G2292" t="s">
        <v>32</v>
      </c>
      <c r="H2292" t="s">
        <v>33</v>
      </c>
      <c r="I2292" t="s">
        <v>26</v>
      </c>
      <c r="J2292" t="s">
        <v>27</v>
      </c>
    </row>
    <row r="2293" spans="1:10">
      <c r="A2293" t="s">
        <v>3548</v>
      </c>
      <c r="B2293" t="s">
        <v>3549</v>
      </c>
      <c r="C2293" t="s">
        <v>266</v>
      </c>
      <c r="D2293" t="s">
        <v>73</v>
      </c>
      <c r="E2293">
        <v>-17749</v>
      </c>
      <c r="F2293" t="s">
        <v>74</v>
      </c>
      <c r="G2293" t="s">
        <v>32</v>
      </c>
      <c r="H2293" t="s">
        <v>25</v>
      </c>
      <c r="I2293" t="s">
        <v>39</v>
      </c>
      <c r="J2293" t="s">
        <v>48</v>
      </c>
    </row>
    <row r="2294" spans="1:10">
      <c r="A2294" t="s">
        <v>3550</v>
      </c>
      <c r="B2294" t="s">
        <v>668</v>
      </c>
      <c r="C2294" t="s">
        <v>255</v>
      </c>
      <c r="D2294" t="s">
        <v>22</v>
      </c>
      <c r="E2294">
        <v>-187642</v>
      </c>
      <c r="F2294" t="s">
        <v>23</v>
      </c>
      <c r="G2294" t="s">
        <v>32</v>
      </c>
      <c r="H2294" t="s">
        <v>25</v>
      </c>
      <c r="I2294" t="s">
        <v>45</v>
      </c>
      <c r="J2294" t="s">
        <v>40</v>
      </c>
    </row>
    <row r="2295" spans="1:10">
      <c r="A2295" t="s">
        <v>3551</v>
      </c>
      <c r="B2295" t="s">
        <v>3552</v>
      </c>
      <c r="C2295" t="s">
        <v>984</v>
      </c>
      <c r="E2295">
        <v>-73234</v>
      </c>
      <c r="F2295" t="s">
        <v>74</v>
      </c>
      <c r="G2295" t="s">
        <v>32</v>
      </c>
      <c r="H2295" t="s">
        <v>25</v>
      </c>
      <c r="I2295" t="s">
        <v>26</v>
      </c>
      <c r="J2295" t="s">
        <v>27</v>
      </c>
    </row>
    <row r="2296" spans="1:10">
      <c r="A2296" t="s">
        <v>3553</v>
      </c>
      <c r="B2296" t="s">
        <v>2906</v>
      </c>
      <c r="C2296" t="s">
        <v>30</v>
      </c>
      <c r="D2296" t="s">
        <v>31</v>
      </c>
      <c r="E2296">
        <v>-15784</v>
      </c>
      <c r="F2296" t="s">
        <v>23</v>
      </c>
      <c r="G2296" t="s">
        <v>24</v>
      </c>
      <c r="H2296" t="s">
        <v>33</v>
      </c>
      <c r="I2296" t="s">
        <v>26</v>
      </c>
      <c r="J2296" t="s">
        <v>40</v>
      </c>
    </row>
    <row r="2297" spans="1:10">
      <c r="A2297" t="s">
        <v>3554</v>
      </c>
      <c r="B2297" t="s">
        <v>998</v>
      </c>
      <c r="C2297" t="s">
        <v>51</v>
      </c>
      <c r="D2297" t="s">
        <v>31</v>
      </c>
      <c r="E2297">
        <v>-24652</v>
      </c>
      <c r="F2297" t="s">
        <v>23</v>
      </c>
      <c r="G2297" t="s">
        <v>32</v>
      </c>
      <c r="H2297" t="s">
        <v>33</v>
      </c>
      <c r="I2297" t="s">
        <v>39</v>
      </c>
      <c r="J2297" t="s">
        <v>40</v>
      </c>
    </row>
    <row r="2298" spans="1:10">
      <c r="A2298" t="s">
        <v>3555</v>
      </c>
      <c r="B2298" t="s">
        <v>3358</v>
      </c>
      <c r="C2298" t="s">
        <v>156</v>
      </c>
      <c r="D2298" t="s">
        <v>157</v>
      </c>
      <c r="E2298">
        <v>655312</v>
      </c>
      <c r="F2298" t="s">
        <v>62</v>
      </c>
      <c r="G2298" t="s">
        <v>32</v>
      </c>
      <c r="H2298" t="s">
        <v>25</v>
      </c>
      <c r="I2298" t="s">
        <v>39</v>
      </c>
      <c r="J2298" t="s">
        <v>34</v>
      </c>
    </row>
    <row r="2299" spans="1:10">
      <c r="A2299" t="s">
        <v>3556</v>
      </c>
      <c r="B2299" t="s">
        <v>3557</v>
      </c>
      <c r="C2299" t="s">
        <v>2325</v>
      </c>
      <c r="D2299" t="s">
        <v>38</v>
      </c>
      <c r="E2299">
        <v>-43633</v>
      </c>
      <c r="F2299" t="s">
        <v>23</v>
      </c>
      <c r="G2299" t="s">
        <v>32</v>
      </c>
      <c r="H2299" t="s">
        <v>33</v>
      </c>
      <c r="I2299" t="s">
        <v>26</v>
      </c>
      <c r="J2299" t="s">
        <v>48</v>
      </c>
    </row>
    <row r="2300" spans="1:10">
      <c r="A2300" t="s">
        <v>3558</v>
      </c>
      <c r="B2300" t="s">
        <v>3559</v>
      </c>
      <c r="C2300" t="s">
        <v>533</v>
      </c>
      <c r="D2300" t="s">
        <v>61</v>
      </c>
      <c r="E2300">
        <v>-58616</v>
      </c>
      <c r="F2300" t="s">
        <v>62</v>
      </c>
      <c r="G2300" t="s">
        <v>32</v>
      </c>
      <c r="H2300" t="s">
        <v>63</v>
      </c>
      <c r="I2300" t="s">
        <v>45</v>
      </c>
      <c r="J2300" t="s">
        <v>40</v>
      </c>
    </row>
    <row r="2301" spans="1:10">
      <c r="A2301" t="s">
        <v>3560</v>
      </c>
      <c r="B2301" t="s">
        <v>1372</v>
      </c>
      <c r="C2301" t="s">
        <v>533</v>
      </c>
      <c r="D2301" t="s">
        <v>61</v>
      </c>
      <c r="E2301">
        <v>-53519</v>
      </c>
      <c r="F2301" t="s">
        <v>62</v>
      </c>
      <c r="G2301" t="s">
        <v>32</v>
      </c>
      <c r="H2301" t="s">
        <v>63</v>
      </c>
      <c r="I2301" t="s">
        <v>45</v>
      </c>
      <c r="J2301" t="s">
        <v>34</v>
      </c>
    </row>
    <row r="2302" spans="1:10">
      <c r="A2302" t="s">
        <v>3561</v>
      </c>
      <c r="B2302" t="s">
        <v>2624</v>
      </c>
      <c r="C2302" t="s">
        <v>339</v>
      </c>
      <c r="D2302" t="s">
        <v>157</v>
      </c>
      <c r="E2302">
        <v>562643</v>
      </c>
      <c r="F2302" t="s">
        <v>62</v>
      </c>
      <c r="G2302" t="s">
        <v>32</v>
      </c>
      <c r="H2302" t="s">
        <v>25</v>
      </c>
      <c r="I2302" t="s">
        <v>26</v>
      </c>
      <c r="J2302" t="s">
        <v>48</v>
      </c>
    </row>
    <row r="2303" spans="1:10">
      <c r="A2303" t="s">
        <v>3562</v>
      </c>
      <c r="B2303" t="s">
        <v>3142</v>
      </c>
      <c r="C2303" t="s">
        <v>37</v>
      </c>
      <c r="D2303" t="s">
        <v>38</v>
      </c>
      <c r="E2303">
        <v>-51633</v>
      </c>
      <c r="F2303" t="s">
        <v>23</v>
      </c>
      <c r="G2303" t="s">
        <v>24</v>
      </c>
      <c r="H2303" t="s">
        <v>33</v>
      </c>
      <c r="I2303" t="s">
        <v>45</v>
      </c>
      <c r="J2303" t="s">
        <v>27</v>
      </c>
    </row>
    <row r="2304" spans="1:10">
      <c r="A2304" t="s">
        <v>3563</v>
      </c>
      <c r="B2304" t="s">
        <v>3564</v>
      </c>
      <c r="C2304" t="s">
        <v>103</v>
      </c>
      <c r="D2304" t="s">
        <v>371</v>
      </c>
      <c r="E2304">
        <v>-112552</v>
      </c>
      <c r="F2304" t="s">
        <v>23</v>
      </c>
      <c r="G2304" t="s">
        <v>32</v>
      </c>
      <c r="H2304" t="s">
        <v>79</v>
      </c>
      <c r="I2304" t="s">
        <v>45</v>
      </c>
      <c r="J2304" t="s">
        <v>27</v>
      </c>
    </row>
    <row r="2305" spans="1:10">
      <c r="A2305" t="s">
        <v>3565</v>
      </c>
      <c r="B2305" t="s">
        <v>3566</v>
      </c>
      <c r="C2305" t="s">
        <v>161</v>
      </c>
      <c r="D2305" t="s">
        <v>22</v>
      </c>
      <c r="E2305">
        <v>-50774</v>
      </c>
      <c r="F2305" t="s">
        <v>23</v>
      </c>
      <c r="G2305" t="s">
        <v>24</v>
      </c>
      <c r="H2305" t="s">
        <v>25</v>
      </c>
      <c r="I2305" t="s">
        <v>45</v>
      </c>
      <c r="J2305" t="s">
        <v>27</v>
      </c>
    </row>
    <row r="2306" spans="1:10">
      <c r="A2306" t="s">
        <v>3567</v>
      </c>
      <c r="B2306" t="s">
        <v>1409</v>
      </c>
      <c r="C2306" t="s">
        <v>100</v>
      </c>
      <c r="D2306" t="s">
        <v>31</v>
      </c>
      <c r="E2306">
        <v>-13049</v>
      </c>
      <c r="F2306" t="s">
        <v>23</v>
      </c>
      <c r="G2306" t="s">
        <v>24</v>
      </c>
      <c r="H2306" t="s">
        <v>33</v>
      </c>
      <c r="I2306" t="s">
        <v>26</v>
      </c>
      <c r="J2306" t="s">
        <v>34</v>
      </c>
    </row>
    <row r="2307" spans="1:10">
      <c r="A2307" t="s">
        <v>3568</v>
      </c>
      <c r="B2307" t="s">
        <v>1207</v>
      </c>
      <c r="C2307" t="s">
        <v>1534</v>
      </c>
      <c r="D2307" t="s">
        <v>73</v>
      </c>
      <c r="E2307">
        <v>-73377</v>
      </c>
      <c r="F2307" t="s">
        <v>74</v>
      </c>
      <c r="G2307" t="s">
        <v>32</v>
      </c>
      <c r="H2307" t="s">
        <v>25</v>
      </c>
      <c r="I2307" t="s">
        <v>45</v>
      </c>
      <c r="J2307" t="s">
        <v>48</v>
      </c>
    </row>
    <row r="2308" spans="1:10">
      <c r="A2308" t="s">
        <v>3569</v>
      </c>
      <c r="B2308" t="s">
        <v>1560</v>
      </c>
      <c r="C2308" t="s">
        <v>66</v>
      </c>
      <c r="D2308" t="s">
        <v>61</v>
      </c>
      <c r="E2308">
        <v>-59364</v>
      </c>
      <c r="F2308" t="s">
        <v>62</v>
      </c>
      <c r="G2308" t="s">
        <v>24</v>
      </c>
      <c r="H2308" t="s">
        <v>63</v>
      </c>
      <c r="I2308" t="s">
        <v>39</v>
      </c>
      <c r="J2308" t="s">
        <v>48</v>
      </c>
    </row>
    <row r="2309" spans="1:10">
      <c r="A2309" t="s">
        <v>3570</v>
      </c>
      <c r="B2309" t="s">
        <v>1893</v>
      </c>
      <c r="C2309" t="s">
        <v>106</v>
      </c>
      <c r="D2309" t="s">
        <v>31</v>
      </c>
      <c r="E2309">
        <v>-7002</v>
      </c>
      <c r="F2309" t="s">
        <v>23</v>
      </c>
      <c r="G2309" t="s">
        <v>32</v>
      </c>
      <c r="H2309" t="s">
        <v>33</v>
      </c>
      <c r="I2309" t="s">
        <v>26</v>
      </c>
      <c r="J2309" t="s">
        <v>27</v>
      </c>
    </row>
    <row r="2310" spans="1:10">
      <c r="A2310" t="s">
        <v>3571</v>
      </c>
      <c r="B2310" t="s">
        <v>3572</v>
      </c>
      <c r="C2310" t="s">
        <v>533</v>
      </c>
      <c r="D2310" t="s">
        <v>61</v>
      </c>
      <c r="E2310">
        <v>-56959</v>
      </c>
      <c r="F2310" t="s">
        <v>62</v>
      </c>
      <c r="G2310" t="s">
        <v>32</v>
      </c>
      <c r="H2310" t="s">
        <v>63</v>
      </c>
      <c r="I2310" t="s">
        <v>39</v>
      </c>
      <c r="J2310" t="s">
        <v>40</v>
      </c>
    </row>
    <row r="2311" spans="1:10">
      <c r="A2311" t="s">
        <v>3573</v>
      </c>
      <c r="B2311" t="s">
        <v>1293</v>
      </c>
      <c r="C2311" t="s">
        <v>60</v>
      </c>
      <c r="D2311" t="s">
        <v>61</v>
      </c>
      <c r="E2311">
        <v>-48067</v>
      </c>
      <c r="F2311" t="s">
        <v>62</v>
      </c>
      <c r="G2311" t="s">
        <v>24</v>
      </c>
      <c r="H2311" t="s">
        <v>63</v>
      </c>
      <c r="I2311" t="s">
        <v>26</v>
      </c>
      <c r="J2311" t="s">
        <v>40</v>
      </c>
    </row>
    <row r="2312" spans="1:10">
      <c r="A2312" t="s">
        <v>3574</v>
      </c>
      <c r="B2312" t="s">
        <v>3575</v>
      </c>
      <c r="C2312" t="s">
        <v>345</v>
      </c>
      <c r="D2312" t="s">
        <v>22</v>
      </c>
      <c r="E2312">
        <v>-49907</v>
      </c>
      <c r="F2312" t="s">
        <v>23</v>
      </c>
      <c r="G2312" t="s">
        <v>32</v>
      </c>
      <c r="H2312" t="s">
        <v>25</v>
      </c>
      <c r="I2312" t="s">
        <v>45</v>
      </c>
      <c r="J2312" t="s">
        <v>34</v>
      </c>
    </row>
    <row r="2313" spans="1:10">
      <c r="A2313" t="s">
        <v>3576</v>
      </c>
      <c r="B2313" t="s">
        <v>2935</v>
      </c>
      <c r="C2313" t="s">
        <v>339</v>
      </c>
      <c r="D2313" t="s">
        <v>157</v>
      </c>
      <c r="E2313">
        <v>735483</v>
      </c>
      <c r="F2313" t="s">
        <v>62</v>
      </c>
      <c r="G2313" t="s">
        <v>32</v>
      </c>
      <c r="H2313" t="s">
        <v>25</v>
      </c>
      <c r="I2313" t="s">
        <v>39</v>
      </c>
      <c r="J2313" t="s">
        <v>48</v>
      </c>
    </row>
    <row r="2314" spans="1:10">
      <c r="A2314" t="s">
        <v>3577</v>
      </c>
      <c r="B2314" t="s">
        <v>1260</v>
      </c>
      <c r="C2314" t="s">
        <v>51</v>
      </c>
      <c r="D2314" t="s">
        <v>31</v>
      </c>
      <c r="E2314">
        <v>-11662</v>
      </c>
      <c r="F2314" t="s">
        <v>23</v>
      </c>
      <c r="G2314" t="s">
        <v>24</v>
      </c>
      <c r="H2314" t="s">
        <v>33</v>
      </c>
      <c r="I2314" t="s">
        <v>26</v>
      </c>
      <c r="J2314" t="s">
        <v>27</v>
      </c>
    </row>
    <row r="2315" spans="1:10">
      <c r="A2315" t="s">
        <v>3578</v>
      </c>
      <c r="B2315" t="s">
        <v>782</v>
      </c>
      <c r="C2315" t="s">
        <v>215</v>
      </c>
      <c r="D2315" t="s">
        <v>61</v>
      </c>
      <c r="E2315">
        <v>-50621</v>
      </c>
      <c r="F2315" t="s">
        <v>62</v>
      </c>
      <c r="G2315" t="s">
        <v>24</v>
      </c>
      <c r="H2315" t="s">
        <v>63</v>
      </c>
      <c r="I2315" t="s">
        <v>39</v>
      </c>
      <c r="J2315" t="s">
        <v>34</v>
      </c>
    </row>
    <row r="2316" spans="1:10">
      <c r="A2316" t="s">
        <v>3579</v>
      </c>
      <c r="B2316" t="s">
        <v>1773</v>
      </c>
      <c r="C2316" t="s">
        <v>132</v>
      </c>
      <c r="D2316" t="s">
        <v>73</v>
      </c>
      <c r="E2316">
        <v>-41853</v>
      </c>
      <c r="F2316" t="s">
        <v>74</v>
      </c>
      <c r="G2316" t="s">
        <v>32</v>
      </c>
      <c r="H2316" t="s">
        <v>25</v>
      </c>
      <c r="I2316" t="s">
        <v>39</v>
      </c>
      <c r="J2316" t="s">
        <v>34</v>
      </c>
    </row>
    <row r="2317" spans="1:10">
      <c r="A2317" t="s">
        <v>3580</v>
      </c>
      <c r="B2317" t="s">
        <v>2430</v>
      </c>
      <c r="C2317" t="s">
        <v>166</v>
      </c>
      <c r="D2317" t="s">
        <v>31</v>
      </c>
      <c r="E2317">
        <v>-27173</v>
      </c>
      <c r="F2317" t="s">
        <v>23</v>
      </c>
      <c r="G2317" t="s">
        <v>32</v>
      </c>
      <c r="H2317" t="s">
        <v>33</v>
      </c>
      <c r="I2317" t="s">
        <v>26</v>
      </c>
      <c r="J2317" t="s">
        <v>34</v>
      </c>
    </row>
    <row r="2318" spans="1:10">
      <c r="A2318" t="s">
        <v>3581</v>
      </c>
      <c r="B2318" t="s">
        <v>99</v>
      </c>
      <c r="C2318" t="s">
        <v>166</v>
      </c>
      <c r="D2318" t="s">
        <v>31</v>
      </c>
      <c r="E2318">
        <v>-5357</v>
      </c>
      <c r="F2318" t="s">
        <v>23</v>
      </c>
      <c r="G2318" t="s">
        <v>32</v>
      </c>
      <c r="H2318" t="s">
        <v>33</v>
      </c>
      <c r="I2318" t="s">
        <v>45</v>
      </c>
      <c r="J2318" t="s">
        <v>34</v>
      </c>
    </row>
    <row r="2319" spans="1:10">
      <c r="A2319" t="s">
        <v>3582</v>
      </c>
      <c r="B2319" t="s">
        <v>173</v>
      </c>
      <c r="C2319" t="s">
        <v>215</v>
      </c>
      <c r="E2319">
        <v>-33503</v>
      </c>
      <c r="F2319" t="s">
        <v>62</v>
      </c>
      <c r="G2319" t="s">
        <v>24</v>
      </c>
      <c r="H2319" t="s">
        <v>63</v>
      </c>
      <c r="I2319" t="s">
        <v>26</v>
      </c>
      <c r="J2319" t="s">
        <v>34</v>
      </c>
    </row>
    <row r="2320" spans="1:10">
      <c r="A2320" t="s">
        <v>3583</v>
      </c>
      <c r="B2320" t="s">
        <v>1863</v>
      </c>
      <c r="C2320" t="s">
        <v>177</v>
      </c>
      <c r="D2320" t="s">
        <v>1001</v>
      </c>
      <c r="E2320">
        <v>-20328</v>
      </c>
      <c r="F2320" t="s">
        <v>23</v>
      </c>
      <c r="G2320" t="s">
        <v>32</v>
      </c>
      <c r="H2320" t="s">
        <v>79</v>
      </c>
      <c r="I2320" t="s">
        <v>26</v>
      </c>
      <c r="J2320" t="s">
        <v>48</v>
      </c>
    </row>
    <row r="2321" spans="1:10">
      <c r="A2321" t="s">
        <v>3584</v>
      </c>
      <c r="B2321" t="s">
        <v>1623</v>
      </c>
      <c r="C2321" t="s">
        <v>177</v>
      </c>
      <c r="D2321" t="s">
        <v>78</v>
      </c>
      <c r="E2321">
        <v>-99015</v>
      </c>
      <c r="F2321" t="s">
        <v>23</v>
      </c>
      <c r="G2321" t="s">
        <v>24</v>
      </c>
      <c r="H2321" t="s">
        <v>79</v>
      </c>
      <c r="I2321" t="s">
        <v>26</v>
      </c>
      <c r="J2321" t="s">
        <v>34</v>
      </c>
    </row>
    <row r="2322" spans="1:10">
      <c r="A2322" t="s">
        <v>3585</v>
      </c>
      <c r="B2322" t="s">
        <v>878</v>
      </c>
      <c r="C2322" t="s">
        <v>72</v>
      </c>
      <c r="D2322" t="s">
        <v>73</v>
      </c>
      <c r="E2322">
        <v>-93865</v>
      </c>
      <c r="F2322" t="s">
        <v>74</v>
      </c>
      <c r="G2322" t="s">
        <v>32</v>
      </c>
      <c r="H2322" t="s">
        <v>25</v>
      </c>
      <c r="I2322" t="s">
        <v>45</v>
      </c>
      <c r="J2322" t="s">
        <v>48</v>
      </c>
    </row>
    <row r="2323" spans="1:10">
      <c r="A2323" t="s">
        <v>3586</v>
      </c>
      <c r="B2323" t="s">
        <v>3587</v>
      </c>
      <c r="C2323" t="s">
        <v>616</v>
      </c>
      <c r="D2323" t="s">
        <v>22</v>
      </c>
      <c r="E2323">
        <v>-117479</v>
      </c>
      <c r="F2323" t="s">
        <v>23</v>
      </c>
      <c r="G2323" t="s">
        <v>24</v>
      </c>
      <c r="H2323" t="s">
        <v>25</v>
      </c>
      <c r="I2323" t="s">
        <v>39</v>
      </c>
      <c r="J2323" t="s">
        <v>40</v>
      </c>
    </row>
    <row r="2324" spans="1:10">
      <c r="A2324" t="s">
        <v>3588</v>
      </c>
      <c r="B2324" t="s">
        <v>3552</v>
      </c>
      <c r="C2324" t="s">
        <v>72</v>
      </c>
      <c r="E2324">
        <v>-93037</v>
      </c>
      <c r="F2324" t="s">
        <v>74</v>
      </c>
      <c r="G2324" t="s">
        <v>24</v>
      </c>
      <c r="H2324" t="s">
        <v>25</v>
      </c>
      <c r="I2324" t="s">
        <v>26</v>
      </c>
      <c r="J2324" t="s">
        <v>27</v>
      </c>
    </row>
    <row r="2325" spans="1:10">
      <c r="A2325" t="s">
        <v>3589</v>
      </c>
      <c r="B2325" t="s">
        <v>2080</v>
      </c>
      <c r="C2325" t="s">
        <v>84</v>
      </c>
      <c r="D2325" t="s">
        <v>664</v>
      </c>
      <c r="E2325">
        <v>-87500</v>
      </c>
      <c r="F2325" t="s">
        <v>23</v>
      </c>
      <c r="G2325" t="s">
        <v>32</v>
      </c>
      <c r="H2325" t="s">
        <v>79</v>
      </c>
      <c r="I2325" t="s">
        <v>39</v>
      </c>
      <c r="J2325" t="s">
        <v>34</v>
      </c>
    </row>
    <row r="2326" spans="1:10">
      <c r="A2326" t="s">
        <v>3590</v>
      </c>
      <c r="B2326" t="s">
        <v>543</v>
      </c>
      <c r="C2326" t="s">
        <v>129</v>
      </c>
      <c r="D2326" t="s">
        <v>38</v>
      </c>
      <c r="E2326">
        <v>-32344</v>
      </c>
      <c r="F2326" t="s">
        <v>23</v>
      </c>
      <c r="G2326" t="s">
        <v>32</v>
      </c>
      <c r="H2326" t="s">
        <v>33</v>
      </c>
      <c r="I2326" t="s">
        <v>26</v>
      </c>
      <c r="J2326" t="s">
        <v>27</v>
      </c>
    </row>
    <row r="2327" spans="1:10">
      <c r="A2327" t="s">
        <v>528</v>
      </c>
      <c r="B2327" t="s">
        <v>454</v>
      </c>
      <c r="C2327" t="s">
        <v>180</v>
      </c>
      <c r="D2327" t="s">
        <v>44</v>
      </c>
      <c r="E2327">
        <v>-74032</v>
      </c>
      <c r="F2327" t="s">
        <v>23</v>
      </c>
      <c r="G2327" t="s">
        <v>24</v>
      </c>
      <c r="H2327" t="s">
        <v>33</v>
      </c>
      <c r="I2327" t="s">
        <v>26</v>
      </c>
      <c r="J2327" t="s">
        <v>40</v>
      </c>
    </row>
    <row r="2328" spans="1:10">
      <c r="A2328" t="s">
        <v>3591</v>
      </c>
      <c r="B2328" t="s">
        <v>2143</v>
      </c>
      <c r="C2328" t="s">
        <v>66</v>
      </c>
      <c r="D2328" t="s">
        <v>61</v>
      </c>
      <c r="E2328">
        <v>-58115</v>
      </c>
      <c r="F2328" t="s">
        <v>62</v>
      </c>
      <c r="G2328" t="s">
        <v>32</v>
      </c>
      <c r="H2328" t="s">
        <v>63</v>
      </c>
      <c r="I2328" t="s">
        <v>26</v>
      </c>
      <c r="J2328" t="s">
        <v>34</v>
      </c>
    </row>
    <row r="2329" spans="1:10">
      <c r="A2329" t="s">
        <v>3592</v>
      </c>
      <c r="B2329" t="s">
        <v>3593</v>
      </c>
      <c r="C2329" t="s">
        <v>143</v>
      </c>
      <c r="D2329" t="s">
        <v>78</v>
      </c>
      <c r="E2329">
        <v>-81321</v>
      </c>
      <c r="F2329" t="s">
        <v>23</v>
      </c>
      <c r="G2329" t="s">
        <v>24</v>
      </c>
      <c r="H2329" t="s">
        <v>79</v>
      </c>
      <c r="I2329" t="s">
        <v>26</v>
      </c>
      <c r="J2329" t="s">
        <v>48</v>
      </c>
    </row>
    <row r="2330" spans="1:10">
      <c r="A2330" t="s">
        <v>3594</v>
      </c>
      <c r="B2330" t="s">
        <v>2109</v>
      </c>
      <c r="C2330" t="s">
        <v>177</v>
      </c>
      <c r="D2330" t="s">
        <v>78</v>
      </c>
      <c r="E2330">
        <v>-49899</v>
      </c>
      <c r="F2330" t="s">
        <v>23</v>
      </c>
      <c r="G2330" t="s">
        <v>24</v>
      </c>
      <c r="H2330" t="s">
        <v>79</v>
      </c>
      <c r="I2330" t="s">
        <v>39</v>
      </c>
      <c r="J2330" t="s">
        <v>27</v>
      </c>
    </row>
    <row r="2331" spans="1:10">
      <c r="A2331" t="s">
        <v>3595</v>
      </c>
      <c r="B2331" t="s">
        <v>730</v>
      </c>
      <c r="C2331" t="s">
        <v>132</v>
      </c>
      <c r="E2331">
        <v>-23092</v>
      </c>
      <c r="F2331" t="s">
        <v>74</v>
      </c>
      <c r="G2331" t="s">
        <v>24</v>
      </c>
      <c r="H2331" t="s">
        <v>25</v>
      </c>
      <c r="I2331" t="s">
        <v>39</v>
      </c>
      <c r="J2331" t="s">
        <v>48</v>
      </c>
    </row>
    <row r="2332" spans="1:10">
      <c r="A2332" t="s">
        <v>3596</v>
      </c>
      <c r="B2332" t="s">
        <v>3597</v>
      </c>
      <c r="C2332" t="s">
        <v>30</v>
      </c>
      <c r="D2332" t="s">
        <v>31</v>
      </c>
      <c r="E2332">
        <v>-18694</v>
      </c>
      <c r="F2332" t="s">
        <v>23</v>
      </c>
      <c r="G2332" t="s">
        <v>32</v>
      </c>
      <c r="H2332" t="s">
        <v>33</v>
      </c>
      <c r="I2332" t="s">
        <v>26</v>
      </c>
      <c r="J2332" t="s">
        <v>34</v>
      </c>
    </row>
    <row r="2333" spans="1:10">
      <c r="A2333" t="s">
        <v>3598</v>
      </c>
      <c r="B2333" t="s">
        <v>1595</v>
      </c>
      <c r="C2333" t="s">
        <v>202</v>
      </c>
      <c r="D2333" t="s">
        <v>22</v>
      </c>
      <c r="E2333">
        <v>-177820</v>
      </c>
      <c r="F2333" t="s">
        <v>23</v>
      </c>
      <c r="G2333" t="s">
        <v>24</v>
      </c>
      <c r="H2333" t="s">
        <v>25</v>
      </c>
      <c r="I2333" t="s">
        <v>45</v>
      </c>
      <c r="J2333" t="s">
        <v>48</v>
      </c>
    </row>
    <row r="2334" spans="1:10">
      <c r="A2334" t="s">
        <v>3599</v>
      </c>
      <c r="B2334" t="s">
        <v>89</v>
      </c>
      <c r="C2334" t="s">
        <v>293</v>
      </c>
      <c r="D2334" t="s">
        <v>157</v>
      </c>
      <c r="E2334">
        <v>733041</v>
      </c>
      <c r="F2334" t="s">
        <v>62</v>
      </c>
      <c r="G2334" t="s">
        <v>32</v>
      </c>
      <c r="H2334" t="s">
        <v>25</v>
      </c>
      <c r="I2334" t="s">
        <v>39</v>
      </c>
      <c r="J2334" t="s">
        <v>27</v>
      </c>
    </row>
    <row r="2335" spans="1:10">
      <c r="A2335" t="s">
        <v>3600</v>
      </c>
      <c r="B2335" t="s">
        <v>3149</v>
      </c>
      <c r="C2335" t="s">
        <v>30</v>
      </c>
      <c r="D2335" t="s">
        <v>31</v>
      </c>
      <c r="E2335">
        <v>-43348</v>
      </c>
      <c r="F2335" t="s">
        <v>23</v>
      </c>
      <c r="G2335" t="s">
        <v>24</v>
      </c>
      <c r="H2335" t="s">
        <v>33</v>
      </c>
      <c r="I2335" t="s">
        <v>26</v>
      </c>
      <c r="J2335" t="s">
        <v>34</v>
      </c>
    </row>
    <row r="2336" spans="1:10">
      <c r="A2336" t="s">
        <v>3601</v>
      </c>
      <c r="B2336" t="s">
        <v>559</v>
      </c>
      <c r="C2336" t="s">
        <v>100</v>
      </c>
      <c r="D2336" t="s">
        <v>31</v>
      </c>
      <c r="E2336">
        <v>-31255</v>
      </c>
      <c r="F2336" t="s">
        <v>23</v>
      </c>
      <c r="G2336" t="s">
        <v>24</v>
      </c>
      <c r="H2336" t="s">
        <v>33</v>
      </c>
      <c r="I2336" t="s">
        <v>45</v>
      </c>
      <c r="J2336" t="s">
        <v>48</v>
      </c>
    </row>
    <row r="2337" spans="1:10">
      <c r="A2337" t="s">
        <v>3602</v>
      </c>
      <c r="B2337" t="s">
        <v>3603</v>
      </c>
      <c r="C2337" t="s">
        <v>310</v>
      </c>
      <c r="D2337" t="s">
        <v>22</v>
      </c>
      <c r="E2337">
        <v>-115554</v>
      </c>
      <c r="F2337" t="s">
        <v>23</v>
      </c>
      <c r="G2337" t="s">
        <v>32</v>
      </c>
      <c r="H2337" t="s">
        <v>25</v>
      </c>
      <c r="I2337" t="s">
        <v>45</v>
      </c>
      <c r="J2337" t="s">
        <v>34</v>
      </c>
    </row>
    <row r="2338" spans="1:10">
      <c r="A2338" t="s">
        <v>3604</v>
      </c>
      <c r="B2338" t="s">
        <v>3605</v>
      </c>
      <c r="C2338" t="s">
        <v>169</v>
      </c>
      <c r="D2338" t="s">
        <v>73</v>
      </c>
      <c r="E2338">
        <v>-36085</v>
      </c>
      <c r="F2338" t="s">
        <v>74</v>
      </c>
      <c r="G2338" t="s">
        <v>32</v>
      </c>
      <c r="H2338" t="s">
        <v>25</v>
      </c>
      <c r="I2338" t="s">
        <v>26</v>
      </c>
      <c r="J2338" t="s">
        <v>27</v>
      </c>
    </row>
    <row r="2339" spans="1:10">
      <c r="A2339" t="s">
        <v>3606</v>
      </c>
      <c r="B2339" t="s">
        <v>889</v>
      </c>
      <c r="C2339" t="s">
        <v>51</v>
      </c>
      <c r="D2339" t="s">
        <v>31</v>
      </c>
      <c r="E2339">
        <v>-20693</v>
      </c>
      <c r="F2339" t="s">
        <v>23</v>
      </c>
      <c r="G2339" t="s">
        <v>24</v>
      </c>
      <c r="H2339" t="s">
        <v>33</v>
      </c>
      <c r="I2339" t="s">
        <v>45</v>
      </c>
      <c r="J2339" t="s">
        <v>27</v>
      </c>
    </row>
    <row r="2340" spans="1:10">
      <c r="A2340" t="s">
        <v>3607</v>
      </c>
      <c r="B2340" t="s">
        <v>545</v>
      </c>
      <c r="C2340" t="s">
        <v>177</v>
      </c>
      <c r="D2340" t="s">
        <v>78</v>
      </c>
      <c r="E2340">
        <v>-109276</v>
      </c>
      <c r="F2340" t="s">
        <v>23</v>
      </c>
      <c r="G2340" t="s">
        <v>24</v>
      </c>
      <c r="H2340" t="s">
        <v>79</v>
      </c>
      <c r="I2340" t="s">
        <v>26</v>
      </c>
      <c r="J2340" t="s">
        <v>34</v>
      </c>
    </row>
    <row r="2341" spans="1:10">
      <c r="A2341" t="s">
        <v>3608</v>
      </c>
      <c r="B2341" t="s">
        <v>947</v>
      </c>
      <c r="C2341" t="s">
        <v>2229</v>
      </c>
      <c r="D2341" t="s">
        <v>61</v>
      </c>
      <c r="E2341">
        <v>-40280</v>
      </c>
      <c r="F2341" t="s">
        <v>62</v>
      </c>
      <c r="G2341" t="s">
        <v>24</v>
      </c>
      <c r="H2341" t="s">
        <v>63</v>
      </c>
      <c r="I2341" t="s">
        <v>45</v>
      </c>
      <c r="J2341" t="s">
        <v>48</v>
      </c>
    </row>
    <row r="2342" spans="1:10">
      <c r="A2342" t="s">
        <v>3609</v>
      </c>
      <c r="B2342" t="s">
        <v>2002</v>
      </c>
      <c r="C2342" t="s">
        <v>218</v>
      </c>
      <c r="D2342" t="s">
        <v>157</v>
      </c>
      <c r="E2342">
        <v>672810</v>
      </c>
      <c r="F2342" t="s">
        <v>62</v>
      </c>
      <c r="G2342" t="s">
        <v>32</v>
      </c>
      <c r="H2342" t="s">
        <v>25</v>
      </c>
      <c r="I2342" t="s">
        <v>39</v>
      </c>
      <c r="J2342" t="s">
        <v>34</v>
      </c>
    </row>
    <row r="2343" spans="1:10">
      <c r="A2343" t="s">
        <v>3610</v>
      </c>
      <c r="B2343" t="s">
        <v>3611</v>
      </c>
      <c r="C2343" t="s">
        <v>87</v>
      </c>
      <c r="D2343" t="s">
        <v>22</v>
      </c>
      <c r="E2343">
        <v>-101280</v>
      </c>
      <c r="F2343" t="s">
        <v>23</v>
      </c>
      <c r="G2343" t="s">
        <v>32</v>
      </c>
      <c r="H2343" t="s">
        <v>25</v>
      </c>
      <c r="I2343" t="s">
        <v>45</v>
      </c>
      <c r="J2343" t="s">
        <v>48</v>
      </c>
    </row>
    <row r="2344" spans="1:10">
      <c r="A2344" t="s">
        <v>3612</v>
      </c>
      <c r="B2344" t="s">
        <v>1333</v>
      </c>
      <c r="C2344" t="s">
        <v>177</v>
      </c>
      <c r="D2344" t="s">
        <v>78</v>
      </c>
      <c r="E2344">
        <v>-15027</v>
      </c>
      <c r="F2344" t="s">
        <v>23</v>
      </c>
      <c r="G2344" t="s">
        <v>24</v>
      </c>
      <c r="H2344" t="s">
        <v>79</v>
      </c>
      <c r="I2344" t="s">
        <v>45</v>
      </c>
      <c r="J2344" t="s">
        <v>27</v>
      </c>
    </row>
    <row r="2345" spans="1:10">
      <c r="A2345" t="s">
        <v>3613</v>
      </c>
      <c r="B2345" t="s">
        <v>2544</v>
      </c>
      <c r="C2345" t="s">
        <v>757</v>
      </c>
      <c r="D2345" t="s">
        <v>157</v>
      </c>
      <c r="E2345">
        <v>558898</v>
      </c>
      <c r="F2345" t="s">
        <v>62</v>
      </c>
      <c r="G2345" t="s">
        <v>32</v>
      </c>
      <c r="H2345" t="s">
        <v>25</v>
      </c>
      <c r="I2345" t="s">
        <v>26</v>
      </c>
      <c r="J2345" t="s">
        <v>27</v>
      </c>
    </row>
    <row r="2346" spans="1:10">
      <c r="A2346" t="s">
        <v>3614</v>
      </c>
      <c r="B2346" t="s">
        <v>383</v>
      </c>
      <c r="C2346" t="s">
        <v>30</v>
      </c>
      <c r="D2346" t="s">
        <v>31</v>
      </c>
      <c r="E2346">
        <v>-36912</v>
      </c>
      <c r="F2346" t="s">
        <v>23</v>
      </c>
      <c r="G2346" t="s">
        <v>24</v>
      </c>
      <c r="H2346" t="s">
        <v>33</v>
      </c>
      <c r="I2346" t="s">
        <v>39</v>
      </c>
      <c r="J2346" t="s">
        <v>48</v>
      </c>
    </row>
    <row r="2347" spans="1:10">
      <c r="A2347" t="s">
        <v>3615</v>
      </c>
      <c r="B2347" t="s">
        <v>335</v>
      </c>
      <c r="C2347" t="s">
        <v>84</v>
      </c>
      <c r="D2347" t="s">
        <v>78</v>
      </c>
      <c r="E2347">
        <v>-25364</v>
      </c>
      <c r="F2347" t="s">
        <v>23</v>
      </c>
      <c r="G2347" t="s">
        <v>24</v>
      </c>
      <c r="H2347" t="s">
        <v>79</v>
      </c>
      <c r="I2347" t="s">
        <v>39</v>
      </c>
      <c r="J2347" t="s">
        <v>40</v>
      </c>
    </row>
    <row r="2348" spans="1:10">
      <c r="A2348" t="s">
        <v>3616</v>
      </c>
      <c r="B2348" t="s">
        <v>1071</v>
      </c>
      <c r="C2348" t="s">
        <v>66</v>
      </c>
      <c r="D2348" t="s">
        <v>61</v>
      </c>
      <c r="E2348">
        <v>-42674</v>
      </c>
      <c r="F2348" t="s">
        <v>62</v>
      </c>
      <c r="G2348" t="s">
        <v>32</v>
      </c>
      <c r="H2348" t="s">
        <v>63</v>
      </c>
      <c r="I2348" t="s">
        <v>26</v>
      </c>
      <c r="J2348" t="s">
        <v>34</v>
      </c>
    </row>
    <row r="2349" spans="1:10">
      <c r="A2349" t="s">
        <v>3617</v>
      </c>
      <c r="B2349" t="s">
        <v>365</v>
      </c>
      <c r="C2349" t="s">
        <v>192</v>
      </c>
      <c r="D2349" t="s">
        <v>22</v>
      </c>
      <c r="E2349">
        <v>-68371</v>
      </c>
      <c r="F2349" t="s">
        <v>23</v>
      </c>
      <c r="G2349" t="s">
        <v>32</v>
      </c>
      <c r="H2349" t="s">
        <v>25</v>
      </c>
      <c r="I2349" t="s">
        <v>45</v>
      </c>
      <c r="J2349" t="s">
        <v>34</v>
      </c>
    </row>
    <row r="2350" spans="1:10">
      <c r="A2350" t="s">
        <v>3618</v>
      </c>
      <c r="B2350" t="s">
        <v>3619</v>
      </c>
      <c r="C2350" t="s">
        <v>66</v>
      </c>
      <c r="D2350" t="s">
        <v>61</v>
      </c>
      <c r="E2350">
        <v>-64848</v>
      </c>
      <c r="F2350" t="s">
        <v>62</v>
      </c>
      <c r="G2350" t="s">
        <v>32</v>
      </c>
      <c r="H2350" t="s">
        <v>63</v>
      </c>
      <c r="I2350" t="s">
        <v>45</v>
      </c>
      <c r="J2350" t="s">
        <v>27</v>
      </c>
    </row>
    <row r="2351" spans="1:10">
      <c r="A2351" t="s">
        <v>3620</v>
      </c>
      <c r="B2351" t="s">
        <v>1819</v>
      </c>
      <c r="C2351" t="s">
        <v>30</v>
      </c>
      <c r="D2351" t="s">
        <v>31</v>
      </c>
      <c r="E2351">
        <v>-20097</v>
      </c>
      <c r="F2351" t="s">
        <v>23</v>
      </c>
      <c r="G2351" t="s">
        <v>24</v>
      </c>
      <c r="H2351" t="s">
        <v>33</v>
      </c>
      <c r="I2351" t="s">
        <v>45</v>
      </c>
      <c r="J2351" t="s">
        <v>27</v>
      </c>
    </row>
    <row r="2352" spans="1:10">
      <c r="A2352" t="s">
        <v>3621</v>
      </c>
      <c r="B2352" t="s">
        <v>304</v>
      </c>
      <c r="C2352" t="s">
        <v>60</v>
      </c>
      <c r="D2352" t="s">
        <v>61</v>
      </c>
      <c r="E2352">
        <v>-52349</v>
      </c>
      <c r="F2352" t="s">
        <v>62</v>
      </c>
      <c r="G2352" t="s">
        <v>32</v>
      </c>
      <c r="H2352" t="s">
        <v>63</v>
      </c>
      <c r="I2352" t="s">
        <v>26</v>
      </c>
      <c r="J2352" t="s">
        <v>40</v>
      </c>
    </row>
    <row r="2353" spans="1:10">
      <c r="A2353" t="s">
        <v>3622</v>
      </c>
      <c r="B2353" t="s">
        <v>844</v>
      </c>
      <c r="C2353" t="s">
        <v>72</v>
      </c>
      <c r="D2353" t="s">
        <v>73</v>
      </c>
      <c r="E2353">
        <v>-28488</v>
      </c>
      <c r="F2353" t="s">
        <v>74</v>
      </c>
      <c r="G2353" t="s">
        <v>32</v>
      </c>
      <c r="H2353" t="s">
        <v>25</v>
      </c>
      <c r="I2353" t="s">
        <v>26</v>
      </c>
      <c r="J2353" t="s">
        <v>27</v>
      </c>
    </row>
    <row r="2354" spans="1:10">
      <c r="A2354" t="s">
        <v>3623</v>
      </c>
      <c r="B2354" t="s">
        <v>3624</v>
      </c>
      <c r="C2354" t="s">
        <v>271</v>
      </c>
      <c r="D2354" t="s">
        <v>73</v>
      </c>
      <c r="E2354">
        <v>-87355</v>
      </c>
      <c r="F2354" t="s">
        <v>74</v>
      </c>
      <c r="G2354" t="s">
        <v>32</v>
      </c>
      <c r="H2354" t="s">
        <v>25</v>
      </c>
      <c r="I2354" t="s">
        <v>45</v>
      </c>
      <c r="J2354" t="s">
        <v>34</v>
      </c>
    </row>
    <row r="2355" spans="1:10">
      <c r="A2355" t="s">
        <v>3625</v>
      </c>
      <c r="B2355" t="s">
        <v>20</v>
      </c>
      <c r="C2355" t="s">
        <v>271</v>
      </c>
      <c r="D2355" t="s">
        <v>73</v>
      </c>
      <c r="E2355">
        <v>-52739</v>
      </c>
      <c r="F2355" t="s">
        <v>74</v>
      </c>
      <c r="G2355" t="s">
        <v>24</v>
      </c>
      <c r="H2355" t="s">
        <v>25</v>
      </c>
      <c r="I2355" t="s">
        <v>26</v>
      </c>
      <c r="J2355" t="s">
        <v>27</v>
      </c>
    </row>
    <row r="2356" spans="1:10">
      <c r="A2356" t="s">
        <v>3626</v>
      </c>
      <c r="B2356" t="s">
        <v>1312</v>
      </c>
      <c r="C2356" t="s">
        <v>66</v>
      </c>
      <c r="D2356" t="s">
        <v>61</v>
      </c>
      <c r="E2356">
        <v>-30938</v>
      </c>
      <c r="F2356" t="s">
        <v>62</v>
      </c>
      <c r="G2356" t="s">
        <v>32</v>
      </c>
      <c r="H2356" t="s">
        <v>63</v>
      </c>
      <c r="I2356" t="s">
        <v>39</v>
      </c>
      <c r="J2356" t="s">
        <v>40</v>
      </c>
    </row>
    <row r="2357" spans="1:10">
      <c r="A2357" t="s">
        <v>3627</v>
      </c>
      <c r="B2357" t="s">
        <v>3628</v>
      </c>
      <c r="C2357" t="s">
        <v>54</v>
      </c>
      <c r="D2357" t="s">
        <v>38</v>
      </c>
      <c r="E2357">
        <v>-44540</v>
      </c>
      <c r="F2357" t="s">
        <v>23</v>
      </c>
      <c r="G2357" t="s">
        <v>24</v>
      </c>
      <c r="H2357" t="s">
        <v>33</v>
      </c>
      <c r="I2357" t="s">
        <v>26</v>
      </c>
      <c r="J2357" t="s">
        <v>48</v>
      </c>
    </row>
    <row r="2358" spans="1:10">
      <c r="A2358" t="s">
        <v>3629</v>
      </c>
      <c r="B2358" t="s">
        <v>3630</v>
      </c>
      <c r="C2358" t="s">
        <v>103</v>
      </c>
      <c r="D2358" t="s">
        <v>78</v>
      </c>
      <c r="E2358">
        <v>-35658</v>
      </c>
      <c r="F2358" t="s">
        <v>23</v>
      </c>
      <c r="G2358" t="s">
        <v>24</v>
      </c>
      <c r="H2358" t="s">
        <v>79</v>
      </c>
      <c r="I2358" t="s">
        <v>26</v>
      </c>
      <c r="J2358" t="s">
        <v>40</v>
      </c>
    </row>
    <row r="2359" spans="1:10">
      <c r="A2359" t="s">
        <v>3631</v>
      </c>
      <c r="B2359" t="s">
        <v>1630</v>
      </c>
      <c r="C2359" t="s">
        <v>439</v>
      </c>
      <c r="D2359" t="s">
        <v>440</v>
      </c>
      <c r="E2359">
        <v>-98410</v>
      </c>
      <c r="F2359" t="s">
        <v>23</v>
      </c>
      <c r="G2359" t="s">
        <v>32</v>
      </c>
      <c r="H2359" t="s">
        <v>33</v>
      </c>
      <c r="I2359" t="s">
        <v>45</v>
      </c>
      <c r="J2359" t="s">
        <v>34</v>
      </c>
    </row>
    <row r="2360" spans="1:10">
      <c r="A2360" t="s">
        <v>3632</v>
      </c>
      <c r="B2360" t="s">
        <v>1379</v>
      </c>
      <c r="C2360" t="s">
        <v>255</v>
      </c>
      <c r="D2360" t="s">
        <v>331</v>
      </c>
      <c r="E2360">
        <v>-129677</v>
      </c>
      <c r="F2360" t="s">
        <v>23</v>
      </c>
      <c r="G2360" t="s">
        <v>32</v>
      </c>
      <c r="H2360" t="s">
        <v>25</v>
      </c>
      <c r="I2360" t="s">
        <v>26</v>
      </c>
      <c r="J2360" t="s">
        <v>27</v>
      </c>
    </row>
    <row r="2361" spans="1:10">
      <c r="A2361" t="s">
        <v>3633</v>
      </c>
      <c r="B2361" t="s">
        <v>330</v>
      </c>
      <c r="C2361" t="s">
        <v>166</v>
      </c>
      <c r="D2361" t="s">
        <v>31</v>
      </c>
      <c r="E2361">
        <v>-5657</v>
      </c>
      <c r="F2361" t="s">
        <v>23</v>
      </c>
      <c r="G2361" t="s">
        <v>24</v>
      </c>
      <c r="H2361" t="s">
        <v>33</v>
      </c>
      <c r="I2361" t="s">
        <v>45</v>
      </c>
      <c r="J2361" t="s">
        <v>40</v>
      </c>
    </row>
    <row r="2362" spans="1:10">
      <c r="A2362" t="s">
        <v>3634</v>
      </c>
      <c r="B2362" t="s">
        <v>568</v>
      </c>
      <c r="C2362" t="s">
        <v>283</v>
      </c>
      <c r="D2362" t="s">
        <v>388</v>
      </c>
      <c r="E2362">
        <v>-138684</v>
      </c>
      <c r="F2362" t="s">
        <v>23</v>
      </c>
      <c r="G2362" t="s">
        <v>32</v>
      </c>
      <c r="H2362" t="s">
        <v>33</v>
      </c>
      <c r="I2362" t="s">
        <v>39</v>
      </c>
      <c r="J2362" t="s">
        <v>27</v>
      </c>
    </row>
    <row r="2363" spans="1:10">
      <c r="A2363" t="s">
        <v>3635</v>
      </c>
      <c r="B2363" t="s">
        <v>2646</v>
      </c>
      <c r="C2363" t="s">
        <v>687</v>
      </c>
      <c r="D2363" t="s">
        <v>44</v>
      </c>
      <c r="E2363">
        <v>-62423</v>
      </c>
      <c r="F2363" t="s">
        <v>23</v>
      </c>
      <c r="G2363" t="s">
        <v>24</v>
      </c>
      <c r="H2363" t="s">
        <v>33</v>
      </c>
      <c r="I2363" t="s">
        <v>45</v>
      </c>
      <c r="J2363" t="s">
        <v>48</v>
      </c>
    </row>
    <row r="2364" spans="1:10">
      <c r="A2364" t="s">
        <v>3636</v>
      </c>
      <c r="B2364" t="s">
        <v>501</v>
      </c>
      <c r="C2364" t="s">
        <v>180</v>
      </c>
      <c r="D2364" t="s">
        <v>44</v>
      </c>
      <c r="E2364">
        <v>-83195</v>
      </c>
      <c r="F2364" t="s">
        <v>23</v>
      </c>
      <c r="G2364" t="s">
        <v>32</v>
      </c>
      <c r="H2364" t="s">
        <v>33</v>
      </c>
      <c r="I2364" t="s">
        <v>39</v>
      </c>
      <c r="J2364" t="s">
        <v>27</v>
      </c>
    </row>
    <row r="2365" spans="1:10">
      <c r="A2365" t="s">
        <v>3637</v>
      </c>
      <c r="B2365" t="s">
        <v>3071</v>
      </c>
      <c r="C2365" t="s">
        <v>290</v>
      </c>
      <c r="D2365" t="s">
        <v>440</v>
      </c>
      <c r="E2365">
        <v>-125533</v>
      </c>
      <c r="F2365" t="s">
        <v>23</v>
      </c>
      <c r="G2365" t="s">
        <v>32</v>
      </c>
      <c r="H2365" t="s">
        <v>33</v>
      </c>
      <c r="I2365" t="s">
        <v>39</v>
      </c>
      <c r="J2365" t="s">
        <v>27</v>
      </c>
    </row>
    <row r="2366" spans="1:10">
      <c r="A2366" t="s">
        <v>3638</v>
      </c>
      <c r="B2366" t="s">
        <v>1069</v>
      </c>
      <c r="C2366" t="s">
        <v>30</v>
      </c>
      <c r="D2366" t="s">
        <v>31</v>
      </c>
      <c r="E2366">
        <v>-11021</v>
      </c>
      <c r="F2366" t="s">
        <v>23</v>
      </c>
      <c r="G2366" t="s">
        <v>32</v>
      </c>
      <c r="H2366" t="s">
        <v>33</v>
      </c>
      <c r="I2366" t="s">
        <v>39</v>
      </c>
      <c r="J2366" t="s">
        <v>40</v>
      </c>
    </row>
    <row r="2367" spans="1:10">
      <c r="A2367" t="s">
        <v>3639</v>
      </c>
      <c r="B2367" t="s">
        <v>3640</v>
      </c>
      <c r="C2367" t="s">
        <v>757</v>
      </c>
      <c r="D2367" t="s">
        <v>157</v>
      </c>
      <c r="E2367">
        <v>588051</v>
      </c>
      <c r="F2367" t="s">
        <v>62</v>
      </c>
      <c r="G2367" t="s">
        <v>32</v>
      </c>
      <c r="H2367" t="s">
        <v>25</v>
      </c>
      <c r="I2367" t="s">
        <v>45</v>
      </c>
      <c r="J2367" t="s">
        <v>34</v>
      </c>
    </row>
    <row r="2368" spans="1:10">
      <c r="A2368" t="s">
        <v>3641</v>
      </c>
      <c r="B2368" t="s">
        <v>1983</v>
      </c>
      <c r="C2368" t="s">
        <v>166</v>
      </c>
      <c r="D2368" t="s">
        <v>31</v>
      </c>
      <c r="E2368">
        <v>-26659</v>
      </c>
      <c r="F2368" t="s">
        <v>23</v>
      </c>
      <c r="G2368" t="s">
        <v>32</v>
      </c>
      <c r="H2368" t="s">
        <v>33</v>
      </c>
      <c r="I2368" t="s">
        <v>26</v>
      </c>
      <c r="J2368" t="s">
        <v>40</v>
      </c>
    </row>
    <row r="2369" spans="1:10">
      <c r="A2369" t="s">
        <v>3642</v>
      </c>
      <c r="B2369" t="s">
        <v>739</v>
      </c>
      <c r="C2369" t="s">
        <v>174</v>
      </c>
      <c r="D2369" t="s">
        <v>22</v>
      </c>
      <c r="E2369">
        <v>-74893</v>
      </c>
      <c r="F2369" t="s">
        <v>23</v>
      </c>
      <c r="G2369" t="s">
        <v>24</v>
      </c>
      <c r="H2369" t="s">
        <v>25</v>
      </c>
      <c r="I2369" t="s">
        <v>39</v>
      </c>
      <c r="J2369" t="s">
        <v>48</v>
      </c>
    </row>
    <row r="2370" spans="1:10">
      <c r="A2370" t="s">
        <v>3643</v>
      </c>
      <c r="B2370" t="s">
        <v>578</v>
      </c>
      <c r="C2370" t="s">
        <v>57</v>
      </c>
      <c r="D2370" t="s">
        <v>44</v>
      </c>
      <c r="E2370">
        <v>-61268</v>
      </c>
      <c r="F2370" t="s">
        <v>23</v>
      </c>
      <c r="G2370" t="s">
        <v>32</v>
      </c>
      <c r="H2370" t="s">
        <v>33</v>
      </c>
      <c r="I2370" t="s">
        <v>45</v>
      </c>
      <c r="J2370" t="s">
        <v>48</v>
      </c>
    </row>
    <row r="2371" spans="1:10">
      <c r="A2371" t="s">
        <v>3644</v>
      </c>
      <c r="B2371" t="s">
        <v>3645</v>
      </c>
      <c r="C2371" t="s">
        <v>169</v>
      </c>
      <c r="D2371" t="s">
        <v>73</v>
      </c>
      <c r="E2371">
        <v>-25813</v>
      </c>
      <c r="F2371" t="s">
        <v>74</v>
      </c>
      <c r="G2371" t="s">
        <v>24</v>
      </c>
      <c r="H2371" t="s">
        <v>25</v>
      </c>
      <c r="I2371" t="s">
        <v>45</v>
      </c>
      <c r="J2371" t="s">
        <v>27</v>
      </c>
    </row>
    <row r="2372" spans="1:10">
      <c r="A2372" t="s">
        <v>3646</v>
      </c>
      <c r="B2372" t="s">
        <v>2699</v>
      </c>
      <c r="C2372" t="s">
        <v>66</v>
      </c>
      <c r="D2372" t="s">
        <v>61</v>
      </c>
      <c r="E2372">
        <v>-64002</v>
      </c>
      <c r="F2372" t="s">
        <v>62</v>
      </c>
      <c r="G2372" t="s">
        <v>32</v>
      </c>
      <c r="H2372" t="s">
        <v>63</v>
      </c>
      <c r="I2372" t="s">
        <v>45</v>
      </c>
      <c r="J2372" t="s">
        <v>40</v>
      </c>
    </row>
    <row r="2373" spans="1:10">
      <c r="A2373" t="s">
        <v>3647</v>
      </c>
      <c r="B2373" t="s">
        <v>2959</v>
      </c>
      <c r="C2373" t="s">
        <v>339</v>
      </c>
      <c r="D2373" t="s">
        <v>157</v>
      </c>
      <c r="E2373">
        <v>664464</v>
      </c>
      <c r="F2373" t="s">
        <v>62</v>
      </c>
      <c r="G2373" t="s">
        <v>32</v>
      </c>
      <c r="H2373" t="s">
        <v>25</v>
      </c>
      <c r="I2373" t="s">
        <v>45</v>
      </c>
      <c r="J2373" t="s">
        <v>48</v>
      </c>
    </row>
    <row r="2374" spans="1:10">
      <c r="A2374" t="s">
        <v>3648</v>
      </c>
      <c r="B2374" t="s">
        <v>1000</v>
      </c>
      <c r="C2374" t="s">
        <v>90</v>
      </c>
      <c r="D2374" t="s">
        <v>111</v>
      </c>
      <c r="E2374">
        <v>-43338</v>
      </c>
      <c r="F2374" t="s">
        <v>74</v>
      </c>
      <c r="G2374" t="s">
        <v>24</v>
      </c>
      <c r="H2374" t="s">
        <v>25</v>
      </c>
      <c r="I2374" t="s">
        <v>45</v>
      </c>
      <c r="J2374" t="s">
        <v>27</v>
      </c>
    </row>
    <row r="2375" spans="1:10">
      <c r="A2375" t="s">
        <v>3649</v>
      </c>
      <c r="B2375" t="s">
        <v>2381</v>
      </c>
      <c r="C2375" t="s">
        <v>310</v>
      </c>
      <c r="D2375" t="s">
        <v>207</v>
      </c>
      <c r="E2375">
        <v>-210784</v>
      </c>
      <c r="F2375" t="s">
        <v>23</v>
      </c>
      <c r="G2375" t="s">
        <v>24</v>
      </c>
      <c r="H2375" t="s">
        <v>25</v>
      </c>
      <c r="I2375" t="s">
        <v>45</v>
      </c>
      <c r="J2375" t="s">
        <v>40</v>
      </c>
    </row>
    <row r="2376" spans="1:10">
      <c r="A2376" t="s">
        <v>3650</v>
      </c>
      <c r="B2376" t="s">
        <v>3651</v>
      </c>
      <c r="C2376" t="s">
        <v>271</v>
      </c>
      <c r="D2376" t="s">
        <v>73</v>
      </c>
      <c r="E2376">
        <v>-61564</v>
      </c>
      <c r="F2376" t="s">
        <v>74</v>
      </c>
      <c r="G2376" t="s">
        <v>32</v>
      </c>
      <c r="H2376" t="s">
        <v>25</v>
      </c>
      <c r="I2376" t="s">
        <v>39</v>
      </c>
      <c r="J2376" t="s">
        <v>40</v>
      </c>
    </row>
    <row r="2377" spans="1:10">
      <c r="A2377" t="s">
        <v>3652</v>
      </c>
      <c r="B2377" t="s">
        <v>3653</v>
      </c>
      <c r="C2377" t="s">
        <v>106</v>
      </c>
      <c r="D2377" t="s">
        <v>31</v>
      </c>
      <c r="E2377">
        <v>-26938</v>
      </c>
      <c r="F2377" t="s">
        <v>23</v>
      </c>
      <c r="G2377" t="s">
        <v>24</v>
      </c>
      <c r="H2377" t="s">
        <v>33</v>
      </c>
      <c r="I2377" t="s">
        <v>39</v>
      </c>
      <c r="J2377" t="s">
        <v>40</v>
      </c>
    </row>
    <row r="2378" spans="1:10">
      <c r="A2378" t="s">
        <v>3654</v>
      </c>
      <c r="B2378" t="s">
        <v>50</v>
      </c>
      <c r="C2378" t="s">
        <v>255</v>
      </c>
      <c r="D2378" t="s">
        <v>22</v>
      </c>
      <c r="E2378">
        <v>-96235</v>
      </c>
      <c r="F2378" t="s">
        <v>23</v>
      </c>
      <c r="G2378" t="s">
        <v>32</v>
      </c>
      <c r="H2378" t="s">
        <v>25</v>
      </c>
      <c r="I2378" t="s">
        <v>26</v>
      </c>
      <c r="J2378" t="s">
        <v>34</v>
      </c>
    </row>
    <row r="2379" spans="1:10">
      <c r="A2379" t="s">
        <v>3655</v>
      </c>
      <c r="B2379" t="s">
        <v>2147</v>
      </c>
      <c r="C2379" t="s">
        <v>60</v>
      </c>
      <c r="D2379" t="s">
        <v>61</v>
      </c>
      <c r="E2379">
        <v>-37906</v>
      </c>
      <c r="F2379" t="s">
        <v>62</v>
      </c>
      <c r="G2379" t="s">
        <v>24</v>
      </c>
      <c r="H2379" t="s">
        <v>63</v>
      </c>
      <c r="I2379" t="s">
        <v>45</v>
      </c>
      <c r="J2379" t="s">
        <v>34</v>
      </c>
    </row>
    <row r="2380" spans="1:10">
      <c r="A2380" t="s">
        <v>3656</v>
      </c>
      <c r="B2380" t="s">
        <v>76</v>
      </c>
      <c r="C2380" t="s">
        <v>21</v>
      </c>
      <c r="D2380" t="s">
        <v>22</v>
      </c>
      <c r="E2380">
        <v>-203881</v>
      </c>
      <c r="F2380" t="s">
        <v>23</v>
      </c>
      <c r="G2380" t="s">
        <v>24</v>
      </c>
      <c r="H2380" t="s">
        <v>25</v>
      </c>
      <c r="I2380" t="s">
        <v>45</v>
      </c>
      <c r="J2380" t="s">
        <v>48</v>
      </c>
    </row>
    <row r="2381" spans="1:10">
      <c r="A2381" t="s">
        <v>3657</v>
      </c>
      <c r="B2381" t="s">
        <v>2187</v>
      </c>
      <c r="C2381" t="s">
        <v>87</v>
      </c>
      <c r="D2381" t="s">
        <v>22</v>
      </c>
      <c r="E2381">
        <v>-57135</v>
      </c>
      <c r="F2381" t="s">
        <v>23</v>
      </c>
      <c r="G2381" t="s">
        <v>32</v>
      </c>
      <c r="H2381" t="s">
        <v>25</v>
      </c>
      <c r="I2381" t="s">
        <v>39</v>
      </c>
      <c r="J2381" t="s">
        <v>27</v>
      </c>
    </row>
    <row r="2382" spans="1:10">
      <c r="A2382" t="s">
        <v>3658</v>
      </c>
      <c r="B2382" t="s">
        <v>812</v>
      </c>
      <c r="C2382" t="s">
        <v>192</v>
      </c>
      <c r="D2382" t="s">
        <v>22</v>
      </c>
      <c r="E2382">
        <v>-192462</v>
      </c>
      <c r="F2382" t="s">
        <v>23</v>
      </c>
      <c r="G2382" t="s">
        <v>24</v>
      </c>
      <c r="H2382" t="s">
        <v>25</v>
      </c>
      <c r="I2382" t="s">
        <v>26</v>
      </c>
      <c r="J2382" t="s">
        <v>27</v>
      </c>
    </row>
    <row r="2383" spans="1:10">
      <c r="A2383" t="s">
        <v>3659</v>
      </c>
      <c r="B2383" t="s">
        <v>3660</v>
      </c>
      <c r="C2383" t="s">
        <v>103</v>
      </c>
      <c r="E2383">
        <v>-27616</v>
      </c>
      <c r="F2383" t="s">
        <v>23</v>
      </c>
      <c r="G2383" t="s">
        <v>32</v>
      </c>
      <c r="H2383" t="s">
        <v>79</v>
      </c>
      <c r="I2383" t="s">
        <v>26</v>
      </c>
      <c r="J2383" t="s">
        <v>48</v>
      </c>
    </row>
    <row r="2384" spans="1:10">
      <c r="A2384" t="s">
        <v>3661</v>
      </c>
      <c r="B2384" t="s">
        <v>3316</v>
      </c>
      <c r="C2384" t="s">
        <v>72</v>
      </c>
      <c r="D2384" t="s">
        <v>73</v>
      </c>
      <c r="E2384">
        <v>-75862</v>
      </c>
      <c r="F2384" t="s">
        <v>74</v>
      </c>
      <c r="G2384" t="s">
        <v>32</v>
      </c>
      <c r="H2384" t="s">
        <v>25</v>
      </c>
      <c r="I2384" t="s">
        <v>26</v>
      </c>
      <c r="J2384" t="s">
        <v>40</v>
      </c>
    </row>
    <row r="2385" spans="1:10">
      <c r="A2385" t="s">
        <v>3662</v>
      </c>
      <c r="B2385" t="s">
        <v>2884</v>
      </c>
      <c r="C2385" t="s">
        <v>37</v>
      </c>
      <c r="D2385" t="s">
        <v>38</v>
      </c>
      <c r="E2385">
        <v>-23136</v>
      </c>
      <c r="F2385" t="s">
        <v>23</v>
      </c>
      <c r="G2385" t="s">
        <v>24</v>
      </c>
      <c r="H2385" t="s">
        <v>33</v>
      </c>
      <c r="I2385" t="s">
        <v>45</v>
      </c>
      <c r="J2385" t="s">
        <v>40</v>
      </c>
    </row>
    <row r="2386" spans="1:10">
      <c r="A2386" t="s">
        <v>3663</v>
      </c>
      <c r="B2386" t="s">
        <v>1830</v>
      </c>
      <c r="C2386" t="s">
        <v>215</v>
      </c>
      <c r="D2386" t="s">
        <v>61</v>
      </c>
      <c r="E2386">
        <v>-17318</v>
      </c>
      <c r="F2386" t="s">
        <v>62</v>
      </c>
      <c r="G2386" t="s">
        <v>32</v>
      </c>
      <c r="H2386" t="s">
        <v>63</v>
      </c>
      <c r="I2386" t="s">
        <v>45</v>
      </c>
      <c r="J2386" t="s">
        <v>27</v>
      </c>
    </row>
    <row r="2387" spans="1:10">
      <c r="A2387" t="s">
        <v>3664</v>
      </c>
      <c r="B2387" t="s">
        <v>743</v>
      </c>
      <c r="C2387" t="s">
        <v>60</v>
      </c>
      <c r="D2387" t="s">
        <v>61</v>
      </c>
      <c r="E2387">
        <v>-42498</v>
      </c>
      <c r="F2387" t="s">
        <v>62</v>
      </c>
      <c r="G2387" t="s">
        <v>24</v>
      </c>
      <c r="H2387" t="s">
        <v>63</v>
      </c>
      <c r="I2387" t="s">
        <v>45</v>
      </c>
      <c r="J2387" t="s">
        <v>40</v>
      </c>
    </row>
    <row r="2388" spans="1:10">
      <c r="A2388" t="s">
        <v>3665</v>
      </c>
      <c r="B2388" t="s">
        <v>2909</v>
      </c>
      <c r="C2388" t="s">
        <v>84</v>
      </c>
      <c r="D2388" t="s">
        <v>664</v>
      </c>
      <c r="E2388">
        <v>-91588</v>
      </c>
      <c r="F2388" t="s">
        <v>23</v>
      </c>
      <c r="G2388" t="s">
        <v>32</v>
      </c>
      <c r="H2388" t="s">
        <v>79</v>
      </c>
      <c r="I2388" t="s">
        <v>45</v>
      </c>
      <c r="J2388" t="s">
        <v>34</v>
      </c>
    </row>
    <row r="2389" spans="1:10">
      <c r="A2389" t="s">
        <v>3666</v>
      </c>
      <c r="B2389" t="s">
        <v>2524</v>
      </c>
      <c r="C2389" t="s">
        <v>60</v>
      </c>
      <c r="D2389" t="s">
        <v>61</v>
      </c>
      <c r="E2389">
        <v>-57275</v>
      </c>
      <c r="F2389" t="s">
        <v>62</v>
      </c>
      <c r="G2389" t="s">
        <v>32</v>
      </c>
      <c r="H2389" t="s">
        <v>63</v>
      </c>
      <c r="I2389" t="s">
        <v>39</v>
      </c>
      <c r="J2389" t="s">
        <v>48</v>
      </c>
    </row>
    <row r="2390" spans="1:10">
      <c r="A2390" t="s">
        <v>3667</v>
      </c>
      <c r="B2390" t="s">
        <v>2381</v>
      </c>
      <c r="C2390" t="s">
        <v>100</v>
      </c>
      <c r="D2390" t="s">
        <v>31</v>
      </c>
      <c r="E2390">
        <v>-40848</v>
      </c>
      <c r="F2390" t="s">
        <v>23</v>
      </c>
      <c r="G2390" t="s">
        <v>24</v>
      </c>
      <c r="H2390" t="s">
        <v>33</v>
      </c>
      <c r="I2390" t="s">
        <v>45</v>
      </c>
      <c r="J2390" t="s">
        <v>40</v>
      </c>
    </row>
    <row r="2391" spans="1:10">
      <c r="A2391" t="s">
        <v>3668</v>
      </c>
      <c r="B2391" t="s">
        <v>494</v>
      </c>
      <c r="C2391" t="s">
        <v>51</v>
      </c>
      <c r="D2391" t="s">
        <v>31</v>
      </c>
      <c r="E2391">
        <v>-41249</v>
      </c>
      <c r="F2391" t="s">
        <v>23</v>
      </c>
      <c r="G2391" t="s">
        <v>32</v>
      </c>
      <c r="H2391" t="s">
        <v>33</v>
      </c>
      <c r="I2391" t="s">
        <v>39</v>
      </c>
      <c r="J2391" t="s">
        <v>27</v>
      </c>
    </row>
    <row r="2392" spans="1:10">
      <c r="A2392" t="s">
        <v>3669</v>
      </c>
      <c r="B2392" t="s">
        <v>2943</v>
      </c>
      <c r="C2392" t="s">
        <v>119</v>
      </c>
      <c r="D2392" t="s">
        <v>73</v>
      </c>
      <c r="E2392">
        <v>-64687</v>
      </c>
      <c r="F2392" t="s">
        <v>74</v>
      </c>
      <c r="G2392" t="s">
        <v>32</v>
      </c>
      <c r="H2392" t="s">
        <v>25</v>
      </c>
      <c r="I2392" t="s">
        <v>45</v>
      </c>
      <c r="J2392" t="s">
        <v>27</v>
      </c>
    </row>
    <row r="2393" spans="1:10">
      <c r="A2393" t="s">
        <v>3670</v>
      </c>
      <c r="B2393" t="s">
        <v>1573</v>
      </c>
      <c r="C2393" t="s">
        <v>305</v>
      </c>
      <c r="D2393" t="s">
        <v>38</v>
      </c>
      <c r="E2393">
        <v>-13455</v>
      </c>
      <c r="F2393" t="s">
        <v>23</v>
      </c>
      <c r="G2393" t="s">
        <v>24</v>
      </c>
      <c r="H2393" t="s">
        <v>33</v>
      </c>
      <c r="I2393" t="s">
        <v>45</v>
      </c>
      <c r="J2393" t="s">
        <v>34</v>
      </c>
    </row>
    <row r="2394" spans="1:10">
      <c r="A2394" t="s">
        <v>3671</v>
      </c>
      <c r="B2394" t="s">
        <v>2436</v>
      </c>
      <c r="C2394" t="s">
        <v>143</v>
      </c>
      <c r="D2394" t="s">
        <v>664</v>
      </c>
      <c r="E2394">
        <v>-56665</v>
      </c>
      <c r="F2394" t="s">
        <v>23</v>
      </c>
      <c r="G2394" t="s">
        <v>24</v>
      </c>
      <c r="H2394" t="s">
        <v>79</v>
      </c>
      <c r="I2394" t="s">
        <v>39</v>
      </c>
      <c r="J2394" t="s">
        <v>40</v>
      </c>
    </row>
    <row r="2395" spans="1:10">
      <c r="A2395" t="s">
        <v>3672</v>
      </c>
      <c r="B2395" t="s">
        <v>1357</v>
      </c>
      <c r="C2395" t="s">
        <v>616</v>
      </c>
      <c r="D2395" t="s">
        <v>22</v>
      </c>
      <c r="E2395">
        <v>-104553</v>
      </c>
      <c r="F2395" t="s">
        <v>23</v>
      </c>
      <c r="G2395" t="s">
        <v>24</v>
      </c>
      <c r="H2395" t="s">
        <v>25</v>
      </c>
      <c r="I2395" t="s">
        <v>45</v>
      </c>
      <c r="J2395" t="s">
        <v>48</v>
      </c>
    </row>
    <row r="2396" spans="1:10">
      <c r="A2396" t="s">
        <v>3673</v>
      </c>
      <c r="B2396" t="s">
        <v>3674</v>
      </c>
      <c r="C2396" t="s">
        <v>77</v>
      </c>
      <c r="D2396" t="s">
        <v>78</v>
      </c>
      <c r="E2396">
        <v>-83835</v>
      </c>
      <c r="F2396" t="s">
        <v>23</v>
      </c>
      <c r="G2396" t="s">
        <v>24</v>
      </c>
      <c r="H2396" t="s">
        <v>79</v>
      </c>
      <c r="I2396" t="s">
        <v>45</v>
      </c>
      <c r="J2396" t="s">
        <v>27</v>
      </c>
    </row>
    <row r="2397" spans="1:10">
      <c r="A2397" t="s">
        <v>3675</v>
      </c>
      <c r="B2397" t="s">
        <v>941</v>
      </c>
      <c r="C2397" t="s">
        <v>215</v>
      </c>
      <c r="D2397" t="s">
        <v>61</v>
      </c>
      <c r="E2397">
        <v>-39657</v>
      </c>
      <c r="F2397" t="s">
        <v>62</v>
      </c>
      <c r="G2397" t="s">
        <v>32</v>
      </c>
      <c r="H2397" t="s">
        <v>63</v>
      </c>
      <c r="I2397" t="s">
        <v>45</v>
      </c>
      <c r="J2397" t="s">
        <v>48</v>
      </c>
    </row>
    <row r="2398" spans="1:10">
      <c r="A2398" t="s">
        <v>3676</v>
      </c>
      <c r="B2398" t="s">
        <v>1496</v>
      </c>
      <c r="C2398" t="s">
        <v>174</v>
      </c>
      <c r="D2398" t="s">
        <v>331</v>
      </c>
      <c r="E2398">
        <v>-104339</v>
      </c>
      <c r="F2398" t="s">
        <v>23</v>
      </c>
      <c r="G2398" t="s">
        <v>24</v>
      </c>
      <c r="H2398" t="s">
        <v>25</v>
      </c>
      <c r="I2398" t="s">
        <v>45</v>
      </c>
      <c r="J2398" t="s">
        <v>34</v>
      </c>
    </row>
    <row r="2399" spans="1:10">
      <c r="A2399" t="s">
        <v>3677</v>
      </c>
      <c r="B2399" t="s">
        <v>438</v>
      </c>
      <c r="C2399" t="s">
        <v>339</v>
      </c>
      <c r="D2399" t="s">
        <v>157</v>
      </c>
      <c r="E2399">
        <v>613489</v>
      </c>
      <c r="F2399" t="s">
        <v>62</v>
      </c>
      <c r="G2399" t="s">
        <v>32</v>
      </c>
      <c r="H2399" t="s">
        <v>25</v>
      </c>
      <c r="I2399" t="s">
        <v>45</v>
      </c>
      <c r="J2399" t="s">
        <v>40</v>
      </c>
    </row>
    <row r="2400" spans="1:10">
      <c r="A2400" t="s">
        <v>3678</v>
      </c>
      <c r="B2400" t="s">
        <v>3090</v>
      </c>
      <c r="C2400" t="s">
        <v>271</v>
      </c>
      <c r="D2400" t="s">
        <v>73</v>
      </c>
      <c r="E2400">
        <v>-35926</v>
      </c>
      <c r="F2400" t="s">
        <v>74</v>
      </c>
      <c r="G2400" t="s">
        <v>32</v>
      </c>
      <c r="H2400" t="s">
        <v>25</v>
      </c>
      <c r="I2400" t="s">
        <v>45</v>
      </c>
      <c r="J2400" t="s">
        <v>34</v>
      </c>
    </row>
    <row r="2401" spans="1:10">
      <c r="A2401" t="s">
        <v>3679</v>
      </c>
      <c r="B2401" t="s">
        <v>578</v>
      </c>
      <c r="C2401" t="s">
        <v>143</v>
      </c>
      <c r="D2401" t="s">
        <v>78</v>
      </c>
      <c r="E2401">
        <v>-38529</v>
      </c>
      <c r="F2401" t="s">
        <v>23</v>
      </c>
      <c r="G2401" t="s">
        <v>24</v>
      </c>
      <c r="H2401" t="s">
        <v>79</v>
      </c>
      <c r="I2401" t="s">
        <v>45</v>
      </c>
      <c r="J2401" t="s">
        <v>48</v>
      </c>
    </row>
    <row r="2402" spans="1:10">
      <c r="A2402" t="s">
        <v>3680</v>
      </c>
      <c r="B2402" t="s">
        <v>705</v>
      </c>
      <c r="C2402" t="s">
        <v>116</v>
      </c>
      <c r="D2402" t="s">
        <v>302</v>
      </c>
      <c r="E2402">
        <v>-77534</v>
      </c>
      <c r="F2402" t="s">
        <v>74</v>
      </c>
      <c r="G2402" t="s">
        <v>32</v>
      </c>
      <c r="H2402" t="s">
        <v>25</v>
      </c>
      <c r="I2402" t="s">
        <v>26</v>
      </c>
      <c r="J2402" t="s">
        <v>40</v>
      </c>
    </row>
    <row r="2403" spans="1:10">
      <c r="A2403" t="s">
        <v>3681</v>
      </c>
      <c r="B2403" t="s">
        <v>602</v>
      </c>
      <c r="C2403" t="s">
        <v>202</v>
      </c>
      <c r="D2403" t="s">
        <v>22</v>
      </c>
      <c r="E2403">
        <v>-80391</v>
      </c>
      <c r="F2403" t="s">
        <v>23</v>
      </c>
      <c r="G2403" t="s">
        <v>24</v>
      </c>
      <c r="H2403" t="s">
        <v>25</v>
      </c>
      <c r="I2403" t="s">
        <v>26</v>
      </c>
      <c r="J2403" t="s">
        <v>34</v>
      </c>
    </row>
    <row r="2404" spans="1:10">
      <c r="A2404" t="s">
        <v>3682</v>
      </c>
      <c r="B2404" t="s">
        <v>2101</v>
      </c>
      <c r="C2404" t="s">
        <v>106</v>
      </c>
      <c r="D2404" t="s">
        <v>31</v>
      </c>
      <c r="E2404">
        <v>-38282</v>
      </c>
      <c r="F2404" t="s">
        <v>23</v>
      </c>
      <c r="G2404" t="s">
        <v>32</v>
      </c>
      <c r="H2404" t="s">
        <v>33</v>
      </c>
      <c r="I2404" t="s">
        <v>26</v>
      </c>
      <c r="J2404" t="s">
        <v>40</v>
      </c>
    </row>
    <row r="2405" spans="1:10">
      <c r="A2405" t="s">
        <v>3683</v>
      </c>
      <c r="B2405" t="s">
        <v>265</v>
      </c>
      <c r="C2405" t="s">
        <v>54</v>
      </c>
      <c r="D2405" t="s">
        <v>38</v>
      </c>
      <c r="E2405">
        <v>-40644</v>
      </c>
      <c r="F2405" t="s">
        <v>23</v>
      </c>
      <c r="G2405" t="s">
        <v>24</v>
      </c>
      <c r="H2405" t="s">
        <v>33</v>
      </c>
      <c r="I2405" t="s">
        <v>39</v>
      </c>
      <c r="J2405" t="s">
        <v>34</v>
      </c>
    </row>
    <row r="2406" spans="1:10">
      <c r="A2406" t="s">
        <v>3684</v>
      </c>
      <c r="B2406" t="s">
        <v>392</v>
      </c>
      <c r="C2406" t="s">
        <v>21</v>
      </c>
      <c r="D2406" t="s">
        <v>22</v>
      </c>
      <c r="E2406">
        <v>-202878</v>
      </c>
      <c r="F2406" t="s">
        <v>23</v>
      </c>
      <c r="G2406" t="s">
        <v>24</v>
      </c>
      <c r="H2406" t="s">
        <v>25</v>
      </c>
      <c r="I2406" t="s">
        <v>45</v>
      </c>
      <c r="J2406" t="s">
        <v>40</v>
      </c>
    </row>
    <row r="2407" spans="1:10">
      <c r="A2407" t="s">
        <v>3685</v>
      </c>
      <c r="B2407" t="s">
        <v>460</v>
      </c>
      <c r="C2407" t="s">
        <v>143</v>
      </c>
      <c r="D2407" t="s">
        <v>78</v>
      </c>
      <c r="E2407">
        <v>-39345</v>
      </c>
      <c r="F2407" t="s">
        <v>23</v>
      </c>
      <c r="G2407" t="s">
        <v>32</v>
      </c>
      <c r="H2407" t="s">
        <v>79</v>
      </c>
      <c r="I2407" t="s">
        <v>26</v>
      </c>
      <c r="J2407" t="s">
        <v>40</v>
      </c>
    </row>
    <row r="2408" spans="1:10">
      <c r="A2408" t="s">
        <v>3686</v>
      </c>
      <c r="B2408" t="s">
        <v>925</v>
      </c>
      <c r="C2408" t="s">
        <v>143</v>
      </c>
      <c r="D2408" t="s">
        <v>78</v>
      </c>
      <c r="E2408">
        <v>-107566</v>
      </c>
      <c r="F2408" t="s">
        <v>23</v>
      </c>
      <c r="G2408" t="s">
        <v>32</v>
      </c>
      <c r="H2408" t="s">
        <v>79</v>
      </c>
      <c r="I2408" t="s">
        <v>45</v>
      </c>
      <c r="J2408" t="s">
        <v>48</v>
      </c>
    </row>
    <row r="2409" spans="1:10">
      <c r="A2409" t="s">
        <v>3687</v>
      </c>
      <c r="B2409" t="s">
        <v>428</v>
      </c>
      <c r="C2409" t="s">
        <v>116</v>
      </c>
      <c r="D2409" t="s">
        <v>73</v>
      </c>
      <c r="E2409">
        <v>-64850</v>
      </c>
      <c r="F2409" t="s">
        <v>74</v>
      </c>
      <c r="G2409" t="s">
        <v>32</v>
      </c>
      <c r="H2409" t="s">
        <v>25</v>
      </c>
      <c r="I2409" t="s">
        <v>39</v>
      </c>
      <c r="J2409" t="s">
        <v>40</v>
      </c>
    </row>
    <row r="2410" spans="1:10">
      <c r="A2410" t="s">
        <v>3688</v>
      </c>
      <c r="B2410" t="s">
        <v>3689</v>
      </c>
      <c r="C2410" t="s">
        <v>166</v>
      </c>
      <c r="D2410" t="s">
        <v>31</v>
      </c>
      <c r="E2410">
        <v>-30977</v>
      </c>
      <c r="F2410" t="s">
        <v>23</v>
      </c>
      <c r="G2410" t="s">
        <v>32</v>
      </c>
      <c r="H2410" t="s">
        <v>33</v>
      </c>
      <c r="I2410" t="s">
        <v>39</v>
      </c>
      <c r="J2410" t="s">
        <v>34</v>
      </c>
    </row>
    <row r="2411" spans="1:10">
      <c r="A2411" t="s">
        <v>3690</v>
      </c>
      <c r="B2411" t="s">
        <v>3691</v>
      </c>
      <c r="C2411" t="s">
        <v>77</v>
      </c>
      <c r="D2411" t="s">
        <v>78</v>
      </c>
      <c r="E2411">
        <v>-109223</v>
      </c>
      <c r="F2411" t="s">
        <v>23</v>
      </c>
      <c r="G2411" t="s">
        <v>24</v>
      </c>
      <c r="H2411" t="s">
        <v>79</v>
      </c>
      <c r="I2411" t="s">
        <v>26</v>
      </c>
      <c r="J2411" t="s">
        <v>34</v>
      </c>
    </row>
    <row r="2412" spans="1:10">
      <c r="A2412" t="s">
        <v>3692</v>
      </c>
      <c r="B2412" t="s">
        <v>3693</v>
      </c>
      <c r="C2412" t="s">
        <v>169</v>
      </c>
      <c r="D2412" t="s">
        <v>73</v>
      </c>
      <c r="E2412">
        <v>-8692</v>
      </c>
      <c r="F2412" t="s">
        <v>74</v>
      </c>
      <c r="G2412" t="s">
        <v>32</v>
      </c>
      <c r="H2412" t="s">
        <v>25</v>
      </c>
      <c r="I2412" t="s">
        <v>39</v>
      </c>
      <c r="J2412" t="s">
        <v>34</v>
      </c>
    </row>
    <row r="2413" spans="1:10">
      <c r="A2413" t="s">
        <v>3694</v>
      </c>
      <c r="B2413" t="s">
        <v>3695</v>
      </c>
      <c r="C2413" t="s">
        <v>1048</v>
      </c>
      <c r="D2413" t="s">
        <v>31</v>
      </c>
      <c r="E2413">
        <v>-42789</v>
      </c>
      <c r="F2413" t="s">
        <v>23</v>
      </c>
      <c r="G2413" t="s">
        <v>32</v>
      </c>
      <c r="H2413" t="s">
        <v>33</v>
      </c>
      <c r="I2413" t="s">
        <v>39</v>
      </c>
      <c r="J2413" t="s">
        <v>27</v>
      </c>
    </row>
    <row r="2414" spans="1:10">
      <c r="A2414" t="s">
        <v>3696</v>
      </c>
      <c r="B2414" t="s">
        <v>2327</v>
      </c>
      <c r="C2414" t="s">
        <v>106</v>
      </c>
      <c r="D2414" t="s">
        <v>31</v>
      </c>
      <c r="E2414">
        <v>-20188</v>
      </c>
      <c r="F2414" t="s">
        <v>23</v>
      </c>
      <c r="G2414" t="s">
        <v>32</v>
      </c>
      <c r="H2414" t="s">
        <v>33</v>
      </c>
      <c r="I2414" t="s">
        <v>39</v>
      </c>
      <c r="J2414" t="s">
        <v>27</v>
      </c>
    </row>
    <row r="2415" spans="1:10">
      <c r="A2415" t="s">
        <v>3697</v>
      </c>
      <c r="B2415" t="s">
        <v>68</v>
      </c>
      <c r="C2415" t="s">
        <v>93</v>
      </c>
      <c r="D2415" t="s">
        <v>73</v>
      </c>
      <c r="E2415">
        <v>-27516</v>
      </c>
      <c r="F2415" t="s">
        <v>74</v>
      </c>
      <c r="G2415" t="s">
        <v>24</v>
      </c>
      <c r="H2415" t="s">
        <v>25</v>
      </c>
      <c r="I2415" t="s">
        <v>39</v>
      </c>
      <c r="J2415" t="s">
        <v>27</v>
      </c>
    </row>
    <row r="2416" spans="1:10">
      <c r="A2416" t="s">
        <v>3698</v>
      </c>
      <c r="B2416" t="s">
        <v>1295</v>
      </c>
      <c r="C2416" t="s">
        <v>293</v>
      </c>
      <c r="D2416" t="s">
        <v>157</v>
      </c>
      <c r="E2416">
        <v>559436</v>
      </c>
      <c r="F2416" t="s">
        <v>62</v>
      </c>
      <c r="G2416" t="s">
        <v>32</v>
      </c>
      <c r="H2416" t="s">
        <v>25</v>
      </c>
      <c r="I2416" t="s">
        <v>26</v>
      </c>
      <c r="J2416" t="s">
        <v>27</v>
      </c>
    </row>
    <row r="2417" spans="1:10">
      <c r="A2417" t="s">
        <v>3699</v>
      </c>
      <c r="B2417" t="s">
        <v>3700</v>
      </c>
      <c r="C2417" t="s">
        <v>166</v>
      </c>
      <c r="D2417" t="s">
        <v>31</v>
      </c>
      <c r="E2417">
        <v>-25411</v>
      </c>
      <c r="F2417" t="s">
        <v>23</v>
      </c>
      <c r="G2417" t="s">
        <v>24</v>
      </c>
      <c r="H2417" t="s">
        <v>33</v>
      </c>
      <c r="I2417" t="s">
        <v>39</v>
      </c>
      <c r="J2417" t="s">
        <v>48</v>
      </c>
    </row>
    <row r="2418" spans="1:10">
      <c r="A2418" t="s">
        <v>3701</v>
      </c>
      <c r="B2418" t="s">
        <v>2029</v>
      </c>
      <c r="C2418" t="s">
        <v>132</v>
      </c>
      <c r="D2418" t="s">
        <v>302</v>
      </c>
      <c r="E2418">
        <v>-78899</v>
      </c>
      <c r="F2418" t="s">
        <v>74</v>
      </c>
      <c r="G2418" t="s">
        <v>32</v>
      </c>
      <c r="H2418" t="s">
        <v>25</v>
      </c>
      <c r="I2418" t="s">
        <v>39</v>
      </c>
      <c r="J2418" t="s">
        <v>27</v>
      </c>
    </row>
    <row r="2419" spans="1:10">
      <c r="A2419" t="s">
        <v>3702</v>
      </c>
      <c r="B2419" t="s">
        <v>1023</v>
      </c>
      <c r="C2419" t="s">
        <v>66</v>
      </c>
      <c r="D2419" t="s">
        <v>61</v>
      </c>
      <c r="E2419">
        <v>-58456</v>
      </c>
      <c r="F2419" t="s">
        <v>62</v>
      </c>
      <c r="G2419" t="s">
        <v>24</v>
      </c>
      <c r="H2419" t="s">
        <v>63</v>
      </c>
      <c r="I2419" t="s">
        <v>39</v>
      </c>
      <c r="J2419" t="s">
        <v>48</v>
      </c>
    </row>
    <row r="2420" spans="1:10">
      <c r="A2420" t="s">
        <v>3703</v>
      </c>
      <c r="B2420" t="s">
        <v>2737</v>
      </c>
      <c r="C2420" t="s">
        <v>77</v>
      </c>
      <c r="D2420" t="s">
        <v>78</v>
      </c>
      <c r="E2420">
        <v>-93804</v>
      </c>
      <c r="F2420" t="s">
        <v>23</v>
      </c>
      <c r="G2420" t="s">
        <v>24</v>
      </c>
      <c r="H2420" t="s">
        <v>79</v>
      </c>
      <c r="I2420" t="s">
        <v>26</v>
      </c>
      <c r="J2420" t="s">
        <v>27</v>
      </c>
    </row>
    <row r="2421" spans="1:10">
      <c r="A2421" t="s">
        <v>3704</v>
      </c>
      <c r="B2421" t="s">
        <v>1159</v>
      </c>
      <c r="C2421" t="s">
        <v>143</v>
      </c>
      <c r="D2421" t="s">
        <v>78</v>
      </c>
      <c r="E2421">
        <v>-23281</v>
      </c>
      <c r="F2421" t="s">
        <v>23</v>
      </c>
      <c r="G2421" t="s">
        <v>32</v>
      </c>
      <c r="H2421" t="s">
        <v>79</v>
      </c>
      <c r="I2421" t="s">
        <v>39</v>
      </c>
      <c r="J2421" t="s">
        <v>40</v>
      </c>
    </row>
    <row r="2422" spans="1:10">
      <c r="A2422" t="s">
        <v>3705</v>
      </c>
      <c r="B2422" t="s">
        <v>3706</v>
      </c>
      <c r="C2422" t="s">
        <v>180</v>
      </c>
      <c r="D2422" t="s">
        <v>44</v>
      </c>
      <c r="E2422">
        <v>-113471</v>
      </c>
      <c r="F2422" t="s">
        <v>23</v>
      </c>
      <c r="G2422" t="s">
        <v>24</v>
      </c>
      <c r="H2422" t="s">
        <v>33</v>
      </c>
      <c r="I2422" t="s">
        <v>26</v>
      </c>
      <c r="J2422" t="s">
        <v>48</v>
      </c>
    </row>
    <row r="2423" spans="1:10">
      <c r="A2423" t="s">
        <v>3707</v>
      </c>
      <c r="B2423" t="s">
        <v>1617</v>
      </c>
      <c r="C2423" t="s">
        <v>72</v>
      </c>
      <c r="D2423" t="s">
        <v>302</v>
      </c>
      <c r="E2423">
        <v>-25284</v>
      </c>
      <c r="F2423" t="s">
        <v>74</v>
      </c>
      <c r="G2423" t="s">
        <v>24</v>
      </c>
      <c r="H2423" t="s">
        <v>25</v>
      </c>
      <c r="I2423" t="s">
        <v>45</v>
      </c>
      <c r="J2423" t="s">
        <v>40</v>
      </c>
    </row>
    <row r="2424" spans="1:10">
      <c r="A2424" t="s">
        <v>3708</v>
      </c>
      <c r="B2424" t="s">
        <v>2129</v>
      </c>
      <c r="C2424" t="s">
        <v>169</v>
      </c>
      <c r="D2424" t="s">
        <v>73</v>
      </c>
      <c r="E2424">
        <v>-82630</v>
      </c>
      <c r="F2424" t="s">
        <v>74</v>
      </c>
      <c r="G2424" t="s">
        <v>24</v>
      </c>
      <c r="H2424" t="s">
        <v>25</v>
      </c>
      <c r="I2424" t="s">
        <v>39</v>
      </c>
      <c r="J2424" t="s">
        <v>48</v>
      </c>
    </row>
    <row r="2425" spans="1:10">
      <c r="A2425" t="s">
        <v>3709</v>
      </c>
      <c r="B2425" t="s">
        <v>432</v>
      </c>
      <c r="C2425" t="s">
        <v>51</v>
      </c>
      <c r="D2425" t="s">
        <v>31</v>
      </c>
      <c r="E2425">
        <v>-5625</v>
      </c>
      <c r="F2425" t="s">
        <v>23</v>
      </c>
      <c r="G2425" t="s">
        <v>32</v>
      </c>
      <c r="H2425" t="s">
        <v>33</v>
      </c>
      <c r="I2425" t="s">
        <v>26</v>
      </c>
      <c r="J2425" t="s">
        <v>27</v>
      </c>
    </row>
    <row r="2426" spans="1:10">
      <c r="A2426" t="s">
        <v>3710</v>
      </c>
      <c r="B2426" t="s">
        <v>895</v>
      </c>
      <c r="C2426" t="s">
        <v>156</v>
      </c>
      <c r="D2426" t="s">
        <v>157</v>
      </c>
      <c r="E2426">
        <v>734588</v>
      </c>
      <c r="F2426" t="s">
        <v>62</v>
      </c>
      <c r="G2426" t="s">
        <v>32</v>
      </c>
      <c r="H2426" t="s">
        <v>25</v>
      </c>
      <c r="I2426" t="s">
        <v>39</v>
      </c>
      <c r="J2426" t="s">
        <v>27</v>
      </c>
    </row>
    <row r="2427" spans="1:10">
      <c r="A2427" t="s">
        <v>3711</v>
      </c>
      <c r="B2427" t="s">
        <v>3712</v>
      </c>
      <c r="C2427" t="s">
        <v>66</v>
      </c>
      <c r="D2427" t="s">
        <v>61</v>
      </c>
      <c r="E2427">
        <v>-52992</v>
      </c>
      <c r="F2427" t="s">
        <v>62</v>
      </c>
      <c r="G2427" t="s">
        <v>24</v>
      </c>
      <c r="H2427" t="s">
        <v>63</v>
      </c>
      <c r="I2427" t="s">
        <v>45</v>
      </c>
      <c r="J2427" t="s">
        <v>48</v>
      </c>
    </row>
    <row r="2428" spans="1:10">
      <c r="A2428" t="s">
        <v>3713</v>
      </c>
      <c r="B2428" t="s">
        <v>1333</v>
      </c>
      <c r="C2428" t="s">
        <v>2229</v>
      </c>
      <c r="D2428" t="s">
        <v>61</v>
      </c>
      <c r="E2428">
        <v>-35170</v>
      </c>
      <c r="F2428" t="s">
        <v>62</v>
      </c>
      <c r="G2428" t="s">
        <v>32</v>
      </c>
      <c r="H2428" t="s">
        <v>63</v>
      </c>
      <c r="I2428" t="s">
        <v>45</v>
      </c>
      <c r="J2428" t="s">
        <v>27</v>
      </c>
    </row>
    <row r="2429" spans="1:10">
      <c r="A2429" t="s">
        <v>3714</v>
      </c>
      <c r="B2429" t="s">
        <v>827</v>
      </c>
      <c r="C2429" t="s">
        <v>132</v>
      </c>
      <c r="D2429" t="s">
        <v>73</v>
      </c>
      <c r="E2429">
        <v>-50583</v>
      </c>
      <c r="F2429" t="s">
        <v>74</v>
      </c>
      <c r="G2429" t="s">
        <v>24</v>
      </c>
      <c r="H2429" t="s">
        <v>25</v>
      </c>
      <c r="I2429" t="s">
        <v>45</v>
      </c>
      <c r="J2429" t="s">
        <v>34</v>
      </c>
    </row>
    <row r="2430" spans="1:10">
      <c r="A2430" t="s">
        <v>3715</v>
      </c>
      <c r="B2430" t="s">
        <v>3716</v>
      </c>
      <c r="C2430" t="s">
        <v>66</v>
      </c>
      <c r="D2430" t="s">
        <v>61</v>
      </c>
      <c r="E2430">
        <v>-41736</v>
      </c>
      <c r="F2430" t="s">
        <v>62</v>
      </c>
      <c r="G2430" t="s">
        <v>24</v>
      </c>
      <c r="H2430" t="s">
        <v>63</v>
      </c>
      <c r="I2430" t="s">
        <v>26</v>
      </c>
      <c r="J2430" t="s">
        <v>34</v>
      </c>
    </row>
    <row r="2431" spans="1:10">
      <c r="A2431" t="s">
        <v>3717</v>
      </c>
      <c r="B2431" t="s">
        <v>2044</v>
      </c>
      <c r="C2431" t="s">
        <v>468</v>
      </c>
      <c r="D2431" t="s">
        <v>440</v>
      </c>
      <c r="E2431">
        <v>-102730</v>
      </c>
      <c r="F2431" t="s">
        <v>23</v>
      </c>
      <c r="G2431" t="s">
        <v>24</v>
      </c>
      <c r="H2431" t="s">
        <v>33</v>
      </c>
      <c r="I2431" t="s">
        <v>45</v>
      </c>
      <c r="J2431" t="s">
        <v>40</v>
      </c>
    </row>
    <row r="2432" spans="1:10">
      <c r="A2432" t="s">
        <v>3718</v>
      </c>
      <c r="B2432" t="s">
        <v>3719</v>
      </c>
      <c r="C2432" t="s">
        <v>218</v>
      </c>
      <c r="D2432" t="s">
        <v>157</v>
      </c>
      <c r="E2432">
        <v>571939</v>
      </c>
      <c r="F2432" t="s">
        <v>62</v>
      </c>
      <c r="G2432" t="s">
        <v>32</v>
      </c>
      <c r="H2432" t="s">
        <v>25</v>
      </c>
      <c r="I2432" t="s">
        <v>45</v>
      </c>
      <c r="J2432" t="s">
        <v>34</v>
      </c>
    </row>
    <row r="2433" spans="1:10">
      <c r="A2433" t="s">
        <v>3720</v>
      </c>
      <c r="B2433" t="s">
        <v>1974</v>
      </c>
      <c r="C2433" t="s">
        <v>60</v>
      </c>
      <c r="D2433" t="s">
        <v>61</v>
      </c>
      <c r="E2433">
        <v>-27390</v>
      </c>
      <c r="F2433" t="s">
        <v>62</v>
      </c>
      <c r="G2433" t="s">
        <v>32</v>
      </c>
      <c r="H2433" t="s">
        <v>63</v>
      </c>
      <c r="I2433" t="s">
        <v>39</v>
      </c>
      <c r="J2433" t="s">
        <v>34</v>
      </c>
    </row>
    <row r="2434" spans="1:10">
      <c r="A2434" t="s">
        <v>3721</v>
      </c>
      <c r="B2434" t="s">
        <v>184</v>
      </c>
      <c r="C2434" t="s">
        <v>166</v>
      </c>
      <c r="D2434" t="s">
        <v>31</v>
      </c>
      <c r="E2434">
        <v>-4697</v>
      </c>
      <c r="F2434" t="s">
        <v>23</v>
      </c>
      <c r="G2434" t="s">
        <v>32</v>
      </c>
      <c r="H2434" t="s">
        <v>33</v>
      </c>
      <c r="I2434" t="s">
        <v>39</v>
      </c>
      <c r="J2434" t="s">
        <v>34</v>
      </c>
    </row>
    <row r="2435" spans="1:10">
      <c r="A2435" t="s">
        <v>3722</v>
      </c>
      <c r="B2435" t="s">
        <v>3723</v>
      </c>
      <c r="C2435" t="s">
        <v>21</v>
      </c>
      <c r="D2435" t="s">
        <v>22</v>
      </c>
      <c r="E2435">
        <v>-123097</v>
      </c>
      <c r="F2435" t="s">
        <v>23</v>
      </c>
      <c r="G2435" t="s">
        <v>32</v>
      </c>
      <c r="H2435" t="s">
        <v>25</v>
      </c>
      <c r="I2435" t="s">
        <v>39</v>
      </c>
      <c r="J2435" t="s">
        <v>48</v>
      </c>
    </row>
    <row r="2436" spans="1:10">
      <c r="A2436" t="s">
        <v>3724</v>
      </c>
      <c r="B2436" t="s">
        <v>2367</v>
      </c>
      <c r="C2436" t="s">
        <v>43</v>
      </c>
      <c r="D2436" t="s">
        <v>44</v>
      </c>
      <c r="E2436">
        <v>-154778</v>
      </c>
      <c r="F2436" t="s">
        <v>23</v>
      </c>
      <c r="G2436" t="s">
        <v>32</v>
      </c>
      <c r="H2436" t="s">
        <v>33</v>
      </c>
      <c r="I2436" t="s">
        <v>45</v>
      </c>
      <c r="J2436" t="s">
        <v>34</v>
      </c>
    </row>
    <row r="2437" spans="1:10">
      <c r="A2437" t="s">
        <v>3725</v>
      </c>
      <c r="B2437" t="s">
        <v>392</v>
      </c>
      <c r="C2437" t="s">
        <v>100</v>
      </c>
      <c r="D2437" t="s">
        <v>31</v>
      </c>
      <c r="E2437">
        <v>-21855</v>
      </c>
      <c r="F2437" t="s">
        <v>23</v>
      </c>
      <c r="G2437" t="s">
        <v>32</v>
      </c>
      <c r="H2437" t="s">
        <v>33</v>
      </c>
      <c r="I2437" t="s">
        <v>45</v>
      </c>
      <c r="J2437" t="s">
        <v>40</v>
      </c>
    </row>
    <row r="2438" spans="1:10">
      <c r="A2438" t="s">
        <v>3726</v>
      </c>
      <c r="B2438" t="s">
        <v>689</v>
      </c>
      <c r="C2438" t="s">
        <v>43</v>
      </c>
      <c r="D2438" t="s">
        <v>44</v>
      </c>
      <c r="E2438">
        <v>-159040</v>
      </c>
      <c r="F2438" t="s">
        <v>23</v>
      </c>
      <c r="G2438" t="s">
        <v>32</v>
      </c>
      <c r="H2438" t="s">
        <v>33</v>
      </c>
      <c r="I2438" t="s">
        <v>45</v>
      </c>
      <c r="J2438" t="s">
        <v>40</v>
      </c>
    </row>
    <row r="2439" spans="1:10">
      <c r="A2439" t="s">
        <v>3727</v>
      </c>
      <c r="B2439" t="s">
        <v>649</v>
      </c>
      <c r="C2439" t="s">
        <v>1481</v>
      </c>
      <c r="D2439" t="s">
        <v>22</v>
      </c>
      <c r="E2439">
        <v>-84485</v>
      </c>
      <c r="F2439" t="s">
        <v>23</v>
      </c>
      <c r="G2439" t="s">
        <v>24</v>
      </c>
      <c r="H2439" t="s">
        <v>25</v>
      </c>
      <c r="I2439" t="s">
        <v>39</v>
      </c>
      <c r="J2439" t="s">
        <v>48</v>
      </c>
    </row>
    <row r="2440" spans="1:10">
      <c r="A2440" t="s">
        <v>3728</v>
      </c>
      <c r="B2440" t="s">
        <v>3729</v>
      </c>
      <c r="C2440" t="s">
        <v>21</v>
      </c>
      <c r="D2440" t="s">
        <v>22</v>
      </c>
      <c r="E2440">
        <v>-156222</v>
      </c>
      <c r="F2440" t="s">
        <v>23</v>
      </c>
      <c r="G2440" t="s">
        <v>24</v>
      </c>
      <c r="H2440" t="s">
        <v>25</v>
      </c>
      <c r="I2440" t="s">
        <v>26</v>
      </c>
      <c r="J2440" t="s">
        <v>27</v>
      </c>
    </row>
    <row r="2441" spans="1:10">
      <c r="A2441" t="s">
        <v>3730</v>
      </c>
      <c r="B2441" t="s">
        <v>3706</v>
      </c>
      <c r="C2441" t="s">
        <v>30</v>
      </c>
      <c r="E2441">
        <v>-9851</v>
      </c>
      <c r="F2441" t="s">
        <v>23</v>
      </c>
      <c r="G2441" t="s">
        <v>32</v>
      </c>
      <c r="H2441" t="s">
        <v>33</v>
      </c>
      <c r="I2441" t="s">
        <v>26</v>
      </c>
      <c r="J2441" t="s">
        <v>48</v>
      </c>
    </row>
    <row r="2442" spans="1:10">
      <c r="A2442" t="s">
        <v>2511</v>
      </c>
      <c r="B2442" t="s">
        <v>1141</v>
      </c>
      <c r="C2442" t="s">
        <v>169</v>
      </c>
      <c r="D2442" t="s">
        <v>73</v>
      </c>
      <c r="E2442">
        <v>-61511</v>
      </c>
      <c r="F2442" t="s">
        <v>74</v>
      </c>
      <c r="G2442" t="s">
        <v>32</v>
      </c>
      <c r="H2442" t="s">
        <v>25</v>
      </c>
      <c r="I2442" t="s">
        <v>26</v>
      </c>
      <c r="J2442" t="s">
        <v>40</v>
      </c>
    </row>
    <row r="2443" spans="1:10">
      <c r="A2443" t="s">
        <v>3731</v>
      </c>
      <c r="B2443" t="s">
        <v>2282</v>
      </c>
      <c r="C2443" t="s">
        <v>43</v>
      </c>
      <c r="D2443" t="s">
        <v>44</v>
      </c>
      <c r="E2443">
        <v>-63280</v>
      </c>
      <c r="F2443" t="s">
        <v>23</v>
      </c>
      <c r="G2443" t="s">
        <v>24</v>
      </c>
      <c r="H2443" t="s">
        <v>33</v>
      </c>
      <c r="I2443" t="s">
        <v>39</v>
      </c>
      <c r="J2443" t="s">
        <v>48</v>
      </c>
    </row>
    <row r="2444" spans="1:10">
      <c r="A2444" t="s">
        <v>3732</v>
      </c>
      <c r="B2444" t="s">
        <v>2397</v>
      </c>
      <c r="C2444" t="s">
        <v>103</v>
      </c>
      <c r="D2444" t="s">
        <v>78</v>
      </c>
      <c r="E2444">
        <v>-36787</v>
      </c>
      <c r="F2444" t="s">
        <v>23</v>
      </c>
      <c r="G2444" t="s">
        <v>24</v>
      </c>
      <c r="H2444" t="s">
        <v>79</v>
      </c>
      <c r="I2444" t="s">
        <v>39</v>
      </c>
      <c r="J2444" t="s">
        <v>48</v>
      </c>
    </row>
    <row r="2445" spans="1:10">
      <c r="A2445" t="s">
        <v>3733</v>
      </c>
      <c r="B2445" t="s">
        <v>1483</v>
      </c>
      <c r="C2445" t="s">
        <v>212</v>
      </c>
      <c r="D2445" t="s">
        <v>73</v>
      </c>
      <c r="E2445">
        <v>-11129</v>
      </c>
      <c r="F2445" t="s">
        <v>74</v>
      </c>
      <c r="G2445" t="s">
        <v>32</v>
      </c>
      <c r="H2445" t="s">
        <v>25</v>
      </c>
      <c r="I2445" t="s">
        <v>45</v>
      </c>
      <c r="J2445" t="s">
        <v>27</v>
      </c>
    </row>
    <row r="2446" spans="1:10">
      <c r="A2446" t="s">
        <v>3734</v>
      </c>
      <c r="B2446" t="s">
        <v>3735</v>
      </c>
      <c r="C2446" t="s">
        <v>116</v>
      </c>
      <c r="D2446" t="s">
        <v>73</v>
      </c>
      <c r="E2446">
        <v>-44234</v>
      </c>
      <c r="F2446" t="s">
        <v>74</v>
      </c>
      <c r="G2446" t="s">
        <v>24</v>
      </c>
      <c r="H2446" t="s">
        <v>25</v>
      </c>
      <c r="I2446" t="s">
        <v>45</v>
      </c>
      <c r="J2446" t="s">
        <v>40</v>
      </c>
    </row>
    <row r="2447" spans="1:10">
      <c r="A2447" t="s">
        <v>3736</v>
      </c>
      <c r="B2447" t="s">
        <v>1061</v>
      </c>
      <c r="C2447" t="s">
        <v>757</v>
      </c>
      <c r="D2447" t="s">
        <v>157</v>
      </c>
      <c r="E2447">
        <v>550856</v>
      </c>
      <c r="F2447" t="s">
        <v>62</v>
      </c>
      <c r="G2447" t="s">
        <v>32</v>
      </c>
      <c r="H2447" t="s">
        <v>25</v>
      </c>
      <c r="I2447" t="s">
        <v>26</v>
      </c>
      <c r="J2447" t="s">
        <v>40</v>
      </c>
    </row>
    <row r="2448" spans="1:10">
      <c r="A2448" t="s">
        <v>3737</v>
      </c>
      <c r="B2448" t="s">
        <v>3719</v>
      </c>
      <c r="C2448" t="s">
        <v>106</v>
      </c>
      <c r="D2448" t="s">
        <v>31</v>
      </c>
      <c r="E2448">
        <v>-4723</v>
      </c>
      <c r="F2448" t="s">
        <v>23</v>
      </c>
      <c r="G2448" t="s">
        <v>32</v>
      </c>
      <c r="H2448" t="s">
        <v>33</v>
      </c>
      <c r="I2448" t="s">
        <v>45</v>
      </c>
      <c r="J2448" t="s">
        <v>34</v>
      </c>
    </row>
    <row r="2449" spans="1:10">
      <c r="A2449" t="s">
        <v>3738</v>
      </c>
      <c r="B2449" t="s">
        <v>110</v>
      </c>
      <c r="C2449" t="s">
        <v>43</v>
      </c>
      <c r="D2449" t="s">
        <v>44</v>
      </c>
      <c r="E2449">
        <v>-105169</v>
      </c>
      <c r="F2449" t="s">
        <v>23</v>
      </c>
      <c r="G2449" t="s">
        <v>24</v>
      </c>
      <c r="H2449" t="s">
        <v>33</v>
      </c>
      <c r="I2449" t="s">
        <v>39</v>
      </c>
      <c r="J2449" t="s">
        <v>34</v>
      </c>
    </row>
    <row r="2450" spans="1:10">
      <c r="A2450" t="s">
        <v>3739</v>
      </c>
      <c r="B2450" t="s">
        <v>3740</v>
      </c>
      <c r="C2450" t="s">
        <v>224</v>
      </c>
      <c r="D2450" t="s">
        <v>78</v>
      </c>
      <c r="E2450">
        <v>-43879</v>
      </c>
      <c r="F2450" t="s">
        <v>23</v>
      </c>
      <c r="G2450" t="s">
        <v>32</v>
      </c>
      <c r="H2450" t="s">
        <v>79</v>
      </c>
      <c r="I2450" t="s">
        <v>45</v>
      </c>
      <c r="J2450" t="s">
        <v>34</v>
      </c>
    </row>
    <row r="2451" spans="1:10">
      <c r="A2451" t="s">
        <v>3741</v>
      </c>
      <c r="B2451" t="s">
        <v>2993</v>
      </c>
      <c r="C2451" t="s">
        <v>687</v>
      </c>
      <c r="D2451" t="s">
        <v>388</v>
      </c>
      <c r="E2451">
        <v>-151376</v>
      </c>
      <c r="F2451" t="s">
        <v>23</v>
      </c>
      <c r="G2451" t="s">
        <v>32</v>
      </c>
      <c r="H2451" t="s">
        <v>33</v>
      </c>
      <c r="I2451" t="s">
        <v>26</v>
      </c>
      <c r="J2451" t="s">
        <v>34</v>
      </c>
    </row>
    <row r="2452" spans="1:10">
      <c r="A2452" t="s">
        <v>3742</v>
      </c>
      <c r="B2452" t="s">
        <v>2239</v>
      </c>
      <c r="C2452" t="s">
        <v>30</v>
      </c>
      <c r="D2452" t="s">
        <v>31</v>
      </c>
      <c r="E2452">
        <v>-8670</v>
      </c>
      <c r="F2452" t="s">
        <v>23</v>
      </c>
      <c r="G2452" t="s">
        <v>24</v>
      </c>
      <c r="H2452" t="s">
        <v>33</v>
      </c>
      <c r="I2452" t="s">
        <v>39</v>
      </c>
      <c r="J2452" t="s">
        <v>27</v>
      </c>
    </row>
    <row r="2453" spans="1:10">
      <c r="A2453" t="s">
        <v>3743</v>
      </c>
      <c r="B2453" t="s">
        <v>3456</v>
      </c>
      <c r="C2453" t="s">
        <v>77</v>
      </c>
      <c r="D2453" t="s">
        <v>664</v>
      </c>
      <c r="E2453">
        <v>-85739</v>
      </c>
      <c r="F2453" t="s">
        <v>23</v>
      </c>
      <c r="G2453" t="s">
        <v>24</v>
      </c>
      <c r="H2453" t="s">
        <v>79</v>
      </c>
      <c r="I2453" t="s">
        <v>39</v>
      </c>
      <c r="J2453" t="s">
        <v>27</v>
      </c>
    </row>
    <row r="2454" spans="1:10">
      <c r="A2454" t="s">
        <v>3744</v>
      </c>
      <c r="B2454" t="s">
        <v>693</v>
      </c>
      <c r="C2454" t="s">
        <v>180</v>
      </c>
      <c r="D2454" t="s">
        <v>44</v>
      </c>
      <c r="E2454">
        <v>-132548</v>
      </c>
      <c r="F2454" t="s">
        <v>23</v>
      </c>
      <c r="G2454" t="s">
        <v>24</v>
      </c>
      <c r="H2454" t="s">
        <v>33</v>
      </c>
      <c r="I2454" t="s">
        <v>45</v>
      </c>
      <c r="J2454" t="s">
        <v>27</v>
      </c>
    </row>
    <row r="2455" spans="1:10">
      <c r="A2455" t="s">
        <v>3745</v>
      </c>
      <c r="B2455" t="s">
        <v>3746</v>
      </c>
      <c r="C2455" t="s">
        <v>802</v>
      </c>
      <c r="D2455" t="s">
        <v>440</v>
      </c>
      <c r="E2455">
        <v>-130155</v>
      </c>
      <c r="F2455" t="s">
        <v>23</v>
      </c>
      <c r="G2455" t="s">
        <v>32</v>
      </c>
      <c r="H2455" t="s">
        <v>33</v>
      </c>
      <c r="I2455" t="s">
        <v>39</v>
      </c>
      <c r="J2455" t="s">
        <v>48</v>
      </c>
    </row>
    <row r="2456" spans="1:10">
      <c r="A2456" t="s">
        <v>3747</v>
      </c>
      <c r="B2456" t="s">
        <v>1295</v>
      </c>
      <c r="C2456" t="s">
        <v>215</v>
      </c>
      <c r="D2456" t="s">
        <v>61</v>
      </c>
      <c r="E2456">
        <v>-12930</v>
      </c>
      <c r="F2456" t="s">
        <v>62</v>
      </c>
      <c r="G2456" t="s">
        <v>32</v>
      </c>
      <c r="H2456" t="s">
        <v>63</v>
      </c>
      <c r="I2456" t="s">
        <v>26</v>
      </c>
      <c r="J2456" t="s">
        <v>27</v>
      </c>
    </row>
    <row r="2457" spans="1:10">
      <c r="A2457" t="s">
        <v>3748</v>
      </c>
      <c r="B2457" t="s">
        <v>140</v>
      </c>
      <c r="C2457" t="s">
        <v>37</v>
      </c>
      <c r="D2457" t="s">
        <v>38</v>
      </c>
      <c r="E2457">
        <v>-34426</v>
      </c>
      <c r="F2457" t="s">
        <v>23</v>
      </c>
      <c r="G2457" t="s">
        <v>24</v>
      </c>
      <c r="H2457" t="s">
        <v>33</v>
      </c>
      <c r="I2457" t="s">
        <v>39</v>
      </c>
      <c r="J2457" t="s">
        <v>27</v>
      </c>
    </row>
    <row r="2458" spans="1:10">
      <c r="A2458" t="s">
        <v>3749</v>
      </c>
      <c r="B2458" t="s">
        <v>3750</v>
      </c>
      <c r="C2458" t="s">
        <v>21</v>
      </c>
      <c r="D2458" t="s">
        <v>22</v>
      </c>
      <c r="E2458">
        <v>-168123</v>
      </c>
      <c r="F2458" t="s">
        <v>23</v>
      </c>
      <c r="G2458" t="s">
        <v>32</v>
      </c>
      <c r="H2458" t="s">
        <v>25</v>
      </c>
      <c r="I2458" t="s">
        <v>26</v>
      </c>
      <c r="J2458" t="s">
        <v>48</v>
      </c>
    </row>
    <row r="2459" spans="1:10">
      <c r="A2459" t="s">
        <v>3751</v>
      </c>
      <c r="B2459" t="s">
        <v>838</v>
      </c>
      <c r="C2459" t="s">
        <v>180</v>
      </c>
      <c r="D2459" t="s">
        <v>44</v>
      </c>
      <c r="E2459">
        <v>-99303</v>
      </c>
      <c r="F2459" t="s">
        <v>23</v>
      </c>
      <c r="G2459" t="s">
        <v>24</v>
      </c>
      <c r="H2459" t="s">
        <v>33</v>
      </c>
      <c r="I2459" t="s">
        <v>45</v>
      </c>
      <c r="J2459" t="s">
        <v>27</v>
      </c>
    </row>
    <row r="2460" spans="1:10">
      <c r="A2460" t="s">
        <v>3752</v>
      </c>
      <c r="B2460" t="s">
        <v>243</v>
      </c>
      <c r="C2460" t="s">
        <v>212</v>
      </c>
      <c r="D2460" t="s">
        <v>73</v>
      </c>
      <c r="E2460">
        <v>-78806</v>
      </c>
      <c r="F2460" t="s">
        <v>74</v>
      </c>
      <c r="G2460" t="s">
        <v>32</v>
      </c>
      <c r="H2460" t="s">
        <v>25</v>
      </c>
      <c r="I2460" t="s">
        <v>45</v>
      </c>
      <c r="J2460" t="s">
        <v>27</v>
      </c>
    </row>
    <row r="2461" spans="1:10">
      <c r="A2461" t="s">
        <v>3753</v>
      </c>
      <c r="B2461" t="s">
        <v>1333</v>
      </c>
      <c r="C2461" t="s">
        <v>156</v>
      </c>
      <c r="D2461" t="s">
        <v>157</v>
      </c>
      <c r="E2461">
        <v>628245</v>
      </c>
      <c r="F2461" t="s">
        <v>62</v>
      </c>
      <c r="G2461" t="s">
        <v>32</v>
      </c>
      <c r="H2461" t="s">
        <v>25</v>
      </c>
      <c r="I2461" t="s">
        <v>45</v>
      </c>
      <c r="J2461" t="s">
        <v>27</v>
      </c>
    </row>
    <row r="2462" spans="1:10">
      <c r="A2462" t="s">
        <v>3754</v>
      </c>
      <c r="B2462" t="s">
        <v>637</v>
      </c>
      <c r="C2462" t="s">
        <v>106</v>
      </c>
      <c r="E2462">
        <v>-6638</v>
      </c>
      <c r="F2462" t="s">
        <v>23</v>
      </c>
      <c r="G2462" t="s">
        <v>24</v>
      </c>
      <c r="H2462" t="s">
        <v>33</v>
      </c>
      <c r="I2462" t="s">
        <v>26</v>
      </c>
      <c r="J2462" t="s">
        <v>34</v>
      </c>
    </row>
    <row r="2463" spans="1:10">
      <c r="A2463" t="s">
        <v>3755</v>
      </c>
      <c r="B2463" t="s">
        <v>889</v>
      </c>
      <c r="C2463" t="s">
        <v>339</v>
      </c>
      <c r="D2463" t="s">
        <v>157</v>
      </c>
      <c r="E2463">
        <v>646287</v>
      </c>
      <c r="F2463" t="s">
        <v>62</v>
      </c>
      <c r="G2463" t="s">
        <v>32</v>
      </c>
      <c r="H2463" t="s">
        <v>25</v>
      </c>
      <c r="I2463" t="s">
        <v>45</v>
      </c>
      <c r="J2463" t="s">
        <v>27</v>
      </c>
    </row>
    <row r="2464" spans="1:10">
      <c r="A2464" t="s">
        <v>3756</v>
      </c>
      <c r="B2464" t="s">
        <v>2524</v>
      </c>
      <c r="C2464" t="s">
        <v>51</v>
      </c>
      <c r="D2464" t="s">
        <v>31</v>
      </c>
      <c r="E2464">
        <v>-10535</v>
      </c>
      <c r="F2464" t="s">
        <v>23</v>
      </c>
      <c r="G2464" t="s">
        <v>24</v>
      </c>
      <c r="H2464" t="s">
        <v>33</v>
      </c>
      <c r="I2464" t="s">
        <v>39</v>
      </c>
      <c r="J2464" t="s">
        <v>48</v>
      </c>
    </row>
    <row r="2465" spans="1:10">
      <c r="A2465" t="s">
        <v>3757</v>
      </c>
      <c r="B2465" t="s">
        <v>1994</v>
      </c>
      <c r="C2465" t="s">
        <v>43</v>
      </c>
      <c r="D2465" t="s">
        <v>44</v>
      </c>
      <c r="E2465">
        <v>-168025</v>
      </c>
      <c r="F2465" t="s">
        <v>23</v>
      </c>
      <c r="G2465" t="s">
        <v>24</v>
      </c>
      <c r="H2465" t="s">
        <v>33</v>
      </c>
      <c r="I2465" t="s">
        <v>45</v>
      </c>
      <c r="J2465" t="s">
        <v>48</v>
      </c>
    </row>
    <row r="2466" spans="1:10">
      <c r="A2466" t="s">
        <v>3758</v>
      </c>
      <c r="B2466" t="s">
        <v>3759</v>
      </c>
      <c r="C2466" t="s">
        <v>166</v>
      </c>
      <c r="D2466" t="s">
        <v>31</v>
      </c>
      <c r="E2466">
        <v>-23360</v>
      </c>
      <c r="F2466" t="s">
        <v>23</v>
      </c>
      <c r="G2466" t="s">
        <v>24</v>
      </c>
      <c r="H2466" t="s">
        <v>33</v>
      </c>
      <c r="I2466" t="s">
        <v>45</v>
      </c>
      <c r="J2466" t="s">
        <v>40</v>
      </c>
    </row>
    <row r="2467" spans="1:10">
      <c r="A2467" t="s">
        <v>3760</v>
      </c>
      <c r="B2467" t="s">
        <v>3761</v>
      </c>
      <c r="C2467" t="s">
        <v>310</v>
      </c>
      <c r="D2467" t="s">
        <v>22</v>
      </c>
      <c r="E2467">
        <v>-140797</v>
      </c>
      <c r="F2467" t="s">
        <v>23</v>
      </c>
      <c r="G2467" t="s">
        <v>24</v>
      </c>
      <c r="H2467" t="s">
        <v>25</v>
      </c>
      <c r="I2467" t="s">
        <v>45</v>
      </c>
      <c r="J2467" t="s">
        <v>40</v>
      </c>
    </row>
    <row r="2468" spans="1:10">
      <c r="A2468" t="s">
        <v>3762</v>
      </c>
      <c r="B2468" t="s">
        <v>2637</v>
      </c>
      <c r="C2468" t="s">
        <v>66</v>
      </c>
      <c r="D2468" t="s">
        <v>61</v>
      </c>
      <c r="E2468">
        <v>-34485</v>
      </c>
      <c r="F2468" t="s">
        <v>62</v>
      </c>
      <c r="G2468" t="s">
        <v>24</v>
      </c>
      <c r="H2468" t="s">
        <v>63</v>
      </c>
      <c r="I2468" t="s">
        <v>26</v>
      </c>
      <c r="J2468" t="s">
        <v>48</v>
      </c>
    </row>
    <row r="2469" spans="1:10">
      <c r="A2469" t="s">
        <v>3763</v>
      </c>
      <c r="B2469" t="s">
        <v>1005</v>
      </c>
      <c r="C2469" t="s">
        <v>177</v>
      </c>
      <c r="E2469">
        <v>-96785</v>
      </c>
      <c r="F2469" t="s">
        <v>23</v>
      </c>
      <c r="G2469" t="s">
        <v>32</v>
      </c>
      <c r="H2469" t="s">
        <v>79</v>
      </c>
      <c r="I2469" t="s">
        <v>26</v>
      </c>
      <c r="J2469" t="s">
        <v>48</v>
      </c>
    </row>
    <row r="2470" spans="1:10">
      <c r="A2470" t="s">
        <v>3764</v>
      </c>
      <c r="B2470" t="s">
        <v>3765</v>
      </c>
      <c r="C2470" t="s">
        <v>132</v>
      </c>
      <c r="D2470" t="s">
        <v>73</v>
      </c>
      <c r="E2470">
        <v>-87410</v>
      </c>
      <c r="F2470" t="s">
        <v>74</v>
      </c>
      <c r="G2470" t="s">
        <v>24</v>
      </c>
      <c r="H2470" t="s">
        <v>25</v>
      </c>
      <c r="I2470" t="s">
        <v>45</v>
      </c>
      <c r="J2470" t="s">
        <v>34</v>
      </c>
    </row>
    <row r="2471" spans="1:10">
      <c r="A2471" t="s">
        <v>3766</v>
      </c>
      <c r="B2471" t="s">
        <v>1819</v>
      </c>
      <c r="C2471" t="s">
        <v>345</v>
      </c>
      <c r="D2471" t="s">
        <v>22</v>
      </c>
      <c r="E2471">
        <v>-134669</v>
      </c>
      <c r="F2471" t="s">
        <v>23</v>
      </c>
      <c r="G2471" t="s">
        <v>32</v>
      </c>
      <c r="H2471" t="s">
        <v>25</v>
      </c>
      <c r="I2471" t="s">
        <v>45</v>
      </c>
      <c r="J2471" t="s">
        <v>27</v>
      </c>
    </row>
    <row r="2472" spans="1:10">
      <c r="A2472" t="s">
        <v>3767</v>
      </c>
      <c r="B2472" t="s">
        <v>2401</v>
      </c>
      <c r="C2472" t="s">
        <v>802</v>
      </c>
      <c r="D2472" t="s">
        <v>440</v>
      </c>
      <c r="E2472">
        <v>-122318</v>
      </c>
      <c r="F2472" t="s">
        <v>23</v>
      </c>
      <c r="G2472" t="s">
        <v>32</v>
      </c>
      <c r="H2472" t="s">
        <v>33</v>
      </c>
      <c r="I2472" t="s">
        <v>45</v>
      </c>
      <c r="J2472" t="s">
        <v>34</v>
      </c>
    </row>
    <row r="2473" spans="1:10">
      <c r="A2473" t="s">
        <v>3768</v>
      </c>
      <c r="B2473" t="s">
        <v>3002</v>
      </c>
      <c r="C2473" t="s">
        <v>106</v>
      </c>
      <c r="D2473" t="s">
        <v>31</v>
      </c>
      <c r="E2473">
        <v>-19679</v>
      </c>
      <c r="F2473" t="s">
        <v>23</v>
      </c>
      <c r="G2473" t="s">
        <v>24</v>
      </c>
      <c r="H2473" t="s">
        <v>33</v>
      </c>
      <c r="I2473" t="s">
        <v>45</v>
      </c>
      <c r="J2473" t="s">
        <v>27</v>
      </c>
    </row>
    <row r="2474" spans="1:10">
      <c r="A2474" t="s">
        <v>3769</v>
      </c>
      <c r="B2474" t="s">
        <v>3204</v>
      </c>
      <c r="C2474" t="s">
        <v>57</v>
      </c>
      <c r="D2474" t="s">
        <v>388</v>
      </c>
      <c r="E2474">
        <v>-37127</v>
      </c>
      <c r="F2474" t="s">
        <v>23</v>
      </c>
      <c r="G2474" t="s">
        <v>24</v>
      </c>
      <c r="H2474" t="s">
        <v>33</v>
      </c>
      <c r="I2474" t="s">
        <v>39</v>
      </c>
      <c r="J2474" t="s">
        <v>34</v>
      </c>
    </row>
    <row r="2475" spans="1:10">
      <c r="A2475" t="s">
        <v>3770</v>
      </c>
      <c r="B2475" t="s">
        <v>1817</v>
      </c>
      <c r="C2475" t="s">
        <v>687</v>
      </c>
      <c r="E2475">
        <v>-52357</v>
      </c>
      <c r="F2475" t="s">
        <v>23</v>
      </c>
      <c r="G2475" t="s">
        <v>32</v>
      </c>
      <c r="H2475" t="s">
        <v>33</v>
      </c>
      <c r="I2475" t="s">
        <v>26</v>
      </c>
      <c r="J2475" t="s">
        <v>48</v>
      </c>
    </row>
    <row r="2476" spans="1:10">
      <c r="A2476" t="s">
        <v>3771</v>
      </c>
      <c r="B2476" t="s">
        <v>1325</v>
      </c>
      <c r="C2476" t="s">
        <v>60</v>
      </c>
      <c r="E2476">
        <v>-12129</v>
      </c>
      <c r="F2476" t="s">
        <v>62</v>
      </c>
      <c r="G2476" t="s">
        <v>24</v>
      </c>
      <c r="H2476" t="s">
        <v>63</v>
      </c>
      <c r="I2476" t="s">
        <v>39</v>
      </c>
      <c r="J2476" t="s">
        <v>27</v>
      </c>
    </row>
    <row r="2477" spans="1:10">
      <c r="A2477" t="s">
        <v>3772</v>
      </c>
      <c r="B2477" t="s">
        <v>880</v>
      </c>
      <c r="C2477" t="s">
        <v>345</v>
      </c>
      <c r="D2477" t="s">
        <v>22</v>
      </c>
      <c r="E2477">
        <v>-111089</v>
      </c>
      <c r="F2477" t="s">
        <v>23</v>
      </c>
      <c r="G2477" t="s">
        <v>24</v>
      </c>
      <c r="H2477" t="s">
        <v>25</v>
      </c>
      <c r="I2477" t="s">
        <v>26</v>
      </c>
      <c r="J2477" t="s">
        <v>48</v>
      </c>
    </row>
    <row r="2478" spans="1:10">
      <c r="A2478" t="s">
        <v>3773</v>
      </c>
      <c r="B2478" t="s">
        <v>3774</v>
      </c>
      <c r="C2478" t="s">
        <v>180</v>
      </c>
      <c r="D2478" t="s">
        <v>44</v>
      </c>
      <c r="E2478">
        <v>-159197</v>
      </c>
      <c r="F2478" t="s">
        <v>23</v>
      </c>
      <c r="G2478" t="s">
        <v>24</v>
      </c>
      <c r="H2478" t="s">
        <v>33</v>
      </c>
      <c r="I2478" t="s">
        <v>45</v>
      </c>
      <c r="J2478" t="s">
        <v>48</v>
      </c>
    </row>
    <row r="2479" spans="1:10">
      <c r="A2479" t="s">
        <v>3775</v>
      </c>
      <c r="B2479" t="s">
        <v>2959</v>
      </c>
      <c r="C2479" t="s">
        <v>66</v>
      </c>
      <c r="D2479" t="s">
        <v>61</v>
      </c>
      <c r="E2479">
        <v>-43508</v>
      </c>
      <c r="F2479" t="s">
        <v>62</v>
      </c>
      <c r="G2479" t="s">
        <v>24</v>
      </c>
      <c r="H2479" t="s">
        <v>63</v>
      </c>
      <c r="I2479" t="s">
        <v>45</v>
      </c>
      <c r="J2479" t="s">
        <v>48</v>
      </c>
    </row>
    <row r="2480" spans="1:10">
      <c r="A2480" t="s">
        <v>3776</v>
      </c>
      <c r="B2480" t="s">
        <v>307</v>
      </c>
      <c r="C2480" t="s">
        <v>60</v>
      </c>
      <c r="D2480" t="s">
        <v>61</v>
      </c>
      <c r="E2480">
        <v>-46695</v>
      </c>
      <c r="F2480" t="s">
        <v>62</v>
      </c>
      <c r="G2480" t="s">
        <v>24</v>
      </c>
      <c r="H2480" t="s">
        <v>63</v>
      </c>
      <c r="I2480" t="s">
        <v>26</v>
      </c>
      <c r="J2480" t="s">
        <v>48</v>
      </c>
    </row>
    <row r="2481" spans="1:10">
      <c r="A2481" t="s">
        <v>3777</v>
      </c>
      <c r="B2481" t="s">
        <v>1061</v>
      </c>
      <c r="C2481" t="s">
        <v>202</v>
      </c>
      <c r="D2481" t="s">
        <v>22</v>
      </c>
      <c r="E2481">
        <v>-192088</v>
      </c>
      <c r="F2481" t="s">
        <v>23</v>
      </c>
      <c r="G2481" t="s">
        <v>32</v>
      </c>
      <c r="H2481" t="s">
        <v>25</v>
      </c>
      <c r="I2481" t="s">
        <v>26</v>
      </c>
      <c r="J2481" t="s">
        <v>40</v>
      </c>
    </row>
    <row r="2482" spans="1:10">
      <c r="A2482" t="s">
        <v>3778</v>
      </c>
      <c r="B2482" t="s">
        <v>856</v>
      </c>
      <c r="C2482" t="s">
        <v>60</v>
      </c>
      <c r="D2482" t="s">
        <v>61</v>
      </c>
      <c r="E2482">
        <v>-54954</v>
      </c>
      <c r="F2482" t="s">
        <v>62</v>
      </c>
      <c r="G2482" t="s">
        <v>24</v>
      </c>
      <c r="H2482" t="s">
        <v>63</v>
      </c>
      <c r="I2482" t="s">
        <v>26</v>
      </c>
      <c r="J2482" t="s">
        <v>34</v>
      </c>
    </row>
    <row r="2483" spans="1:10">
      <c r="A2483" t="s">
        <v>3779</v>
      </c>
      <c r="B2483" t="s">
        <v>2359</v>
      </c>
      <c r="C2483" t="s">
        <v>212</v>
      </c>
      <c r="D2483" t="s">
        <v>73</v>
      </c>
      <c r="E2483">
        <v>-85780</v>
      </c>
      <c r="F2483" t="s">
        <v>74</v>
      </c>
      <c r="G2483" t="s">
        <v>24</v>
      </c>
      <c r="H2483" t="s">
        <v>25</v>
      </c>
      <c r="I2483" t="s">
        <v>39</v>
      </c>
      <c r="J2483" t="s">
        <v>48</v>
      </c>
    </row>
    <row r="2484" spans="1:10">
      <c r="A2484" t="s">
        <v>3780</v>
      </c>
      <c r="B2484" t="s">
        <v>3781</v>
      </c>
      <c r="C2484" t="s">
        <v>66</v>
      </c>
      <c r="D2484" t="s">
        <v>61</v>
      </c>
      <c r="E2484">
        <v>-55084</v>
      </c>
      <c r="F2484" t="s">
        <v>62</v>
      </c>
      <c r="G2484" t="s">
        <v>32</v>
      </c>
      <c r="H2484" t="s">
        <v>63</v>
      </c>
      <c r="I2484" t="s">
        <v>26</v>
      </c>
      <c r="J2484" t="s">
        <v>27</v>
      </c>
    </row>
    <row r="2485" spans="1:10">
      <c r="A2485" t="s">
        <v>3782</v>
      </c>
      <c r="B2485" t="s">
        <v>1098</v>
      </c>
      <c r="C2485" t="s">
        <v>60</v>
      </c>
      <c r="D2485" t="s">
        <v>61</v>
      </c>
      <c r="E2485">
        <v>-12182</v>
      </c>
      <c r="F2485" t="s">
        <v>62</v>
      </c>
      <c r="G2485" t="s">
        <v>32</v>
      </c>
      <c r="H2485" t="s">
        <v>63</v>
      </c>
      <c r="I2485" t="s">
        <v>39</v>
      </c>
      <c r="J2485" t="s">
        <v>40</v>
      </c>
    </row>
    <row r="2486" spans="1:10">
      <c r="A2486" t="s">
        <v>3783</v>
      </c>
      <c r="B2486" t="s">
        <v>474</v>
      </c>
      <c r="C2486" t="s">
        <v>87</v>
      </c>
      <c r="D2486" t="s">
        <v>320</v>
      </c>
      <c r="E2486">
        <v>-56505</v>
      </c>
      <c r="F2486" t="s">
        <v>23</v>
      </c>
      <c r="G2486" t="s">
        <v>32</v>
      </c>
      <c r="H2486" t="s">
        <v>25</v>
      </c>
      <c r="I2486" t="s">
        <v>45</v>
      </c>
      <c r="J2486" t="s">
        <v>40</v>
      </c>
    </row>
    <row r="2487" spans="1:10">
      <c r="A2487" t="s">
        <v>3784</v>
      </c>
      <c r="B2487" t="s">
        <v>1493</v>
      </c>
      <c r="C2487" t="s">
        <v>116</v>
      </c>
      <c r="D2487" t="s">
        <v>73</v>
      </c>
      <c r="E2487">
        <v>-86624</v>
      </c>
      <c r="F2487" t="s">
        <v>74</v>
      </c>
      <c r="G2487" t="s">
        <v>32</v>
      </c>
      <c r="H2487" t="s">
        <v>25</v>
      </c>
      <c r="I2487" t="s">
        <v>39</v>
      </c>
      <c r="J2487" t="s">
        <v>34</v>
      </c>
    </row>
    <row r="2488" spans="1:10">
      <c r="A2488" t="s">
        <v>3785</v>
      </c>
      <c r="B2488" t="s">
        <v>1488</v>
      </c>
      <c r="C2488" t="s">
        <v>166</v>
      </c>
      <c r="D2488" t="s">
        <v>31</v>
      </c>
      <c r="E2488">
        <v>-33489</v>
      </c>
      <c r="F2488" t="s">
        <v>23</v>
      </c>
      <c r="G2488" t="s">
        <v>32</v>
      </c>
      <c r="H2488" t="s">
        <v>33</v>
      </c>
      <c r="I2488" t="s">
        <v>45</v>
      </c>
      <c r="J2488" t="s">
        <v>34</v>
      </c>
    </row>
    <row r="2489" spans="1:10">
      <c r="A2489" t="s">
        <v>3786</v>
      </c>
      <c r="B2489" t="s">
        <v>1560</v>
      </c>
      <c r="C2489" t="s">
        <v>169</v>
      </c>
      <c r="D2489" t="s">
        <v>187</v>
      </c>
      <c r="E2489">
        <v>-85367</v>
      </c>
      <c r="F2489" t="s">
        <v>74</v>
      </c>
      <c r="G2489" t="s">
        <v>32</v>
      </c>
      <c r="H2489" t="s">
        <v>25</v>
      </c>
      <c r="I2489" t="s">
        <v>39</v>
      </c>
      <c r="J2489" t="s">
        <v>48</v>
      </c>
    </row>
    <row r="2490" spans="1:10">
      <c r="A2490" t="s">
        <v>3787</v>
      </c>
      <c r="B2490" t="s">
        <v>551</v>
      </c>
      <c r="C2490" t="s">
        <v>69</v>
      </c>
      <c r="D2490" t="s">
        <v>38</v>
      </c>
      <c r="E2490">
        <v>-53677</v>
      </c>
      <c r="F2490" t="s">
        <v>23</v>
      </c>
      <c r="G2490" t="s">
        <v>32</v>
      </c>
      <c r="H2490" t="s">
        <v>33</v>
      </c>
      <c r="I2490" t="s">
        <v>39</v>
      </c>
      <c r="J2490" t="s">
        <v>40</v>
      </c>
    </row>
    <row r="2491" spans="1:10">
      <c r="A2491" t="s">
        <v>3788</v>
      </c>
      <c r="B2491" t="s">
        <v>913</v>
      </c>
      <c r="C2491" t="s">
        <v>21</v>
      </c>
      <c r="D2491" t="s">
        <v>22</v>
      </c>
      <c r="E2491">
        <v>-26319</v>
      </c>
      <c r="F2491" t="s">
        <v>23</v>
      </c>
      <c r="G2491" t="s">
        <v>24</v>
      </c>
      <c r="H2491" t="s">
        <v>25</v>
      </c>
      <c r="I2491" t="s">
        <v>26</v>
      </c>
      <c r="J2491" t="s">
        <v>40</v>
      </c>
    </row>
    <row r="2492" spans="1:10">
      <c r="A2492" t="s">
        <v>3789</v>
      </c>
      <c r="B2492" t="s">
        <v>3276</v>
      </c>
      <c r="C2492" t="s">
        <v>156</v>
      </c>
      <c r="D2492" t="s">
        <v>157</v>
      </c>
      <c r="E2492">
        <v>676198</v>
      </c>
      <c r="F2492" t="s">
        <v>62</v>
      </c>
      <c r="G2492" t="s">
        <v>32</v>
      </c>
      <c r="H2492" t="s">
        <v>25</v>
      </c>
      <c r="I2492" t="s">
        <v>39</v>
      </c>
      <c r="J2492" t="s">
        <v>34</v>
      </c>
    </row>
    <row r="2493" spans="1:10">
      <c r="A2493" t="s">
        <v>3790</v>
      </c>
      <c r="B2493" t="s">
        <v>530</v>
      </c>
      <c r="C2493" t="s">
        <v>90</v>
      </c>
      <c r="D2493" t="s">
        <v>73</v>
      </c>
      <c r="E2493">
        <v>-50516</v>
      </c>
      <c r="F2493" t="s">
        <v>74</v>
      </c>
      <c r="G2493" t="s">
        <v>24</v>
      </c>
      <c r="H2493" t="s">
        <v>25</v>
      </c>
      <c r="I2493" t="s">
        <v>39</v>
      </c>
      <c r="J2493" t="s">
        <v>34</v>
      </c>
    </row>
    <row r="2494" spans="1:10">
      <c r="A2494" t="s">
        <v>3791</v>
      </c>
      <c r="B2494" t="s">
        <v>3792</v>
      </c>
      <c r="C2494" t="s">
        <v>90</v>
      </c>
      <c r="D2494" t="s">
        <v>73</v>
      </c>
      <c r="E2494">
        <v>-70504</v>
      </c>
      <c r="F2494" t="s">
        <v>74</v>
      </c>
      <c r="G2494" t="s">
        <v>24</v>
      </c>
      <c r="H2494" t="s">
        <v>25</v>
      </c>
      <c r="I2494" t="s">
        <v>39</v>
      </c>
      <c r="J2494" t="s">
        <v>48</v>
      </c>
    </row>
    <row r="2495" spans="1:10">
      <c r="A2495" t="s">
        <v>3793</v>
      </c>
      <c r="B2495" t="s">
        <v>3794</v>
      </c>
      <c r="C2495" t="s">
        <v>345</v>
      </c>
      <c r="D2495" t="s">
        <v>22</v>
      </c>
      <c r="E2495">
        <v>-210083</v>
      </c>
      <c r="F2495" t="s">
        <v>23</v>
      </c>
      <c r="G2495" t="s">
        <v>32</v>
      </c>
      <c r="H2495" t="s">
        <v>25</v>
      </c>
      <c r="I2495" t="s">
        <v>39</v>
      </c>
      <c r="J2495" t="s">
        <v>48</v>
      </c>
    </row>
    <row r="2496" spans="1:10">
      <c r="A2496" t="s">
        <v>3795</v>
      </c>
      <c r="B2496" t="s">
        <v>3796</v>
      </c>
      <c r="C2496" t="s">
        <v>90</v>
      </c>
      <c r="D2496" t="s">
        <v>73</v>
      </c>
      <c r="E2496">
        <v>-45550</v>
      </c>
      <c r="F2496" t="s">
        <v>74</v>
      </c>
      <c r="G2496" t="s">
        <v>32</v>
      </c>
      <c r="H2496" t="s">
        <v>25</v>
      </c>
      <c r="I2496" t="s">
        <v>26</v>
      </c>
      <c r="J2496" t="s">
        <v>40</v>
      </c>
    </row>
    <row r="2497" spans="1:10">
      <c r="A2497" t="s">
        <v>3797</v>
      </c>
      <c r="B2497" t="s">
        <v>2464</v>
      </c>
      <c r="C2497" t="s">
        <v>129</v>
      </c>
      <c r="D2497" t="s">
        <v>38</v>
      </c>
      <c r="E2497">
        <v>-32420</v>
      </c>
      <c r="F2497" t="s">
        <v>23</v>
      </c>
      <c r="G2497" t="s">
        <v>24</v>
      </c>
      <c r="H2497" t="s">
        <v>33</v>
      </c>
      <c r="I2497" t="s">
        <v>26</v>
      </c>
      <c r="J2497" t="s">
        <v>40</v>
      </c>
    </row>
    <row r="2498" spans="1:10">
      <c r="A2498" t="s">
        <v>3798</v>
      </c>
      <c r="B2498" t="s">
        <v>1155</v>
      </c>
      <c r="C2498" t="s">
        <v>271</v>
      </c>
      <c r="D2498" t="s">
        <v>73</v>
      </c>
      <c r="E2498">
        <v>-65342</v>
      </c>
      <c r="F2498" t="s">
        <v>74</v>
      </c>
      <c r="G2498" t="s">
        <v>32</v>
      </c>
      <c r="H2498" t="s">
        <v>25</v>
      </c>
      <c r="I2498" t="s">
        <v>26</v>
      </c>
      <c r="J2498" t="s">
        <v>40</v>
      </c>
    </row>
    <row r="2499" spans="1:10">
      <c r="A2499" t="s">
        <v>3799</v>
      </c>
      <c r="B2499" t="s">
        <v>3800</v>
      </c>
      <c r="C2499" t="s">
        <v>60</v>
      </c>
      <c r="D2499" t="s">
        <v>61</v>
      </c>
      <c r="E2499">
        <v>-47853</v>
      </c>
      <c r="F2499" t="s">
        <v>62</v>
      </c>
      <c r="G2499" t="s">
        <v>32</v>
      </c>
      <c r="H2499" t="s">
        <v>63</v>
      </c>
      <c r="I2499" t="s">
        <v>45</v>
      </c>
      <c r="J2499" t="s">
        <v>40</v>
      </c>
    </row>
    <row r="2500" spans="1:10">
      <c r="A2500" t="s">
        <v>3801</v>
      </c>
      <c r="B2500" t="s">
        <v>844</v>
      </c>
      <c r="C2500" t="s">
        <v>93</v>
      </c>
      <c r="D2500" t="s">
        <v>73</v>
      </c>
      <c r="E2500">
        <v>-47688</v>
      </c>
      <c r="F2500" t="s">
        <v>74</v>
      </c>
      <c r="G2500" t="s">
        <v>24</v>
      </c>
      <c r="H2500" t="s">
        <v>25</v>
      </c>
      <c r="I2500" t="s">
        <v>26</v>
      </c>
      <c r="J2500" t="s">
        <v>27</v>
      </c>
    </row>
    <row r="2501" spans="1:10">
      <c r="A2501" t="s">
        <v>3802</v>
      </c>
      <c r="B2501" t="s">
        <v>611</v>
      </c>
      <c r="C2501" t="s">
        <v>57</v>
      </c>
      <c r="D2501" t="s">
        <v>44</v>
      </c>
      <c r="E2501">
        <v>-176782</v>
      </c>
      <c r="F2501" t="s">
        <v>23</v>
      </c>
      <c r="G2501" t="s">
        <v>32</v>
      </c>
      <c r="H2501" t="s">
        <v>33</v>
      </c>
      <c r="I2501" t="s">
        <v>39</v>
      </c>
      <c r="J2501" t="s">
        <v>48</v>
      </c>
    </row>
    <row r="2502" spans="1:10">
      <c r="A2502" t="s">
        <v>3803</v>
      </c>
      <c r="B2502" t="s">
        <v>3103</v>
      </c>
      <c r="C2502" t="s">
        <v>51</v>
      </c>
      <c r="D2502" t="s">
        <v>31</v>
      </c>
      <c r="E2502">
        <v>-21039</v>
      </c>
      <c r="F2502" t="s">
        <v>23</v>
      </c>
      <c r="G2502" t="s">
        <v>32</v>
      </c>
      <c r="H2502" t="s">
        <v>33</v>
      </c>
      <c r="I2502" t="s">
        <v>26</v>
      </c>
      <c r="J2502" t="s">
        <v>27</v>
      </c>
    </row>
    <row r="2503" spans="1:10">
      <c r="A2503" t="s">
        <v>3804</v>
      </c>
      <c r="B2503" t="s">
        <v>1763</v>
      </c>
      <c r="C2503" t="s">
        <v>106</v>
      </c>
      <c r="D2503" t="s">
        <v>31</v>
      </c>
      <c r="E2503">
        <v>-5888</v>
      </c>
      <c r="F2503" t="s">
        <v>23</v>
      </c>
      <c r="G2503" t="s">
        <v>32</v>
      </c>
      <c r="H2503" t="s">
        <v>33</v>
      </c>
      <c r="I2503" t="s">
        <v>26</v>
      </c>
      <c r="J2503" t="s">
        <v>40</v>
      </c>
    </row>
    <row r="2504" spans="1:10">
      <c r="A2504" t="s">
        <v>3805</v>
      </c>
      <c r="B2504" t="s">
        <v>228</v>
      </c>
      <c r="C2504" t="s">
        <v>77</v>
      </c>
      <c r="D2504" t="s">
        <v>78</v>
      </c>
      <c r="E2504">
        <v>-32536</v>
      </c>
      <c r="F2504" t="s">
        <v>23</v>
      </c>
      <c r="G2504" t="s">
        <v>24</v>
      </c>
      <c r="H2504" t="s">
        <v>79</v>
      </c>
      <c r="I2504" t="s">
        <v>26</v>
      </c>
      <c r="J2504" t="s">
        <v>40</v>
      </c>
    </row>
    <row r="2505" spans="1:10">
      <c r="A2505" t="s">
        <v>3806</v>
      </c>
      <c r="B2505" t="s">
        <v>1325</v>
      </c>
      <c r="C2505" t="s">
        <v>100</v>
      </c>
      <c r="D2505" t="s">
        <v>31</v>
      </c>
      <c r="E2505">
        <v>-25093</v>
      </c>
      <c r="F2505" t="s">
        <v>23</v>
      </c>
      <c r="G2505" t="s">
        <v>32</v>
      </c>
      <c r="H2505" t="s">
        <v>33</v>
      </c>
      <c r="I2505" t="s">
        <v>39</v>
      </c>
      <c r="J2505" t="s">
        <v>27</v>
      </c>
    </row>
    <row r="2506" spans="1:10">
      <c r="A2506" t="s">
        <v>3807</v>
      </c>
      <c r="B2506" t="s">
        <v>1583</v>
      </c>
      <c r="C2506" t="s">
        <v>935</v>
      </c>
      <c r="D2506" t="s">
        <v>22</v>
      </c>
      <c r="E2506">
        <v>-72295</v>
      </c>
      <c r="F2506" t="s">
        <v>23</v>
      </c>
      <c r="G2506" t="s">
        <v>24</v>
      </c>
      <c r="H2506" t="s">
        <v>25</v>
      </c>
      <c r="I2506" t="s">
        <v>45</v>
      </c>
      <c r="J2506" t="s">
        <v>34</v>
      </c>
    </row>
    <row r="2507" spans="1:10">
      <c r="A2507" t="s">
        <v>3808</v>
      </c>
      <c r="B2507" t="s">
        <v>1345</v>
      </c>
      <c r="C2507" t="s">
        <v>100</v>
      </c>
      <c r="D2507" t="s">
        <v>31</v>
      </c>
      <c r="E2507">
        <v>-33197</v>
      </c>
      <c r="F2507" t="s">
        <v>23</v>
      </c>
      <c r="G2507" t="s">
        <v>24</v>
      </c>
      <c r="H2507" t="s">
        <v>33</v>
      </c>
      <c r="I2507" t="s">
        <v>39</v>
      </c>
      <c r="J2507" t="s">
        <v>40</v>
      </c>
    </row>
    <row r="2508" spans="1:10">
      <c r="A2508" t="s">
        <v>3809</v>
      </c>
      <c r="B2508" t="s">
        <v>1849</v>
      </c>
      <c r="C2508" t="s">
        <v>143</v>
      </c>
      <c r="D2508" t="s">
        <v>371</v>
      </c>
      <c r="E2508">
        <v>-35883</v>
      </c>
      <c r="F2508" t="s">
        <v>23</v>
      </c>
      <c r="G2508" t="s">
        <v>24</v>
      </c>
      <c r="H2508" t="s">
        <v>79</v>
      </c>
      <c r="I2508" t="s">
        <v>45</v>
      </c>
      <c r="J2508" t="s">
        <v>48</v>
      </c>
    </row>
    <row r="2509" spans="1:10">
      <c r="A2509" t="s">
        <v>3810</v>
      </c>
      <c r="B2509" t="s">
        <v>1450</v>
      </c>
      <c r="C2509" t="s">
        <v>72</v>
      </c>
      <c r="D2509" t="s">
        <v>73</v>
      </c>
      <c r="E2509">
        <v>-90511</v>
      </c>
      <c r="F2509" t="s">
        <v>74</v>
      </c>
      <c r="G2509" t="s">
        <v>24</v>
      </c>
      <c r="H2509" t="s">
        <v>25</v>
      </c>
      <c r="I2509" t="s">
        <v>26</v>
      </c>
      <c r="J2509" t="s">
        <v>48</v>
      </c>
    </row>
    <row r="2510" spans="1:10">
      <c r="A2510" t="s">
        <v>3811</v>
      </c>
      <c r="B2510" t="s">
        <v>3812</v>
      </c>
      <c r="C2510" t="s">
        <v>202</v>
      </c>
      <c r="D2510" t="s">
        <v>22</v>
      </c>
      <c r="E2510">
        <v>-106449</v>
      </c>
      <c r="F2510" t="s">
        <v>23</v>
      </c>
      <c r="G2510" t="s">
        <v>32</v>
      </c>
      <c r="H2510" t="s">
        <v>25</v>
      </c>
      <c r="I2510" t="s">
        <v>26</v>
      </c>
      <c r="J2510" t="s">
        <v>27</v>
      </c>
    </row>
    <row r="2511" spans="1:10">
      <c r="A2511" t="s">
        <v>3813</v>
      </c>
      <c r="B2511" t="s">
        <v>745</v>
      </c>
      <c r="C2511" t="s">
        <v>106</v>
      </c>
      <c r="E2511">
        <v>-26822</v>
      </c>
      <c r="F2511" t="s">
        <v>23</v>
      </c>
      <c r="G2511" t="s">
        <v>32</v>
      </c>
      <c r="H2511" t="s">
        <v>33</v>
      </c>
      <c r="I2511" t="s">
        <v>39</v>
      </c>
      <c r="J2511" t="s">
        <v>34</v>
      </c>
    </row>
    <row r="2512" spans="1:10">
      <c r="A2512" t="s">
        <v>3814</v>
      </c>
      <c r="B2512" t="s">
        <v>2065</v>
      </c>
      <c r="C2512" t="s">
        <v>54</v>
      </c>
      <c r="D2512" t="s">
        <v>38</v>
      </c>
      <c r="E2512">
        <v>-15278</v>
      </c>
      <c r="F2512" t="s">
        <v>23</v>
      </c>
      <c r="G2512" t="s">
        <v>32</v>
      </c>
      <c r="H2512" t="s">
        <v>33</v>
      </c>
      <c r="I2512" t="s">
        <v>39</v>
      </c>
      <c r="J2512" t="s">
        <v>27</v>
      </c>
    </row>
    <row r="2513" spans="1:10">
      <c r="A2513" t="s">
        <v>3815</v>
      </c>
      <c r="B2513" t="s">
        <v>602</v>
      </c>
      <c r="C2513" t="s">
        <v>180</v>
      </c>
      <c r="E2513">
        <v>-84828</v>
      </c>
      <c r="F2513" t="s">
        <v>23</v>
      </c>
      <c r="G2513" t="s">
        <v>32</v>
      </c>
      <c r="H2513" t="s">
        <v>33</v>
      </c>
      <c r="I2513" t="s">
        <v>26</v>
      </c>
      <c r="J2513" t="s">
        <v>34</v>
      </c>
    </row>
    <row r="2514" spans="1:10">
      <c r="A2514" t="s">
        <v>3816</v>
      </c>
      <c r="B2514" t="s">
        <v>128</v>
      </c>
      <c r="C2514" t="s">
        <v>174</v>
      </c>
      <c r="D2514" t="s">
        <v>320</v>
      </c>
      <c r="E2514">
        <v>-59804</v>
      </c>
      <c r="F2514" t="s">
        <v>23</v>
      </c>
      <c r="G2514" t="s">
        <v>24</v>
      </c>
      <c r="H2514" t="s">
        <v>25</v>
      </c>
      <c r="I2514" t="s">
        <v>39</v>
      </c>
      <c r="J2514" t="s">
        <v>27</v>
      </c>
    </row>
    <row r="2515" spans="1:10">
      <c r="A2515" t="s">
        <v>3817</v>
      </c>
      <c r="B2515" t="s">
        <v>1337</v>
      </c>
      <c r="C2515" t="s">
        <v>54</v>
      </c>
      <c r="D2515" t="s">
        <v>38</v>
      </c>
      <c r="E2515">
        <v>-46034</v>
      </c>
      <c r="F2515" t="s">
        <v>23</v>
      </c>
      <c r="G2515" t="s">
        <v>24</v>
      </c>
      <c r="H2515" t="s">
        <v>33</v>
      </c>
      <c r="I2515" t="s">
        <v>39</v>
      </c>
      <c r="J2515" t="s">
        <v>40</v>
      </c>
    </row>
    <row r="2516" spans="1:10">
      <c r="A2516" t="s">
        <v>3818</v>
      </c>
      <c r="B2516" t="s">
        <v>3399</v>
      </c>
      <c r="C2516" t="s">
        <v>290</v>
      </c>
      <c r="D2516" t="s">
        <v>440</v>
      </c>
      <c r="E2516">
        <v>-103921</v>
      </c>
      <c r="F2516" t="s">
        <v>23</v>
      </c>
      <c r="G2516" t="s">
        <v>24</v>
      </c>
      <c r="H2516" t="s">
        <v>33</v>
      </c>
      <c r="I2516" t="s">
        <v>39</v>
      </c>
      <c r="J2516" t="s">
        <v>34</v>
      </c>
    </row>
    <row r="2517" spans="1:10">
      <c r="A2517" t="s">
        <v>3819</v>
      </c>
      <c r="B2517" t="s">
        <v>1742</v>
      </c>
      <c r="C2517" t="s">
        <v>90</v>
      </c>
      <c r="D2517" t="s">
        <v>73</v>
      </c>
      <c r="E2517">
        <v>-28706</v>
      </c>
      <c r="F2517" t="s">
        <v>74</v>
      </c>
      <c r="G2517" t="s">
        <v>24</v>
      </c>
      <c r="H2517" t="s">
        <v>25</v>
      </c>
      <c r="I2517" t="s">
        <v>26</v>
      </c>
      <c r="J2517" t="s">
        <v>34</v>
      </c>
    </row>
    <row r="2518" spans="1:10">
      <c r="A2518" t="s">
        <v>3820</v>
      </c>
      <c r="B2518" t="s">
        <v>1397</v>
      </c>
      <c r="C2518" t="s">
        <v>215</v>
      </c>
      <c r="D2518" t="s">
        <v>61</v>
      </c>
      <c r="E2518">
        <v>-41455</v>
      </c>
      <c r="F2518" t="s">
        <v>62</v>
      </c>
      <c r="G2518" t="s">
        <v>24</v>
      </c>
      <c r="H2518" t="s">
        <v>63</v>
      </c>
      <c r="I2518" t="s">
        <v>45</v>
      </c>
      <c r="J2518" t="s">
        <v>48</v>
      </c>
    </row>
    <row r="2519" spans="1:10">
      <c r="A2519" t="s">
        <v>3821</v>
      </c>
      <c r="B2519" t="s">
        <v>629</v>
      </c>
      <c r="C2519" t="s">
        <v>283</v>
      </c>
      <c r="D2519" t="s">
        <v>44</v>
      </c>
      <c r="E2519">
        <v>-93568</v>
      </c>
      <c r="F2519" t="s">
        <v>23</v>
      </c>
      <c r="G2519" t="s">
        <v>32</v>
      </c>
      <c r="H2519" t="s">
        <v>33</v>
      </c>
      <c r="I2519" t="s">
        <v>45</v>
      </c>
      <c r="J2519" t="s">
        <v>27</v>
      </c>
    </row>
    <row r="2520" spans="1:10">
      <c r="A2520" t="s">
        <v>3822</v>
      </c>
      <c r="B2520" t="s">
        <v>319</v>
      </c>
      <c r="C2520" t="s">
        <v>106</v>
      </c>
      <c r="D2520" t="s">
        <v>31</v>
      </c>
      <c r="E2520">
        <v>-6091</v>
      </c>
      <c r="F2520" t="s">
        <v>23</v>
      </c>
      <c r="G2520" t="s">
        <v>24</v>
      </c>
      <c r="H2520" t="s">
        <v>33</v>
      </c>
      <c r="I2520" t="s">
        <v>39</v>
      </c>
      <c r="J2520" t="s">
        <v>34</v>
      </c>
    </row>
    <row r="2521" spans="1:10">
      <c r="A2521" t="s">
        <v>3823</v>
      </c>
      <c r="B2521" t="s">
        <v>3824</v>
      </c>
      <c r="C2521" t="s">
        <v>43</v>
      </c>
      <c r="D2521" t="s">
        <v>44</v>
      </c>
      <c r="E2521">
        <v>-128294</v>
      </c>
      <c r="F2521" t="s">
        <v>23</v>
      </c>
      <c r="G2521" t="s">
        <v>32</v>
      </c>
      <c r="H2521" t="s">
        <v>33</v>
      </c>
      <c r="I2521" t="s">
        <v>39</v>
      </c>
      <c r="J2521" t="s">
        <v>48</v>
      </c>
    </row>
    <row r="2522" spans="1:10">
      <c r="A2522" t="s">
        <v>3825</v>
      </c>
      <c r="B2522" t="s">
        <v>1887</v>
      </c>
      <c r="C2522" t="s">
        <v>271</v>
      </c>
      <c r="D2522" t="s">
        <v>73</v>
      </c>
      <c r="E2522">
        <v>-26920</v>
      </c>
      <c r="F2522" t="s">
        <v>74</v>
      </c>
      <c r="G2522" t="s">
        <v>32</v>
      </c>
      <c r="H2522" t="s">
        <v>25</v>
      </c>
      <c r="I2522" t="s">
        <v>26</v>
      </c>
      <c r="J2522" t="s">
        <v>40</v>
      </c>
    </row>
    <row r="2523" spans="1:10">
      <c r="A2523" t="s">
        <v>3826</v>
      </c>
      <c r="B2523" t="s">
        <v>319</v>
      </c>
      <c r="C2523" t="s">
        <v>166</v>
      </c>
      <c r="D2523" t="s">
        <v>31</v>
      </c>
      <c r="E2523">
        <v>-30877</v>
      </c>
      <c r="F2523" t="s">
        <v>23</v>
      </c>
      <c r="G2523" t="s">
        <v>32</v>
      </c>
      <c r="H2523" t="s">
        <v>33</v>
      </c>
      <c r="I2523" t="s">
        <v>39</v>
      </c>
      <c r="J2523" t="s">
        <v>34</v>
      </c>
    </row>
    <row r="2524" spans="1:10">
      <c r="A2524" t="s">
        <v>3827</v>
      </c>
      <c r="B2524" t="s">
        <v>287</v>
      </c>
      <c r="C2524" t="s">
        <v>87</v>
      </c>
      <c r="D2524" t="s">
        <v>22</v>
      </c>
      <c r="E2524">
        <v>-129965</v>
      </c>
      <c r="F2524" t="s">
        <v>23</v>
      </c>
      <c r="G2524" t="s">
        <v>24</v>
      </c>
      <c r="H2524" t="s">
        <v>25</v>
      </c>
      <c r="I2524" t="s">
        <v>45</v>
      </c>
      <c r="J2524" t="s">
        <v>34</v>
      </c>
    </row>
    <row r="2525" spans="1:10">
      <c r="A2525" t="s">
        <v>3828</v>
      </c>
      <c r="B2525" t="s">
        <v>604</v>
      </c>
      <c r="C2525" t="s">
        <v>72</v>
      </c>
      <c r="D2525" t="s">
        <v>73</v>
      </c>
      <c r="E2525">
        <v>-14432</v>
      </c>
      <c r="F2525" t="s">
        <v>74</v>
      </c>
      <c r="G2525" t="s">
        <v>32</v>
      </c>
      <c r="H2525" t="s">
        <v>25</v>
      </c>
      <c r="I2525" t="s">
        <v>39</v>
      </c>
      <c r="J2525" t="s">
        <v>34</v>
      </c>
    </row>
    <row r="2526" spans="1:10">
      <c r="A2526" t="s">
        <v>3829</v>
      </c>
      <c r="B2526" t="s">
        <v>3358</v>
      </c>
      <c r="C2526" t="s">
        <v>106</v>
      </c>
      <c r="D2526" t="s">
        <v>31</v>
      </c>
      <c r="E2526">
        <v>-43439</v>
      </c>
      <c r="F2526" t="s">
        <v>23</v>
      </c>
      <c r="G2526" t="s">
        <v>24</v>
      </c>
      <c r="H2526" t="s">
        <v>33</v>
      </c>
      <c r="I2526" t="s">
        <v>39</v>
      </c>
      <c r="J2526" t="s">
        <v>34</v>
      </c>
    </row>
    <row r="2527" spans="1:10">
      <c r="A2527" t="s">
        <v>3830</v>
      </c>
      <c r="B2527" t="s">
        <v>3831</v>
      </c>
      <c r="C2527" t="s">
        <v>143</v>
      </c>
      <c r="D2527" t="s">
        <v>78</v>
      </c>
      <c r="E2527">
        <v>-60118</v>
      </c>
      <c r="F2527" t="s">
        <v>23</v>
      </c>
      <c r="G2527" t="s">
        <v>24</v>
      </c>
      <c r="H2527" t="s">
        <v>79</v>
      </c>
      <c r="I2527" t="s">
        <v>45</v>
      </c>
      <c r="J2527" t="s">
        <v>27</v>
      </c>
    </row>
    <row r="2528" spans="1:10">
      <c r="A2528" t="s">
        <v>3832</v>
      </c>
      <c r="B2528" t="s">
        <v>793</v>
      </c>
      <c r="C2528" t="s">
        <v>224</v>
      </c>
      <c r="D2528" t="s">
        <v>78</v>
      </c>
      <c r="E2528">
        <v>-18924</v>
      </c>
      <c r="F2528" t="s">
        <v>23</v>
      </c>
      <c r="G2528" t="s">
        <v>32</v>
      </c>
      <c r="H2528" t="s">
        <v>79</v>
      </c>
      <c r="I2528" t="s">
        <v>39</v>
      </c>
      <c r="J2528" t="s">
        <v>34</v>
      </c>
    </row>
    <row r="2529" spans="1:10">
      <c r="A2529" t="s">
        <v>3833</v>
      </c>
      <c r="B2529" t="s">
        <v>3834</v>
      </c>
      <c r="C2529" t="s">
        <v>169</v>
      </c>
      <c r="D2529" t="s">
        <v>73</v>
      </c>
      <c r="E2529">
        <v>-70371</v>
      </c>
      <c r="F2529" t="s">
        <v>74</v>
      </c>
      <c r="G2529" t="s">
        <v>24</v>
      </c>
      <c r="H2529" t="s">
        <v>25</v>
      </c>
      <c r="I2529" t="s">
        <v>39</v>
      </c>
      <c r="J2529" t="s">
        <v>34</v>
      </c>
    </row>
    <row r="2530" spans="1:10">
      <c r="A2530" t="s">
        <v>3835</v>
      </c>
      <c r="B2530" t="s">
        <v>3836</v>
      </c>
      <c r="C2530" t="s">
        <v>177</v>
      </c>
      <c r="E2530">
        <v>-34525</v>
      </c>
      <c r="F2530" t="s">
        <v>23</v>
      </c>
      <c r="G2530" t="s">
        <v>24</v>
      </c>
      <c r="H2530" t="s">
        <v>79</v>
      </c>
      <c r="I2530" t="s">
        <v>26</v>
      </c>
      <c r="J2530" t="s">
        <v>27</v>
      </c>
    </row>
    <row r="2531" spans="1:10">
      <c r="A2531" t="s">
        <v>3837</v>
      </c>
      <c r="B2531" t="s">
        <v>1852</v>
      </c>
      <c r="C2531" t="s">
        <v>93</v>
      </c>
      <c r="D2531" t="s">
        <v>73</v>
      </c>
      <c r="E2531">
        <v>-25093</v>
      </c>
      <c r="F2531" t="s">
        <v>74</v>
      </c>
      <c r="G2531" t="s">
        <v>32</v>
      </c>
      <c r="H2531" t="s">
        <v>25</v>
      </c>
      <c r="I2531" t="s">
        <v>45</v>
      </c>
      <c r="J2531" t="s">
        <v>27</v>
      </c>
    </row>
    <row r="2532" spans="1:10">
      <c r="A2532" t="s">
        <v>3838</v>
      </c>
      <c r="B2532" t="s">
        <v>618</v>
      </c>
      <c r="C2532" t="s">
        <v>57</v>
      </c>
      <c r="D2532" t="s">
        <v>44</v>
      </c>
      <c r="E2532">
        <v>-98591</v>
      </c>
      <c r="F2532" t="s">
        <v>23</v>
      </c>
      <c r="G2532" t="s">
        <v>32</v>
      </c>
      <c r="H2532" t="s">
        <v>33</v>
      </c>
      <c r="I2532" t="s">
        <v>26</v>
      </c>
      <c r="J2532" t="s">
        <v>40</v>
      </c>
    </row>
    <row r="2533" spans="1:10">
      <c r="A2533" t="s">
        <v>3839</v>
      </c>
      <c r="B2533" t="s">
        <v>3293</v>
      </c>
      <c r="C2533" t="s">
        <v>161</v>
      </c>
      <c r="D2533" t="s">
        <v>22</v>
      </c>
      <c r="E2533">
        <v>-199461</v>
      </c>
      <c r="F2533" t="s">
        <v>23</v>
      </c>
      <c r="G2533" t="s">
        <v>24</v>
      </c>
      <c r="H2533" t="s">
        <v>25</v>
      </c>
      <c r="I2533" t="s">
        <v>26</v>
      </c>
      <c r="J2533" t="s">
        <v>27</v>
      </c>
    </row>
    <row r="2534" spans="1:10">
      <c r="A2534" t="s">
        <v>3840</v>
      </c>
      <c r="B2534" t="s">
        <v>265</v>
      </c>
      <c r="C2534" t="s">
        <v>116</v>
      </c>
      <c r="E2534">
        <v>-71074</v>
      </c>
      <c r="F2534" t="s">
        <v>74</v>
      </c>
      <c r="G2534" t="s">
        <v>32</v>
      </c>
      <c r="H2534" t="s">
        <v>25</v>
      </c>
      <c r="I2534" t="s">
        <v>39</v>
      </c>
      <c r="J2534" t="s">
        <v>34</v>
      </c>
    </row>
    <row r="2535" spans="1:10">
      <c r="A2535" t="s">
        <v>3841</v>
      </c>
      <c r="B2535" t="s">
        <v>1875</v>
      </c>
      <c r="C2535" t="s">
        <v>143</v>
      </c>
      <c r="D2535" t="s">
        <v>78</v>
      </c>
      <c r="E2535">
        <v>-75868</v>
      </c>
      <c r="F2535" t="s">
        <v>23</v>
      </c>
      <c r="G2535" t="s">
        <v>32</v>
      </c>
      <c r="H2535" t="s">
        <v>79</v>
      </c>
      <c r="I2535" t="s">
        <v>45</v>
      </c>
      <c r="J2535" t="s">
        <v>27</v>
      </c>
    </row>
    <row r="2536" spans="1:10">
      <c r="A2536" t="s">
        <v>3842</v>
      </c>
      <c r="B2536" t="s">
        <v>968</v>
      </c>
      <c r="C2536" t="s">
        <v>54</v>
      </c>
      <c r="D2536" t="s">
        <v>38</v>
      </c>
      <c r="E2536">
        <v>-38704</v>
      </c>
      <c r="F2536" t="s">
        <v>23</v>
      </c>
      <c r="G2536" t="s">
        <v>24</v>
      </c>
      <c r="H2536" t="s">
        <v>33</v>
      </c>
      <c r="I2536" t="s">
        <v>39</v>
      </c>
      <c r="J2536" t="s">
        <v>34</v>
      </c>
    </row>
    <row r="2537" spans="1:10">
      <c r="A2537" t="s">
        <v>3843</v>
      </c>
      <c r="B2537" t="s">
        <v>1496</v>
      </c>
      <c r="C2537" t="s">
        <v>215</v>
      </c>
      <c r="D2537" t="s">
        <v>61</v>
      </c>
      <c r="E2537">
        <v>-43731</v>
      </c>
      <c r="F2537" t="s">
        <v>62</v>
      </c>
      <c r="G2537" t="s">
        <v>24</v>
      </c>
      <c r="H2537" t="s">
        <v>63</v>
      </c>
      <c r="I2537" t="s">
        <v>45</v>
      </c>
      <c r="J2537" t="s">
        <v>34</v>
      </c>
    </row>
    <row r="2538" spans="1:10">
      <c r="A2538" t="s">
        <v>3844</v>
      </c>
      <c r="B2538" t="s">
        <v>831</v>
      </c>
      <c r="C2538" t="s">
        <v>69</v>
      </c>
      <c r="E2538">
        <v>-37847</v>
      </c>
      <c r="F2538" t="s">
        <v>23</v>
      </c>
      <c r="G2538" t="s">
        <v>32</v>
      </c>
      <c r="H2538" t="s">
        <v>33</v>
      </c>
      <c r="I2538" t="s">
        <v>26</v>
      </c>
      <c r="J2538" t="s">
        <v>27</v>
      </c>
    </row>
    <row r="2539" spans="1:10">
      <c r="A2539" t="s">
        <v>3845</v>
      </c>
      <c r="B2539" t="s">
        <v>3073</v>
      </c>
      <c r="C2539" t="s">
        <v>60</v>
      </c>
      <c r="D2539" t="s">
        <v>61</v>
      </c>
      <c r="E2539">
        <v>-39517</v>
      </c>
      <c r="F2539" t="s">
        <v>62</v>
      </c>
      <c r="G2539" t="s">
        <v>24</v>
      </c>
      <c r="H2539" t="s">
        <v>63</v>
      </c>
      <c r="I2539" t="s">
        <v>45</v>
      </c>
      <c r="J2539" t="s">
        <v>48</v>
      </c>
    </row>
    <row r="2540" spans="1:10">
      <c r="A2540" t="s">
        <v>3846</v>
      </c>
      <c r="B2540" t="s">
        <v>819</v>
      </c>
      <c r="C2540" t="s">
        <v>166</v>
      </c>
      <c r="D2540" t="s">
        <v>31</v>
      </c>
      <c r="E2540">
        <v>-43245</v>
      </c>
      <c r="F2540" t="s">
        <v>23</v>
      </c>
      <c r="G2540" t="s">
        <v>32</v>
      </c>
      <c r="H2540" t="s">
        <v>33</v>
      </c>
      <c r="I2540" t="s">
        <v>39</v>
      </c>
      <c r="J2540" t="s">
        <v>34</v>
      </c>
    </row>
    <row r="2541" spans="1:10">
      <c r="A2541" t="s">
        <v>3847</v>
      </c>
      <c r="B2541" t="s">
        <v>2829</v>
      </c>
      <c r="C2541" t="s">
        <v>290</v>
      </c>
      <c r="D2541" t="s">
        <v>440</v>
      </c>
      <c r="E2541">
        <v>-131352</v>
      </c>
      <c r="F2541" t="s">
        <v>23</v>
      </c>
      <c r="G2541" t="s">
        <v>24</v>
      </c>
      <c r="H2541" t="s">
        <v>33</v>
      </c>
      <c r="I2541" t="s">
        <v>45</v>
      </c>
      <c r="J2541" t="s">
        <v>34</v>
      </c>
    </row>
    <row r="2542" spans="1:10">
      <c r="A2542" t="s">
        <v>3848</v>
      </c>
      <c r="B2542" t="s">
        <v>3849</v>
      </c>
      <c r="C2542" t="s">
        <v>69</v>
      </c>
      <c r="D2542" t="s">
        <v>38</v>
      </c>
      <c r="E2542">
        <v>-30248</v>
      </c>
      <c r="F2542" t="s">
        <v>23</v>
      </c>
      <c r="G2542" t="s">
        <v>32</v>
      </c>
      <c r="H2542" t="s">
        <v>33</v>
      </c>
      <c r="I2542" t="s">
        <v>39</v>
      </c>
      <c r="J2542" t="s">
        <v>48</v>
      </c>
    </row>
    <row r="2543" spans="1:10">
      <c r="A2543" t="s">
        <v>3850</v>
      </c>
      <c r="B2543" t="s">
        <v>1299</v>
      </c>
      <c r="C2543" t="s">
        <v>72</v>
      </c>
      <c r="D2543" t="s">
        <v>73</v>
      </c>
      <c r="E2543">
        <v>-73735</v>
      </c>
      <c r="F2543" t="s">
        <v>74</v>
      </c>
      <c r="G2543" t="s">
        <v>32</v>
      </c>
      <c r="H2543" t="s">
        <v>25</v>
      </c>
      <c r="I2543" t="s">
        <v>45</v>
      </c>
      <c r="J2543" t="s">
        <v>48</v>
      </c>
    </row>
    <row r="2544" spans="1:10">
      <c r="A2544" t="s">
        <v>3851</v>
      </c>
      <c r="B2544" t="s">
        <v>2574</v>
      </c>
      <c r="C2544" t="s">
        <v>757</v>
      </c>
      <c r="D2544" t="s">
        <v>157</v>
      </c>
      <c r="E2544">
        <v>760655</v>
      </c>
      <c r="F2544" t="s">
        <v>62</v>
      </c>
      <c r="G2544" t="s">
        <v>32</v>
      </c>
      <c r="H2544" t="s">
        <v>25</v>
      </c>
      <c r="I2544" t="s">
        <v>39</v>
      </c>
      <c r="J2544" t="s">
        <v>48</v>
      </c>
    </row>
    <row r="2545" spans="1:10">
      <c r="A2545" t="s">
        <v>3852</v>
      </c>
      <c r="B2545" t="s">
        <v>521</v>
      </c>
      <c r="C2545" t="s">
        <v>215</v>
      </c>
      <c r="D2545" t="s">
        <v>61</v>
      </c>
      <c r="E2545">
        <v>-21422</v>
      </c>
      <c r="F2545" t="s">
        <v>62</v>
      </c>
      <c r="G2545" t="s">
        <v>32</v>
      </c>
      <c r="H2545" t="s">
        <v>63</v>
      </c>
      <c r="I2545" t="s">
        <v>45</v>
      </c>
      <c r="J2545" t="s">
        <v>48</v>
      </c>
    </row>
    <row r="2546" spans="1:10">
      <c r="A2546" t="s">
        <v>3853</v>
      </c>
      <c r="B2546" t="s">
        <v>2821</v>
      </c>
      <c r="C2546" t="s">
        <v>218</v>
      </c>
      <c r="D2546" t="s">
        <v>157</v>
      </c>
      <c r="E2546">
        <v>620889</v>
      </c>
      <c r="F2546" t="s">
        <v>62</v>
      </c>
      <c r="G2546" t="s">
        <v>32</v>
      </c>
      <c r="H2546" t="s">
        <v>25</v>
      </c>
      <c r="I2546" t="s">
        <v>45</v>
      </c>
      <c r="J2546" t="s">
        <v>40</v>
      </c>
    </row>
    <row r="2547" spans="1:10">
      <c r="A2547" t="s">
        <v>3854</v>
      </c>
      <c r="B2547" t="s">
        <v>833</v>
      </c>
      <c r="C2547" t="s">
        <v>37</v>
      </c>
      <c r="D2547" t="s">
        <v>38</v>
      </c>
      <c r="E2547">
        <v>-41645</v>
      </c>
      <c r="F2547" t="s">
        <v>23</v>
      </c>
      <c r="G2547" t="s">
        <v>24</v>
      </c>
      <c r="H2547" t="s">
        <v>33</v>
      </c>
      <c r="I2547" t="s">
        <v>45</v>
      </c>
      <c r="J2547" t="s">
        <v>27</v>
      </c>
    </row>
    <row r="2548" spans="1:10">
      <c r="A2548" t="s">
        <v>3855</v>
      </c>
      <c r="B2548" t="s">
        <v>3706</v>
      </c>
      <c r="C2548" t="s">
        <v>468</v>
      </c>
      <c r="D2548" t="s">
        <v>440</v>
      </c>
      <c r="E2548">
        <v>-129432</v>
      </c>
      <c r="F2548" t="s">
        <v>23</v>
      </c>
      <c r="G2548" t="s">
        <v>24</v>
      </c>
      <c r="H2548" t="s">
        <v>33</v>
      </c>
      <c r="I2548" t="s">
        <v>26</v>
      </c>
      <c r="J2548" t="s">
        <v>48</v>
      </c>
    </row>
    <row r="2549" spans="1:10">
      <c r="A2549" t="s">
        <v>3856</v>
      </c>
      <c r="B2549" t="s">
        <v>3407</v>
      </c>
      <c r="C2549" t="s">
        <v>687</v>
      </c>
      <c r="D2549" t="s">
        <v>44</v>
      </c>
      <c r="E2549">
        <v>-92829</v>
      </c>
      <c r="F2549" t="s">
        <v>23</v>
      </c>
      <c r="G2549" t="s">
        <v>24</v>
      </c>
      <c r="H2549" t="s">
        <v>33</v>
      </c>
      <c r="I2549" t="s">
        <v>39</v>
      </c>
      <c r="J2549" t="s">
        <v>40</v>
      </c>
    </row>
    <row r="2550" spans="1:10">
      <c r="A2550" t="s">
        <v>3857</v>
      </c>
      <c r="B2550" t="s">
        <v>1681</v>
      </c>
      <c r="C2550" t="s">
        <v>305</v>
      </c>
      <c r="D2550" t="s">
        <v>38</v>
      </c>
      <c r="E2550">
        <v>-13249</v>
      </c>
      <c r="F2550" t="s">
        <v>23</v>
      </c>
      <c r="G2550" t="s">
        <v>24</v>
      </c>
      <c r="H2550" t="s">
        <v>33</v>
      </c>
      <c r="I2550" t="s">
        <v>26</v>
      </c>
      <c r="J2550" t="s">
        <v>27</v>
      </c>
    </row>
    <row r="2551" spans="1:10">
      <c r="A2551" t="s">
        <v>3858</v>
      </c>
      <c r="B2551" t="s">
        <v>2483</v>
      </c>
      <c r="C2551" t="s">
        <v>57</v>
      </c>
      <c r="D2551" t="s">
        <v>44</v>
      </c>
      <c r="E2551">
        <v>-119033</v>
      </c>
      <c r="F2551" t="s">
        <v>23</v>
      </c>
      <c r="G2551" t="s">
        <v>32</v>
      </c>
      <c r="H2551" t="s">
        <v>33</v>
      </c>
      <c r="I2551" t="s">
        <v>39</v>
      </c>
      <c r="J2551" t="s">
        <v>40</v>
      </c>
    </row>
    <row r="2552" spans="1:10">
      <c r="A2552" t="s">
        <v>3859</v>
      </c>
      <c r="B2552" t="s">
        <v>545</v>
      </c>
      <c r="C2552" t="s">
        <v>43</v>
      </c>
      <c r="D2552" t="s">
        <v>44</v>
      </c>
      <c r="E2552">
        <v>-65236</v>
      </c>
      <c r="F2552" t="s">
        <v>23</v>
      </c>
      <c r="G2552" t="s">
        <v>32</v>
      </c>
      <c r="H2552" t="s">
        <v>33</v>
      </c>
      <c r="I2552" t="s">
        <v>26</v>
      </c>
      <c r="J2552" t="s">
        <v>34</v>
      </c>
    </row>
    <row r="2553" spans="1:10">
      <c r="A2553" t="s">
        <v>3860</v>
      </c>
      <c r="B2553" t="s">
        <v>322</v>
      </c>
      <c r="C2553" t="s">
        <v>66</v>
      </c>
      <c r="D2553" t="s">
        <v>61</v>
      </c>
      <c r="E2553">
        <v>-55478</v>
      </c>
      <c r="F2553" t="s">
        <v>62</v>
      </c>
      <c r="G2553" t="s">
        <v>32</v>
      </c>
      <c r="H2553" t="s">
        <v>63</v>
      </c>
      <c r="I2553" t="s">
        <v>26</v>
      </c>
      <c r="J2553" t="s">
        <v>48</v>
      </c>
    </row>
    <row r="2554" spans="1:10">
      <c r="A2554" t="s">
        <v>3861</v>
      </c>
      <c r="B2554" t="s">
        <v>3374</v>
      </c>
      <c r="C2554" t="s">
        <v>161</v>
      </c>
      <c r="D2554" t="s">
        <v>22</v>
      </c>
      <c r="E2554">
        <v>-86165</v>
      </c>
      <c r="F2554" t="s">
        <v>23</v>
      </c>
      <c r="G2554" t="s">
        <v>32</v>
      </c>
      <c r="H2554" t="s">
        <v>25</v>
      </c>
      <c r="I2554" t="s">
        <v>45</v>
      </c>
      <c r="J2554" t="s">
        <v>48</v>
      </c>
    </row>
    <row r="2555" spans="1:10">
      <c r="A2555" t="s">
        <v>3862</v>
      </c>
      <c r="B2555" t="s">
        <v>545</v>
      </c>
      <c r="C2555" t="s">
        <v>66</v>
      </c>
      <c r="D2555" t="s">
        <v>61</v>
      </c>
      <c r="E2555">
        <v>-52535</v>
      </c>
      <c r="F2555" t="s">
        <v>62</v>
      </c>
      <c r="G2555" t="s">
        <v>32</v>
      </c>
      <c r="H2555" t="s">
        <v>63</v>
      </c>
      <c r="I2555" t="s">
        <v>26</v>
      </c>
      <c r="J2555" t="s">
        <v>34</v>
      </c>
    </row>
    <row r="2556" spans="1:10">
      <c r="A2556" t="s">
        <v>3863</v>
      </c>
      <c r="B2556" t="s">
        <v>1943</v>
      </c>
      <c r="C2556" t="s">
        <v>84</v>
      </c>
      <c r="D2556" t="s">
        <v>78</v>
      </c>
      <c r="E2556">
        <v>-39952</v>
      </c>
      <c r="F2556" t="s">
        <v>23</v>
      </c>
      <c r="G2556" t="s">
        <v>32</v>
      </c>
      <c r="H2556" t="s">
        <v>79</v>
      </c>
      <c r="I2556" t="s">
        <v>39</v>
      </c>
      <c r="J2556" t="s">
        <v>34</v>
      </c>
    </row>
    <row r="2557" spans="1:10">
      <c r="A2557" t="s">
        <v>3864</v>
      </c>
      <c r="B2557" t="s">
        <v>1788</v>
      </c>
      <c r="C2557" t="s">
        <v>103</v>
      </c>
      <c r="D2557" t="s">
        <v>78</v>
      </c>
      <c r="E2557">
        <v>-114071</v>
      </c>
      <c r="F2557" t="s">
        <v>23</v>
      </c>
      <c r="G2557" t="s">
        <v>32</v>
      </c>
      <c r="H2557" t="s">
        <v>79</v>
      </c>
      <c r="I2557" t="s">
        <v>45</v>
      </c>
      <c r="J2557" t="s">
        <v>40</v>
      </c>
    </row>
    <row r="2558" spans="1:10">
      <c r="A2558" t="s">
        <v>3865</v>
      </c>
      <c r="B2558" t="s">
        <v>2448</v>
      </c>
      <c r="C2558" t="s">
        <v>77</v>
      </c>
      <c r="D2558" t="s">
        <v>664</v>
      </c>
      <c r="E2558">
        <v>-65001</v>
      </c>
      <c r="F2558" t="s">
        <v>23</v>
      </c>
      <c r="G2558" t="s">
        <v>32</v>
      </c>
      <c r="H2558" t="s">
        <v>79</v>
      </c>
      <c r="I2558" t="s">
        <v>39</v>
      </c>
      <c r="J2558" t="s">
        <v>48</v>
      </c>
    </row>
    <row r="2559" spans="1:10">
      <c r="A2559" t="s">
        <v>3866</v>
      </c>
      <c r="B2559" t="s">
        <v>2851</v>
      </c>
      <c r="C2559" t="s">
        <v>100</v>
      </c>
      <c r="E2559">
        <v>-34458</v>
      </c>
      <c r="F2559" t="s">
        <v>23</v>
      </c>
      <c r="G2559" t="s">
        <v>32</v>
      </c>
      <c r="H2559" t="s">
        <v>33</v>
      </c>
      <c r="I2559" t="s">
        <v>45</v>
      </c>
      <c r="J2559" t="s">
        <v>48</v>
      </c>
    </row>
    <row r="2560" spans="1:10">
      <c r="A2560" t="s">
        <v>3867</v>
      </c>
      <c r="B2560" t="s">
        <v>3868</v>
      </c>
      <c r="C2560" t="s">
        <v>161</v>
      </c>
      <c r="D2560" t="s">
        <v>22</v>
      </c>
      <c r="E2560">
        <v>-59797</v>
      </c>
      <c r="F2560" t="s">
        <v>23</v>
      </c>
      <c r="G2560" t="s">
        <v>32</v>
      </c>
      <c r="H2560" t="s">
        <v>25</v>
      </c>
      <c r="I2560" t="s">
        <v>45</v>
      </c>
      <c r="J2560" t="s">
        <v>48</v>
      </c>
    </row>
    <row r="2561" spans="1:10">
      <c r="A2561" t="s">
        <v>3869</v>
      </c>
      <c r="B2561" t="s">
        <v>2911</v>
      </c>
      <c r="C2561" t="s">
        <v>2229</v>
      </c>
      <c r="D2561" t="s">
        <v>61</v>
      </c>
      <c r="E2561">
        <v>-49393</v>
      </c>
      <c r="F2561" t="s">
        <v>62</v>
      </c>
      <c r="G2561" t="s">
        <v>32</v>
      </c>
      <c r="H2561" t="s">
        <v>63</v>
      </c>
      <c r="I2561" t="s">
        <v>45</v>
      </c>
      <c r="J2561" t="s">
        <v>48</v>
      </c>
    </row>
    <row r="2562" spans="1:10">
      <c r="A2562" t="s">
        <v>3870</v>
      </c>
      <c r="B2562" t="s">
        <v>2233</v>
      </c>
      <c r="C2562" t="s">
        <v>169</v>
      </c>
      <c r="D2562" t="s">
        <v>302</v>
      </c>
      <c r="E2562">
        <v>-36913</v>
      </c>
      <c r="F2562" t="s">
        <v>74</v>
      </c>
      <c r="G2562" t="s">
        <v>24</v>
      </c>
      <c r="H2562" t="s">
        <v>25</v>
      </c>
      <c r="I2562" t="s">
        <v>26</v>
      </c>
      <c r="J2562" t="s">
        <v>48</v>
      </c>
    </row>
    <row r="2563" spans="1:10">
      <c r="A2563" t="s">
        <v>3871</v>
      </c>
      <c r="B2563" t="s">
        <v>297</v>
      </c>
      <c r="C2563" t="s">
        <v>766</v>
      </c>
      <c r="D2563" t="s">
        <v>73</v>
      </c>
      <c r="E2563">
        <v>-9925</v>
      </c>
      <c r="F2563" t="s">
        <v>74</v>
      </c>
      <c r="G2563" t="s">
        <v>24</v>
      </c>
      <c r="H2563" t="s">
        <v>25</v>
      </c>
      <c r="I2563" t="s">
        <v>39</v>
      </c>
      <c r="J2563" t="s">
        <v>40</v>
      </c>
    </row>
    <row r="2564" spans="1:10">
      <c r="A2564" t="s">
        <v>3872</v>
      </c>
      <c r="B2564" t="s">
        <v>668</v>
      </c>
      <c r="C2564" t="s">
        <v>93</v>
      </c>
      <c r="D2564" t="s">
        <v>73</v>
      </c>
      <c r="E2564">
        <v>-72312</v>
      </c>
      <c r="F2564" t="s">
        <v>74</v>
      </c>
      <c r="G2564" t="s">
        <v>24</v>
      </c>
      <c r="H2564" t="s">
        <v>25</v>
      </c>
      <c r="I2564" t="s">
        <v>45</v>
      </c>
      <c r="J2564" t="s">
        <v>40</v>
      </c>
    </row>
    <row r="2565" spans="1:10">
      <c r="A2565" t="s">
        <v>3873</v>
      </c>
      <c r="B2565" t="s">
        <v>3619</v>
      </c>
      <c r="C2565" t="s">
        <v>215</v>
      </c>
      <c r="D2565" t="s">
        <v>61</v>
      </c>
      <c r="E2565">
        <v>-45134</v>
      </c>
      <c r="F2565" t="s">
        <v>62</v>
      </c>
      <c r="G2565" t="s">
        <v>24</v>
      </c>
      <c r="H2565" t="s">
        <v>63</v>
      </c>
      <c r="I2565" t="s">
        <v>45</v>
      </c>
      <c r="J2565" t="s">
        <v>27</v>
      </c>
    </row>
    <row r="2566" spans="1:10">
      <c r="A2566" t="s">
        <v>3874</v>
      </c>
      <c r="B2566" t="s">
        <v>3875</v>
      </c>
      <c r="C2566" t="s">
        <v>90</v>
      </c>
      <c r="D2566" t="s">
        <v>73</v>
      </c>
      <c r="E2566">
        <v>-14695</v>
      </c>
      <c r="F2566" t="s">
        <v>74</v>
      </c>
      <c r="G2566" t="s">
        <v>24</v>
      </c>
      <c r="H2566" t="s">
        <v>25</v>
      </c>
      <c r="I2566" t="s">
        <v>45</v>
      </c>
      <c r="J2566" t="s">
        <v>48</v>
      </c>
    </row>
    <row r="2567" spans="1:10">
      <c r="A2567" t="s">
        <v>3876</v>
      </c>
      <c r="B2567" t="s">
        <v>1989</v>
      </c>
      <c r="C2567" t="s">
        <v>54</v>
      </c>
      <c r="D2567" t="s">
        <v>38</v>
      </c>
      <c r="E2567">
        <v>-19258</v>
      </c>
      <c r="F2567" t="s">
        <v>23</v>
      </c>
      <c r="G2567" t="s">
        <v>32</v>
      </c>
      <c r="H2567" t="s">
        <v>33</v>
      </c>
      <c r="I2567" t="s">
        <v>39</v>
      </c>
      <c r="J2567" t="s">
        <v>27</v>
      </c>
    </row>
    <row r="2568" spans="1:10">
      <c r="A2568" t="s">
        <v>3877</v>
      </c>
      <c r="B2568" t="s">
        <v>3878</v>
      </c>
      <c r="C2568" t="s">
        <v>30</v>
      </c>
      <c r="D2568" t="s">
        <v>31</v>
      </c>
      <c r="E2568">
        <v>-17487</v>
      </c>
      <c r="F2568" t="s">
        <v>23</v>
      </c>
      <c r="G2568" t="s">
        <v>32</v>
      </c>
      <c r="H2568" t="s">
        <v>33</v>
      </c>
      <c r="I2568" t="s">
        <v>26</v>
      </c>
      <c r="J2568" t="s">
        <v>27</v>
      </c>
    </row>
    <row r="2569" spans="1:10">
      <c r="A2569" t="s">
        <v>2835</v>
      </c>
      <c r="B2569" t="s">
        <v>635</v>
      </c>
      <c r="C2569" t="s">
        <v>57</v>
      </c>
      <c r="D2569" t="s">
        <v>388</v>
      </c>
      <c r="E2569">
        <v>-123792</v>
      </c>
      <c r="F2569" t="s">
        <v>23</v>
      </c>
      <c r="G2569" t="s">
        <v>24</v>
      </c>
      <c r="H2569" t="s">
        <v>33</v>
      </c>
      <c r="I2569" t="s">
        <v>26</v>
      </c>
      <c r="J2569" t="s">
        <v>34</v>
      </c>
    </row>
    <row r="2570" spans="1:10">
      <c r="A2570" t="s">
        <v>3879</v>
      </c>
      <c r="B2570" t="s">
        <v>3880</v>
      </c>
      <c r="C2570" t="s">
        <v>106</v>
      </c>
      <c r="D2570" t="s">
        <v>31</v>
      </c>
      <c r="E2570">
        <v>-31610</v>
      </c>
      <c r="F2570" t="s">
        <v>23</v>
      </c>
      <c r="G2570" t="s">
        <v>32</v>
      </c>
      <c r="H2570" t="s">
        <v>33</v>
      </c>
      <c r="I2570" t="s">
        <v>39</v>
      </c>
      <c r="J2570" t="s">
        <v>48</v>
      </c>
    </row>
    <row r="2571" spans="1:10">
      <c r="A2571" t="s">
        <v>3881</v>
      </c>
      <c r="B2571" t="s">
        <v>2143</v>
      </c>
      <c r="C2571" t="s">
        <v>116</v>
      </c>
      <c r="E2571">
        <v>-45762</v>
      </c>
      <c r="F2571" t="s">
        <v>74</v>
      </c>
      <c r="G2571" t="s">
        <v>24</v>
      </c>
      <c r="H2571" t="s">
        <v>25</v>
      </c>
      <c r="I2571" t="s">
        <v>26</v>
      </c>
      <c r="J2571" t="s">
        <v>34</v>
      </c>
    </row>
    <row r="2572" spans="1:10">
      <c r="A2572" t="s">
        <v>3882</v>
      </c>
      <c r="B2572" t="s">
        <v>2401</v>
      </c>
      <c r="C2572" t="s">
        <v>935</v>
      </c>
      <c r="D2572" t="s">
        <v>22</v>
      </c>
      <c r="E2572">
        <v>-103027</v>
      </c>
      <c r="F2572" t="s">
        <v>23</v>
      </c>
      <c r="G2572" t="s">
        <v>24</v>
      </c>
      <c r="H2572" t="s">
        <v>25</v>
      </c>
      <c r="I2572" t="s">
        <v>45</v>
      </c>
      <c r="J2572" t="s">
        <v>34</v>
      </c>
    </row>
    <row r="2573" spans="1:10">
      <c r="A2573" t="s">
        <v>3883</v>
      </c>
      <c r="B2573" t="s">
        <v>1875</v>
      </c>
      <c r="C2573" t="s">
        <v>60</v>
      </c>
      <c r="D2573" t="s">
        <v>61</v>
      </c>
      <c r="E2573">
        <v>-34945</v>
      </c>
      <c r="F2573" t="s">
        <v>62</v>
      </c>
      <c r="G2573" t="s">
        <v>32</v>
      </c>
      <c r="H2573" t="s">
        <v>63</v>
      </c>
      <c r="I2573" t="s">
        <v>45</v>
      </c>
      <c r="J2573" t="s">
        <v>27</v>
      </c>
    </row>
    <row r="2574" spans="1:10">
      <c r="A2574" t="s">
        <v>3884</v>
      </c>
      <c r="B2574" t="s">
        <v>29</v>
      </c>
      <c r="C2574" t="s">
        <v>177</v>
      </c>
      <c r="D2574" t="s">
        <v>78</v>
      </c>
      <c r="E2574">
        <v>-112290</v>
      </c>
      <c r="F2574" t="s">
        <v>23</v>
      </c>
      <c r="G2574" t="s">
        <v>24</v>
      </c>
      <c r="H2574" t="s">
        <v>79</v>
      </c>
      <c r="I2574" t="s">
        <v>26</v>
      </c>
      <c r="J2574" t="s">
        <v>34</v>
      </c>
    </row>
    <row r="2575" spans="1:10">
      <c r="A2575" t="s">
        <v>3885</v>
      </c>
      <c r="B2575" t="s">
        <v>2308</v>
      </c>
      <c r="C2575" t="s">
        <v>69</v>
      </c>
      <c r="D2575" t="s">
        <v>38</v>
      </c>
      <c r="E2575">
        <v>-45483</v>
      </c>
      <c r="F2575" t="s">
        <v>23</v>
      </c>
      <c r="G2575" t="s">
        <v>24</v>
      </c>
      <c r="H2575" t="s">
        <v>33</v>
      </c>
      <c r="I2575" t="s">
        <v>26</v>
      </c>
      <c r="J2575" t="s">
        <v>40</v>
      </c>
    </row>
    <row r="2576" spans="1:10">
      <c r="A2576" t="s">
        <v>3886</v>
      </c>
      <c r="B2576" t="s">
        <v>1372</v>
      </c>
      <c r="C2576" t="s">
        <v>37</v>
      </c>
      <c r="D2576" t="s">
        <v>38</v>
      </c>
      <c r="E2576">
        <v>-22914</v>
      </c>
      <c r="F2576" t="s">
        <v>23</v>
      </c>
      <c r="G2576" t="s">
        <v>24</v>
      </c>
      <c r="H2576" t="s">
        <v>33</v>
      </c>
      <c r="I2576" t="s">
        <v>45</v>
      </c>
      <c r="J2576" t="s">
        <v>34</v>
      </c>
    </row>
    <row r="2577" spans="1:10">
      <c r="A2577" t="s">
        <v>3887</v>
      </c>
      <c r="B2577" t="s">
        <v>1933</v>
      </c>
      <c r="C2577" t="s">
        <v>218</v>
      </c>
      <c r="D2577" t="s">
        <v>157</v>
      </c>
      <c r="E2577">
        <v>774646</v>
      </c>
      <c r="F2577" t="s">
        <v>62</v>
      </c>
      <c r="G2577" t="s">
        <v>32</v>
      </c>
      <c r="H2577" t="s">
        <v>25</v>
      </c>
      <c r="I2577" t="s">
        <v>39</v>
      </c>
      <c r="J2577" t="s">
        <v>48</v>
      </c>
    </row>
    <row r="2578" spans="1:10">
      <c r="A2578" t="s">
        <v>3888</v>
      </c>
      <c r="B2578" t="s">
        <v>848</v>
      </c>
      <c r="C2578" t="s">
        <v>439</v>
      </c>
      <c r="D2578" t="s">
        <v>440</v>
      </c>
      <c r="E2578">
        <v>-107977</v>
      </c>
      <c r="F2578" t="s">
        <v>23</v>
      </c>
      <c r="G2578" t="s">
        <v>32</v>
      </c>
      <c r="H2578" t="s">
        <v>33</v>
      </c>
      <c r="I2578" t="s">
        <v>45</v>
      </c>
      <c r="J2578" t="s">
        <v>34</v>
      </c>
    </row>
    <row r="2579" spans="1:10">
      <c r="A2579" t="s">
        <v>3889</v>
      </c>
      <c r="B2579" t="s">
        <v>629</v>
      </c>
      <c r="C2579" t="s">
        <v>266</v>
      </c>
      <c r="D2579" t="s">
        <v>73</v>
      </c>
      <c r="E2579">
        <v>-73535</v>
      </c>
      <c r="F2579" t="s">
        <v>74</v>
      </c>
      <c r="G2579" t="s">
        <v>32</v>
      </c>
      <c r="H2579" t="s">
        <v>25</v>
      </c>
      <c r="I2579" t="s">
        <v>45</v>
      </c>
      <c r="J2579" t="s">
        <v>27</v>
      </c>
    </row>
    <row r="2580" spans="1:10">
      <c r="A2580" t="s">
        <v>3890</v>
      </c>
      <c r="B2580" t="s">
        <v>381</v>
      </c>
      <c r="C2580" t="s">
        <v>100</v>
      </c>
      <c r="D2580" t="s">
        <v>31</v>
      </c>
      <c r="E2580">
        <v>-22839</v>
      </c>
      <c r="F2580" t="s">
        <v>23</v>
      </c>
      <c r="G2580" t="s">
        <v>24</v>
      </c>
      <c r="H2580" t="s">
        <v>33</v>
      </c>
      <c r="I2580" t="s">
        <v>39</v>
      </c>
      <c r="J2580" t="s">
        <v>27</v>
      </c>
    </row>
    <row r="2581" spans="1:10">
      <c r="A2581" t="s">
        <v>3075</v>
      </c>
      <c r="B2581" t="s">
        <v>1061</v>
      </c>
      <c r="C2581" t="s">
        <v>802</v>
      </c>
      <c r="D2581" t="s">
        <v>440</v>
      </c>
      <c r="E2581">
        <v>-97216</v>
      </c>
      <c r="F2581" t="s">
        <v>23</v>
      </c>
      <c r="G2581" t="s">
        <v>32</v>
      </c>
      <c r="H2581" t="s">
        <v>33</v>
      </c>
      <c r="I2581" t="s">
        <v>26</v>
      </c>
      <c r="J2581" t="s">
        <v>40</v>
      </c>
    </row>
    <row r="2582" spans="1:10">
      <c r="A2582" t="s">
        <v>3891</v>
      </c>
      <c r="B2582" t="s">
        <v>3892</v>
      </c>
      <c r="C2582" t="s">
        <v>106</v>
      </c>
      <c r="D2582" t="s">
        <v>31</v>
      </c>
      <c r="E2582">
        <v>-32430</v>
      </c>
      <c r="F2582" t="s">
        <v>23</v>
      </c>
      <c r="G2582" t="s">
        <v>32</v>
      </c>
      <c r="H2582" t="s">
        <v>33</v>
      </c>
      <c r="I2582" t="s">
        <v>45</v>
      </c>
      <c r="J2582" t="s">
        <v>34</v>
      </c>
    </row>
    <row r="2583" spans="1:10">
      <c r="A2583" t="s">
        <v>3893</v>
      </c>
      <c r="B2583" t="s">
        <v>1159</v>
      </c>
      <c r="C2583" t="s">
        <v>687</v>
      </c>
      <c r="D2583" t="s">
        <v>44</v>
      </c>
      <c r="E2583">
        <v>-138596</v>
      </c>
      <c r="F2583" t="s">
        <v>23</v>
      </c>
      <c r="G2583" t="s">
        <v>32</v>
      </c>
      <c r="H2583" t="s">
        <v>33</v>
      </c>
      <c r="I2583" t="s">
        <v>39</v>
      </c>
      <c r="J2583" t="s">
        <v>40</v>
      </c>
    </row>
    <row r="2584" spans="1:10">
      <c r="A2584" t="s">
        <v>3894</v>
      </c>
      <c r="B2584" t="s">
        <v>42</v>
      </c>
      <c r="C2584" t="s">
        <v>757</v>
      </c>
      <c r="D2584" t="s">
        <v>157</v>
      </c>
      <c r="E2584">
        <v>632507</v>
      </c>
      <c r="F2584" t="s">
        <v>62</v>
      </c>
      <c r="G2584" t="s">
        <v>32</v>
      </c>
      <c r="H2584" t="s">
        <v>25</v>
      </c>
      <c r="I2584" t="s">
        <v>45</v>
      </c>
      <c r="J2584" t="s">
        <v>40</v>
      </c>
    </row>
    <row r="2585" spans="1:10">
      <c r="A2585" t="s">
        <v>3895</v>
      </c>
      <c r="B2585" t="s">
        <v>3149</v>
      </c>
      <c r="C2585" t="s">
        <v>1039</v>
      </c>
      <c r="D2585" t="s">
        <v>440</v>
      </c>
      <c r="E2585">
        <v>-150397</v>
      </c>
      <c r="F2585" t="s">
        <v>23</v>
      </c>
      <c r="G2585" t="s">
        <v>32</v>
      </c>
      <c r="H2585" t="s">
        <v>33</v>
      </c>
      <c r="I2585" t="s">
        <v>26</v>
      </c>
      <c r="J2585" t="s">
        <v>34</v>
      </c>
    </row>
    <row r="2586" spans="1:10">
      <c r="A2586" t="s">
        <v>3896</v>
      </c>
      <c r="B2586" t="s">
        <v>1100</v>
      </c>
      <c r="C2586" t="s">
        <v>103</v>
      </c>
      <c r="D2586" t="s">
        <v>78</v>
      </c>
      <c r="E2586">
        <v>-26726</v>
      </c>
      <c r="F2586" t="s">
        <v>23</v>
      </c>
      <c r="G2586" t="s">
        <v>24</v>
      </c>
      <c r="H2586" t="s">
        <v>79</v>
      </c>
      <c r="I2586" t="s">
        <v>39</v>
      </c>
      <c r="J2586" t="s">
        <v>27</v>
      </c>
    </row>
    <row r="2587" spans="1:10">
      <c r="A2587" t="s">
        <v>3897</v>
      </c>
      <c r="B2587" t="s">
        <v>1667</v>
      </c>
      <c r="C2587" t="s">
        <v>439</v>
      </c>
      <c r="D2587" t="s">
        <v>440</v>
      </c>
      <c r="E2587">
        <v>-110376</v>
      </c>
      <c r="F2587" t="s">
        <v>23</v>
      </c>
      <c r="G2587" t="s">
        <v>24</v>
      </c>
      <c r="H2587" t="s">
        <v>33</v>
      </c>
      <c r="I2587" t="s">
        <v>26</v>
      </c>
      <c r="J2587" t="s">
        <v>27</v>
      </c>
    </row>
    <row r="2588" spans="1:10">
      <c r="A2588" t="s">
        <v>3898</v>
      </c>
      <c r="B2588" t="s">
        <v>3899</v>
      </c>
      <c r="C2588" t="s">
        <v>60</v>
      </c>
      <c r="D2588" t="s">
        <v>61</v>
      </c>
      <c r="E2588">
        <v>-54098</v>
      </c>
      <c r="F2588" t="s">
        <v>62</v>
      </c>
      <c r="G2588" t="s">
        <v>32</v>
      </c>
      <c r="H2588" t="s">
        <v>63</v>
      </c>
      <c r="I2588" t="s">
        <v>39</v>
      </c>
      <c r="J2588" t="s">
        <v>48</v>
      </c>
    </row>
    <row r="2589" spans="1:10">
      <c r="A2589" t="s">
        <v>3900</v>
      </c>
      <c r="B2589" t="s">
        <v>2923</v>
      </c>
      <c r="C2589" t="s">
        <v>2355</v>
      </c>
      <c r="E2589">
        <v>-31760</v>
      </c>
      <c r="F2589" t="s">
        <v>23</v>
      </c>
      <c r="G2589" t="s">
        <v>24</v>
      </c>
      <c r="H2589" t="s">
        <v>25</v>
      </c>
      <c r="I2589" t="s">
        <v>45</v>
      </c>
      <c r="J2589" t="s">
        <v>40</v>
      </c>
    </row>
    <row r="2590" spans="1:10">
      <c r="A2590" t="s">
        <v>3901</v>
      </c>
      <c r="B2590" t="s">
        <v>3902</v>
      </c>
      <c r="C2590" t="s">
        <v>30</v>
      </c>
      <c r="D2590" t="s">
        <v>31</v>
      </c>
      <c r="E2590">
        <v>-30494</v>
      </c>
      <c r="F2590" t="s">
        <v>23</v>
      </c>
      <c r="G2590" t="s">
        <v>24</v>
      </c>
      <c r="H2590" t="s">
        <v>33</v>
      </c>
      <c r="I2590" t="s">
        <v>39</v>
      </c>
      <c r="J2590" t="s">
        <v>27</v>
      </c>
    </row>
    <row r="2591" spans="1:10">
      <c r="A2591" t="s">
        <v>3903</v>
      </c>
      <c r="B2591" t="s">
        <v>2826</v>
      </c>
      <c r="C2591" t="s">
        <v>255</v>
      </c>
      <c r="D2591" t="s">
        <v>22</v>
      </c>
      <c r="E2591">
        <v>-171138</v>
      </c>
      <c r="F2591" t="s">
        <v>23</v>
      </c>
      <c r="G2591" t="s">
        <v>32</v>
      </c>
      <c r="H2591" t="s">
        <v>25</v>
      </c>
      <c r="I2591" t="s">
        <v>26</v>
      </c>
      <c r="J2591" t="s">
        <v>27</v>
      </c>
    </row>
    <row r="2592" spans="1:10">
      <c r="A2592" t="s">
        <v>3904</v>
      </c>
      <c r="B2592" t="s">
        <v>50</v>
      </c>
      <c r="C2592" t="s">
        <v>66</v>
      </c>
      <c r="D2592" t="s">
        <v>61</v>
      </c>
      <c r="E2592">
        <v>-33252</v>
      </c>
      <c r="F2592" t="s">
        <v>62</v>
      </c>
      <c r="G2592" t="s">
        <v>24</v>
      </c>
      <c r="H2592" t="s">
        <v>63</v>
      </c>
      <c r="I2592" t="s">
        <v>26</v>
      </c>
      <c r="J2592" t="s">
        <v>34</v>
      </c>
    </row>
    <row r="2593" spans="1:10">
      <c r="A2593" t="s">
        <v>3905</v>
      </c>
      <c r="B2593" t="s">
        <v>1351</v>
      </c>
      <c r="C2593" t="s">
        <v>51</v>
      </c>
      <c r="D2593" t="s">
        <v>31</v>
      </c>
      <c r="E2593">
        <v>-17684</v>
      </c>
      <c r="F2593" t="s">
        <v>23</v>
      </c>
      <c r="G2593" t="s">
        <v>32</v>
      </c>
      <c r="H2593" t="s">
        <v>33</v>
      </c>
      <c r="I2593" t="s">
        <v>45</v>
      </c>
      <c r="J2593" t="s">
        <v>48</v>
      </c>
    </row>
    <row r="2594" spans="1:10">
      <c r="A2594" t="s">
        <v>3906</v>
      </c>
      <c r="B2594" t="s">
        <v>786</v>
      </c>
      <c r="C2594" t="s">
        <v>174</v>
      </c>
      <c r="D2594" t="s">
        <v>22</v>
      </c>
      <c r="E2594">
        <v>-140866</v>
      </c>
      <c r="F2594" t="s">
        <v>23</v>
      </c>
      <c r="G2594" t="s">
        <v>24</v>
      </c>
      <c r="H2594" t="s">
        <v>25</v>
      </c>
      <c r="I2594" t="s">
        <v>26</v>
      </c>
      <c r="J2594" t="s">
        <v>34</v>
      </c>
    </row>
    <row r="2595" spans="1:10">
      <c r="A2595" t="s">
        <v>3907</v>
      </c>
      <c r="B2595" t="s">
        <v>428</v>
      </c>
      <c r="C2595" t="s">
        <v>100</v>
      </c>
      <c r="D2595" t="s">
        <v>31</v>
      </c>
      <c r="E2595">
        <v>-17006</v>
      </c>
      <c r="F2595" t="s">
        <v>23</v>
      </c>
      <c r="G2595" t="s">
        <v>32</v>
      </c>
      <c r="H2595" t="s">
        <v>33</v>
      </c>
      <c r="I2595" t="s">
        <v>39</v>
      </c>
      <c r="J2595" t="s">
        <v>40</v>
      </c>
    </row>
    <row r="2596" spans="1:10">
      <c r="A2596" t="s">
        <v>3908</v>
      </c>
      <c r="B2596" t="s">
        <v>2191</v>
      </c>
      <c r="C2596" t="s">
        <v>72</v>
      </c>
      <c r="D2596" t="s">
        <v>73</v>
      </c>
      <c r="E2596">
        <v>-86390</v>
      </c>
      <c r="F2596" t="s">
        <v>74</v>
      </c>
      <c r="G2596" t="s">
        <v>32</v>
      </c>
      <c r="H2596" t="s">
        <v>25</v>
      </c>
      <c r="I2596" t="s">
        <v>45</v>
      </c>
      <c r="J2596" t="s">
        <v>34</v>
      </c>
    </row>
    <row r="2597" spans="1:10">
      <c r="A2597" t="s">
        <v>3909</v>
      </c>
      <c r="B2597" t="s">
        <v>3910</v>
      </c>
      <c r="C2597" t="s">
        <v>156</v>
      </c>
      <c r="D2597" t="s">
        <v>157</v>
      </c>
      <c r="E2597">
        <v>650632</v>
      </c>
      <c r="F2597" t="s">
        <v>62</v>
      </c>
      <c r="G2597" t="s">
        <v>32</v>
      </c>
      <c r="H2597" t="s">
        <v>25</v>
      </c>
      <c r="I2597" t="s">
        <v>45</v>
      </c>
      <c r="J2597" t="s">
        <v>48</v>
      </c>
    </row>
    <row r="2598" spans="1:10">
      <c r="A2598" t="s">
        <v>3911</v>
      </c>
      <c r="B2598" t="s">
        <v>3912</v>
      </c>
      <c r="C2598" t="s">
        <v>2229</v>
      </c>
      <c r="D2598" t="s">
        <v>61</v>
      </c>
      <c r="E2598">
        <v>-46453</v>
      </c>
      <c r="F2598" t="s">
        <v>62</v>
      </c>
      <c r="G2598" t="s">
        <v>32</v>
      </c>
      <c r="H2598" t="s">
        <v>63</v>
      </c>
      <c r="I2598" t="s">
        <v>39</v>
      </c>
      <c r="J2598" t="s">
        <v>27</v>
      </c>
    </row>
    <row r="2599" spans="1:10">
      <c r="A2599" t="s">
        <v>3913</v>
      </c>
      <c r="B2599" t="s">
        <v>2430</v>
      </c>
      <c r="C2599" t="s">
        <v>116</v>
      </c>
      <c r="D2599" t="s">
        <v>73</v>
      </c>
      <c r="E2599">
        <v>-87887</v>
      </c>
      <c r="F2599" t="s">
        <v>74</v>
      </c>
      <c r="G2599" t="s">
        <v>32</v>
      </c>
      <c r="H2599" t="s">
        <v>25</v>
      </c>
      <c r="I2599" t="s">
        <v>26</v>
      </c>
      <c r="J2599" t="s">
        <v>34</v>
      </c>
    </row>
    <row r="2600" spans="1:10">
      <c r="A2600" t="s">
        <v>3914</v>
      </c>
      <c r="B2600" t="s">
        <v>1404</v>
      </c>
      <c r="C2600" t="s">
        <v>43</v>
      </c>
      <c r="D2600" t="s">
        <v>248</v>
      </c>
      <c r="E2600">
        <v>-78105</v>
      </c>
      <c r="F2600" t="s">
        <v>23</v>
      </c>
      <c r="G2600" t="s">
        <v>24</v>
      </c>
      <c r="H2600" t="s">
        <v>33</v>
      </c>
      <c r="I2600" t="s">
        <v>45</v>
      </c>
      <c r="J2600" t="s">
        <v>27</v>
      </c>
    </row>
    <row r="2601" spans="1:10">
      <c r="A2601" t="s">
        <v>3915</v>
      </c>
      <c r="B2601" t="s">
        <v>3916</v>
      </c>
      <c r="C2601" t="s">
        <v>802</v>
      </c>
      <c r="D2601" t="s">
        <v>440</v>
      </c>
      <c r="E2601">
        <v>-145686</v>
      </c>
      <c r="F2601" t="s">
        <v>23</v>
      </c>
      <c r="G2601" t="s">
        <v>32</v>
      </c>
      <c r="H2601" t="s">
        <v>33</v>
      </c>
      <c r="I2601" t="s">
        <v>45</v>
      </c>
      <c r="J2601" t="s">
        <v>48</v>
      </c>
    </row>
    <row r="2602" spans="1:10">
      <c r="A2602" t="s">
        <v>3917</v>
      </c>
      <c r="B2602" t="s">
        <v>1190</v>
      </c>
      <c r="C2602" t="s">
        <v>266</v>
      </c>
      <c r="D2602" t="s">
        <v>73</v>
      </c>
      <c r="E2602">
        <v>-47107</v>
      </c>
      <c r="F2602" t="s">
        <v>74</v>
      </c>
      <c r="G2602" t="s">
        <v>32</v>
      </c>
      <c r="H2602" t="s">
        <v>25</v>
      </c>
      <c r="I2602" t="s">
        <v>26</v>
      </c>
      <c r="J2602" t="s">
        <v>40</v>
      </c>
    </row>
    <row r="2603" spans="1:10">
      <c r="A2603" t="s">
        <v>3918</v>
      </c>
      <c r="B2603" t="s">
        <v>1455</v>
      </c>
      <c r="C2603" t="s">
        <v>192</v>
      </c>
      <c r="D2603" t="s">
        <v>207</v>
      </c>
      <c r="E2603">
        <v>-79686</v>
      </c>
      <c r="F2603" t="s">
        <v>23</v>
      </c>
      <c r="G2603" t="s">
        <v>32</v>
      </c>
      <c r="H2603" t="s">
        <v>25</v>
      </c>
      <c r="I2603" t="s">
        <v>39</v>
      </c>
      <c r="J2603" t="s">
        <v>27</v>
      </c>
    </row>
    <row r="2604" spans="1:10">
      <c r="A2604" t="s">
        <v>3919</v>
      </c>
      <c r="B2604" t="s">
        <v>561</v>
      </c>
      <c r="C2604" t="s">
        <v>224</v>
      </c>
      <c r="E2604">
        <v>-46334</v>
      </c>
      <c r="F2604" t="s">
        <v>23</v>
      </c>
      <c r="G2604" t="s">
        <v>24</v>
      </c>
      <c r="H2604" t="s">
        <v>79</v>
      </c>
      <c r="I2604" t="s">
        <v>26</v>
      </c>
      <c r="J2604" t="s">
        <v>27</v>
      </c>
    </row>
    <row r="2605" spans="1:10">
      <c r="A2605" t="s">
        <v>3920</v>
      </c>
      <c r="B2605" t="s">
        <v>3921</v>
      </c>
      <c r="C2605" t="s">
        <v>106</v>
      </c>
      <c r="D2605" t="s">
        <v>31</v>
      </c>
      <c r="E2605">
        <v>-17168</v>
      </c>
      <c r="F2605" t="s">
        <v>23</v>
      </c>
      <c r="G2605" t="s">
        <v>24</v>
      </c>
      <c r="H2605" t="s">
        <v>33</v>
      </c>
      <c r="I2605" t="s">
        <v>45</v>
      </c>
      <c r="J2605" t="s">
        <v>48</v>
      </c>
    </row>
    <row r="2606" spans="1:10">
      <c r="A2606" t="s">
        <v>3922</v>
      </c>
      <c r="B2606" t="s">
        <v>611</v>
      </c>
      <c r="C2606" t="s">
        <v>166</v>
      </c>
      <c r="E2606">
        <v>-37459</v>
      </c>
      <c r="F2606" t="s">
        <v>23</v>
      </c>
      <c r="G2606" t="s">
        <v>24</v>
      </c>
      <c r="H2606" t="s">
        <v>33</v>
      </c>
      <c r="I2606" t="s">
        <v>39</v>
      </c>
      <c r="J2606" t="s">
        <v>48</v>
      </c>
    </row>
    <row r="2607" spans="1:10">
      <c r="A2607" t="s">
        <v>3923</v>
      </c>
      <c r="B2607" t="s">
        <v>1082</v>
      </c>
      <c r="C2607" t="s">
        <v>66</v>
      </c>
      <c r="D2607" t="s">
        <v>61</v>
      </c>
      <c r="E2607">
        <v>-50717</v>
      </c>
      <c r="F2607" t="s">
        <v>62</v>
      </c>
      <c r="G2607" t="s">
        <v>32</v>
      </c>
      <c r="H2607" t="s">
        <v>63</v>
      </c>
      <c r="I2607" t="s">
        <v>45</v>
      </c>
      <c r="J2607" t="s">
        <v>48</v>
      </c>
    </row>
    <row r="2608" spans="1:10">
      <c r="A2608" t="s">
        <v>3924</v>
      </c>
      <c r="B2608" t="s">
        <v>629</v>
      </c>
      <c r="C2608" t="s">
        <v>66</v>
      </c>
      <c r="D2608" t="s">
        <v>61</v>
      </c>
      <c r="E2608">
        <v>-30540</v>
      </c>
      <c r="F2608" t="s">
        <v>62</v>
      </c>
      <c r="G2608" t="s">
        <v>32</v>
      </c>
      <c r="H2608" t="s">
        <v>63</v>
      </c>
      <c r="I2608" t="s">
        <v>45</v>
      </c>
      <c r="J2608" t="s">
        <v>27</v>
      </c>
    </row>
    <row r="2609" spans="1:10">
      <c r="A2609" t="s">
        <v>3925</v>
      </c>
      <c r="B2609" t="s">
        <v>1983</v>
      </c>
      <c r="C2609" t="s">
        <v>177</v>
      </c>
      <c r="E2609">
        <v>-21286</v>
      </c>
      <c r="F2609" t="s">
        <v>23</v>
      </c>
      <c r="G2609" t="s">
        <v>32</v>
      </c>
      <c r="H2609" t="s">
        <v>79</v>
      </c>
      <c r="I2609" t="s">
        <v>26</v>
      </c>
      <c r="J2609" t="s">
        <v>40</v>
      </c>
    </row>
    <row r="2610" spans="1:10">
      <c r="A2610" t="s">
        <v>3926</v>
      </c>
      <c r="B2610" t="s">
        <v>399</v>
      </c>
      <c r="C2610" t="s">
        <v>84</v>
      </c>
      <c r="D2610" t="s">
        <v>78</v>
      </c>
      <c r="E2610">
        <v>-48850</v>
      </c>
      <c r="F2610" t="s">
        <v>23</v>
      </c>
      <c r="G2610" t="s">
        <v>32</v>
      </c>
      <c r="H2610" t="s">
        <v>79</v>
      </c>
      <c r="I2610" t="s">
        <v>26</v>
      </c>
      <c r="J2610" t="s">
        <v>48</v>
      </c>
    </row>
    <row r="2611" spans="1:10">
      <c r="A2611" t="s">
        <v>3927</v>
      </c>
      <c r="B2611" t="s">
        <v>2756</v>
      </c>
      <c r="C2611" t="s">
        <v>66</v>
      </c>
      <c r="D2611" t="s">
        <v>61</v>
      </c>
      <c r="E2611">
        <v>-52290</v>
      </c>
      <c r="F2611" t="s">
        <v>62</v>
      </c>
      <c r="G2611" t="s">
        <v>32</v>
      </c>
      <c r="H2611" t="s">
        <v>63</v>
      </c>
      <c r="I2611" t="s">
        <v>39</v>
      </c>
      <c r="J2611" t="s">
        <v>40</v>
      </c>
    </row>
    <row r="2612" spans="1:10">
      <c r="A2612" t="s">
        <v>3928</v>
      </c>
      <c r="B2612" t="s">
        <v>557</v>
      </c>
      <c r="C2612" t="s">
        <v>143</v>
      </c>
      <c r="D2612" t="s">
        <v>1001</v>
      </c>
      <c r="E2612">
        <v>-73828</v>
      </c>
      <c r="F2612" t="s">
        <v>23</v>
      </c>
      <c r="G2612" t="s">
        <v>24</v>
      </c>
      <c r="H2612" t="s">
        <v>79</v>
      </c>
      <c r="I2612" t="s">
        <v>39</v>
      </c>
      <c r="J2612" t="s">
        <v>48</v>
      </c>
    </row>
    <row r="2613" spans="1:10">
      <c r="A2613" t="s">
        <v>3929</v>
      </c>
      <c r="B2613" t="s">
        <v>2290</v>
      </c>
      <c r="C2613" t="s">
        <v>255</v>
      </c>
      <c r="D2613" t="s">
        <v>22</v>
      </c>
      <c r="E2613">
        <v>-166070</v>
      </c>
      <c r="F2613" t="s">
        <v>23</v>
      </c>
      <c r="G2613" t="s">
        <v>32</v>
      </c>
      <c r="H2613" t="s">
        <v>25</v>
      </c>
      <c r="I2613" t="s">
        <v>26</v>
      </c>
      <c r="J2613" t="s">
        <v>48</v>
      </c>
    </row>
    <row r="2614" spans="1:10">
      <c r="A2614" t="s">
        <v>3930</v>
      </c>
      <c r="B2614" t="s">
        <v>3931</v>
      </c>
      <c r="C2614" t="s">
        <v>106</v>
      </c>
      <c r="D2614" t="s">
        <v>31</v>
      </c>
      <c r="E2614">
        <v>-44240</v>
      </c>
      <c r="F2614" t="s">
        <v>23</v>
      </c>
      <c r="G2614" t="s">
        <v>32</v>
      </c>
      <c r="H2614" t="s">
        <v>33</v>
      </c>
      <c r="I2614" t="s">
        <v>26</v>
      </c>
      <c r="J2614" t="s">
        <v>48</v>
      </c>
    </row>
    <row r="2615" spans="1:10">
      <c r="A2615" t="s">
        <v>3932</v>
      </c>
      <c r="B2615" t="s">
        <v>2299</v>
      </c>
      <c r="C2615" t="s">
        <v>266</v>
      </c>
      <c r="D2615" t="s">
        <v>73</v>
      </c>
      <c r="E2615">
        <v>-25481</v>
      </c>
      <c r="F2615" t="s">
        <v>74</v>
      </c>
      <c r="G2615" t="s">
        <v>24</v>
      </c>
      <c r="H2615" t="s">
        <v>25</v>
      </c>
      <c r="I2615" t="s">
        <v>26</v>
      </c>
      <c r="J2615" t="s">
        <v>27</v>
      </c>
    </row>
    <row r="2616" spans="1:10">
      <c r="A2616" t="s">
        <v>3933</v>
      </c>
      <c r="B2616" t="s">
        <v>3605</v>
      </c>
      <c r="C2616" t="s">
        <v>51</v>
      </c>
      <c r="D2616" t="s">
        <v>31</v>
      </c>
      <c r="E2616">
        <v>-20358</v>
      </c>
      <c r="F2616" t="s">
        <v>23</v>
      </c>
      <c r="G2616" t="s">
        <v>32</v>
      </c>
      <c r="H2616" t="s">
        <v>33</v>
      </c>
      <c r="I2616" t="s">
        <v>26</v>
      </c>
      <c r="J2616" t="s">
        <v>27</v>
      </c>
    </row>
    <row r="2617" spans="1:10">
      <c r="A2617" t="s">
        <v>3934</v>
      </c>
      <c r="B2617" t="s">
        <v>3935</v>
      </c>
      <c r="C2617" t="s">
        <v>180</v>
      </c>
      <c r="D2617" t="s">
        <v>44</v>
      </c>
      <c r="E2617">
        <v>-84571</v>
      </c>
      <c r="F2617" t="s">
        <v>23</v>
      </c>
      <c r="G2617" t="s">
        <v>24</v>
      </c>
      <c r="H2617" t="s">
        <v>33</v>
      </c>
      <c r="I2617" t="s">
        <v>45</v>
      </c>
      <c r="J2617" t="s">
        <v>34</v>
      </c>
    </row>
    <row r="2618" spans="1:10">
      <c r="A2618" t="s">
        <v>3936</v>
      </c>
      <c r="B2618" t="s">
        <v>3937</v>
      </c>
      <c r="C2618" t="s">
        <v>271</v>
      </c>
      <c r="D2618" t="s">
        <v>73</v>
      </c>
      <c r="E2618">
        <v>-91068</v>
      </c>
      <c r="F2618" t="s">
        <v>74</v>
      </c>
      <c r="G2618" t="s">
        <v>24</v>
      </c>
      <c r="H2618" t="s">
        <v>25</v>
      </c>
      <c r="I2618" t="s">
        <v>39</v>
      </c>
      <c r="J2618" t="s">
        <v>48</v>
      </c>
    </row>
    <row r="2619" spans="1:10">
      <c r="A2619" t="s">
        <v>3938</v>
      </c>
      <c r="B2619" t="s">
        <v>580</v>
      </c>
      <c r="C2619" t="s">
        <v>215</v>
      </c>
      <c r="D2619" t="s">
        <v>61</v>
      </c>
      <c r="E2619">
        <v>-29546</v>
      </c>
      <c r="F2619" t="s">
        <v>62</v>
      </c>
      <c r="G2619" t="s">
        <v>24</v>
      </c>
      <c r="H2619" t="s">
        <v>63</v>
      </c>
      <c r="I2619" t="s">
        <v>26</v>
      </c>
      <c r="J2619" t="s">
        <v>34</v>
      </c>
    </row>
    <row r="2620" spans="1:10">
      <c r="A2620" t="s">
        <v>3939</v>
      </c>
      <c r="B2620" t="s">
        <v>3940</v>
      </c>
      <c r="C2620" t="s">
        <v>310</v>
      </c>
      <c r="D2620" t="s">
        <v>22</v>
      </c>
      <c r="E2620">
        <v>-147884</v>
      </c>
      <c r="F2620" t="s">
        <v>23</v>
      </c>
      <c r="G2620" t="s">
        <v>32</v>
      </c>
      <c r="H2620" t="s">
        <v>25</v>
      </c>
      <c r="I2620" t="s">
        <v>26</v>
      </c>
      <c r="J2620" t="s">
        <v>34</v>
      </c>
    </row>
    <row r="2621" spans="1:10">
      <c r="A2621" t="s">
        <v>3941</v>
      </c>
      <c r="B2621" t="s">
        <v>2397</v>
      </c>
      <c r="C2621" t="s">
        <v>169</v>
      </c>
      <c r="D2621" t="s">
        <v>73</v>
      </c>
      <c r="E2621">
        <v>-56318</v>
      </c>
      <c r="F2621" t="s">
        <v>74</v>
      </c>
      <c r="G2621" t="s">
        <v>24</v>
      </c>
      <c r="H2621" t="s">
        <v>25</v>
      </c>
      <c r="I2621" t="s">
        <v>39</v>
      </c>
      <c r="J2621" t="s">
        <v>48</v>
      </c>
    </row>
    <row r="2622" spans="1:10">
      <c r="A2622" t="s">
        <v>3942</v>
      </c>
      <c r="B2622" t="s">
        <v>2544</v>
      </c>
      <c r="C2622" t="s">
        <v>69</v>
      </c>
      <c r="D2622" t="s">
        <v>38</v>
      </c>
      <c r="E2622">
        <v>-38007</v>
      </c>
      <c r="F2622" t="s">
        <v>23</v>
      </c>
      <c r="G2622" t="s">
        <v>32</v>
      </c>
      <c r="H2622" t="s">
        <v>33</v>
      </c>
      <c r="I2622" t="s">
        <v>26</v>
      </c>
      <c r="J2622" t="s">
        <v>27</v>
      </c>
    </row>
    <row r="2623" spans="1:10">
      <c r="A2623" t="s">
        <v>3943</v>
      </c>
      <c r="B2623" t="s">
        <v>3944</v>
      </c>
      <c r="C2623" t="s">
        <v>129</v>
      </c>
      <c r="D2623" t="s">
        <v>38</v>
      </c>
      <c r="E2623">
        <v>-18424</v>
      </c>
      <c r="F2623" t="s">
        <v>23</v>
      </c>
      <c r="G2623" t="s">
        <v>32</v>
      </c>
      <c r="H2623" t="s">
        <v>33</v>
      </c>
      <c r="I2623" t="s">
        <v>39</v>
      </c>
      <c r="J2623" t="s">
        <v>34</v>
      </c>
    </row>
    <row r="2624" spans="1:10">
      <c r="A2624" t="s">
        <v>3945</v>
      </c>
      <c r="B2624" t="s">
        <v>3293</v>
      </c>
      <c r="C2624" t="s">
        <v>757</v>
      </c>
      <c r="D2624" t="s">
        <v>157</v>
      </c>
      <c r="E2624">
        <v>579886</v>
      </c>
      <c r="F2624" t="s">
        <v>62</v>
      </c>
      <c r="G2624" t="s">
        <v>32</v>
      </c>
      <c r="H2624" t="s">
        <v>25</v>
      </c>
      <c r="I2624" t="s">
        <v>26</v>
      </c>
      <c r="J2624" t="s">
        <v>27</v>
      </c>
    </row>
    <row r="2625" spans="1:10">
      <c r="A2625" t="s">
        <v>3946</v>
      </c>
      <c r="B2625" t="s">
        <v>2900</v>
      </c>
      <c r="C2625" t="s">
        <v>215</v>
      </c>
      <c r="D2625" t="s">
        <v>61</v>
      </c>
      <c r="E2625">
        <v>-54633</v>
      </c>
      <c r="F2625" t="s">
        <v>62</v>
      </c>
      <c r="G2625" t="s">
        <v>32</v>
      </c>
      <c r="H2625" t="s">
        <v>63</v>
      </c>
      <c r="I2625" t="s">
        <v>26</v>
      </c>
      <c r="J2625" t="s">
        <v>40</v>
      </c>
    </row>
    <row r="2626" spans="1:10">
      <c r="A2626" t="s">
        <v>3947</v>
      </c>
      <c r="B2626" t="s">
        <v>551</v>
      </c>
      <c r="C2626" t="s">
        <v>166</v>
      </c>
      <c r="D2626" t="s">
        <v>31</v>
      </c>
      <c r="E2626">
        <v>-4892</v>
      </c>
      <c r="F2626" t="s">
        <v>23</v>
      </c>
      <c r="G2626" t="s">
        <v>24</v>
      </c>
      <c r="H2626" t="s">
        <v>33</v>
      </c>
      <c r="I2626" t="s">
        <v>39</v>
      </c>
      <c r="J2626" t="s">
        <v>40</v>
      </c>
    </row>
    <row r="2627" spans="1:10">
      <c r="A2627" t="s">
        <v>3948</v>
      </c>
      <c r="B2627" t="s">
        <v>2120</v>
      </c>
      <c r="C2627" t="s">
        <v>116</v>
      </c>
      <c r="D2627" t="s">
        <v>73</v>
      </c>
      <c r="E2627">
        <v>-88025</v>
      </c>
      <c r="F2627" t="s">
        <v>74</v>
      </c>
      <c r="G2627" t="s">
        <v>24</v>
      </c>
      <c r="H2627" t="s">
        <v>25</v>
      </c>
      <c r="I2627" t="s">
        <v>39</v>
      </c>
      <c r="J2627" t="s">
        <v>40</v>
      </c>
    </row>
    <row r="2628" spans="1:10">
      <c r="A2628" t="s">
        <v>3949</v>
      </c>
      <c r="B2628" t="s">
        <v>2397</v>
      </c>
      <c r="C2628" t="s">
        <v>100</v>
      </c>
      <c r="D2628" t="s">
        <v>31</v>
      </c>
      <c r="E2628">
        <v>-8498</v>
      </c>
      <c r="F2628" t="s">
        <v>23</v>
      </c>
      <c r="G2628" t="s">
        <v>32</v>
      </c>
      <c r="H2628" t="s">
        <v>33</v>
      </c>
      <c r="I2628" t="s">
        <v>39</v>
      </c>
      <c r="J2628" t="s">
        <v>48</v>
      </c>
    </row>
    <row r="2629" spans="1:10">
      <c r="A2629" t="s">
        <v>3950</v>
      </c>
      <c r="B2629" t="s">
        <v>76</v>
      </c>
      <c r="C2629" t="s">
        <v>687</v>
      </c>
      <c r="D2629" t="s">
        <v>465</v>
      </c>
      <c r="E2629">
        <v>-174041</v>
      </c>
      <c r="F2629" t="s">
        <v>23</v>
      </c>
      <c r="G2629" t="s">
        <v>24</v>
      </c>
      <c r="H2629" t="s">
        <v>33</v>
      </c>
      <c r="I2629" t="s">
        <v>45</v>
      </c>
      <c r="J2629" t="s">
        <v>48</v>
      </c>
    </row>
    <row r="2630" spans="1:10">
      <c r="A2630" t="s">
        <v>3951</v>
      </c>
      <c r="B2630" t="s">
        <v>929</v>
      </c>
      <c r="C2630" t="s">
        <v>271</v>
      </c>
      <c r="D2630" t="s">
        <v>73</v>
      </c>
      <c r="E2630">
        <v>-37634</v>
      </c>
      <c r="F2630" t="s">
        <v>74</v>
      </c>
      <c r="G2630" t="s">
        <v>24</v>
      </c>
      <c r="H2630" t="s">
        <v>25</v>
      </c>
      <c r="I2630" t="s">
        <v>45</v>
      </c>
      <c r="J2630" t="s">
        <v>34</v>
      </c>
    </row>
    <row r="2631" spans="1:10">
      <c r="A2631" t="s">
        <v>3952</v>
      </c>
      <c r="B2631" t="s">
        <v>1351</v>
      </c>
      <c r="C2631" t="s">
        <v>54</v>
      </c>
      <c r="D2631" t="s">
        <v>38</v>
      </c>
      <c r="E2631">
        <v>-18001</v>
      </c>
      <c r="F2631" t="s">
        <v>23</v>
      </c>
      <c r="G2631" t="s">
        <v>32</v>
      </c>
      <c r="H2631" t="s">
        <v>33</v>
      </c>
      <c r="I2631" t="s">
        <v>45</v>
      </c>
      <c r="J2631" t="s">
        <v>48</v>
      </c>
    </row>
    <row r="2632" spans="1:10">
      <c r="A2632" t="s">
        <v>3953</v>
      </c>
      <c r="B2632" t="s">
        <v>1080</v>
      </c>
      <c r="C2632" t="s">
        <v>57</v>
      </c>
      <c r="D2632" t="s">
        <v>44</v>
      </c>
      <c r="E2632">
        <v>-131030</v>
      </c>
      <c r="F2632" t="s">
        <v>23</v>
      </c>
      <c r="G2632" t="s">
        <v>24</v>
      </c>
      <c r="H2632" t="s">
        <v>33</v>
      </c>
      <c r="I2632" t="s">
        <v>26</v>
      </c>
      <c r="J2632" t="s">
        <v>34</v>
      </c>
    </row>
    <row r="2633" spans="1:10">
      <c r="A2633" t="s">
        <v>3954</v>
      </c>
      <c r="B2633" t="s">
        <v>3119</v>
      </c>
      <c r="C2633" t="s">
        <v>116</v>
      </c>
      <c r="D2633" t="s">
        <v>73</v>
      </c>
      <c r="E2633">
        <v>-92133</v>
      </c>
      <c r="F2633" t="s">
        <v>74</v>
      </c>
      <c r="G2633" t="s">
        <v>24</v>
      </c>
      <c r="H2633" t="s">
        <v>25</v>
      </c>
      <c r="I2633" t="s">
        <v>45</v>
      </c>
      <c r="J2633" t="s">
        <v>40</v>
      </c>
    </row>
    <row r="2634" spans="1:10">
      <c r="A2634" t="s">
        <v>3955</v>
      </c>
      <c r="B2634" t="s">
        <v>3956</v>
      </c>
      <c r="C2634" t="s">
        <v>57</v>
      </c>
      <c r="D2634" t="s">
        <v>44</v>
      </c>
      <c r="E2634">
        <v>-132806</v>
      </c>
      <c r="F2634" t="s">
        <v>23</v>
      </c>
      <c r="G2634" t="s">
        <v>32</v>
      </c>
      <c r="H2634" t="s">
        <v>33</v>
      </c>
      <c r="I2634" t="s">
        <v>26</v>
      </c>
      <c r="J2634" t="s">
        <v>40</v>
      </c>
    </row>
    <row r="2635" spans="1:10">
      <c r="A2635" t="s">
        <v>3957</v>
      </c>
      <c r="B2635" t="s">
        <v>1838</v>
      </c>
      <c r="C2635" t="s">
        <v>169</v>
      </c>
      <c r="D2635" t="s">
        <v>73</v>
      </c>
      <c r="E2635">
        <v>-73564</v>
      </c>
      <c r="F2635" t="s">
        <v>74</v>
      </c>
      <c r="G2635" t="s">
        <v>32</v>
      </c>
      <c r="H2635" t="s">
        <v>25</v>
      </c>
      <c r="I2635" t="s">
        <v>45</v>
      </c>
      <c r="J2635" t="s">
        <v>40</v>
      </c>
    </row>
    <row r="2636" spans="1:10">
      <c r="A2636" t="s">
        <v>3958</v>
      </c>
      <c r="B2636" t="s">
        <v>3781</v>
      </c>
      <c r="C2636" t="s">
        <v>51</v>
      </c>
      <c r="D2636" t="s">
        <v>31</v>
      </c>
      <c r="E2636">
        <v>-37080</v>
      </c>
      <c r="F2636" t="s">
        <v>23</v>
      </c>
      <c r="G2636" t="s">
        <v>24</v>
      </c>
      <c r="H2636" t="s">
        <v>33</v>
      </c>
      <c r="I2636" t="s">
        <v>26</v>
      </c>
      <c r="J2636" t="s">
        <v>27</v>
      </c>
    </row>
    <row r="2637" spans="1:10">
      <c r="A2637" t="s">
        <v>3959</v>
      </c>
      <c r="B2637" t="s">
        <v>3960</v>
      </c>
      <c r="C2637" t="s">
        <v>84</v>
      </c>
      <c r="D2637" t="s">
        <v>78</v>
      </c>
      <c r="E2637">
        <v>-84934</v>
      </c>
      <c r="F2637" t="s">
        <v>23</v>
      </c>
      <c r="G2637" t="s">
        <v>24</v>
      </c>
      <c r="H2637" t="s">
        <v>79</v>
      </c>
      <c r="I2637" t="s">
        <v>45</v>
      </c>
      <c r="J2637" t="s">
        <v>34</v>
      </c>
    </row>
    <row r="2638" spans="1:10">
      <c r="A2638" t="s">
        <v>3961</v>
      </c>
      <c r="B2638" t="s">
        <v>3318</v>
      </c>
      <c r="C2638" t="s">
        <v>224</v>
      </c>
      <c r="D2638" t="s">
        <v>1001</v>
      </c>
      <c r="E2638">
        <v>-62277</v>
      </c>
      <c r="F2638" t="s">
        <v>23</v>
      </c>
      <c r="G2638" t="s">
        <v>32</v>
      </c>
      <c r="H2638" t="s">
        <v>79</v>
      </c>
      <c r="I2638" t="s">
        <v>26</v>
      </c>
      <c r="J2638" t="s">
        <v>40</v>
      </c>
    </row>
    <row r="2639" spans="1:10">
      <c r="A2639" t="s">
        <v>3962</v>
      </c>
      <c r="B2639" t="s">
        <v>2438</v>
      </c>
      <c r="C2639" t="s">
        <v>90</v>
      </c>
      <c r="D2639" t="s">
        <v>73</v>
      </c>
      <c r="E2639">
        <v>-72598</v>
      </c>
      <c r="F2639" t="s">
        <v>74</v>
      </c>
      <c r="G2639" t="s">
        <v>32</v>
      </c>
      <c r="H2639" t="s">
        <v>25</v>
      </c>
      <c r="I2639" t="s">
        <v>45</v>
      </c>
      <c r="J2639" t="s">
        <v>34</v>
      </c>
    </row>
    <row r="2640" spans="1:10">
      <c r="A2640" t="s">
        <v>3963</v>
      </c>
      <c r="B2640" t="s">
        <v>1513</v>
      </c>
      <c r="C2640" t="s">
        <v>69</v>
      </c>
      <c r="D2640" t="s">
        <v>38</v>
      </c>
      <c r="E2640">
        <v>-29250</v>
      </c>
      <c r="F2640" t="s">
        <v>23</v>
      </c>
      <c r="G2640" t="s">
        <v>24</v>
      </c>
      <c r="H2640" t="s">
        <v>33</v>
      </c>
      <c r="I2640" t="s">
        <v>45</v>
      </c>
      <c r="J2640" t="s">
        <v>34</v>
      </c>
    </row>
    <row r="2641" spans="1:10">
      <c r="A2641" t="s">
        <v>3964</v>
      </c>
      <c r="B2641" t="s">
        <v>3506</v>
      </c>
      <c r="C2641" t="s">
        <v>1676</v>
      </c>
      <c r="D2641" t="s">
        <v>73</v>
      </c>
      <c r="E2641">
        <v>-88862</v>
      </c>
      <c r="F2641" t="s">
        <v>74</v>
      </c>
      <c r="G2641" t="s">
        <v>32</v>
      </c>
      <c r="H2641" t="s">
        <v>25</v>
      </c>
      <c r="I2641" t="s">
        <v>39</v>
      </c>
      <c r="J2641" t="s">
        <v>27</v>
      </c>
    </row>
    <row r="2642" spans="1:10">
      <c r="A2642" t="s">
        <v>3965</v>
      </c>
      <c r="B2642" t="s">
        <v>3966</v>
      </c>
      <c r="C2642" t="s">
        <v>132</v>
      </c>
      <c r="D2642" t="s">
        <v>73</v>
      </c>
      <c r="E2642">
        <v>-32890</v>
      </c>
      <c r="F2642" t="s">
        <v>74</v>
      </c>
      <c r="G2642" t="s">
        <v>24</v>
      </c>
      <c r="H2642" t="s">
        <v>25</v>
      </c>
      <c r="I2642" t="s">
        <v>26</v>
      </c>
      <c r="J2642" t="s">
        <v>34</v>
      </c>
    </row>
    <row r="2643" spans="1:10">
      <c r="A2643" t="s">
        <v>3967</v>
      </c>
      <c r="B2643" t="s">
        <v>3968</v>
      </c>
      <c r="C2643" t="s">
        <v>116</v>
      </c>
      <c r="D2643" t="s">
        <v>73</v>
      </c>
      <c r="E2643">
        <v>-42883</v>
      </c>
      <c r="F2643" t="s">
        <v>74</v>
      </c>
      <c r="G2643" t="s">
        <v>32</v>
      </c>
      <c r="H2643" t="s">
        <v>25</v>
      </c>
      <c r="I2643" t="s">
        <v>39</v>
      </c>
      <c r="J2643" t="s">
        <v>27</v>
      </c>
    </row>
    <row r="2644" spans="1:10">
      <c r="A2644" t="s">
        <v>3969</v>
      </c>
      <c r="B2644" t="s">
        <v>557</v>
      </c>
      <c r="C2644" t="s">
        <v>215</v>
      </c>
      <c r="D2644" t="s">
        <v>61</v>
      </c>
      <c r="E2644">
        <v>-23643</v>
      </c>
      <c r="F2644" t="s">
        <v>62</v>
      </c>
      <c r="G2644" t="s">
        <v>24</v>
      </c>
      <c r="H2644" t="s">
        <v>63</v>
      </c>
      <c r="I2644" t="s">
        <v>39</v>
      </c>
      <c r="J2644" t="s">
        <v>48</v>
      </c>
    </row>
    <row r="2645" spans="1:10">
      <c r="A2645" t="s">
        <v>3970</v>
      </c>
      <c r="B2645" t="s">
        <v>3971</v>
      </c>
      <c r="C2645" t="s">
        <v>3972</v>
      </c>
      <c r="D2645" t="s">
        <v>440</v>
      </c>
      <c r="E2645">
        <v>-95037</v>
      </c>
      <c r="F2645" t="s">
        <v>23</v>
      </c>
      <c r="G2645" t="s">
        <v>32</v>
      </c>
      <c r="H2645" t="s">
        <v>33</v>
      </c>
      <c r="I2645" t="s">
        <v>45</v>
      </c>
      <c r="J2645" t="s">
        <v>27</v>
      </c>
    </row>
    <row r="2646" spans="1:10">
      <c r="A2646" t="s">
        <v>3973</v>
      </c>
      <c r="B2646" t="s">
        <v>3974</v>
      </c>
      <c r="C2646" t="s">
        <v>180</v>
      </c>
      <c r="D2646" t="s">
        <v>44</v>
      </c>
      <c r="E2646">
        <v>-78963</v>
      </c>
      <c r="F2646" t="s">
        <v>23</v>
      </c>
      <c r="G2646" t="s">
        <v>32</v>
      </c>
      <c r="H2646" t="s">
        <v>33</v>
      </c>
      <c r="I2646" t="s">
        <v>39</v>
      </c>
      <c r="J2646" t="s">
        <v>34</v>
      </c>
    </row>
    <row r="2647" spans="1:10">
      <c r="A2647" t="s">
        <v>3975</v>
      </c>
      <c r="B2647" t="s">
        <v>1364</v>
      </c>
      <c r="C2647" t="s">
        <v>87</v>
      </c>
      <c r="D2647" t="s">
        <v>22</v>
      </c>
      <c r="E2647">
        <v>-72321</v>
      </c>
      <c r="F2647" t="s">
        <v>23</v>
      </c>
      <c r="G2647" t="s">
        <v>24</v>
      </c>
      <c r="H2647" t="s">
        <v>25</v>
      </c>
      <c r="I2647" t="s">
        <v>39</v>
      </c>
      <c r="J2647" t="s">
        <v>40</v>
      </c>
    </row>
    <row r="2648" spans="1:10">
      <c r="A2648" t="s">
        <v>3976</v>
      </c>
      <c r="B2648" t="s">
        <v>2308</v>
      </c>
      <c r="C2648" t="s">
        <v>66</v>
      </c>
      <c r="D2648" t="s">
        <v>61</v>
      </c>
      <c r="E2648">
        <v>-47605</v>
      </c>
      <c r="F2648" t="s">
        <v>62</v>
      </c>
      <c r="G2648" t="s">
        <v>24</v>
      </c>
      <c r="H2648" t="s">
        <v>63</v>
      </c>
      <c r="I2648" t="s">
        <v>26</v>
      </c>
      <c r="J2648" t="s">
        <v>40</v>
      </c>
    </row>
    <row r="2649" spans="1:10">
      <c r="A2649" t="s">
        <v>3977</v>
      </c>
      <c r="B2649" t="s">
        <v>629</v>
      </c>
      <c r="C2649" t="s">
        <v>66</v>
      </c>
      <c r="D2649" t="s">
        <v>61</v>
      </c>
      <c r="E2649">
        <v>-32936</v>
      </c>
      <c r="F2649" t="s">
        <v>62</v>
      </c>
      <c r="G2649" t="s">
        <v>24</v>
      </c>
      <c r="H2649" t="s">
        <v>63</v>
      </c>
      <c r="I2649" t="s">
        <v>45</v>
      </c>
      <c r="J2649" t="s">
        <v>27</v>
      </c>
    </row>
    <row r="2650" spans="1:10">
      <c r="A2650" t="s">
        <v>3978</v>
      </c>
      <c r="B2650" t="s">
        <v>2401</v>
      </c>
      <c r="C2650" t="s">
        <v>255</v>
      </c>
      <c r="E2650">
        <v>-90995</v>
      </c>
      <c r="F2650" t="s">
        <v>23</v>
      </c>
      <c r="G2650" t="s">
        <v>24</v>
      </c>
      <c r="H2650" t="s">
        <v>25</v>
      </c>
      <c r="I2650" t="s">
        <v>45</v>
      </c>
      <c r="J2650" t="s">
        <v>34</v>
      </c>
    </row>
    <row r="2651" spans="1:10">
      <c r="A2651" t="s">
        <v>3979</v>
      </c>
      <c r="B2651" t="s">
        <v>2544</v>
      </c>
      <c r="C2651" t="s">
        <v>132</v>
      </c>
      <c r="D2651" t="s">
        <v>73</v>
      </c>
      <c r="E2651">
        <v>-85469</v>
      </c>
      <c r="F2651" t="s">
        <v>74</v>
      </c>
      <c r="G2651" t="s">
        <v>32</v>
      </c>
      <c r="H2651" t="s">
        <v>25</v>
      </c>
      <c r="I2651" t="s">
        <v>26</v>
      </c>
      <c r="J2651" t="s">
        <v>27</v>
      </c>
    </row>
    <row r="2652" spans="1:10">
      <c r="A2652" t="s">
        <v>3980</v>
      </c>
      <c r="B2652" t="s">
        <v>3628</v>
      </c>
      <c r="C2652" t="s">
        <v>215</v>
      </c>
      <c r="D2652" t="s">
        <v>61</v>
      </c>
      <c r="E2652">
        <v>-48849</v>
      </c>
      <c r="F2652" t="s">
        <v>62</v>
      </c>
      <c r="G2652" t="s">
        <v>24</v>
      </c>
      <c r="H2652" t="s">
        <v>63</v>
      </c>
      <c r="I2652" t="s">
        <v>26</v>
      </c>
      <c r="J2652" t="s">
        <v>48</v>
      </c>
    </row>
    <row r="2653" spans="1:10">
      <c r="A2653" t="s">
        <v>3981</v>
      </c>
      <c r="B2653" t="s">
        <v>3982</v>
      </c>
      <c r="C2653" t="s">
        <v>215</v>
      </c>
      <c r="D2653" t="s">
        <v>61</v>
      </c>
      <c r="E2653">
        <v>-38953</v>
      </c>
      <c r="F2653" t="s">
        <v>62</v>
      </c>
      <c r="G2653" t="s">
        <v>32</v>
      </c>
      <c r="H2653" t="s">
        <v>63</v>
      </c>
      <c r="I2653" t="s">
        <v>45</v>
      </c>
      <c r="J2653" t="s">
        <v>34</v>
      </c>
    </row>
    <row r="2654" spans="1:10">
      <c r="A2654" t="s">
        <v>3983</v>
      </c>
      <c r="B2654" t="s">
        <v>553</v>
      </c>
      <c r="C2654" t="s">
        <v>72</v>
      </c>
      <c r="D2654" t="s">
        <v>73</v>
      </c>
      <c r="E2654">
        <v>-22134</v>
      </c>
      <c r="F2654" t="s">
        <v>74</v>
      </c>
      <c r="G2654" t="s">
        <v>32</v>
      </c>
      <c r="H2654" t="s">
        <v>25</v>
      </c>
      <c r="I2654" t="s">
        <v>45</v>
      </c>
      <c r="J2654" t="s">
        <v>34</v>
      </c>
    </row>
    <row r="2655" spans="1:10">
      <c r="A2655" t="s">
        <v>3984</v>
      </c>
      <c r="B2655" t="s">
        <v>2639</v>
      </c>
      <c r="C2655" t="s">
        <v>60</v>
      </c>
      <c r="E2655">
        <v>-30315</v>
      </c>
      <c r="F2655" t="s">
        <v>62</v>
      </c>
      <c r="G2655" t="s">
        <v>24</v>
      </c>
      <c r="H2655" t="s">
        <v>63</v>
      </c>
      <c r="I2655" t="s">
        <v>45</v>
      </c>
      <c r="J2655" t="s">
        <v>27</v>
      </c>
    </row>
    <row r="2656" spans="1:10">
      <c r="A2656" t="s">
        <v>3985</v>
      </c>
      <c r="B2656" t="s">
        <v>3986</v>
      </c>
      <c r="C2656" t="s">
        <v>2258</v>
      </c>
      <c r="E2656">
        <v>-37327</v>
      </c>
      <c r="F2656" t="s">
        <v>23</v>
      </c>
      <c r="G2656" t="s">
        <v>32</v>
      </c>
      <c r="H2656" t="s">
        <v>33</v>
      </c>
      <c r="I2656" t="s">
        <v>26</v>
      </c>
      <c r="J2656" t="s">
        <v>48</v>
      </c>
    </row>
    <row r="2657" spans="1:10">
      <c r="A2657" t="s">
        <v>3987</v>
      </c>
      <c r="B2657" t="s">
        <v>3988</v>
      </c>
      <c r="C2657" t="s">
        <v>60</v>
      </c>
      <c r="D2657" t="s">
        <v>61</v>
      </c>
      <c r="E2657">
        <v>-24190</v>
      </c>
      <c r="F2657" t="s">
        <v>62</v>
      </c>
      <c r="G2657" t="s">
        <v>24</v>
      </c>
      <c r="H2657" t="s">
        <v>63</v>
      </c>
      <c r="I2657" t="s">
        <v>26</v>
      </c>
      <c r="J2657" t="s">
        <v>27</v>
      </c>
    </row>
    <row r="2658" spans="1:10">
      <c r="A2658" t="s">
        <v>3989</v>
      </c>
      <c r="B2658" t="s">
        <v>3183</v>
      </c>
      <c r="C2658" t="s">
        <v>93</v>
      </c>
      <c r="D2658" t="s">
        <v>73</v>
      </c>
      <c r="E2658">
        <v>-73225</v>
      </c>
      <c r="F2658" t="s">
        <v>74</v>
      </c>
      <c r="G2658" t="s">
        <v>32</v>
      </c>
      <c r="H2658" t="s">
        <v>25</v>
      </c>
      <c r="I2658" t="s">
        <v>26</v>
      </c>
      <c r="J2658" t="s">
        <v>48</v>
      </c>
    </row>
    <row r="2659" spans="1:10">
      <c r="A2659" t="s">
        <v>3990</v>
      </c>
      <c r="B2659" t="s">
        <v>436</v>
      </c>
      <c r="C2659" t="s">
        <v>84</v>
      </c>
      <c r="D2659" t="s">
        <v>78</v>
      </c>
      <c r="E2659">
        <v>-57788</v>
      </c>
      <c r="F2659" t="s">
        <v>23</v>
      </c>
      <c r="G2659" t="s">
        <v>24</v>
      </c>
      <c r="H2659" t="s">
        <v>79</v>
      </c>
      <c r="I2659" t="s">
        <v>39</v>
      </c>
      <c r="J2659" t="s">
        <v>40</v>
      </c>
    </row>
    <row r="2660" spans="1:10">
      <c r="A2660" t="s">
        <v>3991</v>
      </c>
      <c r="B2660" t="s">
        <v>2610</v>
      </c>
      <c r="C2660" t="s">
        <v>103</v>
      </c>
      <c r="D2660" t="s">
        <v>78</v>
      </c>
      <c r="E2660">
        <v>-35337</v>
      </c>
      <c r="F2660" t="s">
        <v>23</v>
      </c>
      <c r="G2660" t="s">
        <v>32</v>
      </c>
      <c r="H2660" t="s">
        <v>79</v>
      </c>
      <c r="I2660" t="s">
        <v>39</v>
      </c>
      <c r="J2660" t="s">
        <v>48</v>
      </c>
    </row>
    <row r="2661" spans="1:10">
      <c r="A2661" t="s">
        <v>3992</v>
      </c>
      <c r="B2661" t="s">
        <v>1019</v>
      </c>
      <c r="C2661" t="s">
        <v>106</v>
      </c>
      <c r="D2661" t="s">
        <v>31</v>
      </c>
      <c r="E2661">
        <v>-24163</v>
      </c>
      <c r="F2661" t="s">
        <v>23</v>
      </c>
      <c r="G2661" t="s">
        <v>24</v>
      </c>
      <c r="H2661" t="s">
        <v>33</v>
      </c>
      <c r="I2661" t="s">
        <v>26</v>
      </c>
      <c r="J2661" t="s">
        <v>34</v>
      </c>
    </row>
    <row r="2662" spans="1:10">
      <c r="A2662" t="s">
        <v>3993</v>
      </c>
      <c r="B2662" t="s">
        <v>3994</v>
      </c>
      <c r="C2662" t="s">
        <v>536</v>
      </c>
      <c r="E2662">
        <v>-12261</v>
      </c>
      <c r="F2662" t="s">
        <v>23</v>
      </c>
      <c r="G2662" t="s">
        <v>24</v>
      </c>
      <c r="H2662" t="s">
        <v>33</v>
      </c>
      <c r="I2662" t="s">
        <v>39</v>
      </c>
      <c r="J2662" t="s">
        <v>27</v>
      </c>
    </row>
    <row r="2663" spans="1:10">
      <c r="A2663" t="s">
        <v>3995</v>
      </c>
      <c r="B2663" t="s">
        <v>1074</v>
      </c>
      <c r="C2663" t="s">
        <v>66</v>
      </c>
      <c r="D2663" t="s">
        <v>61</v>
      </c>
      <c r="E2663">
        <v>-32513</v>
      </c>
      <c r="F2663" t="s">
        <v>62</v>
      </c>
      <c r="G2663" t="s">
        <v>32</v>
      </c>
      <c r="H2663" t="s">
        <v>63</v>
      </c>
      <c r="I2663" t="s">
        <v>26</v>
      </c>
      <c r="J2663" t="s">
        <v>27</v>
      </c>
    </row>
    <row r="2664" spans="1:10">
      <c r="A2664" t="s">
        <v>3996</v>
      </c>
      <c r="B2664" t="s">
        <v>3997</v>
      </c>
      <c r="C2664" t="s">
        <v>84</v>
      </c>
      <c r="D2664" t="s">
        <v>78</v>
      </c>
      <c r="E2664">
        <v>-41350</v>
      </c>
      <c r="F2664" t="s">
        <v>23</v>
      </c>
      <c r="G2664" t="s">
        <v>32</v>
      </c>
      <c r="H2664" t="s">
        <v>79</v>
      </c>
      <c r="I2664" t="s">
        <v>39</v>
      </c>
      <c r="J2664" t="s">
        <v>48</v>
      </c>
    </row>
    <row r="2665" spans="1:10">
      <c r="A2665" t="s">
        <v>3998</v>
      </c>
      <c r="B2665" t="s">
        <v>597</v>
      </c>
      <c r="C2665" t="s">
        <v>100</v>
      </c>
      <c r="E2665">
        <v>-43513</v>
      </c>
      <c r="F2665" t="s">
        <v>23</v>
      </c>
      <c r="G2665" t="s">
        <v>32</v>
      </c>
      <c r="H2665" t="s">
        <v>33</v>
      </c>
      <c r="I2665" t="s">
        <v>39</v>
      </c>
      <c r="J2665" t="s">
        <v>34</v>
      </c>
    </row>
    <row r="2666" spans="1:10">
      <c r="A2666" t="s">
        <v>3999</v>
      </c>
      <c r="B2666" t="s">
        <v>328</v>
      </c>
      <c r="C2666" t="s">
        <v>100</v>
      </c>
      <c r="D2666" t="s">
        <v>31</v>
      </c>
      <c r="E2666">
        <v>-32411</v>
      </c>
      <c r="F2666" t="s">
        <v>23</v>
      </c>
      <c r="G2666" t="s">
        <v>24</v>
      </c>
      <c r="H2666" t="s">
        <v>33</v>
      </c>
      <c r="I2666" t="s">
        <v>26</v>
      </c>
      <c r="J2666" t="s">
        <v>34</v>
      </c>
    </row>
    <row r="2667" spans="1:10">
      <c r="A2667" t="s">
        <v>4000</v>
      </c>
      <c r="B2667" t="s">
        <v>1315</v>
      </c>
      <c r="C2667" t="s">
        <v>60</v>
      </c>
      <c r="D2667" t="s">
        <v>61</v>
      </c>
      <c r="E2667">
        <v>-25033</v>
      </c>
      <c r="F2667" t="s">
        <v>62</v>
      </c>
      <c r="G2667" t="s">
        <v>32</v>
      </c>
      <c r="H2667" t="s">
        <v>63</v>
      </c>
      <c r="I2667" t="s">
        <v>26</v>
      </c>
      <c r="J2667" t="s">
        <v>48</v>
      </c>
    </row>
    <row r="2668" spans="1:10">
      <c r="A2668" t="s">
        <v>4001</v>
      </c>
      <c r="B2668" t="s">
        <v>992</v>
      </c>
      <c r="C2668" t="s">
        <v>290</v>
      </c>
      <c r="E2668">
        <v>-117124</v>
      </c>
      <c r="F2668" t="s">
        <v>23</v>
      </c>
      <c r="G2668" t="s">
        <v>24</v>
      </c>
      <c r="H2668" t="s">
        <v>33</v>
      </c>
      <c r="I2668" t="s">
        <v>26</v>
      </c>
      <c r="J2668" t="s">
        <v>27</v>
      </c>
    </row>
    <row r="2669" spans="1:10">
      <c r="A2669" t="s">
        <v>4002</v>
      </c>
      <c r="B2669" t="s">
        <v>4003</v>
      </c>
      <c r="C2669" t="s">
        <v>66</v>
      </c>
      <c r="D2669" t="s">
        <v>61</v>
      </c>
      <c r="E2669">
        <v>-60248</v>
      </c>
      <c r="F2669" t="s">
        <v>62</v>
      </c>
      <c r="G2669" t="s">
        <v>32</v>
      </c>
      <c r="H2669" t="s">
        <v>63</v>
      </c>
      <c r="I2669" t="s">
        <v>26</v>
      </c>
      <c r="J2669" t="s">
        <v>48</v>
      </c>
    </row>
    <row r="2670" spans="1:10">
      <c r="A2670" t="s">
        <v>4004</v>
      </c>
      <c r="B2670" t="s">
        <v>252</v>
      </c>
      <c r="C2670" t="s">
        <v>215</v>
      </c>
      <c r="D2670" t="s">
        <v>61</v>
      </c>
      <c r="E2670">
        <v>-32334</v>
      </c>
      <c r="F2670" t="s">
        <v>62</v>
      </c>
      <c r="G2670" t="s">
        <v>32</v>
      </c>
      <c r="H2670" t="s">
        <v>63</v>
      </c>
      <c r="I2670" t="s">
        <v>26</v>
      </c>
      <c r="J2670" t="s">
        <v>34</v>
      </c>
    </row>
    <row r="2671" spans="1:10">
      <c r="A2671" t="s">
        <v>4005</v>
      </c>
      <c r="B2671" t="s">
        <v>4006</v>
      </c>
      <c r="C2671" t="s">
        <v>2734</v>
      </c>
      <c r="D2671" t="s">
        <v>22</v>
      </c>
      <c r="E2671">
        <v>-87268</v>
      </c>
      <c r="F2671" t="s">
        <v>23</v>
      </c>
      <c r="G2671" t="s">
        <v>32</v>
      </c>
      <c r="H2671" t="s">
        <v>25</v>
      </c>
      <c r="I2671" t="s">
        <v>26</v>
      </c>
      <c r="J2671" t="s">
        <v>48</v>
      </c>
    </row>
    <row r="2672" spans="1:10">
      <c r="A2672" t="s">
        <v>4007</v>
      </c>
      <c r="B2672" t="s">
        <v>142</v>
      </c>
      <c r="C2672" t="s">
        <v>174</v>
      </c>
      <c r="D2672" t="s">
        <v>22</v>
      </c>
      <c r="E2672">
        <v>-110424</v>
      </c>
      <c r="F2672" t="s">
        <v>23</v>
      </c>
      <c r="G2672" t="s">
        <v>32</v>
      </c>
      <c r="H2672" t="s">
        <v>25</v>
      </c>
      <c r="I2672" t="s">
        <v>39</v>
      </c>
      <c r="J2672" t="s">
        <v>40</v>
      </c>
    </row>
    <row r="2673" spans="1:10">
      <c r="A2673" t="s">
        <v>4008</v>
      </c>
      <c r="B2673" t="s">
        <v>1094</v>
      </c>
      <c r="C2673" t="s">
        <v>66</v>
      </c>
      <c r="D2673" t="s">
        <v>61</v>
      </c>
      <c r="E2673">
        <v>-17718</v>
      </c>
      <c r="F2673" t="s">
        <v>62</v>
      </c>
      <c r="G2673" t="s">
        <v>24</v>
      </c>
      <c r="H2673" t="s">
        <v>63</v>
      </c>
      <c r="I2673" t="s">
        <v>45</v>
      </c>
      <c r="J2673" t="s">
        <v>40</v>
      </c>
    </row>
    <row r="2674" spans="1:10">
      <c r="A2674" t="s">
        <v>4009</v>
      </c>
      <c r="B2674" t="s">
        <v>703</v>
      </c>
      <c r="C2674" t="s">
        <v>215</v>
      </c>
      <c r="D2674" t="s">
        <v>61</v>
      </c>
      <c r="E2674">
        <v>-51895</v>
      </c>
      <c r="F2674" t="s">
        <v>62</v>
      </c>
      <c r="G2674" t="s">
        <v>24</v>
      </c>
      <c r="H2674" t="s">
        <v>63</v>
      </c>
      <c r="I2674" t="s">
        <v>39</v>
      </c>
      <c r="J2674" t="s">
        <v>34</v>
      </c>
    </row>
    <row r="2675" spans="1:10">
      <c r="A2675" t="s">
        <v>4010</v>
      </c>
      <c r="B2675" t="s">
        <v>95</v>
      </c>
      <c r="C2675" t="s">
        <v>30</v>
      </c>
      <c r="D2675" t="s">
        <v>31</v>
      </c>
      <c r="E2675">
        <v>-33388</v>
      </c>
      <c r="F2675" t="s">
        <v>23</v>
      </c>
      <c r="G2675" t="s">
        <v>32</v>
      </c>
      <c r="H2675" t="s">
        <v>33</v>
      </c>
      <c r="I2675" t="s">
        <v>26</v>
      </c>
      <c r="J2675" t="s">
        <v>27</v>
      </c>
    </row>
    <row r="2676" spans="1:10">
      <c r="A2676" t="s">
        <v>4011</v>
      </c>
      <c r="B2676" t="s">
        <v>778</v>
      </c>
      <c r="C2676" t="s">
        <v>60</v>
      </c>
      <c r="D2676" t="s">
        <v>61</v>
      </c>
      <c r="E2676">
        <v>-28364</v>
      </c>
      <c r="F2676" t="s">
        <v>62</v>
      </c>
      <c r="G2676" t="s">
        <v>32</v>
      </c>
      <c r="H2676" t="s">
        <v>63</v>
      </c>
      <c r="I2676" t="s">
        <v>26</v>
      </c>
      <c r="J2676" t="s">
        <v>48</v>
      </c>
    </row>
    <row r="2677" spans="1:10">
      <c r="A2677" t="s">
        <v>2685</v>
      </c>
      <c r="B2677" t="s">
        <v>199</v>
      </c>
      <c r="C2677" t="s">
        <v>339</v>
      </c>
      <c r="D2677" t="s">
        <v>157</v>
      </c>
      <c r="E2677">
        <v>496644</v>
      </c>
      <c r="F2677" t="s">
        <v>62</v>
      </c>
      <c r="G2677" t="s">
        <v>32</v>
      </c>
      <c r="H2677" t="s">
        <v>25</v>
      </c>
      <c r="I2677" t="s">
        <v>26</v>
      </c>
      <c r="J2677" t="s">
        <v>34</v>
      </c>
    </row>
    <row r="2678" spans="1:10">
      <c r="A2678" t="s">
        <v>4012</v>
      </c>
      <c r="B2678" t="s">
        <v>1370</v>
      </c>
      <c r="C2678" t="s">
        <v>60</v>
      </c>
      <c r="D2678" t="s">
        <v>61</v>
      </c>
      <c r="E2678">
        <v>-46669</v>
      </c>
      <c r="F2678" t="s">
        <v>62</v>
      </c>
      <c r="G2678" t="s">
        <v>24</v>
      </c>
      <c r="H2678" t="s">
        <v>63</v>
      </c>
      <c r="I2678" t="s">
        <v>39</v>
      </c>
      <c r="J2678" t="s">
        <v>27</v>
      </c>
    </row>
    <row r="2679" spans="1:10">
      <c r="A2679" t="s">
        <v>4013</v>
      </c>
      <c r="B2679" t="s">
        <v>3619</v>
      </c>
      <c r="C2679" t="s">
        <v>60</v>
      </c>
      <c r="D2679" t="s">
        <v>61</v>
      </c>
      <c r="E2679">
        <v>-40870</v>
      </c>
      <c r="F2679" t="s">
        <v>62</v>
      </c>
      <c r="G2679" t="s">
        <v>32</v>
      </c>
      <c r="H2679" t="s">
        <v>63</v>
      </c>
      <c r="I2679" t="s">
        <v>45</v>
      </c>
      <c r="J2679" t="s">
        <v>27</v>
      </c>
    </row>
    <row r="2680" spans="1:10">
      <c r="A2680" t="s">
        <v>4014</v>
      </c>
      <c r="B2680" t="s">
        <v>4015</v>
      </c>
      <c r="C2680" t="s">
        <v>177</v>
      </c>
      <c r="E2680">
        <v>-84602</v>
      </c>
      <c r="F2680" t="s">
        <v>23</v>
      </c>
      <c r="G2680" t="s">
        <v>24</v>
      </c>
      <c r="H2680" t="s">
        <v>79</v>
      </c>
      <c r="I2680" t="s">
        <v>45</v>
      </c>
      <c r="J2680" t="s">
        <v>48</v>
      </c>
    </row>
    <row r="2681" spans="1:10">
      <c r="A2681" t="s">
        <v>4016</v>
      </c>
      <c r="B2681" t="s">
        <v>778</v>
      </c>
      <c r="C2681" t="s">
        <v>132</v>
      </c>
      <c r="E2681">
        <v>-77041</v>
      </c>
      <c r="F2681" t="s">
        <v>74</v>
      </c>
      <c r="G2681" t="s">
        <v>24</v>
      </c>
      <c r="H2681" t="s">
        <v>25</v>
      </c>
      <c r="I2681" t="s">
        <v>26</v>
      </c>
      <c r="J2681" t="s">
        <v>48</v>
      </c>
    </row>
    <row r="2682" spans="1:10">
      <c r="A2682" t="s">
        <v>4017</v>
      </c>
      <c r="B2682" t="s">
        <v>831</v>
      </c>
      <c r="C2682" t="s">
        <v>93</v>
      </c>
      <c r="D2682" t="s">
        <v>187</v>
      </c>
      <c r="E2682">
        <v>-71576</v>
      </c>
      <c r="F2682" t="s">
        <v>74</v>
      </c>
      <c r="G2682" t="s">
        <v>24</v>
      </c>
      <c r="H2682" t="s">
        <v>25</v>
      </c>
      <c r="I2682" t="s">
        <v>26</v>
      </c>
      <c r="J2682" t="s">
        <v>27</v>
      </c>
    </row>
    <row r="2683" spans="1:10">
      <c r="A2683" t="s">
        <v>4018</v>
      </c>
      <c r="B2683" t="s">
        <v>2777</v>
      </c>
      <c r="C2683" t="s">
        <v>271</v>
      </c>
      <c r="D2683" t="s">
        <v>73</v>
      </c>
      <c r="E2683">
        <v>-68469</v>
      </c>
      <c r="F2683" t="s">
        <v>74</v>
      </c>
      <c r="G2683" t="s">
        <v>32</v>
      </c>
      <c r="H2683" t="s">
        <v>25</v>
      </c>
      <c r="I2683" t="s">
        <v>26</v>
      </c>
      <c r="J2683" t="s">
        <v>48</v>
      </c>
    </row>
    <row r="2684" spans="1:10">
      <c r="A2684" t="s">
        <v>4019</v>
      </c>
      <c r="B2684" t="s">
        <v>1662</v>
      </c>
      <c r="C2684" t="s">
        <v>90</v>
      </c>
      <c r="D2684" t="s">
        <v>73</v>
      </c>
      <c r="E2684">
        <v>-87150</v>
      </c>
      <c r="F2684" t="s">
        <v>74</v>
      </c>
      <c r="G2684" t="s">
        <v>24</v>
      </c>
      <c r="H2684" t="s">
        <v>25</v>
      </c>
      <c r="I2684" t="s">
        <v>39</v>
      </c>
      <c r="J2684" t="s">
        <v>40</v>
      </c>
    </row>
    <row r="2685" spans="1:10">
      <c r="A2685" t="s">
        <v>4020</v>
      </c>
      <c r="B2685" t="s">
        <v>4021</v>
      </c>
      <c r="C2685" t="s">
        <v>84</v>
      </c>
      <c r="D2685" t="s">
        <v>78</v>
      </c>
      <c r="E2685">
        <v>-28213</v>
      </c>
      <c r="F2685" t="s">
        <v>23</v>
      </c>
      <c r="G2685" t="s">
        <v>24</v>
      </c>
      <c r="H2685" t="s">
        <v>79</v>
      </c>
      <c r="I2685" t="s">
        <v>39</v>
      </c>
      <c r="J2685" t="s">
        <v>34</v>
      </c>
    </row>
    <row r="2686" spans="1:10">
      <c r="A2686" t="s">
        <v>4022</v>
      </c>
      <c r="B2686" t="s">
        <v>686</v>
      </c>
      <c r="C2686" t="s">
        <v>224</v>
      </c>
      <c r="D2686" t="s">
        <v>78</v>
      </c>
      <c r="E2686">
        <v>-81417</v>
      </c>
      <c r="F2686" t="s">
        <v>23</v>
      </c>
      <c r="G2686" t="s">
        <v>24</v>
      </c>
      <c r="H2686" t="s">
        <v>79</v>
      </c>
      <c r="I2686" t="s">
        <v>39</v>
      </c>
      <c r="J2686" t="s">
        <v>40</v>
      </c>
    </row>
    <row r="2687" spans="1:10">
      <c r="A2687" t="s">
        <v>4023</v>
      </c>
      <c r="B2687" t="s">
        <v>1815</v>
      </c>
      <c r="C2687" t="s">
        <v>106</v>
      </c>
      <c r="D2687" t="s">
        <v>31</v>
      </c>
      <c r="E2687">
        <v>-26812</v>
      </c>
      <c r="F2687" t="s">
        <v>23</v>
      </c>
      <c r="G2687" t="s">
        <v>32</v>
      </c>
      <c r="H2687" t="s">
        <v>33</v>
      </c>
      <c r="I2687" t="s">
        <v>45</v>
      </c>
      <c r="J2687" t="s">
        <v>40</v>
      </c>
    </row>
    <row r="2688" spans="1:10">
      <c r="A2688" t="s">
        <v>4024</v>
      </c>
      <c r="B2688" t="s">
        <v>921</v>
      </c>
      <c r="C2688" t="s">
        <v>339</v>
      </c>
      <c r="D2688" t="s">
        <v>157</v>
      </c>
      <c r="E2688">
        <v>725600</v>
      </c>
      <c r="F2688" t="s">
        <v>62</v>
      </c>
      <c r="G2688" t="s">
        <v>32</v>
      </c>
      <c r="H2688" t="s">
        <v>25</v>
      </c>
      <c r="I2688" t="s">
        <v>39</v>
      </c>
      <c r="J2688" t="s">
        <v>48</v>
      </c>
    </row>
    <row r="2689" spans="1:10">
      <c r="A2689" t="s">
        <v>4025</v>
      </c>
      <c r="B2689" t="s">
        <v>392</v>
      </c>
      <c r="C2689" t="s">
        <v>177</v>
      </c>
      <c r="D2689" t="s">
        <v>78</v>
      </c>
      <c r="E2689">
        <v>-70902</v>
      </c>
      <c r="F2689" t="s">
        <v>23</v>
      </c>
      <c r="G2689" t="s">
        <v>32</v>
      </c>
      <c r="H2689" t="s">
        <v>79</v>
      </c>
      <c r="I2689" t="s">
        <v>45</v>
      </c>
      <c r="J2689" t="s">
        <v>40</v>
      </c>
    </row>
    <row r="2690" spans="1:10">
      <c r="A2690" t="s">
        <v>4026</v>
      </c>
      <c r="B2690" t="s">
        <v>3407</v>
      </c>
      <c r="C2690" t="s">
        <v>305</v>
      </c>
      <c r="D2690" t="s">
        <v>38</v>
      </c>
      <c r="E2690">
        <v>-18251</v>
      </c>
      <c r="F2690" t="s">
        <v>23</v>
      </c>
      <c r="G2690" t="s">
        <v>32</v>
      </c>
      <c r="H2690" t="s">
        <v>33</v>
      </c>
      <c r="I2690" t="s">
        <v>39</v>
      </c>
      <c r="J2690" t="s">
        <v>40</v>
      </c>
    </row>
    <row r="2691" spans="1:10">
      <c r="A2691" t="s">
        <v>4027</v>
      </c>
      <c r="B2691" t="s">
        <v>92</v>
      </c>
      <c r="C2691" t="s">
        <v>283</v>
      </c>
      <c r="D2691" t="s">
        <v>44</v>
      </c>
      <c r="E2691">
        <v>-143609</v>
      </c>
      <c r="F2691" t="s">
        <v>23</v>
      </c>
      <c r="G2691" t="s">
        <v>32</v>
      </c>
      <c r="H2691" t="s">
        <v>33</v>
      </c>
      <c r="I2691" t="s">
        <v>26</v>
      </c>
      <c r="J2691" t="s">
        <v>27</v>
      </c>
    </row>
    <row r="2692" spans="1:10">
      <c r="A2692" t="s">
        <v>4028</v>
      </c>
      <c r="B2692" t="s">
        <v>1003</v>
      </c>
      <c r="C2692" t="s">
        <v>132</v>
      </c>
      <c r="D2692" t="s">
        <v>73</v>
      </c>
      <c r="E2692">
        <v>-75329</v>
      </c>
      <c r="F2692" t="s">
        <v>74</v>
      </c>
      <c r="G2692" t="s">
        <v>32</v>
      </c>
      <c r="H2692" t="s">
        <v>25</v>
      </c>
      <c r="I2692" t="s">
        <v>45</v>
      </c>
      <c r="J2692" t="s">
        <v>34</v>
      </c>
    </row>
    <row r="2693" spans="1:10">
      <c r="A2693" t="s">
        <v>4029</v>
      </c>
      <c r="B2693" t="s">
        <v>1121</v>
      </c>
      <c r="C2693" t="s">
        <v>166</v>
      </c>
      <c r="D2693" t="s">
        <v>31</v>
      </c>
      <c r="E2693">
        <v>-19400</v>
      </c>
      <c r="F2693" t="s">
        <v>23</v>
      </c>
      <c r="G2693" t="s">
        <v>24</v>
      </c>
      <c r="H2693" t="s">
        <v>33</v>
      </c>
      <c r="I2693" t="s">
        <v>26</v>
      </c>
      <c r="J2693" t="s">
        <v>40</v>
      </c>
    </row>
    <row r="2694" spans="1:10">
      <c r="A2694" t="s">
        <v>4030</v>
      </c>
      <c r="B2694" t="s">
        <v>4031</v>
      </c>
      <c r="C2694" t="s">
        <v>237</v>
      </c>
      <c r="D2694" t="s">
        <v>22</v>
      </c>
      <c r="E2694">
        <v>-123717</v>
      </c>
      <c r="F2694" t="s">
        <v>23</v>
      </c>
      <c r="G2694" t="s">
        <v>24</v>
      </c>
      <c r="H2694" t="s">
        <v>25</v>
      </c>
      <c r="I2694" t="s">
        <v>39</v>
      </c>
      <c r="J2694" t="s">
        <v>34</v>
      </c>
    </row>
    <row r="2695" spans="1:10">
      <c r="A2695" t="s">
        <v>4032</v>
      </c>
      <c r="B2695" t="s">
        <v>1725</v>
      </c>
      <c r="C2695" t="s">
        <v>935</v>
      </c>
      <c r="D2695" t="s">
        <v>22</v>
      </c>
      <c r="E2695">
        <v>-210762</v>
      </c>
      <c r="F2695" t="s">
        <v>23</v>
      </c>
      <c r="G2695" t="s">
        <v>32</v>
      </c>
      <c r="H2695" t="s">
        <v>25</v>
      </c>
      <c r="I2695" t="s">
        <v>26</v>
      </c>
      <c r="J2695" t="s">
        <v>48</v>
      </c>
    </row>
    <row r="2696" spans="1:10">
      <c r="A2696" t="s">
        <v>4033</v>
      </c>
      <c r="B2696" t="s">
        <v>1349</v>
      </c>
      <c r="C2696" t="s">
        <v>43</v>
      </c>
      <c r="D2696" t="s">
        <v>44</v>
      </c>
      <c r="E2696">
        <v>-68115</v>
      </c>
      <c r="F2696" t="s">
        <v>23</v>
      </c>
      <c r="G2696" t="s">
        <v>32</v>
      </c>
      <c r="H2696" t="s">
        <v>33</v>
      </c>
      <c r="I2696" t="s">
        <v>39</v>
      </c>
      <c r="J2696" t="s">
        <v>27</v>
      </c>
    </row>
    <row r="2697" spans="1:10">
      <c r="A2697" t="s">
        <v>4034</v>
      </c>
      <c r="B2697" t="s">
        <v>831</v>
      </c>
      <c r="C2697" t="s">
        <v>93</v>
      </c>
      <c r="D2697" t="s">
        <v>73</v>
      </c>
      <c r="E2697">
        <v>-23327</v>
      </c>
      <c r="F2697" t="s">
        <v>74</v>
      </c>
      <c r="G2697" t="s">
        <v>32</v>
      </c>
      <c r="H2697" t="s">
        <v>25</v>
      </c>
      <c r="I2697" t="s">
        <v>26</v>
      </c>
      <c r="J2697" t="s">
        <v>27</v>
      </c>
    </row>
    <row r="2698" spans="1:10">
      <c r="A2698" t="s">
        <v>4035</v>
      </c>
      <c r="B2698" t="s">
        <v>131</v>
      </c>
      <c r="C2698" t="s">
        <v>757</v>
      </c>
      <c r="D2698" t="s">
        <v>157</v>
      </c>
      <c r="E2698">
        <v>717722</v>
      </c>
      <c r="F2698" t="s">
        <v>62</v>
      </c>
      <c r="G2698" t="s">
        <v>32</v>
      </c>
      <c r="H2698" t="s">
        <v>25</v>
      </c>
      <c r="I2698" t="s">
        <v>39</v>
      </c>
      <c r="J2698" t="s">
        <v>27</v>
      </c>
    </row>
    <row r="2699" spans="1:10">
      <c r="A2699" t="s">
        <v>4036</v>
      </c>
      <c r="B2699" t="s">
        <v>2352</v>
      </c>
      <c r="C2699" t="s">
        <v>60</v>
      </c>
      <c r="D2699" t="s">
        <v>61</v>
      </c>
      <c r="E2699">
        <v>-39898</v>
      </c>
      <c r="F2699" t="s">
        <v>62</v>
      </c>
      <c r="G2699" t="s">
        <v>32</v>
      </c>
      <c r="H2699" t="s">
        <v>63</v>
      </c>
      <c r="I2699" t="s">
        <v>45</v>
      </c>
      <c r="J2699" t="s">
        <v>48</v>
      </c>
    </row>
    <row r="2700" spans="1:10">
      <c r="A2700" t="s">
        <v>4037</v>
      </c>
      <c r="B2700" t="s">
        <v>4038</v>
      </c>
      <c r="C2700" t="s">
        <v>212</v>
      </c>
      <c r="D2700" t="s">
        <v>73</v>
      </c>
      <c r="E2700">
        <v>-39149</v>
      </c>
      <c r="F2700" t="s">
        <v>74</v>
      </c>
      <c r="G2700" t="s">
        <v>32</v>
      </c>
      <c r="H2700" t="s">
        <v>25</v>
      </c>
      <c r="I2700" t="s">
        <v>39</v>
      </c>
      <c r="J2700" t="s">
        <v>34</v>
      </c>
    </row>
    <row r="2701" spans="1:10">
      <c r="A2701" t="s">
        <v>4039</v>
      </c>
      <c r="B2701" t="s">
        <v>2221</v>
      </c>
      <c r="C2701" t="s">
        <v>90</v>
      </c>
      <c r="D2701" t="s">
        <v>73</v>
      </c>
      <c r="E2701">
        <v>-37602</v>
      </c>
      <c r="F2701" t="s">
        <v>74</v>
      </c>
      <c r="G2701" t="s">
        <v>24</v>
      </c>
      <c r="H2701" t="s">
        <v>25</v>
      </c>
      <c r="I2701" t="s">
        <v>26</v>
      </c>
      <c r="J2701" t="s">
        <v>27</v>
      </c>
    </row>
    <row r="2702" spans="1:10">
      <c r="A2702" t="s">
        <v>4040</v>
      </c>
      <c r="B2702" t="s">
        <v>2697</v>
      </c>
      <c r="C2702" t="s">
        <v>166</v>
      </c>
      <c r="D2702" t="s">
        <v>31</v>
      </c>
      <c r="E2702">
        <v>-25013</v>
      </c>
      <c r="F2702" t="s">
        <v>23</v>
      </c>
      <c r="G2702" t="s">
        <v>24</v>
      </c>
      <c r="H2702" t="s">
        <v>33</v>
      </c>
      <c r="I2702" t="s">
        <v>26</v>
      </c>
      <c r="J2702" t="s">
        <v>40</v>
      </c>
    </row>
    <row r="2703" spans="1:10">
      <c r="A2703" t="s">
        <v>4041</v>
      </c>
      <c r="B2703" t="s">
        <v>278</v>
      </c>
      <c r="C2703" t="s">
        <v>116</v>
      </c>
      <c r="D2703" t="s">
        <v>73</v>
      </c>
      <c r="E2703">
        <v>-34560</v>
      </c>
      <c r="F2703" t="s">
        <v>74</v>
      </c>
      <c r="G2703" t="s">
        <v>32</v>
      </c>
      <c r="H2703" t="s">
        <v>25</v>
      </c>
      <c r="I2703" t="s">
        <v>26</v>
      </c>
      <c r="J2703" t="s">
        <v>27</v>
      </c>
    </row>
    <row r="2704" spans="1:10">
      <c r="A2704" t="s">
        <v>4042</v>
      </c>
      <c r="B2704" t="s">
        <v>572</v>
      </c>
      <c r="C2704" t="s">
        <v>169</v>
      </c>
      <c r="D2704" t="s">
        <v>73</v>
      </c>
      <c r="E2704">
        <v>-69972</v>
      </c>
      <c r="F2704" t="s">
        <v>74</v>
      </c>
      <c r="G2704" t="s">
        <v>24</v>
      </c>
      <c r="H2704" t="s">
        <v>25</v>
      </c>
      <c r="I2704" t="s">
        <v>45</v>
      </c>
      <c r="J2704" t="s">
        <v>27</v>
      </c>
    </row>
    <row r="2705" spans="1:10">
      <c r="A2705" t="s">
        <v>4043</v>
      </c>
      <c r="B2705" t="s">
        <v>551</v>
      </c>
      <c r="C2705" t="s">
        <v>66</v>
      </c>
      <c r="D2705" t="s">
        <v>61</v>
      </c>
      <c r="E2705">
        <v>-35801</v>
      </c>
      <c r="F2705" t="s">
        <v>62</v>
      </c>
      <c r="G2705" t="s">
        <v>24</v>
      </c>
      <c r="H2705" t="s">
        <v>63</v>
      </c>
      <c r="I2705" t="s">
        <v>39</v>
      </c>
      <c r="J2705" t="s">
        <v>40</v>
      </c>
    </row>
    <row r="2706" spans="1:10">
      <c r="A2706" t="s">
        <v>4044</v>
      </c>
      <c r="B2706" t="s">
        <v>1577</v>
      </c>
      <c r="C2706" t="s">
        <v>766</v>
      </c>
      <c r="D2706" t="s">
        <v>73</v>
      </c>
      <c r="E2706">
        <v>-49471</v>
      </c>
      <c r="F2706" t="s">
        <v>74</v>
      </c>
      <c r="G2706" t="s">
        <v>32</v>
      </c>
      <c r="H2706" t="s">
        <v>25</v>
      </c>
      <c r="I2706" t="s">
        <v>26</v>
      </c>
      <c r="J2706" t="s">
        <v>48</v>
      </c>
    </row>
    <row r="2707" spans="1:10">
      <c r="A2707" t="s">
        <v>4045</v>
      </c>
      <c r="B2707" t="s">
        <v>2290</v>
      </c>
      <c r="C2707" t="s">
        <v>271</v>
      </c>
      <c r="D2707" t="s">
        <v>111</v>
      </c>
      <c r="E2707">
        <v>-51399</v>
      </c>
      <c r="F2707" t="s">
        <v>74</v>
      </c>
      <c r="G2707" t="s">
        <v>32</v>
      </c>
      <c r="H2707" t="s">
        <v>25</v>
      </c>
      <c r="I2707" t="s">
        <v>26</v>
      </c>
      <c r="J2707" t="s">
        <v>48</v>
      </c>
    </row>
    <row r="2708" spans="1:10">
      <c r="A2708" t="s">
        <v>4046</v>
      </c>
      <c r="B2708" t="s">
        <v>1901</v>
      </c>
      <c r="C2708" t="s">
        <v>84</v>
      </c>
      <c r="D2708" t="s">
        <v>78</v>
      </c>
      <c r="E2708">
        <v>-53687</v>
      </c>
      <c r="F2708" t="s">
        <v>23</v>
      </c>
      <c r="G2708" t="s">
        <v>32</v>
      </c>
      <c r="H2708" t="s">
        <v>79</v>
      </c>
      <c r="I2708" t="s">
        <v>26</v>
      </c>
      <c r="J2708" t="s">
        <v>27</v>
      </c>
    </row>
    <row r="2709" spans="1:10">
      <c r="A2709" t="s">
        <v>4047</v>
      </c>
      <c r="B2709" t="s">
        <v>239</v>
      </c>
      <c r="C2709" t="s">
        <v>84</v>
      </c>
      <c r="D2709" t="s">
        <v>78</v>
      </c>
      <c r="E2709">
        <v>-18819</v>
      </c>
      <c r="F2709" t="s">
        <v>23</v>
      </c>
      <c r="G2709" t="s">
        <v>32</v>
      </c>
      <c r="H2709" t="s">
        <v>79</v>
      </c>
      <c r="I2709" t="s">
        <v>26</v>
      </c>
      <c r="J2709" t="s">
        <v>27</v>
      </c>
    </row>
    <row r="2710" spans="1:10">
      <c r="A2710" t="s">
        <v>4048</v>
      </c>
      <c r="B2710" t="s">
        <v>2452</v>
      </c>
      <c r="C2710" t="s">
        <v>30</v>
      </c>
      <c r="D2710" t="s">
        <v>31</v>
      </c>
      <c r="E2710">
        <v>-37486</v>
      </c>
      <c r="F2710" t="s">
        <v>23</v>
      </c>
      <c r="G2710" t="s">
        <v>32</v>
      </c>
      <c r="H2710" t="s">
        <v>33</v>
      </c>
      <c r="I2710" t="s">
        <v>45</v>
      </c>
      <c r="J2710" t="s">
        <v>27</v>
      </c>
    </row>
    <row r="2711" spans="1:10">
      <c r="A2711" t="s">
        <v>4049</v>
      </c>
      <c r="B2711" t="s">
        <v>3338</v>
      </c>
      <c r="C2711" t="s">
        <v>212</v>
      </c>
      <c r="D2711" t="s">
        <v>73</v>
      </c>
      <c r="E2711">
        <v>-92390</v>
      </c>
      <c r="F2711" t="s">
        <v>74</v>
      </c>
      <c r="G2711" t="s">
        <v>24</v>
      </c>
      <c r="H2711" t="s">
        <v>25</v>
      </c>
      <c r="I2711" t="s">
        <v>45</v>
      </c>
      <c r="J2711" t="s">
        <v>48</v>
      </c>
    </row>
    <row r="2712" spans="1:10">
      <c r="A2712" t="s">
        <v>4050</v>
      </c>
      <c r="B2712" t="s">
        <v>4051</v>
      </c>
      <c r="C2712" t="s">
        <v>533</v>
      </c>
      <c r="D2712" t="s">
        <v>61</v>
      </c>
      <c r="E2712">
        <v>-20589</v>
      </c>
      <c r="F2712" t="s">
        <v>62</v>
      </c>
      <c r="G2712" t="s">
        <v>32</v>
      </c>
      <c r="H2712" t="s">
        <v>63</v>
      </c>
      <c r="I2712" t="s">
        <v>45</v>
      </c>
      <c r="J2712" t="s">
        <v>40</v>
      </c>
    </row>
    <row r="2713" spans="1:10">
      <c r="A2713" t="s">
        <v>4052</v>
      </c>
      <c r="B2713" t="s">
        <v>4053</v>
      </c>
      <c r="C2713" t="s">
        <v>221</v>
      </c>
      <c r="D2713" t="s">
        <v>61</v>
      </c>
      <c r="E2713">
        <v>-57953</v>
      </c>
      <c r="F2713" t="s">
        <v>62</v>
      </c>
      <c r="G2713" t="s">
        <v>32</v>
      </c>
      <c r="H2713" t="s">
        <v>63</v>
      </c>
      <c r="I2713" t="s">
        <v>39</v>
      </c>
      <c r="J2713" t="s">
        <v>40</v>
      </c>
    </row>
    <row r="2714" spans="1:10">
      <c r="A2714" t="s">
        <v>4054</v>
      </c>
      <c r="B2714" t="s">
        <v>4055</v>
      </c>
      <c r="C2714" t="s">
        <v>215</v>
      </c>
      <c r="D2714" t="s">
        <v>61</v>
      </c>
      <c r="E2714">
        <v>-14982</v>
      </c>
      <c r="F2714" t="s">
        <v>62</v>
      </c>
      <c r="G2714" t="s">
        <v>24</v>
      </c>
      <c r="H2714" t="s">
        <v>63</v>
      </c>
      <c r="I2714" t="s">
        <v>26</v>
      </c>
      <c r="J2714" t="s">
        <v>34</v>
      </c>
    </row>
    <row r="2715" spans="1:10">
      <c r="A2715" t="s">
        <v>4056</v>
      </c>
      <c r="B2715" t="s">
        <v>2554</v>
      </c>
      <c r="C2715" t="s">
        <v>161</v>
      </c>
      <c r="D2715" t="s">
        <v>22</v>
      </c>
      <c r="E2715">
        <v>-183484</v>
      </c>
      <c r="F2715" t="s">
        <v>23</v>
      </c>
      <c r="G2715" t="s">
        <v>32</v>
      </c>
      <c r="H2715" t="s">
        <v>25</v>
      </c>
      <c r="I2715" t="s">
        <v>26</v>
      </c>
      <c r="J2715" t="s">
        <v>48</v>
      </c>
    </row>
    <row r="2716" spans="1:10">
      <c r="A2716" t="s">
        <v>4057</v>
      </c>
      <c r="B2716" t="s">
        <v>749</v>
      </c>
      <c r="C2716" t="s">
        <v>51</v>
      </c>
      <c r="D2716" t="s">
        <v>31</v>
      </c>
      <c r="E2716">
        <v>-26542</v>
      </c>
      <c r="F2716" t="s">
        <v>23</v>
      </c>
      <c r="G2716" t="s">
        <v>32</v>
      </c>
      <c r="H2716" t="s">
        <v>33</v>
      </c>
      <c r="I2716" t="s">
        <v>39</v>
      </c>
      <c r="J2716" t="s">
        <v>40</v>
      </c>
    </row>
    <row r="2717" spans="1:10">
      <c r="A2717" t="s">
        <v>4058</v>
      </c>
      <c r="B2717" t="s">
        <v>3480</v>
      </c>
      <c r="C2717" t="s">
        <v>1676</v>
      </c>
      <c r="D2717" t="s">
        <v>73</v>
      </c>
      <c r="E2717">
        <v>-80055</v>
      </c>
      <c r="F2717" t="s">
        <v>74</v>
      </c>
      <c r="G2717" t="s">
        <v>24</v>
      </c>
      <c r="H2717" t="s">
        <v>25</v>
      </c>
      <c r="I2717" t="s">
        <v>39</v>
      </c>
      <c r="J2717" t="s">
        <v>34</v>
      </c>
    </row>
    <row r="2718" spans="1:10">
      <c r="A2718" t="s">
        <v>4059</v>
      </c>
      <c r="B2718" t="s">
        <v>3902</v>
      </c>
      <c r="C2718" t="s">
        <v>84</v>
      </c>
      <c r="D2718" t="s">
        <v>78</v>
      </c>
      <c r="E2718">
        <v>-23189</v>
      </c>
      <c r="F2718" t="s">
        <v>23</v>
      </c>
      <c r="G2718" t="s">
        <v>32</v>
      </c>
      <c r="H2718" t="s">
        <v>79</v>
      </c>
      <c r="I2718" t="s">
        <v>39</v>
      </c>
      <c r="J2718" t="s">
        <v>27</v>
      </c>
    </row>
    <row r="2719" spans="1:10">
      <c r="A2719" t="s">
        <v>2680</v>
      </c>
      <c r="B2719" t="s">
        <v>2464</v>
      </c>
      <c r="C2719" t="s">
        <v>271</v>
      </c>
      <c r="D2719" t="s">
        <v>73</v>
      </c>
      <c r="E2719">
        <v>-44745</v>
      </c>
      <c r="F2719" t="s">
        <v>74</v>
      </c>
      <c r="G2719" t="s">
        <v>32</v>
      </c>
      <c r="H2719" t="s">
        <v>25</v>
      </c>
      <c r="I2719" t="s">
        <v>26</v>
      </c>
      <c r="J2719" t="s">
        <v>40</v>
      </c>
    </row>
    <row r="2720" spans="1:10">
      <c r="A2720" t="s">
        <v>4060</v>
      </c>
      <c r="B2720" t="s">
        <v>355</v>
      </c>
      <c r="C2720" t="s">
        <v>93</v>
      </c>
      <c r="D2720" t="s">
        <v>73</v>
      </c>
      <c r="E2720">
        <v>-66917</v>
      </c>
      <c r="F2720" t="s">
        <v>74</v>
      </c>
      <c r="G2720" t="s">
        <v>32</v>
      </c>
      <c r="H2720" t="s">
        <v>25</v>
      </c>
      <c r="I2720" t="s">
        <v>39</v>
      </c>
      <c r="J2720" t="s">
        <v>48</v>
      </c>
    </row>
    <row r="2721" spans="1:10">
      <c r="A2721" t="s">
        <v>4061</v>
      </c>
      <c r="B2721" t="s">
        <v>4062</v>
      </c>
      <c r="C2721" t="s">
        <v>129</v>
      </c>
      <c r="D2721" t="s">
        <v>38</v>
      </c>
      <c r="E2721">
        <v>-43055</v>
      </c>
      <c r="F2721" t="s">
        <v>23</v>
      </c>
      <c r="G2721" t="s">
        <v>24</v>
      </c>
      <c r="H2721" t="s">
        <v>33</v>
      </c>
      <c r="I2721" t="s">
        <v>26</v>
      </c>
      <c r="J2721" t="s">
        <v>27</v>
      </c>
    </row>
    <row r="2722" spans="1:10">
      <c r="A2722" t="s">
        <v>4063</v>
      </c>
      <c r="B2722" t="s">
        <v>3723</v>
      </c>
      <c r="C2722" t="s">
        <v>271</v>
      </c>
      <c r="D2722" t="s">
        <v>73</v>
      </c>
      <c r="E2722">
        <v>-37020</v>
      </c>
      <c r="F2722" t="s">
        <v>74</v>
      </c>
      <c r="G2722" t="s">
        <v>32</v>
      </c>
      <c r="H2722" t="s">
        <v>25</v>
      </c>
      <c r="I2722" t="s">
        <v>39</v>
      </c>
      <c r="J2722" t="s">
        <v>48</v>
      </c>
    </row>
    <row r="2723" spans="1:10">
      <c r="A2723" t="s">
        <v>4064</v>
      </c>
      <c r="B2723" t="s">
        <v>1974</v>
      </c>
      <c r="C2723" t="s">
        <v>266</v>
      </c>
      <c r="D2723" t="s">
        <v>73</v>
      </c>
      <c r="E2723">
        <v>-48880</v>
      </c>
      <c r="F2723" t="s">
        <v>74</v>
      </c>
      <c r="G2723" t="s">
        <v>32</v>
      </c>
      <c r="H2723" t="s">
        <v>25</v>
      </c>
      <c r="I2723" t="s">
        <v>39</v>
      </c>
      <c r="J2723" t="s">
        <v>34</v>
      </c>
    </row>
    <row r="2724" spans="1:10">
      <c r="A2724" t="s">
        <v>2595</v>
      </c>
      <c r="B2724" t="s">
        <v>1981</v>
      </c>
      <c r="C2724" t="s">
        <v>30</v>
      </c>
      <c r="D2724" t="s">
        <v>31</v>
      </c>
      <c r="E2724">
        <v>-5609</v>
      </c>
      <c r="F2724" t="s">
        <v>23</v>
      </c>
      <c r="G2724" t="s">
        <v>32</v>
      </c>
      <c r="H2724" t="s">
        <v>33</v>
      </c>
      <c r="I2724" t="s">
        <v>26</v>
      </c>
      <c r="J2724" t="s">
        <v>40</v>
      </c>
    </row>
    <row r="2725" spans="1:10">
      <c r="A2725" t="s">
        <v>4065</v>
      </c>
      <c r="B2725" t="s">
        <v>4066</v>
      </c>
      <c r="C2725" t="s">
        <v>66</v>
      </c>
      <c r="D2725" t="s">
        <v>61</v>
      </c>
      <c r="E2725">
        <v>-59217</v>
      </c>
      <c r="F2725" t="s">
        <v>62</v>
      </c>
      <c r="G2725" t="s">
        <v>32</v>
      </c>
      <c r="H2725" t="s">
        <v>63</v>
      </c>
      <c r="I2725" t="s">
        <v>45</v>
      </c>
      <c r="J2725" t="s">
        <v>27</v>
      </c>
    </row>
    <row r="2726" spans="1:10">
      <c r="A2726" t="s">
        <v>4067</v>
      </c>
      <c r="B2726" t="s">
        <v>2055</v>
      </c>
      <c r="C2726" t="s">
        <v>132</v>
      </c>
      <c r="D2726" t="s">
        <v>73</v>
      </c>
      <c r="E2726">
        <v>-35919</v>
      </c>
      <c r="F2726" t="s">
        <v>74</v>
      </c>
      <c r="G2726" t="s">
        <v>24</v>
      </c>
      <c r="H2726" t="s">
        <v>25</v>
      </c>
      <c r="I2726" t="s">
        <v>45</v>
      </c>
      <c r="J2726" t="s">
        <v>27</v>
      </c>
    </row>
    <row r="2727" spans="1:10">
      <c r="A2727" t="s">
        <v>4068</v>
      </c>
      <c r="B2727" t="s">
        <v>2737</v>
      </c>
      <c r="C2727" t="s">
        <v>143</v>
      </c>
      <c r="D2727" t="s">
        <v>78</v>
      </c>
      <c r="E2727">
        <v>-26829</v>
      </c>
      <c r="F2727" t="s">
        <v>23</v>
      </c>
      <c r="G2727" t="s">
        <v>24</v>
      </c>
      <c r="H2727" t="s">
        <v>79</v>
      </c>
      <c r="I2727" t="s">
        <v>26</v>
      </c>
      <c r="J2727" t="s">
        <v>27</v>
      </c>
    </row>
    <row r="2728" spans="1:10">
      <c r="A2728" t="s">
        <v>4069</v>
      </c>
      <c r="B2728" t="s">
        <v>4070</v>
      </c>
      <c r="C2728" t="s">
        <v>345</v>
      </c>
      <c r="D2728" t="s">
        <v>22</v>
      </c>
      <c r="E2728">
        <v>-126277</v>
      </c>
      <c r="F2728" t="s">
        <v>23</v>
      </c>
      <c r="G2728" t="s">
        <v>24</v>
      </c>
      <c r="H2728" t="s">
        <v>25</v>
      </c>
      <c r="I2728" t="s">
        <v>26</v>
      </c>
      <c r="J2728" t="s">
        <v>48</v>
      </c>
    </row>
    <row r="2729" spans="1:10">
      <c r="A2729" t="s">
        <v>4071</v>
      </c>
      <c r="B2729" t="s">
        <v>1409</v>
      </c>
      <c r="C2729" t="s">
        <v>310</v>
      </c>
      <c r="E2729">
        <v>-40106</v>
      </c>
      <c r="F2729" t="s">
        <v>23</v>
      </c>
      <c r="G2729" t="s">
        <v>32</v>
      </c>
      <c r="H2729" t="s">
        <v>25</v>
      </c>
      <c r="I2729" t="s">
        <v>26</v>
      </c>
      <c r="J2729" t="s">
        <v>34</v>
      </c>
    </row>
    <row r="2730" spans="1:10">
      <c r="A2730" t="s">
        <v>4072</v>
      </c>
      <c r="B2730" t="s">
        <v>3073</v>
      </c>
      <c r="C2730" t="s">
        <v>51</v>
      </c>
      <c r="D2730" t="s">
        <v>31</v>
      </c>
      <c r="E2730">
        <v>-24991</v>
      </c>
      <c r="F2730" t="s">
        <v>23</v>
      </c>
      <c r="G2730" t="s">
        <v>32</v>
      </c>
      <c r="H2730" t="s">
        <v>33</v>
      </c>
      <c r="I2730" t="s">
        <v>45</v>
      </c>
      <c r="J2730" t="s">
        <v>48</v>
      </c>
    </row>
    <row r="2731" spans="1:10">
      <c r="A2731" t="s">
        <v>4073</v>
      </c>
      <c r="B2731" t="s">
        <v>3094</v>
      </c>
      <c r="C2731" t="s">
        <v>37</v>
      </c>
      <c r="D2731" t="s">
        <v>38</v>
      </c>
      <c r="E2731">
        <v>-33285</v>
      </c>
      <c r="F2731" t="s">
        <v>23</v>
      </c>
      <c r="G2731" t="s">
        <v>32</v>
      </c>
      <c r="H2731" t="s">
        <v>33</v>
      </c>
      <c r="I2731" t="s">
        <v>45</v>
      </c>
      <c r="J2731" t="s">
        <v>40</v>
      </c>
    </row>
    <row r="2732" spans="1:10">
      <c r="A2732" t="s">
        <v>4074</v>
      </c>
      <c r="B2732" t="s">
        <v>3347</v>
      </c>
      <c r="C2732" t="s">
        <v>174</v>
      </c>
      <c r="D2732" t="s">
        <v>207</v>
      </c>
      <c r="E2732">
        <v>-33351</v>
      </c>
      <c r="F2732" t="s">
        <v>23</v>
      </c>
      <c r="G2732" t="s">
        <v>32</v>
      </c>
      <c r="H2732" t="s">
        <v>25</v>
      </c>
      <c r="I2732" t="s">
        <v>39</v>
      </c>
      <c r="J2732" t="s">
        <v>27</v>
      </c>
    </row>
    <row r="2733" spans="1:10">
      <c r="A2733" t="s">
        <v>4075</v>
      </c>
      <c r="B2733" t="s">
        <v>480</v>
      </c>
      <c r="C2733" t="s">
        <v>57</v>
      </c>
      <c r="D2733" t="s">
        <v>388</v>
      </c>
      <c r="E2733">
        <v>-140831</v>
      </c>
      <c r="F2733" t="s">
        <v>23</v>
      </c>
      <c r="G2733" t="s">
        <v>32</v>
      </c>
      <c r="H2733" t="s">
        <v>33</v>
      </c>
      <c r="I2733" t="s">
        <v>39</v>
      </c>
      <c r="J2733" t="s">
        <v>34</v>
      </c>
    </row>
    <row r="2734" spans="1:10">
      <c r="A2734" t="s">
        <v>4076</v>
      </c>
      <c r="B2734" t="s">
        <v>4077</v>
      </c>
      <c r="C2734" t="s">
        <v>406</v>
      </c>
      <c r="D2734" t="s">
        <v>73</v>
      </c>
      <c r="E2734">
        <v>-17003</v>
      </c>
      <c r="F2734" t="s">
        <v>74</v>
      </c>
      <c r="G2734" t="s">
        <v>24</v>
      </c>
      <c r="H2734" t="s">
        <v>25</v>
      </c>
      <c r="I2734" t="s">
        <v>39</v>
      </c>
      <c r="J2734" t="s">
        <v>48</v>
      </c>
    </row>
    <row r="2735" spans="1:10">
      <c r="A2735" t="s">
        <v>4078</v>
      </c>
      <c r="B2735" t="s">
        <v>3794</v>
      </c>
      <c r="C2735" t="s">
        <v>30</v>
      </c>
      <c r="D2735" t="s">
        <v>31</v>
      </c>
      <c r="E2735">
        <v>-15409</v>
      </c>
      <c r="F2735" t="s">
        <v>23</v>
      </c>
      <c r="G2735" t="s">
        <v>24</v>
      </c>
      <c r="H2735" t="s">
        <v>33</v>
      </c>
      <c r="I2735" t="s">
        <v>39</v>
      </c>
      <c r="J2735" t="s">
        <v>48</v>
      </c>
    </row>
    <row r="2736" spans="1:10">
      <c r="A2736" t="s">
        <v>4079</v>
      </c>
      <c r="B2736" t="s">
        <v>4080</v>
      </c>
      <c r="C2736" t="s">
        <v>215</v>
      </c>
      <c r="D2736" t="s">
        <v>61</v>
      </c>
      <c r="E2736">
        <v>-59066</v>
      </c>
      <c r="F2736" t="s">
        <v>62</v>
      </c>
      <c r="G2736" t="s">
        <v>32</v>
      </c>
      <c r="H2736" t="s">
        <v>63</v>
      </c>
      <c r="I2736" t="s">
        <v>39</v>
      </c>
      <c r="J2736" t="s">
        <v>34</v>
      </c>
    </row>
    <row r="2737" spans="1:10">
      <c r="A2737" t="s">
        <v>4081</v>
      </c>
      <c r="B2737" t="s">
        <v>1402</v>
      </c>
      <c r="C2737" t="s">
        <v>66</v>
      </c>
      <c r="D2737" t="s">
        <v>61</v>
      </c>
      <c r="E2737">
        <v>-16530</v>
      </c>
      <c r="F2737" t="s">
        <v>62</v>
      </c>
      <c r="G2737" t="s">
        <v>32</v>
      </c>
      <c r="H2737" t="s">
        <v>63</v>
      </c>
      <c r="I2737" t="s">
        <v>39</v>
      </c>
      <c r="J2737" t="s">
        <v>40</v>
      </c>
    </row>
    <row r="2738" spans="1:10">
      <c r="A2738" t="s">
        <v>4082</v>
      </c>
      <c r="B2738" t="s">
        <v>927</v>
      </c>
      <c r="C2738" t="s">
        <v>417</v>
      </c>
      <c r="D2738" t="s">
        <v>44</v>
      </c>
      <c r="E2738">
        <v>-114776</v>
      </c>
      <c r="F2738" t="s">
        <v>23</v>
      </c>
      <c r="G2738" t="s">
        <v>32</v>
      </c>
      <c r="H2738" t="s">
        <v>33</v>
      </c>
      <c r="I2738" t="s">
        <v>26</v>
      </c>
      <c r="J2738" t="s">
        <v>27</v>
      </c>
    </row>
    <row r="2739" spans="1:10">
      <c r="A2739" t="s">
        <v>4083</v>
      </c>
      <c r="B2739" t="s">
        <v>3899</v>
      </c>
      <c r="C2739" t="s">
        <v>169</v>
      </c>
      <c r="D2739" t="s">
        <v>73</v>
      </c>
      <c r="E2739">
        <v>-44149</v>
      </c>
      <c r="F2739" t="s">
        <v>74</v>
      </c>
      <c r="G2739" t="s">
        <v>24</v>
      </c>
      <c r="H2739" t="s">
        <v>25</v>
      </c>
      <c r="I2739" t="s">
        <v>39</v>
      </c>
      <c r="J2739" t="s">
        <v>48</v>
      </c>
    </row>
    <row r="2740" spans="1:10">
      <c r="A2740" t="s">
        <v>4084</v>
      </c>
      <c r="B2740" t="s">
        <v>4085</v>
      </c>
      <c r="C2740" t="s">
        <v>266</v>
      </c>
      <c r="D2740" t="s">
        <v>187</v>
      </c>
      <c r="E2740">
        <v>-16888</v>
      </c>
      <c r="F2740" t="s">
        <v>74</v>
      </c>
      <c r="G2740" t="s">
        <v>24</v>
      </c>
      <c r="H2740" t="s">
        <v>25</v>
      </c>
      <c r="I2740" t="s">
        <v>39</v>
      </c>
      <c r="J2740" t="s">
        <v>40</v>
      </c>
    </row>
    <row r="2741" spans="1:10">
      <c r="A2741" t="s">
        <v>4086</v>
      </c>
      <c r="B2741" t="s">
        <v>2576</v>
      </c>
      <c r="C2741" t="s">
        <v>212</v>
      </c>
      <c r="D2741" t="s">
        <v>73</v>
      </c>
      <c r="E2741">
        <v>-40737</v>
      </c>
      <c r="F2741" t="s">
        <v>74</v>
      </c>
      <c r="G2741" t="s">
        <v>24</v>
      </c>
      <c r="H2741" t="s">
        <v>25</v>
      </c>
      <c r="I2741" t="s">
        <v>45</v>
      </c>
      <c r="J2741" t="s">
        <v>34</v>
      </c>
    </row>
    <row r="2742" spans="1:10">
      <c r="A2742" t="s">
        <v>4087</v>
      </c>
      <c r="B2742" t="s">
        <v>3183</v>
      </c>
      <c r="C2742" t="s">
        <v>77</v>
      </c>
      <c r="D2742" t="s">
        <v>1001</v>
      </c>
      <c r="E2742">
        <v>-92894</v>
      </c>
      <c r="F2742" t="s">
        <v>23</v>
      </c>
      <c r="G2742" t="s">
        <v>24</v>
      </c>
      <c r="H2742" t="s">
        <v>79</v>
      </c>
      <c r="I2742" t="s">
        <v>26</v>
      </c>
      <c r="J2742" t="s">
        <v>48</v>
      </c>
    </row>
    <row r="2743" spans="1:10">
      <c r="A2743" t="s">
        <v>4088</v>
      </c>
      <c r="B2743" t="s">
        <v>2174</v>
      </c>
      <c r="C2743" t="s">
        <v>93</v>
      </c>
      <c r="D2743" t="s">
        <v>73</v>
      </c>
      <c r="E2743">
        <v>-44505</v>
      </c>
      <c r="F2743" t="s">
        <v>74</v>
      </c>
      <c r="G2743" t="s">
        <v>24</v>
      </c>
      <c r="H2743" t="s">
        <v>25</v>
      </c>
      <c r="I2743" t="s">
        <v>26</v>
      </c>
      <c r="J2743" t="s">
        <v>27</v>
      </c>
    </row>
    <row r="2744" spans="1:10">
      <c r="A2744" t="s">
        <v>4089</v>
      </c>
      <c r="B2744" t="s">
        <v>4090</v>
      </c>
      <c r="C2744" t="s">
        <v>100</v>
      </c>
      <c r="D2744" t="s">
        <v>31</v>
      </c>
      <c r="E2744">
        <v>-32031</v>
      </c>
      <c r="F2744" t="s">
        <v>23</v>
      </c>
      <c r="G2744" t="s">
        <v>32</v>
      </c>
      <c r="H2744" t="s">
        <v>33</v>
      </c>
      <c r="I2744" t="s">
        <v>39</v>
      </c>
      <c r="J2744" t="s">
        <v>34</v>
      </c>
    </row>
    <row r="2745" spans="1:10">
      <c r="A2745" t="s">
        <v>4091</v>
      </c>
      <c r="B2745" t="s">
        <v>383</v>
      </c>
      <c r="C2745" t="s">
        <v>192</v>
      </c>
      <c r="D2745" t="s">
        <v>22</v>
      </c>
      <c r="E2745">
        <v>-80188</v>
      </c>
      <c r="F2745" t="s">
        <v>23</v>
      </c>
      <c r="G2745" t="s">
        <v>24</v>
      </c>
      <c r="H2745" t="s">
        <v>25</v>
      </c>
      <c r="I2745" t="s">
        <v>39</v>
      </c>
      <c r="J2745" t="s">
        <v>48</v>
      </c>
    </row>
    <row r="2746" spans="1:10">
      <c r="A2746" t="s">
        <v>4092</v>
      </c>
      <c r="B2746" t="s">
        <v>2574</v>
      </c>
      <c r="C2746" t="s">
        <v>271</v>
      </c>
      <c r="D2746" t="s">
        <v>73</v>
      </c>
      <c r="E2746">
        <v>-35297</v>
      </c>
      <c r="F2746" t="s">
        <v>74</v>
      </c>
      <c r="G2746" t="s">
        <v>24</v>
      </c>
      <c r="H2746" t="s">
        <v>25</v>
      </c>
      <c r="I2746" t="s">
        <v>39</v>
      </c>
      <c r="J2746" t="s">
        <v>48</v>
      </c>
    </row>
    <row r="2747" spans="1:10">
      <c r="A2747" t="s">
        <v>4093</v>
      </c>
      <c r="B2747" t="s">
        <v>2935</v>
      </c>
      <c r="C2747" t="s">
        <v>87</v>
      </c>
      <c r="D2747" t="s">
        <v>22</v>
      </c>
      <c r="E2747">
        <v>-75498</v>
      </c>
      <c r="F2747" t="s">
        <v>23</v>
      </c>
      <c r="G2747" t="s">
        <v>32</v>
      </c>
      <c r="H2747" t="s">
        <v>25</v>
      </c>
      <c r="I2747" t="s">
        <v>39</v>
      </c>
      <c r="J2747" t="s">
        <v>48</v>
      </c>
    </row>
    <row r="2748" spans="1:10">
      <c r="A2748" t="s">
        <v>4094</v>
      </c>
      <c r="B2748" t="s">
        <v>538</v>
      </c>
      <c r="C2748" t="s">
        <v>310</v>
      </c>
      <c r="D2748" t="s">
        <v>22</v>
      </c>
      <c r="E2748">
        <v>-26473</v>
      </c>
      <c r="F2748" t="s">
        <v>23</v>
      </c>
      <c r="G2748" t="s">
        <v>32</v>
      </c>
      <c r="H2748" t="s">
        <v>25</v>
      </c>
      <c r="I2748" t="s">
        <v>45</v>
      </c>
      <c r="J2748" t="s">
        <v>48</v>
      </c>
    </row>
    <row r="2749" spans="1:10">
      <c r="A2749" t="s">
        <v>4095</v>
      </c>
      <c r="B2749" t="s">
        <v>4096</v>
      </c>
      <c r="C2749" t="s">
        <v>180</v>
      </c>
      <c r="D2749" t="s">
        <v>44</v>
      </c>
      <c r="E2749">
        <v>-168048</v>
      </c>
      <c r="F2749" t="s">
        <v>23</v>
      </c>
      <c r="G2749" t="s">
        <v>32</v>
      </c>
      <c r="H2749" t="s">
        <v>33</v>
      </c>
      <c r="I2749" t="s">
        <v>26</v>
      </c>
      <c r="J2749" t="s">
        <v>27</v>
      </c>
    </row>
    <row r="2750" spans="1:10">
      <c r="A2750" t="s">
        <v>4097</v>
      </c>
      <c r="B2750" t="s">
        <v>1013</v>
      </c>
      <c r="C2750" t="s">
        <v>60</v>
      </c>
      <c r="D2750" t="s">
        <v>61</v>
      </c>
      <c r="E2750">
        <v>-49396</v>
      </c>
      <c r="F2750" t="s">
        <v>62</v>
      </c>
      <c r="G2750" t="s">
        <v>32</v>
      </c>
      <c r="H2750" t="s">
        <v>63</v>
      </c>
      <c r="I2750" t="s">
        <v>39</v>
      </c>
      <c r="J2750" t="s">
        <v>34</v>
      </c>
    </row>
    <row r="2751" spans="1:10">
      <c r="A2751" t="s">
        <v>1278</v>
      </c>
      <c r="B2751" t="s">
        <v>363</v>
      </c>
      <c r="C2751" t="s">
        <v>169</v>
      </c>
      <c r="D2751" t="s">
        <v>73</v>
      </c>
      <c r="E2751">
        <v>-54076</v>
      </c>
      <c r="F2751" t="s">
        <v>74</v>
      </c>
      <c r="G2751" t="s">
        <v>32</v>
      </c>
      <c r="H2751" t="s">
        <v>25</v>
      </c>
      <c r="I2751" t="s">
        <v>26</v>
      </c>
      <c r="J2751" t="s">
        <v>40</v>
      </c>
    </row>
    <row r="2752" spans="1:10">
      <c r="A2752" t="s">
        <v>4098</v>
      </c>
      <c r="B2752" t="s">
        <v>3475</v>
      </c>
      <c r="C2752" t="s">
        <v>116</v>
      </c>
      <c r="D2752" t="s">
        <v>73</v>
      </c>
      <c r="E2752">
        <v>-55131</v>
      </c>
      <c r="F2752" t="s">
        <v>74</v>
      </c>
      <c r="G2752" t="s">
        <v>24</v>
      </c>
      <c r="H2752" t="s">
        <v>25</v>
      </c>
      <c r="I2752" t="s">
        <v>45</v>
      </c>
      <c r="J2752" t="s">
        <v>34</v>
      </c>
    </row>
    <row r="2753" spans="1:10">
      <c r="A2753" t="s">
        <v>4099</v>
      </c>
      <c r="B2753" t="s">
        <v>4100</v>
      </c>
      <c r="C2753" t="s">
        <v>72</v>
      </c>
      <c r="D2753" t="s">
        <v>73</v>
      </c>
      <c r="E2753">
        <v>-21090</v>
      </c>
      <c r="F2753" t="s">
        <v>74</v>
      </c>
      <c r="G2753" t="s">
        <v>24</v>
      </c>
      <c r="H2753" t="s">
        <v>25</v>
      </c>
      <c r="I2753" t="s">
        <v>45</v>
      </c>
      <c r="J2753" t="s">
        <v>48</v>
      </c>
    </row>
    <row r="2754" spans="1:10">
      <c r="A2754" t="s">
        <v>4101</v>
      </c>
      <c r="B2754" t="s">
        <v>1575</v>
      </c>
      <c r="C2754" t="s">
        <v>166</v>
      </c>
      <c r="D2754" t="s">
        <v>31</v>
      </c>
      <c r="E2754">
        <v>-33305</v>
      </c>
      <c r="F2754" t="s">
        <v>23</v>
      </c>
      <c r="G2754" t="s">
        <v>24</v>
      </c>
      <c r="H2754" t="s">
        <v>33</v>
      </c>
      <c r="I2754" t="s">
        <v>45</v>
      </c>
      <c r="J2754" t="s">
        <v>40</v>
      </c>
    </row>
    <row r="2755" spans="1:10">
      <c r="A2755" t="s">
        <v>4102</v>
      </c>
      <c r="B2755" t="s">
        <v>1333</v>
      </c>
      <c r="C2755" t="s">
        <v>100</v>
      </c>
      <c r="D2755" t="s">
        <v>31</v>
      </c>
      <c r="E2755">
        <v>-6056</v>
      </c>
      <c r="F2755" t="s">
        <v>23</v>
      </c>
      <c r="G2755" t="s">
        <v>24</v>
      </c>
      <c r="H2755" t="s">
        <v>33</v>
      </c>
      <c r="I2755" t="s">
        <v>45</v>
      </c>
      <c r="J2755" t="s">
        <v>27</v>
      </c>
    </row>
    <row r="2756" spans="1:10">
      <c r="A2756" t="s">
        <v>4103</v>
      </c>
      <c r="B2756" t="s">
        <v>2717</v>
      </c>
      <c r="C2756" t="s">
        <v>60</v>
      </c>
      <c r="D2756" t="s">
        <v>61</v>
      </c>
      <c r="E2756">
        <v>-52039</v>
      </c>
      <c r="F2756" t="s">
        <v>62</v>
      </c>
      <c r="G2756" t="s">
        <v>24</v>
      </c>
      <c r="H2756" t="s">
        <v>63</v>
      </c>
      <c r="I2756" t="s">
        <v>26</v>
      </c>
      <c r="J2756" t="s">
        <v>40</v>
      </c>
    </row>
    <row r="2757" spans="1:10">
      <c r="A2757" t="s">
        <v>4104</v>
      </c>
      <c r="B2757" t="s">
        <v>4105</v>
      </c>
      <c r="C2757" t="s">
        <v>57</v>
      </c>
      <c r="D2757" t="s">
        <v>44</v>
      </c>
      <c r="E2757">
        <v>-103633</v>
      </c>
      <c r="F2757" t="s">
        <v>23</v>
      </c>
      <c r="G2757" t="s">
        <v>24</v>
      </c>
      <c r="H2757" t="s">
        <v>33</v>
      </c>
      <c r="I2757" t="s">
        <v>39</v>
      </c>
      <c r="J2757" t="s">
        <v>40</v>
      </c>
    </row>
    <row r="2758" spans="1:10">
      <c r="A2758" t="s">
        <v>4106</v>
      </c>
      <c r="B2758" t="s">
        <v>1413</v>
      </c>
      <c r="C2758" t="s">
        <v>1261</v>
      </c>
      <c r="D2758" t="s">
        <v>73</v>
      </c>
      <c r="E2758">
        <v>-20214</v>
      </c>
      <c r="F2758" t="s">
        <v>74</v>
      </c>
      <c r="G2758" t="s">
        <v>32</v>
      </c>
      <c r="H2758" t="s">
        <v>25</v>
      </c>
      <c r="I2758" t="s">
        <v>45</v>
      </c>
      <c r="J2758" t="s">
        <v>27</v>
      </c>
    </row>
    <row r="2759" spans="1:10">
      <c r="A2759" t="s">
        <v>4107</v>
      </c>
      <c r="B2759" t="s">
        <v>197</v>
      </c>
      <c r="C2759" t="s">
        <v>166</v>
      </c>
      <c r="D2759" t="s">
        <v>31</v>
      </c>
      <c r="E2759">
        <v>-7537</v>
      </c>
      <c r="F2759" t="s">
        <v>23</v>
      </c>
      <c r="G2759" t="s">
        <v>24</v>
      </c>
      <c r="H2759" t="s">
        <v>33</v>
      </c>
      <c r="I2759" t="s">
        <v>39</v>
      </c>
      <c r="J2759" t="s">
        <v>40</v>
      </c>
    </row>
    <row r="2760" spans="1:10">
      <c r="A2760" t="s">
        <v>4108</v>
      </c>
      <c r="B2760" t="s">
        <v>1655</v>
      </c>
      <c r="C2760" t="s">
        <v>4109</v>
      </c>
      <c r="D2760" t="s">
        <v>136</v>
      </c>
      <c r="E2760">
        <v>-10398299</v>
      </c>
      <c r="F2760" t="s">
        <v>62</v>
      </c>
      <c r="G2760" t="s">
        <v>32</v>
      </c>
      <c r="H2760" t="s">
        <v>63</v>
      </c>
      <c r="I2760" t="s">
        <v>39</v>
      </c>
      <c r="J2760" t="s">
        <v>27</v>
      </c>
    </row>
    <row r="2761" spans="1:10">
      <c r="A2761" t="s">
        <v>4110</v>
      </c>
      <c r="B2761" t="s">
        <v>563</v>
      </c>
      <c r="C2761" t="s">
        <v>129</v>
      </c>
      <c r="D2761" t="s">
        <v>38</v>
      </c>
      <c r="E2761">
        <v>-11140</v>
      </c>
      <c r="F2761" t="s">
        <v>23</v>
      </c>
      <c r="G2761" t="s">
        <v>24</v>
      </c>
      <c r="H2761" t="s">
        <v>33</v>
      </c>
      <c r="I2761" t="s">
        <v>39</v>
      </c>
      <c r="J2761" t="s">
        <v>34</v>
      </c>
    </row>
    <row r="2762" spans="1:10">
      <c r="A2762" t="s">
        <v>4111</v>
      </c>
      <c r="B2762" t="s">
        <v>1289</v>
      </c>
      <c r="C2762" t="s">
        <v>271</v>
      </c>
      <c r="D2762" t="s">
        <v>73</v>
      </c>
      <c r="E2762">
        <v>-63549</v>
      </c>
      <c r="F2762" t="s">
        <v>74</v>
      </c>
      <c r="G2762" t="s">
        <v>24</v>
      </c>
      <c r="H2762" t="s">
        <v>25</v>
      </c>
      <c r="I2762" t="s">
        <v>26</v>
      </c>
      <c r="J2762" t="s">
        <v>40</v>
      </c>
    </row>
    <row r="2763" spans="1:10">
      <c r="A2763" t="s">
        <v>4112</v>
      </c>
      <c r="B2763" t="s">
        <v>3868</v>
      </c>
      <c r="C2763" t="s">
        <v>180</v>
      </c>
      <c r="D2763" t="s">
        <v>44</v>
      </c>
      <c r="E2763">
        <v>-139757</v>
      </c>
      <c r="F2763" t="s">
        <v>23</v>
      </c>
      <c r="G2763" t="s">
        <v>24</v>
      </c>
      <c r="H2763" t="s">
        <v>33</v>
      </c>
      <c r="I2763" t="s">
        <v>45</v>
      </c>
      <c r="J2763" t="s">
        <v>48</v>
      </c>
    </row>
    <row r="2764" spans="1:10">
      <c r="A2764" t="s">
        <v>4113</v>
      </c>
      <c r="B2764" t="s">
        <v>4114</v>
      </c>
      <c r="C2764" t="s">
        <v>237</v>
      </c>
      <c r="D2764" t="s">
        <v>22</v>
      </c>
      <c r="E2764">
        <v>-156012</v>
      </c>
      <c r="F2764" t="s">
        <v>23</v>
      </c>
      <c r="G2764" t="s">
        <v>24</v>
      </c>
      <c r="H2764" t="s">
        <v>25</v>
      </c>
      <c r="I2764" t="s">
        <v>45</v>
      </c>
      <c r="J2764" t="s">
        <v>34</v>
      </c>
    </row>
    <row r="2765" spans="1:10">
      <c r="A2765" t="s">
        <v>4115</v>
      </c>
      <c r="B2765" t="s">
        <v>1781</v>
      </c>
      <c r="C2765" t="s">
        <v>90</v>
      </c>
      <c r="D2765" t="s">
        <v>73</v>
      </c>
      <c r="E2765">
        <v>-55265</v>
      </c>
      <c r="F2765" t="s">
        <v>74</v>
      </c>
      <c r="G2765" t="s">
        <v>32</v>
      </c>
      <c r="H2765" t="s">
        <v>25</v>
      </c>
      <c r="I2765" t="s">
        <v>26</v>
      </c>
      <c r="J2765" t="s">
        <v>34</v>
      </c>
    </row>
    <row r="2766" spans="1:10">
      <c r="A2766" t="s">
        <v>4116</v>
      </c>
      <c r="B2766" t="s">
        <v>3204</v>
      </c>
      <c r="C2766" t="s">
        <v>310</v>
      </c>
      <c r="D2766" t="s">
        <v>331</v>
      </c>
      <c r="E2766">
        <v>-88602</v>
      </c>
      <c r="F2766" t="s">
        <v>23</v>
      </c>
      <c r="G2766" t="s">
        <v>24</v>
      </c>
      <c r="H2766" t="s">
        <v>25</v>
      </c>
      <c r="I2766" t="s">
        <v>39</v>
      </c>
      <c r="J2766" t="s">
        <v>34</v>
      </c>
    </row>
    <row r="2767" spans="1:10">
      <c r="A2767" t="s">
        <v>4117</v>
      </c>
      <c r="B2767" t="s">
        <v>1435</v>
      </c>
      <c r="C2767" t="s">
        <v>106</v>
      </c>
      <c r="D2767" t="s">
        <v>31</v>
      </c>
      <c r="E2767">
        <v>-6728</v>
      </c>
      <c r="F2767" t="s">
        <v>23</v>
      </c>
      <c r="G2767" t="s">
        <v>32</v>
      </c>
      <c r="H2767" t="s">
        <v>33</v>
      </c>
      <c r="I2767" t="s">
        <v>45</v>
      </c>
      <c r="J2767" t="s">
        <v>48</v>
      </c>
    </row>
    <row r="2768" spans="1:10">
      <c r="A2768" t="s">
        <v>4118</v>
      </c>
      <c r="B2768" t="s">
        <v>434</v>
      </c>
      <c r="C2768" t="s">
        <v>21</v>
      </c>
      <c r="D2768" t="s">
        <v>22</v>
      </c>
      <c r="E2768">
        <v>-173270</v>
      </c>
      <c r="F2768" t="s">
        <v>23</v>
      </c>
      <c r="G2768" t="s">
        <v>32</v>
      </c>
      <c r="H2768" t="s">
        <v>25</v>
      </c>
      <c r="I2768" t="s">
        <v>45</v>
      </c>
      <c r="J2768" t="s">
        <v>34</v>
      </c>
    </row>
    <row r="2769" spans="1:10">
      <c r="A2769" t="s">
        <v>546</v>
      </c>
      <c r="B2769" t="s">
        <v>547</v>
      </c>
      <c r="C2769" t="s">
        <v>93</v>
      </c>
      <c r="D2769" t="s">
        <v>73</v>
      </c>
      <c r="E2769">
        <v>-69894</v>
      </c>
      <c r="F2769" t="s">
        <v>74</v>
      </c>
      <c r="G2769" t="s">
        <v>32</v>
      </c>
      <c r="H2769" t="s">
        <v>25</v>
      </c>
      <c r="I2769" t="s">
        <v>26</v>
      </c>
      <c r="J2769" t="s">
        <v>34</v>
      </c>
    </row>
    <row r="2770" spans="1:10">
      <c r="A2770" t="s">
        <v>4119</v>
      </c>
      <c r="B2770" t="s">
        <v>587</v>
      </c>
      <c r="C2770" t="s">
        <v>290</v>
      </c>
      <c r="D2770" t="s">
        <v>440</v>
      </c>
      <c r="E2770">
        <v>-95473</v>
      </c>
      <c r="F2770" t="s">
        <v>23</v>
      </c>
      <c r="G2770" t="s">
        <v>24</v>
      </c>
      <c r="H2770" t="s">
        <v>33</v>
      </c>
      <c r="I2770" t="s">
        <v>26</v>
      </c>
      <c r="J2770" t="s">
        <v>27</v>
      </c>
    </row>
    <row r="2771" spans="1:10">
      <c r="A2771" t="s">
        <v>4120</v>
      </c>
      <c r="B2771" t="s">
        <v>668</v>
      </c>
      <c r="C2771" t="s">
        <v>116</v>
      </c>
      <c r="D2771" t="s">
        <v>73</v>
      </c>
      <c r="E2771">
        <v>-36821</v>
      </c>
      <c r="F2771" t="s">
        <v>74</v>
      </c>
      <c r="G2771" t="s">
        <v>32</v>
      </c>
      <c r="H2771" t="s">
        <v>25</v>
      </c>
      <c r="I2771" t="s">
        <v>45</v>
      </c>
      <c r="J2771" t="s">
        <v>40</v>
      </c>
    </row>
    <row r="2772" spans="1:10">
      <c r="A2772" t="s">
        <v>4121</v>
      </c>
      <c r="B2772" t="s">
        <v>961</v>
      </c>
      <c r="C2772" t="s">
        <v>57</v>
      </c>
      <c r="D2772" t="s">
        <v>44</v>
      </c>
      <c r="E2772">
        <v>-125505</v>
      </c>
      <c r="F2772" t="s">
        <v>23</v>
      </c>
      <c r="G2772" t="s">
        <v>32</v>
      </c>
      <c r="H2772" t="s">
        <v>33</v>
      </c>
      <c r="I2772" t="s">
        <v>26</v>
      </c>
      <c r="J2772" t="s">
        <v>27</v>
      </c>
    </row>
    <row r="2773" spans="1:10">
      <c r="A2773" t="s">
        <v>4122</v>
      </c>
      <c r="B2773" t="s">
        <v>4123</v>
      </c>
      <c r="C2773" t="s">
        <v>37</v>
      </c>
      <c r="D2773" t="s">
        <v>38</v>
      </c>
      <c r="E2773">
        <v>-54870</v>
      </c>
      <c r="F2773" t="s">
        <v>23</v>
      </c>
      <c r="G2773" t="s">
        <v>24</v>
      </c>
      <c r="H2773" t="s">
        <v>33</v>
      </c>
      <c r="I2773" t="s">
        <v>45</v>
      </c>
      <c r="J2773" t="s">
        <v>40</v>
      </c>
    </row>
    <row r="2774" spans="1:10">
      <c r="A2774" t="s">
        <v>4124</v>
      </c>
      <c r="B2774" t="s">
        <v>4125</v>
      </c>
      <c r="C2774" t="s">
        <v>802</v>
      </c>
      <c r="D2774" t="s">
        <v>440</v>
      </c>
      <c r="E2774">
        <v>-114252</v>
      </c>
      <c r="F2774" t="s">
        <v>23</v>
      </c>
      <c r="G2774" t="s">
        <v>24</v>
      </c>
      <c r="H2774" t="s">
        <v>33</v>
      </c>
      <c r="I2774" t="s">
        <v>26</v>
      </c>
      <c r="J2774" t="s">
        <v>34</v>
      </c>
    </row>
    <row r="2775" spans="1:10">
      <c r="A2775" t="s">
        <v>4126</v>
      </c>
      <c r="B2775" t="s">
        <v>4127</v>
      </c>
      <c r="C2775" t="s">
        <v>77</v>
      </c>
      <c r="D2775" t="s">
        <v>78</v>
      </c>
      <c r="E2775">
        <v>-22857</v>
      </c>
      <c r="F2775" t="s">
        <v>23</v>
      </c>
      <c r="G2775" t="s">
        <v>32</v>
      </c>
      <c r="H2775" t="s">
        <v>79</v>
      </c>
      <c r="I2775" t="s">
        <v>26</v>
      </c>
      <c r="J2775" t="s">
        <v>27</v>
      </c>
    </row>
    <row r="2776" spans="1:10">
      <c r="A2776" t="s">
        <v>4128</v>
      </c>
      <c r="B2776" t="s">
        <v>4031</v>
      </c>
      <c r="C2776" t="s">
        <v>687</v>
      </c>
      <c r="D2776" t="s">
        <v>44</v>
      </c>
      <c r="E2776">
        <v>-36299</v>
      </c>
      <c r="F2776" t="s">
        <v>23</v>
      </c>
      <c r="G2776" t="s">
        <v>24</v>
      </c>
      <c r="H2776" t="s">
        <v>33</v>
      </c>
      <c r="I2776" t="s">
        <v>39</v>
      </c>
      <c r="J2776" t="s">
        <v>34</v>
      </c>
    </row>
    <row r="2777" spans="1:10">
      <c r="A2777" t="s">
        <v>4129</v>
      </c>
      <c r="B2777" t="s">
        <v>3774</v>
      </c>
      <c r="C2777" t="s">
        <v>54</v>
      </c>
      <c r="D2777" t="s">
        <v>38</v>
      </c>
      <c r="E2777">
        <v>-37999</v>
      </c>
      <c r="F2777" t="s">
        <v>23</v>
      </c>
      <c r="G2777" t="s">
        <v>24</v>
      </c>
      <c r="H2777" t="s">
        <v>33</v>
      </c>
      <c r="I2777" t="s">
        <v>45</v>
      </c>
      <c r="J2777" t="s">
        <v>48</v>
      </c>
    </row>
    <row r="2778" spans="1:10">
      <c r="A2778" t="s">
        <v>4130</v>
      </c>
      <c r="B2778" t="s">
        <v>1683</v>
      </c>
      <c r="C2778" t="s">
        <v>84</v>
      </c>
      <c r="D2778" t="s">
        <v>371</v>
      </c>
      <c r="E2778">
        <v>-80264</v>
      </c>
      <c r="F2778" t="s">
        <v>23</v>
      </c>
      <c r="G2778" t="s">
        <v>24</v>
      </c>
      <c r="H2778" t="s">
        <v>79</v>
      </c>
      <c r="I2778" t="s">
        <v>45</v>
      </c>
      <c r="J2778" t="s">
        <v>34</v>
      </c>
    </row>
    <row r="2779" spans="1:10">
      <c r="A2779" t="s">
        <v>4131</v>
      </c>
      <c r="B2779" t="s">
        <v>2446</v>
      </c>
      <c r="C2779" t="s">
        <v>180</v>
      </c>
      <c r="D2779" t="s">
        <v>44</v>
      </c>
      <c r="E2779">
        <v>-87335</v>
      </c>
      <c r="F2779" t="s">
        <v>23</v>
      </c>
      <c r="G2779" t="s">
        <v>32</v>
      </c>
      <c r="H2779" t="s">
        <v>33</v>
      </c>
      <c r="I2779" t="s">
        <v>45</v>
      </c>
      <c r="J2779" t="s">
        <v>34</v>
      </c>
    </row>
    <row r="2780" spans="1:10">
      <c r="A2780" t="s">
        <v>178</v>
      </c>
      <c r="B2780" t="s">
        <v>179</v>
      </c>
      <c r="C2780" t="s">
        <v>180</v>
      </c>
      <c r="D2780" t="s">
        <v>44</v>
      </c>
      <c r="E2780">
        <v>-131707</v>
      </c>
      <c r="F2780" t="s">
        <v>23</v>
      </c>
      <c r="G2780" t="s">
        <v>24</v>
      </c>
      <c r="H2780" t="s">
        <v>33</v>
      </c>
      <c r="I2780" t="s">
        <v>26</v>
      </c>
      <c r="J2780" t="s">
        <v>34</v>
      </c>
    </row>
    <row r="2781" spans="1:10">
      <c r="A2781" t="s">
        <v>4132</v>
      </c>
      <c r="B2781" t="s">
        <v>3988</v>
      </c>
      <c r="C2781" t="s">
        <v>37</v>
      </c>
      <c r="D2781" t="s">
        <v>38</v>
      </c>
      <c r="E2781">
        <v>-14579</v>
      </c>
      <c r="F2781" t="s">
        <v>23</v>
      </c>
      <c r="G2781" t="s">
        <v>24</v>
      </c>
      <c r="H2781" t="s">
        <v>33</v>
      </c>
      <c r="I2781" t="s">
        <v>26</v>
      </c>
      <c r="J2781" t="s">
        <v>27</v>
      </c>
    </row>
    <row r="2782" spans="1:10">
      <c r="A2782" t="s">
        <v>4133</v>
      </c>
      <c r="B2782" t="s">
        <v>408</v>
      </c>
      <c r="C2782" t="s">
        <v>519</v>
      </c>
      <c r="D2782" t="s">
        <v>44</v>
      </c>
      <c r="E2782">
        <v>-61970</v>
      </c>
      <c r="F2782" t="s">
        <v>23</v>
      </c>
      <c r="G2782" t="s">
        <v>32</v>
      </c>
      <c r="H2782" t="s">
        <v>33</v>
      </c>
      <c r="I2782" t="s">
        <v>39</v>
      </c>
      <c r="J2782" t="s">
        <v>27</v>
      </c>
    </row>
    <row r="2783" spans="1:10">
      <c r="A2783" t="s">
        <v>4134</v>
      </c>
      <c r="B2783" t="s">
        <v>1530</v>
      </c>
      <c r="C2783" t="s">
        <v>212</v>
      </c>
      <c r="D2783" t="s">
        <v>73</v>
      </c>
      <c r="E2783">
        <v>-23549</v>
      </c>
      <c r="F2783" t="s">
        <v>74</v>
      </c>
      <c r="G2783" t="s">
        <v>32</v>
      </c>
      <c r="H2783" t="s">
        <v>25</v>
      </c>
      <c r="I2783" t="s">
        <v>26</v>
      </c>
      <c r="J2783" t="s">
        <v>40</v>
      </c>
    </row>
    <row r="2784" spans="1:10">
      <c r="A2784" t="s">
        <v>4135</v>
      </c>
      <c r="B2784" t="s">
        <v>2401</v>
      </c>
      <c r="C2784" t="s">
        <v>90</v>
      </c>
      <c r="D2784" t="s">
        <v>73</v>
      </c>
      <c r="E2784">
        <v>-72044</v>
      </c>
      <c r="F2784" t="s">
        <v>74</v>
      </c>
      <c r="G2784" t="s">
        <v>32</v>
      </c>
      <c r="H2784" t="s">
        <v>25</v>
      </c>
      <c r="I2784" t="s">
        <v>45</v>
      </c>
      <c r="J2784" t="s">
        <v>34</v>
      </c>
    </row>
    <row r="2785" spans="1:10">
      <c r="A2785" t="s">
        <v>4136</v>
      </c>
      <c r="B2785" t="s">
        <v>1117</v>
      </c>
      <c r="C2785" t="s">
        <v>116</v>
      </c>
      <c r="D2785" t="s">
        <v>73</v>
      </c>
      <c r="E2785">
        <v>-88518</v>
      </c>
      <c r="F2785" t="s">
        <v>74</v>
      </c>
      <c r="G2785" t="s">
        <v>32</v>
      </c>
      <c r="H2785" t="s">
        <v>25</v>
      </c>
      <c r="I2785" t="s">
        <v>39</v>
      </c>
      <c r="J2785" t="s">
        <v>27</v>
      </c>
    </row>
    <row r="2786" spans="1:10">
      <c r="A2786" t="s">
        <v>4137</v>
      </c>
      <c r="B2786" t="s">
        <v>2650</v>
      </c>
      <c r="C2786" t="s">
        <v>60</v>
      </c>
      <c r="D2786" t="s">
        <v>61</v>
      </c>
      <c r="E2786">
        <v>-32208</v>
      </c>
      <c r="F2786" t="s">
        <v>62</v>
      </c>
      <c r="G2786" t="s">
        <v>32</v>
      </c>
      <c r="H2786" t="s">
        <v>63</v>
      </c>
      <c r="I2786" t="s">
        <v>26</v>
      </c>
      <c r="J2786" t="s">
        <v>40</v>
      </c>
    </row>
    <row r="2787" spans="1:10">
      <c r="A2787" t="s">
        <v>4138</v>
      </c>
      <c r="B2787" t="s">
        <v>741</v>
      </c>
      <c r="C2787" t="s">
        <v>177</v>
      </c>
      <c r="D2787" t="s">
        <v>664</v>
      </c>
      <c r="E2787">
        <v>-109210</v>
      </c>
      <c r="F2787" t="s">
        <v>23</v>
      </c>
      <c r="G2787" t="s">
        <v>24</v>
      </c>
      <c r="H2787" t="s">
        <v>79</v>
      </c>
      <c r="I2787" t="s">
        <v>26</v>
      </c>
      <c r="J2787" t="s">
        <v>40</v>
      </c>
    </row>
    <row r="2788" spans="1:10">
      <c r="A2788" t="s">
        <v>4139</v>
      </c>
      <c r="B2788" t="s">
        <v>2923</v>
      </c>
      <c r="C2788" t="s">
        <v>84</v>
      </c>
      <c r="D2788" t="s">
        <v>78</v>
      </c>
      <c r="E2788">
        <v>-86659</v>
      </c>
      <c r="F2788" t="s">
        <v>23</v>
      </c>
      <c r="G2788" t="s">
        <v>24</v>
      </c>
      <c r="H2788" t="s">
        <v>79</v>
      </c>
      <c r="I2788" t="s">
        <v>45</v>
      </c>
      <c r="J2788" t="s">
        <v>40</v>
      </c>
    </row>
    <row r="2789" spans="1:10">
      <c r="A2789" t="s">
        <v>4140</v>
      </c>
      <c r="B2789" t="s">
        <v>810</v>
      </c>
      <c r="C2789" t="s">
        <v>77</v>
      </c>
      <c r="D2789" t="s">
        <v>1001</v>
      </c>
      <c r="E2789">
        <v>-60268</v>
      </c>
      <c r="F2789" t="s">
        <v>23</v>
      </c>
      <c r="G2789" t="s">
        <v>32</v>
      </c>
      <c r="H2789" t="s">
        <v>79</v>
      </c>
      <c r="I2789" t="s">
        <v>26</v>
      </c>
      <c r="J2789" t="s">
        <v>34</v>
      </c>
    </row>
    <row r="2790" spans="1:10">
      <c r="A2790" t="s">
        <v>4141</v>
      </c>
      <c r="B2790" t="s">
        <v>4142</v>
      </c>
      <c r="C2790" t="s">
        <v>54</v>
      </c>
      <c r="D2790" t="s">
        <v>38</v>
      </c>
      <c r="E2790">
        <v>-36458</v>
      </c>
      <c r="F2790" t="s">
        <v>23</v>
      </c>
      <c r="G2790" t="s">
        <v>32</v>
      </c>
      <c r="H2790" t="s">
        <v>33</v>
      </c>
      <c r="I2790" t="s">
        <v>39</v>
      </c>
      <c r="J2790" t="s">
        <v>34</v>
      </c>
    </row>
    <row r="2791" spans="1:10">
      <c r="A2791" t="s">
        <v>4143</v>
      </c>
      <c r="B2791" t="s">
        <v>947</v>
      </c>
      <c r="C2791" t="s">
        <v>103</v>
      </c>
      <c r="D2791" t="s">
        <v>78</v>
      </c>
      <c r="E2791">
        <v>-99179</v>
      </c>
      <c r="F2791" t="s">
        <v>23</v>
      </c>
      <c r="G2791" t="s">
        <v>32</v>
      </c>
      <c r="H2791" t="s">
        <v>79</v>
      </c>
      <c r="I2791" t="s">
        <v>45</v>
      </c>
      <c r="J2791" t="s">
        <v>48</v>
      </c>
    </row>
    <row r="2792" spans="1:10">
      <c r="A2792" t="s">
        <v>4144</v>
      </c>
      <c r="B2792" t="s">
        <v>1000</v>
      </c>
      <c r="C2792" t="s">
        <v>519</v>
      </c>
      <c r="D2792" t="s">
        <v>44</v>
      </c>
      <c r="E2792">
        <v>-141092</v>
      </c>
      <c r="F2792" t="s">
        <v>23</v>
      </c>
      <c r="G2792" t="s">
        <v>32</v>
      </c>
      <c r="H2792" t="s">
        <v>33</v>
      </c>
      <c r="I2792" t="s">
        <v>45</v>
      </c>
      <c r="J2792" t="s">
        <v>27</v>
      </c>
    </row>
    <row r="2793" spans="1:10">
      <c r="A2793" t="s">
        <v>4145</v>
      </c>
      <c r="B2793" t="s">
        <v>1895</v>
      </c>
      <c r="C2793" t="s">
        <v>687</v>
      </c>
      <c r="D2793" t="s">
        <v>465</v>
      </c>
      <c r="E2793">
        <v>-81165</v>
      </c>
      <c r="F2793" t="s">
        <v>23</v>
      </c>
      <c r="G2793" t="s">
        <v>24</v>
      </c>
      <c r="H2793" t="s">
        <v>33</v>
      </c>
      <c r="I2793" t="s">
        <v>45</v>
      </c>
      <c r="J2793" t="s">
        <v>40</v>
      </c>
    </row>
    <row r="2794" spans="1:10">
      <c r="A2794" t="s">
        <v>4146</v>
      </c>
      <c r="B2794" t="s">
        <v>2872</v>
      </c>
      <c r="C2794" t="s">
        <v>132</v>
      </c>
      <c r="D2794" t="s">
        <v>187</v>
      </c>
      <c r="E2794">
        <v>-46177</v>
      </c>
      <c r="F2794" t="s">
        <v>74</v>
      </c>
      <c r="G2794" t="s">
        <v>32</v>
      </c>
      <c r="H2794" t="s">
        <v>25</v>
      </c>
      <c r="I2794" t="s">
        <v>26</v>
      </c>
      <c r="J2794" t="s">
        <v>34</v>
      </c>
    </row>
    <row r="2795" spans="1:10">
      <c r="A2795" t="s">
        <v>4147</v>
      </c>
      <c r="B2795" t="s">
        <v>2113</v>
      </c>
      <c r="C2795" t="s">
        <v>84</v>
      </c>
      <c r="D2795" t="s">
        <v>78</v>
      </c>
      <c r="E2795">
        <v>-40856</v>
      </c>
      <c r="F2795" t="s">
        <v>23</v>
      </c>
      <c r="G2795" t="s">
        <v>24</v>
      </c>
      <c r="H2795" t="s">
        <v>79</v>
      </c>
      <c r="I2795" t="s">
        <v>39</v>
      </c>
      <c r="J2795" t="s">
        <v>48</v>
      </c>
    </row>
    <row r="2796" spans="1:10">
      <c r="A2796" t="s">
        <v>4148</v>
      </c>
      <c r="B2796" t="s">
        <v>2438</v>
      </c>
      <c r="C2796" t="s">
        <v>2229</v>
      </c>
      <c r="D2796" t="s">
        <v>61</v>
      </c>
      <c r="E2796">
        <v>-41309</v>
      </c>
      <c r="F2796" t="s">
        <v>62</v>
      </c>
      <c r="G2796" t="s">
        <v>32</v>
      </c>
      <c r="H2796" t="s">
        <v>63</v>
      </c>
      <c r="I2796" t="s">
        <v>45</v>
      </c>
      <c r="J2796" t="s">
        <v>34</v>
      </c>
    </row>
    <row r="2797" spans="1:10">
      <c r="A2797" t="s">
        <v>4149</v>
      </c>
      <c r="B2797" t="s">
        <v>1217</v>
      </c>
      <c r="C2797" t="s">
        <v>66</v>
      </c>
      <c r="D2797" t="s">
        <v>61</v>
      </c>
      <c r="E2797">
        <v>-19484</v>
      </c>
      <c r="F2797" t="s">
        <v>62</v>
      </c>
      <c r="G2797" t="s">
        <v>32</v>
      </c>
      <c r="H2797" t="s">
        <v>63</v>
      </c>
      <c r="I2797" t="s">
        <v>26</v>
      </c>
      <c r="J2797" t="s">
        <v>40</v>
      </c>
    </row>
    <row r="2798" spans="1:10">
      <c r="A2798" t="s">
        <v>4150</v>
      </c>
      <c r="B2798" t="s">
        <v>405</v>
      </c>
      <c r="C2798" t="s">
        <v>616</v>
      </c>
      <c r="D2798" t="s">
        <v>22</v>
      </c>
      <c r="E2798">
        <v>-148965</v>
      </c>
      <c r="F2798" t="s">
        <v>23</v>
      </c>
      <c r="G2798" t="s">
        <v>32</v>
      </c>
      <c r="H2798" t="s">
        <v>25</v>
      </c>
      <c r="I2798" t="s">
        <v>45</v>
      </c>
      <c r="J2798" t="s">
        <v>27</v>
      </c>
    </row>
    <row r="2799" spans="1:10">
      <c r="A2799" t="s">
        <v>4151</v>
      </c>
      <c r="B2799" t="s">
        <v>299</v>
      </c>
      <c r="C2799" t="s">
        <v>30</v>
      </c>
      <c r="D2799" t="s">
        <v>31</v>
      </c>
      <c r="E2799">
        <v>-4331</v>
      </c>
      <c r="F2799" t="s">
        <v>23</v>
      </c>
      <c r="G2799" t="s">
        <v>24</v>
      </c>
      <c r="H2799" t="s">
        <v>33</v>
      </c>
      <c r="I2799" t="s">
        <v>45</v>
      </c>
      <c r="J2799" t="s">
        <v>48</v>
      </c>
    </row>
    <row r="2800" spans="1:10">
      <c r="A2800" t="s">
        <v>4152</v>
      </c>
      <c r="B2800" t="s">
        <v>4153</v>
      </c>
      <c r="C2800" t="s">
        <v>166</v>
      </c>
      <c r="D2800" t="s">
        <v>31</v>
      </c>
      <c r="E2800">
        <v>-42810</v>
      </c>
      <c r="F2800" t="s">
        <v>23</v>
      </c>
      <c r="G2800" t="s">
        <v>32</v>
      </c>
      <c r="H2800" t="s">
        <v>33</v>
      </c>
      <c r="I2800" t="s">
        <v>26</v>
      </c>
      <c r="J2800" t="s">
        <v>40</v>
      </c>
    </row>
    <row r="2801" spans="1:10">
      <c r="A2801" t="s">
        <v>4154</v>
      </c>
      <c r="B2801" t="s">
        <v>297</v>
      </c>
      <c r="C2801" t="s">
        <v>93</v>
      </c>
      <c r="D2801" t="s">
        <v>73</v>
      </c>
      <c r="E2801">
        <v>-67889</v>
      </c>
      <c r="F2801" t="s">
        <v>74</v>
      </c>
      <c r="G2801" t="s">
        <v>32</v>
      </c>
      <c r="H2801" t="s">
        <v>25</v>
      </c>
      <c r="I2801" t="s">
        <v>39</v>
      </c>
      <c r="J2801" t="s">
        <v>40</v>
      </c>
    </row>
    <row r="2802" spans="1:10">
      <c r="A2802" t="s">
        <v>4155</v>
      </c>
      <c r="B2802" t="s">
        <v>788</v>
      </c>
      <c r="C2802" t="s">
        <v>132</v>
      </c>
      <c r="D2802" t="s">
        <v>73</v>
      </c>
      <c r="E2802">
        <v>-88076</v>
      </c>
      <c r="F2802" t="s">
        <v>74</v>
      </c>
      <c r="G2802" t="s">
        <v>24</v>
      </c>
      <c r="H2802" t="s">
        <v>25</v>
      </c>
      <c r="I2802" t="s">
        <v>39</v>
      </c>
      <c r="J2802" t="s">
        <v>48</v>
      </c>
    </row>
    <row r="2803" spans="1:10">
      <c r="A2803" t="s">
        <v>4156</v>
      </c>
      <c r="B2803" t="s">
        <v>56</v>
      </c>
      <c r="C2803" t="s">
        <v>174</v>
      </c>
      <c r="D2803" t="s">
        <v>22</v>
      </c>
      <c r="E2803">
        <v>-158095</v>
      </c>
      <c r="F2803" t="s">
        <v>23</v>
      </c>
      <c r="G2803" t="s">
        <v>24</v>
      </c>
      <c r="H2803" t="s">
        <v>25</v>
      </c>
      <c r="I2803" t="s">
        <v>26</v>
      </c>
      <c r="J2803" t="s">
        <v>27</v>
      </c>
    </row>
    <row r="2804" spans="1:10">
      <c r="A2804" t="s">
        <v>4157</v>
      </c>
      <c r="B2804" t="s">
        <v>3374</v>
      </c>
      <c r="C2804" t="s">
        <v>37</v>
      </c>
      <c r="D2804" t="s">
        <v>38</v>
      </c>
      <c r="E2804">
        <v>-37575</v>
      </c>
      <c r="F2804" t="s">
        <v>23</v>
      </c>
      <c r="G2804" t="s">
        <v>32</v>
      </c>
      <c r="H2804" t="s">
        <v>33</v>
      </c>
      <c r="I2804" t="s">
        <v>45</v>
      </c>
      <c r="J2804" t="s">
        <v>48</v>
      </c>
    </row>
    <row r="2805" spans="1:10">
      <c r="A2805" t="s">
        <v>4158</v>
      </c>
      <c r="B2805" t="s">
        <v>1015</v>
      </c>
      <c r="C2805" t="s">
        <v>339</v>
      </c>
      <c r="D2805" t="s">
        <v>157</v>
      </c>
      <c r="E2805">
        <v>544035</v>
      </c>
      <c r="F2805" t="s">
        <v>62</v>
      </c>
      <c r="G2805" t="s">
        <v>32</v>
      </c>
      <c r="H2805" t="s">
        <v>25</v>
      </c>
      <c r="I2805" t="s">
        <v>26</v>
      </c>
      <c r="J2805" t="s">
        <v>40</v>
      </c>
    </row>
    <row r="2806" spans="1:10">
      <c r="A2806" t="s">
        <v>4159</v>
      </c>
      <c r="B2806" t="s">
        <v>199</v>
      </c>
      <c r="C2806" t="s">
        <v>60</v>
      </c>
      <c r="D2806" t="s">
        <v>61</v>
      </c>
      <c r="E2806">
        <v>-28162</v>
      </c>
      <c r="F2806" t="s">
        <v>62</v>
      </c>
      <c r="G2806" t="s">
        <v>24</v>
      </c>
      <c r="H2806" t="s">
        <v>63</v>
      </c>
      <c r="I2806" t="s">
        <v>26</v>
      </c>
      <c r="J2806" t="s">
        <v>34</v>
      </c>
    </row>
    <row r="2807" spans="1:10">
      <c r="A2807" t="s">
        <v>4160</v>
      </c>
      <c r="B2807" t="s">
        <v>128</v>
      </c>
      <c r="C2807" t="s">
        <v>77</v>
      </c>
      <c r="D2807" t="s">
        <v>78</v>
      </c>
      <c r="E2807">
        <v>-108754</v>
      </c>
      <c r="F2807" t="s">
        <v>23</v>
      </c>
      <c r="G2807" t="s">
        <v>24</v>
      </c>
      <c r="H2807" t="s">
        <v>79</v>
      </c>
      <c r="I2807" t="s">
        <v>39</v>
      </c>
      <c r="J2807" t="s">
        <v>27</v>
      </c>
    </row>
    <row r="2808" spans="1:10">
      <c r="A2808" t="s">
        <v>4161</v>
      </c>
      <c r="B2808" t="s">
        <v>3267</v>
      </c>
      <c r="C2808" t="s">
        <v>30</v>
      </c>
      <c r="D2808" t="s">
        <v>31</v>
      </c>
      <c r="E2808">
        <v>-36394</v>
      </c>
      <c r="F2808" t="s">
        <v>23</v>
      </c>
      <c r="G2808" t="s">
        <v>32</v>
      </c>
      <c r="H2808" t="s">
        <v>33</v>
      </c>
      <c r="I2808" t="s">
        <v>26</v>
      </c>
      <c r="J2808" t="s">
        <v>48</v>
      </c>
    </row>
    <row r="2809" spans="1:10">
      <c r="A2809" t="s">
        <v>4162</v>
      </c>
      <c r="B2809" t="s">
        <v>842</v>
      </c>
      <c r="C2809" t="s">
        <v>129</v>
      </c>
      <c r="D2809" t="s">
        <v>38</v>
      </c>
      <c r="E2809">
        <v>-26574</v>
      </c>
      <c r="F2809" t="s">
        <v>23</v>
      </c>
      <c r="G2809" t="s">
        <v>32</v>
      </c>
      <c r="H2809" t="s">
        <v>33</v>
      </c>
      <c r="I2809" t="s">
        <v>45</v>
      </c>
      <c r="J2809" t="s">
        <v>40</v>
      </c>
    </row>
    <row r="2810" spans="1:10">
      <c r="A2810" t="s">
        <v>1494</v>
      </c>
      <c r="B2810" t="s">
        <v>1388</v>
      </c>
      <c r="C2810" t="s">
        <v>43</v>
      </c>
      <c r="D2810" t="s">
        <v>44</v>
      </c>
      <c r="E2810">
        <v>-108498</v>
      </c>
      <c r="F2810" t="s">
        <v>23</v>
      </c>
      <c r="G2810" t="s">
        <v>32</v>
      </c>
      <c r="H2810" t="s">
        <v>33</v>
      </c>
      <c r="I2810" t="s">
        <v>26</v>
      </c>
      <c r="J2810" t="s">
        <v>40</v>
      </c>
    </row>
    <row r="2811" spans="1:10">
      <c r="A2811" t="s">
        <v>4163</v>
      </c>
      <c r="B2811" t="s">
        <v>1151</v>
      </c>
      <c r="C2811" t="s">
        <v>616</v>
      </c>
      <c r="D2811" t="s">
        <v>207</v>
      </c>
      <c r="E2811">
        <v>-63564</v>
      </c>
      <c r="F2811" t="s">
        <v>23</v>
      </c>
      <c r="G2811" t="s">
        <v>32</v>
      </c>
      <c r="H2811" t="s">
        <v>25</v>
      </c>
      <c r="I2811" t="s">
        <v>26</v>
      </c>
      <c r="J2811" t="s">
        <v>34</v>
      </c>
    </row>
    <row r="2812" spans="1:10">
      <c r="A2812" t="s">
        <v>4164</v>
      </c>
      <c r="B2812" t="s">
        <v>4165</v>
      </c>
      <c r="C2812" t="s">
        <v>72</v>
      </c>
      <c r="D2812" t="s">
        <v>111</v>
      </c>
      <c r="E2812">
        <v>-16630</v>
      </c>
      <c r="F2812" t="s">
        <v>74</v>
      </c>
      <c r="G2812" t="s">
        <v>24</v>
      </c>
      <c r="H2812" t="s">
        <v>25</v>
      </c>
      <c r="I2812" t="s">
        <v>45</v>
      </c>
      <c r="J2812" t="s">
        <v>40</v>
      </c>
    </row>
    <row r="2813" spans="1:10">
      <c r="A2813" t="s">
        <v>4166</v>
      </c>
      <c r="B2813" t="s">
        <v>2427</v>
      </c>
      <c r="C2813" t="s">
        <v>290</v>
      </c>
      <c r="D2813" t="s">
        <v>440</v>
      </c>
      <c r="E2813">
        <v>-158095</v>
      </c>
      <c r="F2813" t="s">
        <v>23</v>
      </c>
      <c r="G2813" t="s">
        <v>32</v>
      </c>
      <c r="H2813" t="s">
        <v>33</v>
      </c>
      <c r="I2813" t="s">
        <v>45</v>
      </c>
      <c r="J2813" t="s">
        <v>27</v>
      </c>
    </row>
    <row r="2814" spans="1:10">
      <c r="A2814" t="s">
        <v>4167</v>
      </c>
      <c r="B2814" t="s">
        <v>4168</v>
      </c>
      <c r="C2814" t="s">
        <v>266</v>
      </c>
      <c r="D2814" t="s">
        <v>73</v>
      </c>
      <c r="E2814">
        <v>-70206</v>
      </c>
      <c r="F2814" t="s">
        <v>74</v>
      </c>
      <c r="G2814" t="s">
        <v>32</v>
      </c>
      <c r="H2814" t="s">
        <v>25</v>
      </c>
      <c r="I2814" t="s">
        <v>45</v>
      </c>
      <c r="J2814" t="s">
        <v>40</v>
      </c>
    </row>
    <row r="2815" spans="1:10">
      <c r="A2815" t="s">
        <v>4169</v>
      </c>
      <c r="B2815" t="s">
        <v>4170</v>
      </c>
      <c r="C2815" t="s">
        <v>54</v>
      </c>
      <c r="D2815" t="s">
        <v>38</v>
      </c>
      <c r="E2815">
        <v>-37965</v>
      </c>
      <c r="F2815" t="s">
        <v>23</v>
      </c>
      <c r="G2815" t="s">
        <v>24</v>
      </c>
      <c r="H2815" t="s">
        <v>33</v>
      </c>
      <c r="I2815" t="s">
        <v>26</v>
      </c>
      <c r="J2815" t="s">
        <v>34</v>
      </c>
    </row>
    <row r="2816" spans="1:10">
      <c r="A2816" t="s">
        <v>4171</v>
      </c>
      <c r="B2816" t="s">
        <v>2145</v>
      </c>
      <c r="C2816" t="s">
        <v>166</v>
      </c>
      <c r="D2816" t="s">
        <v>31</v>
      </c>
      <c r="E2816">
        <v>-21070</v>
      </c>
      <c r="F2816" t="s">
        <v>23</v>
      </c>
      <c r="G2816" t="s">
        <v>32</v>
      </c>
      <c r="H2816" t="s">
        <v>33</v>
      </c>
      <c r="I2816" t="s">
        <v>45</v>
      </c>
      <c r="J2816" t="s">
        <v>40</v>
      </c>
    </row>
    <row r="2817" spans="1:10">
      <c r="A2817" t="s">
        <v>4172</v>
      </c>
      <c r="B2817" t="s">
        <v>89</v>
      </c>
      <c r="C2817" t="s">
        <v>66</v>
      </c>
      <c r="D2817" t="s">
        <v>61</v>
      </c>
      <c r="E2817">
        <v>-12637</v>
      </c>
      <c r="F2817" t="s">
        <v>62</v>
      </c>
      <c r="G2817" t="s">
        <v>24</v>
      </c>
      <c r="H2817" t="s">
        <v>63</v>
      </c>
      <c r="I2817" t="s">
        <v>39</v>
      </c>
      <c r="J2817" t="s">
        <v>27</v>
      </c>
    </row>
    <row r="2818" spans="1:10">
      <c r="A2818" t="s">
        <v>4173</v>
      </c>
      <c r="B2818" t="s">
        <v>2101</v>
      </c>
      <c r="C2818" t="s">
        <v>305</v>
      </c>
      <c r="D2818" t="s">
        <v>38</v>
      </c>
      <c r="E2818">
        <v>-33278</v>
      </c>
      <c r="F2818" t="s">
        <v>23</v>
      </c>
      <c r="G2818" t="s">
        <v>32</v>
      </c>
      <c r="H2818" t="s">
        <v>33</v>
      </c>
      <c r="I2818" t="s">
        <v>26</v>
      </c>
      <c r="J2818" t="s">
        <v>40</v>
      </c>
    </row>
    <row r="2819" spans="1:10">
      <c r="A2819" t="s">
        <v>4174</v>
      </c>
      <c r="B2819" t="s">
        <v>2517</v>
      </c>
      <c r="C2819" t="s">
        <v>84</v>
      </c>
      <c r="D2819" t="s">
        <v>664</v>
      </c>
      <c r="E2819">
        <v>-41100</v>
      </c>
      <c r="F2819" t="s">
        <v>23</v>
      </c>
      <c r="G2819" t="s">
        <v>24</v>
      </c>
      <c r="H2819" t="s">
        <v>79</v>
      </c>
      <c r="I2819" t="s">
        <v>26</v>
      </c>
      <c r="J2819" t="s">
        <v>34</v>
      </c>
    </row>
    <row r="2820" spans="1:10">
      <c r="A2820" t="s">
        <v>4175</v>
      </c>
      <c r="B2820" t="s">
        <v>1608</v>
      </c>
      <c r="C2820" t="s">
        <v>174</v>
      </c>
      <c r="D2820" t="s">
        <v>22</v>
      </c>
      <c r="E2820">
        <v>-141485</v>
      </c>
      <c r="F2820" t="s">
        <v>23</v>
      </c>
      <c r="G2820" t="s">
        <v>24</v>
      </c>
      <c r="H2820" t="s">
        <v>25</v>
      </c>
      <c r="I2820" t="s">
        <v>39</v>
      </c>
      <c r="J2820" t="s">
        <v>48</v>
      </c>
    </row>
    <row r="2821" spans="1:10">
      <c r="A2821" t="s">
        <v>4176</v>
      </c>
      <c r="B2821" t="s">
        <v>2488</v>
      </c>
      <c r="C2821" t="s">
        <v>30</v>
      </c>
      <c r="D2821" t="s">
        <v>31</v>
      </c>
      <c r="E2821">
        <v>-26635</v>
      </c>
      <c r="F2821" t="s">
        <v>23</v>
      </c>
      <c r="G2821" t="s">
        <v>24</v>
      </c>
      <c r="H2821" t="s">
        <v>33</v>
      </c>
      <c r="I2821" t="s">
        <v>45</v>
      </c>
      <c r="J2821" t="s">
        <v>48</v>
      </c>
    </row>
    <row r="2822" spans="1:10">
      <c r="A2822" t="s">
        <v>4177</v>
      </c>
      <c r="B2822" t="s">
        <v>1450</v>
      </c>
      <c r="C2822" t="s">
        <v>54</v>
      </c>
      <c r="D2822" t="s">
        <v>38</v>
      </c>
      <c r="E2822">
        <v>-30567</v>
      </c>
      <c r="F2822" t="s">
        <v>23</v>
      </c>
      <c r="G2822" t="s">
        <v>32</v>
      </c>
      <c r="H2822" t="s">
        <v>33</v>
      </c>
      <c r="I2822" t="s">
        <v>26</v>
      </c>
      <c r="J2822" t="s">
        <v>48</v>
      </c>
    </row>
    <row r="2823" spans="1:10">
      <c r="A2823" t="s">
        <v>4178</v>
      </c>
      <c r="B2823" t="s">
        <v>2474</v>
      </c>
      <c r="C2823" t="s">
        <v>37</v>
      </c>
      <c r="D2823" t="s">
        <v>38</v>
      </c>
      <c r="E2823">
        <v>-24779</v>
      </c>
      <c r="F2823" t="s">
        <v>23</v>
      </c>
      <c r="G2823" t="s">
        <v>32</v>
      </c>
      <c r="H2823" t="s">
        <v>33</v>
      </c>
      <c r="I2823" t="s">
        <v>39</v>
      </c>
      <c r="J2823" t="s">
        <v>40</v>
      </c>
    </row>
    <row r="2824" spans="1:10">
      <c r="A2824" t="s">
        <v>4179</v>
      </c>
      <c r="B2824" t="s">
        <v>1343</v>
      </c>
      <c r="C2824" t="s">
        <v>60</v>
      </c>
      <c r="D2824" t="s">
        <v>61</v>
      </c>
      <c r="E2824">
        <v>-26781</v>
      </c>
      <c r="F2824" t="s">
        <v>62</v>
      </c>
      <c r="G2824" t="s">
        <v>32</v>
      </c>
      <c r="H2824" t="s">
        <v>63</v>
      </c>
      <c r="I2824" t="s">
        <v>45</v>
      </c>
      <c r="J2824" t="s">
        <v>48</v>
      </c>
    </row>
    <row r="2825" spans="1:10">
      <c r="A2825" t="s">
        <v>4180</v>
      </c>
      <c r="B2825" t="s">
        <v>2239</v>
      </c>
      <c r="C2825" t="s">
        <v>215</v>
      </c>
      <c r="D2825" t="s">
        <v>61</v>
      </c>
      <c r="E2825">
        <v>-28909</v>
      </c>
      <c r="F2825" t="s">
        <v>62</v>
      </c>
      <c r="G2825" t="s">
        <v>24</v>
      </c>
      <c r="H2825" t="s">
        <v>63</v>
      </c>
      <c r="I2825" t="s">
        <v>39</v>
      </c>
      <c r="J2825" t="s">
        <v>27</v>
      </c>
    </row>
    <row r="2826" spans="1:10">
      <c r="A2826" t="s">
        <v>4181</v>
      </c>
      <c r="B2826" t="s">
        <v>2469</v>
      </c>
      <c r="C2826" t="s">
        <v>266</v>
      </c>
      <c r="D2826" t="s">
        <v>73</v>
      </c>
      <c r="E2826">
        <v>-68068</v>
      </c>
      <c r="F2826" t="s">
        <v>74</v>
      </c>
      <c r="G2826" t="s">
        <v>24</v>
      </c>
      <c r="H2826" t="s">
        <v>25</v>
      </c>
      <c r="I2826" t="s">
        <v>26</v>
      </c>
      <c r="J2826" t="s">
        <v>34</v>
      </c>
    </row>
    <row r="2827" spans="1:10">
      <c r="A2827" t="s">
        <v>4182</v>
      </c>
      <c r="B2827" t="s">
        <v>1082</v>
      </c>
      <c r="C2827" t="s">
        <v>66</v>
      </c>
      <c r="D2827" t="s">
        <v>61</v>
      </c>
      <c r="E2827">
        <v>-59351</v>
      </c>
      <c r="F2827" t="s">
        <v>62</v>
      </c>
      <c r="G2827" t="s">
        <v>32</v>
      </c>
      <c r="H2827" t="s">
        <v>63</v>
      </c>
      <c r="I2827" t="s">
        <v>45</v>
      </c>
      <c r="J2827" t="s">
        <v>48</v>
      </c>
    </row>
    <row r="2828" spans="1:10">
      <c r="A2828" t="s">
        <v>4183</v>
      </c>
      <c r="B2828" t="s">
        <v>1151</v>
      </c>
      <c r="C2828" t="s">
        <v>132</v>
      </c>
      <c r="D2828" t="s">
        <v>187</v>
      </c>
      <c r="E2828">
        <v>-48730</v>
      </c>
      <c r="F2828" t="s">
        <v>74</v>
      </c>
      <c r="G2828" t="s">
        <v>24</v>
      </c>
      <c r="H2828" t="s">
        <v>25</v>
      </c>
      <c r="I2828" t="s">
        <v>26</v>
      </c>
      <c r="J2828" t="s">
        <v>34</v>
      </c>
    </row>
    <row r="2829" spans="1:10">
      <c r="A2829" t="s">
        <v>4184</v>
      </c>
      <c r="B2829" t="s">
        <v>4185</v>
      </c>
      <c r="C2829" t="s">
        <v>30</v>
      </c>
      <c r="E2829">
        <v>-36870</v>
      </c>
      <c r="F2829" t="s">
        <v>23</v>
      </c>
      <c r="G2829" t="s">
        <v>24</v>
      </c>
      <c r="H2829" t="s">
        <v>33</v>
      </c>
      <c r="I2829" t="s">
        <v>45</v>
      </c>
      <c r="J2829" t="s">
        <v>48</v>
      </c>
    </row>
    <row r="2830" spans="1:10">
      <c r="A2830" t="s">
        <v>4186</v>
      </c>
      <c r="B2830" t="s">
        <v>4187</v>
      </c>
      <c r="C2830" t="s">
        <v>90</v>
      </c>
      <c r="D2830" t="s">
        <v>73</v>
      </c>
      <c r="E2830">
        <v>-83675</v>
      </c>
      <c r="F2830" t="s">
        <v>74</v>
      </c>
      <c r="G2830" t="s">
        <v>24</v>
      </c>
      <c r="H2830" t="s">
        <v>25</v>
      </c>
      <c r="I2830" t="s">
        <v>39</v>
      </c>
      <c r="J2830" t="s">
        <v>34</v>
      </c>
    </row>
    <row r="2831" spans="1:10">
      <c r="A2831" t="s">
        <v>4188</v>
      </c>
      <c r="B2831" t="s">
        <v>1583</v>
      </c>
      <c r="C2831" t="s">
        <v>305</v>
      </c>
      <c r="D2831" t="s">
        <v>38</v>
      </c>
      <c r="E2831">
        <v>-52518</v>
      </c>
      <c r="F2831" t="s">
        <v>23</v>
      </c>
      <c r="G2831" t="s">
        <v>32</v>
      </c>
      <c r="H2831" t="s">
        <v>33</v>
      </c>
      <c r="I2831" t="s">
        <v>45</v>
      </c>
      <c r="J2831" t="s">
        <v>34</v>
      </c>
    </row>
    <row r="2832" spans="1:10">
      <c r="A2832" t="s">
        <v>4189</v>
      </c>
      <c r="B2832" t="s">
        <v>1066</v>
      </c>
      <c r="C2832" t="s">
        <v>60</v>
      </c>
      <c r="D2832" t="s">
        <v>61</v>
      </c>
      <c r="E2832">
        <v>-45483</v>
      </c>
      <c r="F2832" t="s">
        <v>62</v>
      </c>
      <c r="G2832" t="s">
        <v>32</v>
      </c>
      <c r="H2832" t="s">
        <v>63</v>
      </c>
      <c r="I2832" t="s">
        <v>26</v>
      </c>
      <c r="J2832" t="s">
        <v>48</v>
      </c>
    </row>
    <row r="2833" spans="1:10">
      <c r="A2833" t="s">
        <v>4190</v>
      </c>
      <c r="B2833" t="s">
        <v>2386</v>
      </c>
      <c r="C2833" t="s">
        <v>129</v>
      </c>
      <c r="D2833" t="s">
        <v>38</v>
      </c>
      <c r="E2833">
        <v>-30093</v>
      </c>
      <c r="F2833" t="s">
        <v>23</v>
      </c>
      <c r="G2833" t="s">
        <v>24</v>
      </c>
      <c r="H2833" t="s">
        <v>33</v>
      </c>
      <c r="I2833" t="s">
        <v>45</v>
      </c>
      <c r="J2833" t="s">
        <v>48</v>
      </c>
    </row>
    <row r="2834" spans="1:10">
      <c r="A2834" t="s">
        <v>4191</v>
      </c>
      <c r="B2834" t="s">
        <v>145</v>
      </c>
      <c r="C2834" t="s">
        <v>1039</v>
      </c>
      <c r="D2834" t="s">
        <v>440</v>
      </c>
      <c r="E2834">
        <v>-124831</v>
      </c>
      <c r="F2834" t="s">
        <v>23</v>
      </c>
      <c r="G2834" t="s">
        <v>24</v>
      </c>
      <c r="H2834" t="s">
        <v>33</v>
      </c>
      <c r="I2834" t="s">
        <v>26</v>
      </c>
      <c r="J2834" t="s">
        <v>40</v>
      </c>
    </row>
    <row r="2835" spans="1:10">
      <c r="A2835" t="s">
        <v>4192</v>
      </c>
      <c r="B2835" t="s">
        <v>2440</v>
      </c>
      <c r="C2835" t="s">
        <v>237</v>
      </c>
      <c r="D2835" t="s">
        <v>22</v>
      </c>
      <c r="E2835">
        <v>-61206</v>
      </c>
      <c r="F2835" t="s">
        <v>23</v>
      </c>
      <c r="G2835" t="s">
        <v>24</v>
      </c>
      <c r="H2835" t="s">
        <v>25</v>
      </c>
      <c r="I2835" t="s">
        <v>45</v>
      </c>
      <c r="J2835" t="s">
        <v>48</v>
      </c>
    </row>
    <row r="2836" spans="1:10">
      <c r="A2836" t="s">
        <v>4193</v>
      </c>
      <c r="B2836" t="s">
        <v>4194</v>
      </c>
      <c r="C2836" t="s">
        <v>116</v>
      </c>
      <c r="D2836" t="s">
        <v>73</v>
      </c>
      <c r="E2836">
        <v>-55672</v>
      </c>
      <c r="F2836" t="s">
        <v>74</v>
      </c>
      <c r="G2836" t="s">
        <v>24</v>
      </c>
      <c r="H2836" t="s">
        <v>25</v>
      </c>
      <c r="I2836" t="s">
        <v>26</v>
      </c>
      <c r="J2836" t="s">
        <v>27</v>
      </c>
    </row>
    <row r="2837" spans="1:10">
      <c r="A2837" t="s">
        <v>4195</v>
      </c>
      <c r="B2837" t="s">
        <v>4196</v>
      </c>
      <c r="C2837" t="s">
        <v>439</v>
      </c>
      <c r="D2837" t="s">
        <v>440</v>
      </c>
      <c r="E2837">
        <v>-97741</v>
      </c>
      <c r="F2837" t="s">
        <v>23</v>
      </c>
      <c r="G2837" t="s">
        <v>32</v>
      </c>
      <c r="H2837" t="s">
        <v>33</v>
      </c>
      <c r="I2837" t="s">
        <v>26</v>
      </c>
      <c r="J2837" t="s">
        <v>34</v>
      </c>
    </row>
    <row r="2838" spans="1:10">
      <c r="A2838" t="s">
        <v>4197</v>
      </c>
      <c r="B2838" t="s">
        <v>4198</v>
      </c>
      <c r="C2838" t="s">
        <v>156</v>
      </c>
      <c r="D2838" t="s">
        <v>157</v>
      </c>
      <c r="E2838">
        <v>598712</v>
      </c>
      <c r="F2838" t="s">
        <v>62</v>
      </c>
      <c r="G2838" t="s">
        <v>32</v>
      </c>
      <c r="H2838" t="s">
        <v>25</v>
      </c>
      <c r="I2838" t="s">
        <v>45</v>
      </c>
      <c r="J2838" t="s">
        <v>40</v>
      </c>
    </row>
    <row r="2839" spans="1:10">
      <c r="A2839" t="s">
        <v>4199</v>
      </c>
      <c r="B2839" t="s">
        <v>695</v>
      </c>
      <c r="C2839" t="s">
        <v>616</v>
      </c>
      <c r="D2839" t="s">
        <v>22</v>
      </c>
      <c r="E2839">
        <v>-149297</v>
      </c>
      <c r="F2839" t="s">
        <v>23</v>
      </c>
      <c r="G2839" t="s">
        <v>32</v>
      </c>
      <c r="H2839" t="s">
        <v>25</v>
      </c>
      <c r="I2839" t="s">
        <v>39</v>
      </c>
      <c r="J2839" t="s">
        <v>27</v>
      </c>
    </row>
    <row r="2840" spans="1:10">
      <c r="A2840" t="s">
        <v>4200</v>
      </c>
      <c r="B2840" t="s">
        <v>4201</v>
      </c>
      <c r="C2840" t="s">
        <v>66</v>
      </c>
      <c r="D2840" t="s">
        <v>61</v>
      </c>
      <c r="E2840">
        <v>-49550</v>
      </c>
      <c r="F2840" t="s">
        <v>62</v>
      </c>
      <c r="G2840" t="s">
        <v>32</v>
      </c>
      <c r="H2840" t="s">
        <v>63</v>
      </c>
      <c r="I2840" t="s">
        <v>45</v>
      </c>
      <c r="J2840" t="s">
        <v>34</v>
      </c>
    </row>
    <row r="2841" spans="1:10">
      <c r="A2841" t="s">
        <v>4202</v>
      </c>
      <c r="B2841" t="s">
        <v>2993</v>
      </c>
      <c r="C2841" t="s">
        <v>271</v>
      </c>
      <c r="D2841" t="s">
        <v>73</v>
      </c>
      <c r="E2841">
        <v>-18993</v>
      </c>
      <c r="F2841" t="s">
        <v>74</v>
      </c>
      <c r="G2841" t="s">
        <v>32</v>
      </c>
      <c r="H2841" t="s">
        <v>25</v>
      </c>
      <c r="I2841" t="s">
        <v>26</v>
      </c>
      <c r="J2841" t="s">
        <v>34</v>
      </c>
    </row>
    <row r="2842" spans="1:10">
      <c r="A2842" t="s">
        <v>4203</v>
      </c>
      <c r="B2842" t="s">
        <v>4204</v>
      </c>
      <c r="C2842" t="s">
        <v>215</v>
      </c>
      <c r="D2842" t="s">
        <v>61</v>
      </c>
      <c r="E2842">
        <v>-13540</v>
      </c>
      <c r="F2842" t="s">
        <v>62</v>
      </c>
      <c r="G2842" t="s">
        <v>32</v>
      </c>
      <c r="H2842" t="s">
        <v>63</v>
      </c>
      <c r="I2842" t="s">
        <v>45</v>
      </c>
      <c r="J2842" t="s">
        <v>27</v>
      </c>
    </row>
    <row r="2843" spans="1:10">
      <c r="A2843" t="s">
        <v>4205</v>
      </c>
      <c r="B2843" t="s">
        <v>121</v>
      </c>
      <c r="C2843" t="s">
        <v>143</v>
      </c>
      <c r="D2843" t="s">
        <v>78</v>
      </c>
      <c r="E2843">
        <v>-75519</v>
      </c>
      <c r="F2843" t="s">
        <v>23</v>
      </c>
      <c r="G2843" t="s">
        <v>32</v>
      </c>
      <c r="H2843" t="s">
        <v>79</v>
      </c>
      <c r="I2843" t="s">
        <v>39</v>
      </c>
      <c r="J2843" t="s">
        <v>40</v>
      </c>
    </row>
    <row r="2844" spans="1:10">
      <c r="A2844" t="s">
        <v>4206</v>
      </c>
      <c r="B2844" t="s">
        <v>195</v>
      </c>
      <c r="C2844" t="s">
        <v>106</v>
      </c>
      <c r="D2844" t="s">
        <v>31</v>
      </c>
      <c r="E2844">
        <v>-37735</v>
      </c>
      <c r="F2844" t="s">
        <v>23</v>
      </c>
      <c r="G2844" t="s">
        <v>24</v>
      </c>
      <c r="H2844" t="s">
        <v>33</v>
      </c>
      <c r="I2844" t="s">
        <v>39</v>
      </c>
      <c r="J2844" t="s">
        <v>27</v>
      </c>
    </row>
    <row r="2845" spans="1:10">
      <c r="A2845" t="s">
        <v>4207</v>
      </c>
      <c r="B2845" t="s">
        <v>768</v>
      </c>
      <c r="C2845" t="s">
        <v>116</v>
      </c>
      <c r="D2845" t="s">
        <v>73</v>
      </c>
      <c r="E2845">
        <v>-8963</v>
      </c>
      <c r="F2845" t="s">
        <v>74</v>
      </c>
      <c r="G2845" t="s">
        <v>24</v>
      </c>
      <c r="H2845" t="s">
        <v>25</v>
      </c>
      <c r="I2845" t="s">
        <v>26</v>
      </c>
      <c r="J2845" t="s">
        <v>40</v>
      </c>
    </row>
    <row r="2846" spans="1:10">
      <c r="A2846" t="s">
        <v>4208</v>
      </c>
      <c r="B2846" t="s">
        <v>2701</v>
      </c>
      <c r="C2846" t="s">
        <v>180</v>
      </c>
      <c r="D2846" t="s">
        <v>44</v>
      </c>
      <c r="E2846">
        <v>-100951</v>
      </c>
      <c r="F2846" t="s">
        <v>23</v>
      </c>
      <c r="G2846" t="s">
        <v>24</v>
      </c>
      <c r="H2846" t="s">
        <v>33</v>
      </c>
      <c r="I2846" t="s">
        <v>26</v>
      </c>
      <c r="J2846" t="s">
        <v>48</v>
      </c>
    </row>
    <row r="2847" spans="1:10">
      <c r="A2847" t="s">
        <v>4209</v>
      </c>
      <c r="B2847" t="s">
        <v>4210</v>
      </c>
      <c r="C2847" t="s">
        <v>166</v>
      </c>
      <c r="D2847" t="s">
        <v>31</v>
      </c>
      <c r="E2847">
        <v>-6453</v>
      </c>
      <c r="F2847" t="s">
        <v>23</v>
      </c>
      <c r="G2847" t="s">
        <v>32</v>
      </c>
      <c r="H2847" t="s">
        <v>33</v>
      </c>
      <c r="I2847" t="s">
        <v>39</v>
      </c>
      <c r="J2847" t="s">
        <v>48</v>
      </c>
    </row>
    <row r="2848" spans="1:10">
      <c r="A2848" t="s">
        <v>4211</v>
      </c>
      <c r="B2848" t="s">
        <v>4212</v>
      </c>
      <c r="C2848" t="s">
        <v>54</v>
      </c>
      <c r="D2848" t="s">
        <v>38</v>
      </c>
      <c r="E2848">
        <v>-53094</v>
      </c>
      <c r="F2848" t="s">
        <v>23</v>
      </c>
      <c r="G2848" t="s">
        <v>24</v>
      </c>
      <c r="H2848" t="s">
        <v>33</v>
      </c>
      <c r="I2848" t="s">
        <v>39</v>
      </c>
      <c r="J2848" t="s">
        <v>48</v>
      </c>
    </row>
    <row r="2849" spans="1:10">
      <c r="A2849" t="s">
        <v>4213</v>
      </c>
      <c r="B2849" t="s">
        <v>3204</v>
      </c>
      <c r="C2849" t="s">
        <v>51</v>
      </c>
      <c r="D2849" t="s">
        <v>31</v>
      </c>
      <c r="E2849">
        <v>-41389</v>
      </c>
      <c r="F2849" t="s">
        <v>23</v>
      </c>
      <c r="G2849" t="s">
        <v>32</v>
      </c>
      <c r="H2849" t="s">
        <v>33</v>
      </c>
      <c r="I2849" t="s">
        <v>39</v>
      </c>
      <c r="J2849" t="s">
        <v>34</v>
      </c>
    </row>
    <row r="2850" spans="1:10">
      <c r="A2850" t="s">
        <v>4214</v>
      </c>
      <c r="B2850" t="s">
        <v>4215</v>
      </c>
      <c r="C2850" t="s">
        <v>266</v>
      </c>
      <c r="E2850">
        <v>-27942</v>
      </c>
      <c r="F2850" t="s">
        <v>74</v>
      </c>
      <c r="G2850" t="s">
        <v>32</v>
      </c>
      <c r="H2850" t="s">
        <v>25</v>
      </c>
      <c r="I2850" t="s">
        <v>26</v>
      </c>
      <c r="J2850" t="s">
        <v>48</v>
      </c>
    </row>
    <row r="2851" spans="1:10">
      <c r="A2851" t="s">
        <v>4216</v>
      </c>
      <c r="B2851" t="s">
        <v>3557</v>
      </c>
      <c r="C2851" t="s">
        <v>30</v>
      </c>
      <c r="D2851" t="s">
        <v>31</v>
      </c>
      <c r="E2851">
        <v>-15471</v>
      </c>
      <c r="F2851" t="s">
        <v>23</v>
      </c>
      <c r="G2851" t="s">
        <v>24</v>
      </c>
      <c r="H2851" t="s">
        <v>33</v>
      </c>
      <c r="I2851" t="s">
        <v>26</v>
      </c>
      <c r="J2851" t="s">
        <v>48</v>
      </c>
    </row>
    <row r="2852" spans="1:10">
      <c r="A2852" t="s">
        <v>4217</v>
      </c>
      <c r="B2852" t="s">
        <v>521</v>
      </c>
      <c r="C2852" t="s">
        <v>255</v>
      </c>
      <c r="D2852" t="s">
        <v>22</v>
      </c>
      <c r="E2852">
        <v>-71598</v>
      </c>
      <c r="F2852" t="s">
        <v>23</v>
      </c>
      <c r="G2852" t="s">
        <v>24</v>
      </c>
      <c r="H2852" t="s">
        <v>25</v>
      </c>
      <c r="I2852" t="s">
        <v>45</v>
      </c>
      <c r="J2852" t="s">
        <v>48</v>
      </c>
    </row>
    <row r="2853" spans="1:10">
      <c r="A2853" t="s">
        <v>4218</v>
      </c>
      <c r="B2853" t="s">
        <v>4219</v>
      </c>
      <c r="C2853" t="s">
        <v>100</v>
      </c>
      <c r="D2853" t="s">
        <v>31</v>
      </c>
      <c r="E2853">
        <v>-26778</v>
      </c>
      <c r="F2853" t="s">
        <v>23</v>
      </c>
      <c r="G2853" t="s">
        <v>24</v>
      </c>
      <c r="H2853" t="s">
        <v>33</v>
      </c>
      <c r="I2853" t="s">
        <v>45</v>
      </c>
      <c r="J2853" t="s">
        <v>40</v>
      </c>
    </row>
    <row r="2854" spans="1:10">
      <c r="A2854" t="s">
        <v>4220</v>
      </c>
      <c r="B2854" t="s">
        <v>990</v>
      </c>
      <c r="C2854" t="s">
        <v>69</v>
      </c>
      <c r="D2854" t="s">
        <v>38</v>
      </c>
      <c r="E2854">
        <v>-21760</v>
      </c>
      <c r="F2854" t="s">
        <v>23</v>
      </c>
      <c r="G2854" t="s">
        <v>24</v>
      </c>
      <c r="H2854" t="s">
        <v>33</v>
      </c>
      <c r="I2854" t="s">
        <v>45</v>
      </c>
      <c r="J2854" t="s">
        <v>34</v>
      </c>
    </row>
    <row r="2855" spans="1:10">
      <c r="A2855" t="s">
        <v>4221</v>
      </c>
      <c r="B2855" t="s">
        <v>4222</v>
      </c>
      <c r="C2855" t="s">
        <v>43</v>
      </c>
      <c r="D2855" t="s">
        <v>44</v>
      </c>
      <c r="E2855">
        <v>-87198</v>
      </c>
      <c r="F2855" t="s">
        <v>23</v>
      </c>
      <c r="G2855" t="s">
        <v>32</v>
      </c>
      <c r="H2855" t="s">
        <v>33</v>
      </c>
      <c r="I2855" t="s">
        <v>45</v>
      </c>
      <c r="J2855" t="s">
        <v>34</v>
      </c>
    </row>
    <row r="2856" spans="1:10">
      <c r="A2856" t="s">
        <v>4223</v>
      </c>
      <c r="B2856" t="s">
        <v>659</v>
      </c>
      <c r="C2856" t="s">
        <v>283</v>
      </c>
      <c r="D2856" t="s">
        <v>44</v>
      </c>
      <c r="E2856">
        <v>-86376</v>
      </c>
      <c r="F2856" t="s">
        <v>23</v>
      </c>
      <c r="G2856" t="s">
        <v>32</v>
      </c>
      <c r="H2856" t="s">
        <v>33</v>
      </c>
      <c r="I2856" t="s">
        <v>45</v>
      </c>
      <c r="J2856" t="s">
        <v>34</v>
      </c>
    </row>
    <row r="2857" spans="1:10">
      <c r="A2857" t="s">
        <v>4224</v>
      </c>
      <c r="B2857" t="s">
        <v>4225</v>
      </c>
      <c r="C2857" t="s">
        <v>132</v>
      </c>
      <c r="D2857" t="s">
        <v>302</v>
      </c>
      <c r="E2857">
        <v>-12679</v>
      </c>
      <c r="F2857" t="s">
        <v>74</v>
      </c>
      <c r="G2857" t="s">
        <v>24</v>
      </c>
      <c r="H2857" t="s">
        <v>25</v>
      </c>
      <c r="I2857" t="s">
        <v>26</v>
      </c>
      <c r="J2857" t="s">
        <v>27</v>
      </c>
    </row>
    <row r="2858" spans="1:10">
      <c r="A2858" t="s">
        <v>4226</v>
      </c>
      <c r="B2858" t="s">
        <v>4227</v>
      </c>
      <c r="C2858" t="s">
        <v>305</v>
      </c>
      <c r="D2858" t="s">
        <v>38</v>
      </c>
      <c r="E2858">
        <v>-46887</v>
      </c>
      <c r="F2858" t="s">
        <v>23</v>
      </c>
      <c r="G2858" t="s">
        <v>24</v>
      </c>
      <c r="H2858" t="s">
        <v>33</v>
      </c>
      <c r="I2858" t="s">
        <v>45</v>
      </c>
      <c r="J2858" t="s">
        <v>27</v>
      </c>
    </row>
    <row r="2859" spans="1:10">
      <c r="A2859" t="s">
        <v>4228</v>
      </c>
      <c r="B2859" t="s">
        <v>1354</v>
      </c>
      <c r="C2859" t="s">
        <v>143</v>
      </c>
      <c r="D2859" t="s">
        <v>1001</v>
      </c>
      <c r="E2859">
        <v>-87297</v>
      </c>
      <c r="F2859" t="s">
        <v>23</v>
      </c>
      <c r="G2859" t="s">
        <v>24</v>
      </c>
      <c r="H2859" t="s">
        <v>79</v>
      </c>
      <c r="I2859" t="s">
        <v>45</v>
      </c>
      <c r="J2859" t="s">
        <v>40</v>
      </c>
    </row>
    <row r="2860" spans="1:10">
      <c r="A2860" t="s">
        <v>4229</v>
      </c>
      <c r="B2860" t="s">
        <v>1480</v>
      </c>
      <c r="C2860" t="s">
        <v>54</v>
      </c>
      <c r="D2860" t="s">
        <v>38</v>
      </c>
      <c r="E2860">
        <v>-46540</v>
      </c>
      <c r="F2860" t="s">
        <v>23</v>
      </c>
      <c r="G2860" t="s">
        <v>32</v>
      </c>
      <c r="H2860" t="s">
        <v>33</v>
      </c>
      <c r="I2860" t="s">
        <v>39</v>
      </c>
      <c r="J2860" t="s">
        <v>27</v>
      </c>
    </row>
    <row r="2861" spans="1:10">
      <c r="A2861" t="s">
        <v>4230</v>
      </c>
      <c r="B2861" t="s">
        <v>1084</v>
      </c>
      <c r="C2861" t="s">
        <v>43</v>
      </c>
      <c r="D2861" t="s">
        <v>44</v>
      </c>
      <c r="E2861">
        <v>-72910</v>
      </c>
      <c r="F2861" t="s">
        <v>23</v>
      </c>
      <c r="G2861" t="s">
        <v>24</v>
      </c>
      <c r="H2861" t="s">
        <v>33</v>
      </c>
      <c r="I2861" t="s">
        <v>45</v>
      </c>
      <c r="J2861" t="s">
        <v>40</v>
      </c>
    </row>
    <row r="2862" spans="1:10">
      <c r="A2862" t="s">
        <v>4231</v>
      </c>
      <c r="B2862" t="s">
        <v>4232</v>
      </c>
      <c r="C2862" t="s">
        <v>169</v>
      </c>
      <c r="D2862" t="s">
        <v>73</v>
      </c>
      <c r="E2862">
        <v>-93456</v>
      </c>
      <c r="F2862" t="s">
        <v>74</v>
      </c>
      <c r="G2862" t="s">
        <v>32</v>
      </c>
      <c r="H2862" t="s">
        <v>25</v>
      </c>
      <c r="I2862" t="s">
        <v>45</v>
      </c>
      <c r="J2862" t="s">
        <v>40</v>
      </c>
    </row>
    <row r="2863" spans="1:10">
      <c r="A2863" t="s">
        <v>4233</v>
      </c>
      <c r="B2863" t="s">
        <v>4234</v>
      </c>
      <c r="C2863" t="s">
        <v>305</v>
      </c>
      <c r="D2863" t="s">
        <v>38</v>
      </c>
      <c r="E2863">
        <v>-17062</v>
      </c>
      <c r="F2863" t="s">
        <v>23</v>
      </c>
      <c r="G2863" t="s">
        <v>32</v>
      </c>
      <c r="H2863" t="s">
        <v>33</v>
      </c>
      <c r="I2863" t="s">
        <v>39</v>
      </c>
      <c r="J2863" t="s">
        <v>34</v>
      </c>
    </row>
    <row r="2864" spans="1:10">
      <c r="A2864" t="s">
        <v>4235</v>
      </c>
      <c r="B2864" t="s">
        <v>3276</v>
      </c>
      <c r="C2864" t="s">
        <v>566</v>
      </c>
      <c r="D2864" t="s">
        <v>78</v>
      </c>
      <c r="E2864">
        <v>-76846</v>
      </c>
      <c r="F2864" t="s">
        <v>23</v>
      </c>
      <c r="G2864" t="s">
        <v>24</v>
      </c>
      <c r="H2864" t="s">
        <v>79</v>
      </c>
      <c r="I2864" t="s">
        <v>39</v>
      </c>
      <c r="J2864" t="s">
        <v>34</v>
      </c>
    </row>
    <row r="2865" spans="1:10">
      <c r="A2865" t="s">
        <v>4236</v>
      </c>
      <c r="B2865" t="s">
        <v>772</v>
      </c>
      <c r="C2865" t="s">
        <v>60</v>
      </c>
      <c r="D2865" t="s">
        <v>61</v>
      </c>
      <c r="E2865">
        <v>-46613</v>
      </c>
      <c r="F2865" t="s">
        <v>62</v>
      </c>
      <c r="G2865" t="s">
        <v>32</v>
      </c>
      <c r="H2865" t="s">
        <v>63</v>
      </c>
      <c r="I2865" t="s">
        <v>39</v>
      </c>
      <c r="J2865" t="s">
        <v>48</v>
      </c>
    </row>
    <row r="2866" spans="1:10">
      <c r="A2866" t="s">
        <v>4237</v>
      </c>
      <c r="B2866" t="s">
        <v>563</v>
      </c>
      <c r="C2866" t="s">
        <v>202</v>
      </c>
      <c r="D2866" t="s">
        <v>22</v>
      </c>
      <c r="E2866">
        <v>-168918</v>
      </c>
      <c r="F2866" t="s">
        <v>23</v>
      </c>
      <c r="G2866" t="s">
        <v>32</v>
      </c>
      <c r="H2866" t="s">
        <v>25</v>
      </c>
      <c r="I2866" t="s">
        <v>39</v>
      </c>
      <c r="J2866" t="s">
        <v>34</v>
      </c>
    </row>
    <row r="2867" spans="1:10">
      <c r="A2867" t="s">
        <v>4238</v>
      </c>
      <c r="B2867" t="s">
        <v>4239</v>
      </c>
      <c r="C2867" t="s">
        <v>116</v>
      </c>
      <c r="D2867" t="s">
        <v>187</v>
      </c>
      <c r="E2867">
        <v>-9468</v>
      </c>
      <c r="F2867" t="s">
        <v>74</v>
      </c>
      <c r="G2867" t="s">
        <v>32</v>
      </c>
      <c r="H2867" t="s">
        <v>25</v>
      </c>
      <c r="I2867" t="s">
        <v>39</v>
      </c>
      <c r="J2867" t="s">
        <v>40</v>
      </c>
    </row>
    <row r="2868" spans="1:10">
      <c r="A2868" t="s">
        <v>4240</v>
      </c>
      <c r="B2868" t="s">
        <v>1717</v>
      </c>
      <c r="C2868" t="s">
        <v>143</v>
      </c>
      <c r="D2868" t="s">
        <v>78</v>
      </c>
      <c r="E2868">
        <v>-97544</v>
      </c>
      <c r="F2868" t="s">
        <v>23</v>
      </c>
      <c r="G2868" t="s">
        <v>32</v>
      </c>
      <c r="H2868" t="s">
        <v>79</v>
      </c>
      <c r="I2868" t="s">
        <v>26</v>
      </c>
      <c r="J2868" t="s">
        <v>34</v>
      </c>
    </row>
    <row r="2869" spans="1:10">
      <c r="A2869" t="s">
        <v>4241</v>
      </c>
      <c r="B2869" t="s">
        <v>2022</v>
      </c>
      <c r="C2869" t="s">
        <v>215</v>
      </c>
      <c r="D2869" t="s">
        <v>61</v>
      </c>
      <c r="E2869">
        <v>-36754</v>
      </c>
      <c r="F2869" t="s">
        <v>62</v>
      </c>
      <c r="G2869" t="s">
        <v>32</v>
      </c>
      <c r="H2869" t="s">
        <v>63</v>
      </c>
      <c r="I2869" t="s">
        <v>39</v>
      </c>
      <c r="J2869" t="s">
        <v>34</v>
      </c>
    </row>
    <row r="2870" spans="1:10">
      <c r="A2870" t="s">
        <v>4242</v>
      </c>
      <c r="B2870" t="s">
        <v>2855</v>
      </c>
      <c r="C2870" t="s">
        <v>1039</v>
      </c>
      <c r="E2870">
        <v>-120445</v>
      </c>
      <c r="F2870" t="s">
        <v>23</v>
      </c>
      <c r="G2870" t="s">
        <v>32</v>
      </c>
      <c r="H2870" t="s">
        <v>33</v>
      </c>
      <c r="I2870" t="s">
        <v>26</v>
      </c>
      <c r="J2870" t="s">
        <v>40</v>
      </c>
    </row>
    <row r="2871" spans="1:10">
      <c r="A2871" t="s">
        <v>4243</v>
      </c>
      <c r="B2871" t="s">
        <v>1989</v>
      </c>
      <c r="C2871" t="s">
        <v>237</v>
      </c>
      <c r="D2871" t="s">
        <v>22</v>
      </c>
      <c r="E2871">
        <v>-32996</v>
      </c>
      <c r="F2871" t="s">
        <v>23</v>
      </c>
      <c r="G2871" t="s">
        <v>24</v>
      </c>
      <c r="H2871" t="s">
        <v>25</v>
      </c>
      <c r="I2871" t="s">
        <v>39</v>
      </c>
      <c r="J2871" t="s">
        <v>27</v>
      </c>
    </row>
    <row r="2872" spans="1:10">
      <c r="A2872" t="s">
        <v>4244</v>
      </c>
      <c r="B2872" t="s">
        <v>1989</v>
      </c>
      <c r="C2872" t="s">
        <v>802</v>
      </c>
      <c r="D2872" t="s">
        <v>440</v>
      </c>
      <c r="E2872">
        <v>-107690</v>
      </c>
      <c r="F2872" t="s">
        <v>23</v>
      </c>
      <c r="G2872" t="s">
        <v>32</v>
      </c>
      <c r="H2872" t="s">
        <v>33</v>
      </c>
      <c r="I2872" t="s">
        <v>39</v>
      </c>
      <c r="J2872" t="s">
        <v>27</v>
      </c>
    </row>
    <row r="2873" spans="1:10">
      <c r="A2873" t="s">
        <v>4245</v>
      </c>
      <c r="B2873" t="s">
        <v>3605</v>
      </c>
      <c r="C2873" t="s">
        <v>339</v>
      </c>
      <c r="D2873" t="s">
        <v>157</v>
      </c>
      <c r="E2873">
        <v>563235</v>
      </c>
      <c r="F2873" t="s">
        <v>62</v>
      </c>
      <c r="G2873" t="s">
        <v>32</v>
      </c>
      <c r="H2873" t="s">
        <v>25</v>
      </c>
      <c r="I2873" t="s">
        <v>26</v>
      </c>
      <c r="J2873" t="s">
        <v>27</v>
      </c>
    </row>
    <row r="2874" spans="1:10">
      <c r="A2874" t="s">
        <v>4246</v>
      </c>
      <c r="B2874" t="s">
        <v>3090</v>
      </c>
      <c r="C2874" t="s">
        <v>177</v>
      </c>
      <c r="D2874" t="s">
        <v>78</v>
      </c>
      <c r="E2874">
        <v>-106320</v>
      </c>
      <c r="F2874" t="s">
        <v>23</v>
      </c>
      <c r="G2874" t="s">
        <v>24</v>
      </c>
      <c r="H2874" t="s">
        <v>79</v>
      </c>
      <c r="I2874" t="s">
        <v>45</v>
      </c>
      <c r="J2874" t="s">
        <v>34</v>
      </c>
    </row>
    <row r="2875" spans="1:10">
      <c r="A2875" t="s">
        <v>4247</v>
      </c>
      <c r="B2875" t="s">
        <v>287</v>
      </c>
      <c r="C2875" t="s">
        <v>2863</v>
      </c>
      <c r="D2875" t="s">
        <v>78</v>
      </c>
      <c r="E2875">
        <v>-67552</v>
      </c>
      <c r="F2875" t="s">
        <v>23</v>
      </c>
      <c r="G2875" t="s">
        <v>32</v>
      </c>
      <c r="H2875" t="s">
        <v>79</v>
      </c>
      <c r="I2875" t="s">
        <v>45</v>
      </c>
      <c r="J2875" t="s">
        <v>34</v>
      </c>
    </row>
    <row r="2876" spans="1:10">
      <c r="A2876" t="s">
        <v>4248</v>
      </c>
      <c r="B2876" t="s">
        <v>1370</v>
      </c>
      <c r="C2876" t="s">
        <v>271</v>
      </c>
      <c r="D2876" t="s">
        <v>73</v>
      </c>
      <c r="E2876">
        <v>-8365</v>
      </c>
      <c r="F2876" t="s">
        <v>74</v>
      </c>
      <c r="G2876" t="s">
        <v>32</v>
      </c>
      <c r="H2876" t="s">
        <v>25</v>
      </c>
      <c r="I2876" t="s">
        <v>39</v>
      </c>
      <c r="J2876" t="s">
        <v>27</v>
      </c>
    </row>
    <row r="2877" spans="1:10">
      <c r="A2877" t="s">
        <v>4249</v>
      </c>
      <c r="B2877" t="s">
        <v>2090</v>
      </c>
      <c r="C2877" t="s">
        <v>72</v>
      </c>
      <c r="D2877" t="s">
        <v>73</v>
      </c>
      <c r="E2877">
        <v>-16965</v>
      </c>
      <c r="F2877" t="s">
        <v>74</v>
      </c>
      <c r="G2877" t="s">
        <v>24</v>
      </c>
      <c r="H2877" t="s">
        <v>25</v>
      </c>
      <c r="I2877" t="s">
        <v>45</v>
      </c>
      <c r="J2877" t="s">
        <v>34</v>
      </c>
    </row>
    <row r="2878" spans="1:10">
      <c r="A2878" t="s">
        <v>4250</v>
      </c>
      <c r="B2878" t="s">
        <v>4251</v>
      </c>
      <c r="C2878" t="s">
        <v>215</v>
      </c>
      <c r="D2878" t="s">
        <v>61</v>
      </c>
      <c r="E2878">
        <v>-55553</v>
      </c>
      <c r="F2878" t="s">
        <v>62</v>
      </c>
      <c r="G2878" t="s">
        <v>32</v>
      </c>
      <c r="H2878" t="s">
        <v>63</v>
      </c>
      <c r="I2878" t="s">
        <v>39</v>
      </c>
      <c r="J2878" t="s">
        <v>27</v>
      </c>
    </row>
    <row r="2879" spans="1:10">
      <c r="A2879" t="s">
        <v>4252</v>
      </c>
      <c r="B2879" t="s">
        <v>4253</v>
      </c>
      <c r="C2879" t="s">
        <v>66</v>
      </c>
      <c r="E2879">
        <v>-52740</v>
      </c>
      <c r="F2879" t="s">
        <v>62</v>
      </c>
      <c r="G2879" t="s">
        <v>24</v>
      </c>
      <c r="H2879" t="s">
        <v>63</v>
      </c>
      <c r="I2879" t="s">
        <v>39</v>
      </c>
      <c r="J2879" t="s">
        <v>34</v>
      </c>
    </row>
    <row r="2880" spans="1:10">
      <c r="A2880" t="s">
        <v>4254</v>
      </c>
      <c r="B2880" t="s">
        <v>4255</v>
      </c>
      <c r="C2880" t="s">
        <v>224</v>
      </c>
      <c r="D2880" t="s">
        <v>664</v>
      </c>
      <c r="E2880">
        <v>-87161</v>
      </c>
      <c r="F2880" t="s">
        <v>23</v>
      </c>
      <c r="G2880" t="s">
        <v>32</v>
      </c>
      <c r="H2880" t="s">
        <v>79</v>
      </c>
      <c r="I2880" t="s">
        <v>45</v>
      </c>
      <c r="J2880" t="s">
        <v>34</v>
      </c>
    </row>
    <row r="2881" spans="1:10">
      <c r="A2881" t="s">
        <v>4256</v>
      </c>
      <c r="B2881" t="s">
        <v>568</v>
      </c>
      <c r="C2881" t="s">
        <v>51</v>
      </c>
      <c r="D2881" t="s">
        <v>31</v>
      </c>
      <c r="E2881">
        <v>-23652</v>
      </c>
      <c r="F2881" t="s">
        <v>23</v>
      </c>
      <c r="G2881" t="s">
        <v>24</v>
      </c>
      <c r="H2881" t="s">
        <v>33</v>
      </c>
      <c r="I2881" t="s">
        <v>39</v>
      </c>
      <c r="J2881" t="s">
        <v>27</v>
      </c>
    </row>
    <row r="2882" spans="1:10">
      <c r="A2882" t="s">
        <v>4257</v>
      </c>
      <c r="B2882" t="s">
        <v>772</v>
      </c>
      <c r="C2882" t="s">
        <v>60</v>
      </c>
      <c r="D2882" t="s">
        <v>61</v>
      </c>
      <c r="E2882">
        <v>-31610</v>
      </c>
      <c r="F2882" t="s">
        <v>62</v>
      </c>
      <c r="G2882" t="s">
        <v>24</v>
      </c>
      <c r="H2882" t="s">
        <v>63</v>
      </c>
      <c r="I2882" t="s">
        <v>39</v>
      </c>
      <c r="J2882" t="s">
        <v>48</v>
      </c>
    </row>
    <row r="2883" spans="1:10">
      <c r="A2883" t="s">
        <v>4258</v>
      </c>
      <c r="B2883" t="s">
        <v>3557</v>
      </c>
      <c r="C2883" t="s">
        <v>66</v>
      </c>
      <c r="D2883" t="s">
        <v>61</v>
      </c>
      <c r="E2883">
        <v>-37209</v>
      </c>
      <c r="F2883" t="s">
        <v>62</v>
      </c>
      <c r="G2883" t="s">
        <v>24</v>
      </c>
      <c r="H2883" t="s">
        <v>63</v>
      </c>
      <c r="I2883" t="s">
        <v>26</v>
      </c>
      <c r="J2883" t="s">
        <v>48</v>
      </c>
    </row>
    <row r="2884" spans="1:10">
      <c r="A2884" t="s">
        <v>4259</v>
      </c>
      <c r="B2884" t="s">
        <v>1013</v>
      </c>
      <c r="C2884" t="s">
        <v>180</v>
      </c>
      <c r="D2884" t="s">
        <v>44</v>
      </c>
      <c r="E2884">
        <v>-163615</v>
      </c>
      <c r="F2884" t="s">
        <v>23</v>
      </c>
      <c r="G2884" t="s">
        <v>24</v>
      </c>
      <c r="H2884" t="s">
        <v>33</v>
      </c>
      <c r="I2884" t="s">
        <v>39</v>
      </c>
      <c r="J2884" t="s">
        <v>34</v>
      </c>
    </row>
    <row r="2885" spans="1:10">
      <c r="A2885" t="s">
        <v>4260</v>
      </c>
      <c r="B2885" t="s">
        <v>1168</v>
      </c>
      <c r="C2885" t="s">
        <v>237</v>
      </c>
      <c r="E2885">
        <v>-78298</v>
      </c>
      <c r="F2885" t="s">
        <v>23</v>
      </c>
      <c r="G2885" t="s">
        <v>24</v>
      </c>
      <c r="H2885" t="s">
        <v>25</v>
      </c>
      <c r="I2885" t="s">
        <v>39</v>
      </c>
      <c r="J2885" t="s">
        <v>40</v>
      </c>
    </row>
    <row r="2886" spans="1:10">
      <c r="A2886" t="s">
        <v>4261</v>
      </c>
      <c r="B2886" t="s">
        <v>2316</v>
      </c>
      <c r="C2886" t="s">
        <v>60</v>
      </c>
      <c r="D2886" t="s">
        <v>61</v>
      </c>
      <c r="E2886">
        <v>-53667</v>
      </c>
      <c r="F2886" t="s">
        <v>62</v>
      </c>
      <c r="G2886" t="s">
        <v>32</v>
      </c>
      <c r="H2886" t="s">
        <v>63</v>
      </c>
      <c r="I2886" t="s">
        <v>45</v>
      </c>
      <c r="J2886" t="s">
        <v>34</v>
      </c>
    </row>
    <row r="2887" spans="1:10">
      <c r="A2887" t="s">
        <v>4262</v>
      </c>
      <c r="B2887" t="s">
        <v>3781</v>
      </c>
      <c r="C2887" t="s">
        <v>72</v>
      </c>
      <c r="D2887" t="s">
        <v>111</v>
      </c>
      <c r="E2887">
        <v>-71060</v>
      </c>
      <c r="F2887" t="s">
        <v>74</v>
      </c>
      <c r="G2887" t="s">
        <v>32</v>
      </c>
      <c r="H2887" t="s">
        <v>25</v>
      </c>
      <c r="I2887" t="s">
        <v>26</v>
      </c>
      <c r="J2887" t="s">
        <v>27</v>
      </c>
    </row>
    <row r="2888" spans="1:10">
      <c r="A2888" t="s">
        <v>4263</v>
      </c>
      <c r="B2888" t="s">
        <v>2035</v>
      </c>
      <c r="C2888" t="s">
        <v>129</v>
      </c>
      <c r="D2888" t="s">
        <v>38</v>
      </c>
      <c r="E2888">
        <v>-42063</v>
      </c>
      <c r="F2888" t="s">
        <v>23</v>
      </c>
      <c r="G2888" t="s">
        <v>32</v>
      </c>
      <c r="H2888" t="s">
        <v>33</v>
      </c>
      <c r="I2888" t="s">
        <v>39</v>
      </c>
      <c r="J2888" t="s">
        <v>27</v>
      </c>
    </row>
    <row r="2889" spans="1:10">
      <c r="A2889" t="s">
        <v>4264</v>
      </c>
      <c r="B2889" t="s">
        <v>518</v>
      </c>
      <c r="C2889" t="s">
        <v>84</v>
      </c>
      <c r="D2889" t="s">
        <v>78</v>
      </c>
      <c r="E2889">
        <v>-118892</v>
      </c>
      <c r="F2889" t="s">
        <v>23</v>
      </c>
      <c r="G2889" t="s">
        <v>24</v>
      </c>
      <c r="H2889" t="s">
        <v>79</v>
      </c>
      <c r="I2889" t="s">
        <v>39</v>
      </c>
      <c r="J2889" t="s">
        <v>40</v>
      </c>
    </row>
    <row r="2890" spans="1:10">
      <c r="A2890" t="s">
        <v>4265</v>
      </c>
      <c r="B2890" t="s">
        <v>684</v>
      </c>
      <c r="C2890" t="s">
        <v>271</v>
      </c>
      <c r="D2890" t="s">
        <v>187</v>
      </c>
      <c r="E2890">
        <v>-58047</v>
      </c>
      <c r="F2890" t="s">
        <v>74</v>
      </c>
      <c r="G2890" t="s">
        <v>24</v>
      </c>
      <c r="H2890" t="s">
        <v>25</v>
      </c>
      <c r="I2890" t="s">
        <v>39</v>
      </c>
      <c r="J2890" t="s">
        <v>27</v>
      </c>
    </row>
    <row r="2891" spans="1:10">
      <c r="A2891" t="s">
        <v>4266</v>
      </c>
      <c r="B2891" t="s">
        <v>3674</v>
      </c>
      <c r="C2891" t="s">
        <v>66</v>
      </c>
      <c r="D2891" t="s">
        <v>61</v>
      </c>
      <c r="E2891">
        <v>-59007</v>
      </c>
      <c r="F2891" t="s">
        <v>62</v>
      </c>
      <c r="G2891" t="s">
        <v>32</v>
      </c>
      <c r="H2891" t="s">
        <v>63</v>
      </c>
      <c r="I2891" t="s">
        <v>45</v>
      </c>
      <c r="J2891" t="s">
        <v>27</v>
      </c>
    </row>
    <row r="2892" spans="1:10">
      <c r="A2892" t="s">
        <v>4267</v>
      </c>
      <c r="B2892" t="s">
        <v>523</v>
      </c>
      <c r="C2892" t="s">
        <v>224</v>
      </c>
      <c r="D2892" t="s">
        <v>78</v>
      </c>
      <c r="E2892">
        <v>-42494</v>
      </c>
      <c r="F2892" t="s">
        <v>23</v>
      </c>
      <c r="G2892" t="s">
        <v>24</v>
      </c>
      <c r="H2892" t="s">
        <v>79</v>
      </c>
      <c r="I2892" t="s">
        <v>45</v>
      </c>
      <c r="J2892" t="s">
        <v>40</v>
      </c>
    </row>
    <row r="2893" spans="1:10">
      <c r="A2893" t="s">
        <v>4268</v>
      </c>
      <c r="B2893" t="s">
        <v>1994</v>
      </c>
      <c r="C2893" t="s">
        <v>143</v>
      </c>
      <c r="D2893" t="s">
        <v>78</v>
      </c>
      <c r="E2893">
        <v>-64976</v>
      </c>
      <c r="F2893" t="s">
        <v>23</v>
      </c>
      <c r="G2893" t="s">
        <v>32</v>
      </c>
      <c r="H2893" t="s">
        <v>79</v>
      </c>
      <c r="I2893" t="s">
        <v>45</v>
      </c>
      <c r="J2893" t="s">
        <v>48</v>
      </c>
    </row>
    <row r="2894" spans="1:10">
      <c r="A2894" t="s">
        <v>4269</v>
      </c>
      <c r="B2894" t="s">
        <v>768</v>
      </c>
      <c r="C2894" t="s">
        <v>100</v>
      </c>
      <c r="D2894" t="s">
        <v>31</v>
      </c>
      <c r="E2894">
        <v>-14284</v>
      </c>
      <c r="F2894" t="s">
        <v>23</v>
      </c>
      <c r="G2894" t="s">
        <v>32</v>
      </c>
      <c r="H2894" t="s">
        <v>33</v>
      </c>
      <c r="I2894" t="s">
        <v>26</v>
      </c>
      <c r="J2894" t="s">
        <v>40</v>
      </c>
    </row>
    <row r="2895" spans="1:10">
      <c r="A2895" t="s">
        <v>4270</v>
      </c>
      <c r="B2895" t="s">
        <v>29</v>
      </c>
      <c r="C2895" t="s">
        <v>100</v>
      </c>
      <c r="D2895" t="s">
        <v>31</v>
      </c>
      <c r="E2895">
        <v>-10013</v>
      </c>
      <c r="F2895" t="s">
        <v>23</v>
      </c>
      <c r="G2895" t="s">
        <v>32</v>
      </c>
      <c r="H2895" t="s">
        <v>33</v>
      </c>
      <c r="I2895" t="s">
        <v>26</v>
      </c>
      <c r="J2895" t="s">
        <v>34</v>
      </c>
    </row>
    <row r="2896" spans="1:10">
      <c r="A2896" t="s">
        <v>4271</v>
      </c>
      <c r="B2896" t="s">
        <v>4272</v>
      </c>
      <c r="C2896" t="s">
        <v>192</v>
      </c>
      <c r="D2896" t="s">
        <v>22</v>
      </c>
      <c r="E2896">
        <v>-122708</v>
      </c>
      <c r="F2896" t="s">
        <v>23</v>
      </c>
      <c r="G2896" t="s">
        <v>32</v>
      </c>
      <c r="H2896" t="s">
        <v>25</v>
      </c>
      <c r="I2896" t="s">
        <v>45</v>
      </c>
      <c r="J2896" t="s">
        <v>48</v>
      </c>
    </row>
    <row r="2897" spans="1:10">
      <c r="A2897" t="s">
        <v>4273</v>
      </c>
      <c r="B2897" t="s">
        <v>4274</v>
      </c>
      <c r="C2897" t="s">
        <v>51</v>
      </c>
      <c r="D2897" t="s">
        <v>31</v>
      </c>
      <c r="E2897">
        <v>-25791</v>
      </c>
      <c r="F2897" t="s">
        <v>23</v>
      </c>
      <c r="G2897" t="s">
        <v>24</v>
      </c>
      <c r="H2897" t="s">
        <v>33</v>
      </c>
      <c r="I2897" t="s">
        <v>45</v>
      </c>
      <c r="J2897" t="s">
        <v>27</v>
      </c>
    </row>
    <row r="2898" spans="1:10">
      <c r="A2898" t="s">
        <v>4275</v>
      </c>
      <c r="B2898" t="s">
        <v>1478</v>
      </c>
      <c r="C2898" t="s">
        <v>757</v>
      </c>
      <c r="D2898" t="s">
        <v>157</v>
      </c>
      <c r="E2898">
        <v>709923</v>
      </c>
      <c r="F2898" t="s">
        <v>62</v>
      </c>
      <c r="G2898" t="s">
        <v>32</v>
      </c>
      <c r="H2898" t="s">
        <v>25</v>
      </c>
      <c r="I2898" t="s">
        <v>39</v>
      </c>
      <c r="J2898" t="s">
        <v>40</v>
      </c>
    </row>
    <row r="2899" spans="1:10">
      <c r="A2899" t="s">
        <v>4276</v>
      </c>
      <c r="B2899" t="s">
        <v>2803</v>
      </c>
      <c r="C2899" t="s">
        <v>192</v>
      </c>
      <c r="D2899" t="s">
        <v>22</v>
      </c>
      <c r="E2899">
        <v>-115740</v>
      </c>
      <c r="F2899" t="s">
        <v>23</v>
      </c>
      <c r="G2899" t="s">
        <v>24</v>
      </c>
      <c r="H2899" t="s">
        <v>25</v>
      </c>
      <c r="I2899" t="s">
        <v>26</v>
      </c>
      <c r="J2899" t="s">
        <v>34</v>
      </c>
    </row>
    <row r="2900" spans="1:10">
      <c r="A2900" t="s">
        <v>4277</v>
      </c>
      <c r="B2900" t="s">
        <v>765</v>
      </c>
      <c r="C2900" t="s">
        <v>271</v>
      </c>
      <c r="E2900">
        <v>-13616</v>
      </c>
      <c r="F2900" t="s">
        <v>74</v>
      </c>
      <c r="G2900" t="s">
        <v>32</v>
      </c>
      <c r="H2900" t="s">
        <v>25</v>
      </c>
      <c r="I2900" t="s">
        <v>39</v>
      </c>
      <c r="J2900" t="s">
        <v>48</v>
      </c>
    </row>
    <row r="2901" spans="1:10">
      <c r="A2901" t="s">
        <v>4278</v>
      </c>
      <c r="B2901" t="s">
        <v>140</v>
      </c>
      <c r="C2901" t="s">
        <v>66</v>
      </c>
      <c r="D2901" t="s">
        <v>61</v>
      </c>
      <c r="E2901">
        <v>-25659</v>
      </c>
      <c r="F2901" t="s">
        <v>62</v>
      </c>
      <c r="G2901" t="s">
        <v>32</v>
      </c>
      <c r="H2901" t="s">
        <v>63</v>
      </c>
      <c r="I2901" t="s">
        <v>39</v>
      </c>
      <c r="J2901" t="s">
        <v>27</v>
      </c>
    </row>
    <row r="2902" spans="1:10">
      <c r="A2902" t="s">
        <v>4279</v>
      </c>
      <c r="B2902" t="s">
        <v>1315</v>
      </c>
      <c r="C2902" t="s">
        <v>90</v>
      </c>
      <c r="D2902" t="s">
        <v>73</v>
      </c>
      <c r="E2902">
        <v>-58777</v>
      </c>
      <c r="F2902" t="s">
        <v>74</v>
      </c>
      <c r="G2902" t="s">
        <v>24</v>
      </c>
      <c r="H2902" t="s">
        <v>25</v>
      </c>
      <c r="I2902" t="s">
        <v>26</v>
      </c>
      <c r="J2902" t="s">
        <v>48</v>
      </c>
    </row>
    <row r="2903" spans="1:10">
      <c r="A2903" t="s">
        <v>4280</v>
      </c>
      <c r="B2903" t="s">
        <v>4281</v>
      </c>
      <c r="C2903" t="s">
        <v>616</v>
      </c>
      <c r="D2903" t="s">
        <v>22</v>
      </c>
      <c r="E2903">
        <v>-98665</v>
      </c>
      <c r="F2903" t="s">
        <v>23</v>
      </c>
      <c r="G2903" t="s">
        <v>32</v>
      </c>
      <c r="H2903" t="s">
        <v>25</v>
      </c>
      <c r="I2903" t="s">
        <v>39</v>
      </c>
      <c r="J2903" t="s">
        <v>40</v>
      </c>
    </row>
    <row r="2904" spans="1:10">
      <c r="A2904" t="s">
        <v>4282</v>
      </c>
      <c r="B2904" t="s">
        <v>184</v>
      </c>
      <c r="C2904" t="s">
        <v>100</v>
      </c>
      <c r="D2904" t="s">
        <v>31</v>
      </c>
      <c r="E2904">
        <v>-16797</v>
      </c>
      <c r="F2904" t="s">
        <v>23</v>
      </c>
      <c r="G2904" t="s">
        <v>24</v>
      </c>
      <c r="H2904" t="s">
        <v>33</v>
      </c>
      <c r="I2904" t="s">
        <v>39</v>
      </c>
      <c r="J2904" t="s">
        <v>34</v>
      </c>
    </row>
    <row r="2905" spans="1:10">
      <c r="A2905" t="s">
        <v>4283</v>
      </c>
      <c r="B2905" t="s">
        <v>3796</v>
      </c>
      <c r="C2905" t="s">
        <v>166</v>
      </c>
      <c r="D2905" t="s">
        <v>31</v>
      </c>
      <c r="E2905">
        <v>-35929</v>
      </c>
      <c r="F2905" t="s">
        <v>23</v>
      </c>
      <c r="G2905" t="s">
        <v>24</v>
      </c>
      <c r="H2905" t="s">
        <v>33</v>
      </c>
      <c r="I2905" t="s">
        <v>26</v>
      </c>
      <c r="J2905" t="s">
        <v>40</v>
      </c>
    </row>
    <row r="2906" spans="1:10">
      <c r="A2906" t="s">
        <v>4284</v>
      </c>
      <c r="B2906" t="s">
        <v>1681</v>
      </c>
      <c r="C2906" t="s">
        <v>87</v>
      </c>
      <c r="D2906" t="s">
        <v>320</v>
      </c>
      <c r="E2906">
        <v>-213155</v>
      </c>
      <c r="F2906" t="s">
        <v>23</v>
      </c>
      <c r="G2906" t="s">
        <v>32</v>
      </c>
      <c r="H2906" t="s">
        <v>25</v>
      </c>
      <c r="I2906" t="s">
        <v>26</v>
      </c>
      <c r="J2906" t="s">
        <v>27</v>
      </c>
    </row>
    <row r="2907" spans="1:10">
      <c r="A2907" t="s">
        <v>4285</v>
      </c>
      <c r="B2907" t="s">
        <v>3176</v>
      </c>
      <c r="C2907" t="s">
        <v>72</v>
      </c>
      <c r="D2907" t="s">
        <v>73</v>
      </c>
      <c r="E2907">
        <v>-76848</v>
      </c>
      <c r="F2907" t="s">
        <v>74</v>
      </c>
      <c r="G2907" t="s">
        <v>24</v>
      </c>
      <c r="H2907" t="s">
        <v>25</v>
      </c>
      <c r="I2907" t="s">
        <v>45</v>
      </c>
      <c r="J2907" t="s">
        <v>40</v>
      </c>
    </row>
    <row r="2908" spans="1:10">
      <c r="A2908" t="s">
        <v>1969</v>
      </c>
      <c r="B2908" t="s">
        <v>905</v>
      </c>
      <c r="C2908" t="s">
        <v>116</v>
      </c>
      <c r="D2908" t="s">
        <v>73</v>
      </c>
      <c r="E2908">
        <v>-92896</v>
      </c>
      <c r="F2908" t="s">
        <v>74</v>
      </c>
      <c r="G2908" t="s">
        <v>24</v>
      </c>
      <c r="H2908" t="s">
        <v>25</v>
      </c>
      <c r="I2908" t="s">
        <v>26</v>
      </c>
      <c r="J2908" t="s">
        <v>34</v>
      </c>
    </row>
    <row r="2909" spans="1:10">
      <c r="A2909" t="s">
        <v>4286</v>
      </c>
      <c r="B2909" t="s">
        <v>4210</v>
      </c>
      <c r="C2909" t="s">
        <v>935</v>
      </c>
      <c r="D2909" t="s">
        <v>320</v>
      </c>
      <c r="E2909">
        <v>-199050</v>
      </c>
      <c r="F2909" t="s">
        <v>23</v>
      </c>
      <c r="G2909" t="s">
        <v>32</v>
      </c>
      <c r="H2909" t="s">
        <v>25</v>
      </c>
      <c r="I2909" t="s">
        <v>39</v>
      </c>
      <c r="J2909" t="s">
        <v>48</v>
      </c>
    </row>
    <row r="2910" spans="1:10">
      <c r="A2910" t="s">
        <v>4287</v>
      </c>
      <c r="B2910" t="s">
        <v>3921</v>
      </c>
      <c r="C2910" t="s">
        <v>106</v>
      </c>
      <c r="D2910" t="s">
        <v>31</v>
      </c>
      <c r="E2910">
        <v>-29480</v>
      </c>
      <c r="F2910" t="s">
        <v>23</v>
      </c>
      <c r="G2910" t="s">
        <v>32</v>
      </c>
      <c r="H2910" t="s">
        <v>33</v>
      </c>
      <c r="I2910" t="s">
        <v>45</v>
      </c>
      <c r="J2910" t="s">
        <v>48</v>
      </c>
    </row>
    <row r="2911" spans="1:10">
      <c r="A2911" t="s">
        <v>4288</v>
      </c>
      <c r="B2911" t="s">
        <v>4289</v>
      </c>
      <c r="C2911" t="s">
        <v>180</v>
      </c>
      <c r="D2911" t="s">
        <v>44</v>
      </c>
      <c r="E2911">
        <v>-133531</v>
      </c>
      <c r="F2911" t="s">
        <v>23</v>
      </c>
      <c r="G2911" t="s">
        <v>24</v>
      </c>
      <c r="H2911" t="s">
        <v>33</v>
      </c>
      <c r="I2911" t="s">
        <v>39</v>
      </c>
      <c r="J2911" t="s">
        <v>34</v>
      </c>
    </row>
    <row r="2912" spans="1:10">
      <c r="A2912" t="s">
        <v>4290</v>
      </c>
      <c r="B2912" t="s">
        <v>2574</v>
      </c>
      <c r="C2912" t="s">
        <v>161</v>
      </c>
      <c r="D2912" t="s">
        <v>22</v>
      </c>
      <c r="E2912">
        <v>-80759</v>
      </c>
      <c r="F2912" t="s">
        <v>23</v>
      </c>
      <c r="G2912" t="s">
        <v>32</v>
      </c>
      <c r="H2912" t="s">
        <v>25</v>
      </c>
      <c r="I2912" t="s">
        <v>39</v>
      </c>
      <c r="J2912" t="s">
        <v>48</v>
      </c>
    </row>
    <row r="2913" spans="1:10">
      <c r="A2913" t="s">
        <v>4291</v>
      </c>
      <c r="B2913" t="s">
        <v>559</v>
      </c>
      <c r="C2913" t="s">
        <v>180</v>
      </c>
      <c r="D2913" t="s">
        <v>44</v>
      </c>
      <c r="E2913">
        <v>-161687</v>
      </c>
      <c r="F2913" t="s">
        <v>23</v>
      </c>
      <c r="G2913" t="s">
        <v>32</v>
      </c>
      <c r="H2913" t="s">
        <v>33</v>
      </c>
      <c r="I2913" t="s">
        <v>45</v>
      </c>
      <c r="J2913" t="s">
        <v>48</v>
      </c>
    </row>
    <row r="2914" spans="1:10">
      <c r="A2914" t="s">
        <v>4292</v>
      </c>
      <c r="B2914" t="s">
        <v>1989</v>
      </c>
      <c r="C2914" t="s">
        <v>215</v>
      </c>
      <c r="D2914" t="s">
        <v>61</v>
      </c>
      <c r="E2914">
        <v>-29010</v>
      </c>
      <c r="F2914" t="s">
        <v>62</v>
      </c>
      <c r="G2914" t="s">
        <v>32</v>
      </c>
      <c r="H2914" t="s">
        <v>63</v>
      </c>
      <c r="I2914" t="s">
        <v>39</v>
      </c>
      <c r="J2914" t="s">
        <v>27</v>
      </c>
    </row>
    <row r="2915" spans="1:10">
      <c r="A2915" t="s">
        <v>4293</v>
      </c>
      <c r="B2915" t="s">
        <v>1077</v>
      </c>
      <c r="C2915" t="s">
        <v>106</v>
      </c>
      <c r="D2915" t="s">
        <v>31</v>
      </c>
      <c r="E2915">
        <v>-16812</v>
      </c>
      <c r="F2915" t="s">
        <v>23</v>
      </c>
      <c r="G2915" t="s">
        <v>32</v>
      </c>
      <c r="H2915" t="s">
        <v>33</v>
      </c>
      <c r="I2915" t="s">
        <v>39</v>
      </c>
      <c r="J2915" t="s">
        <v>48</v>
      </c>
    </row>
    <row r="2916" spans="1:10">
      <c r="A2916" t="s">
        <v>4294</v>
      </c>
      <c r="B2916" t="s">
        <v>1005</v>
      </c>
      <c r="C2916" t="s">
        <v>339</v>
      </c>
      <c r="D2916" t="s">
        <v>157</v>
      </c>
      <c r="E2916">
        <v>619362</v>
      </c>
      <c r="F2916" t="s">
        <v>62</v>
      </c>
      <c r="G2916" t="s">
        <v>32</v>
      </c>
      <c r="H2916" t="s">
        <v>25</v>
      </c>
      <c r="I2916" t="s">
        <v>26</v>
      </c>
      <c r="J2916" t="s">
        <v>48</v>
      </c>
    </row>
    <row r="2917" spans="1:10">
      <c r="A2917" t="s">
        <v>4295</v>
      </c>
      <c r="B2917" t="s">
        <v>1989</v>
      </c>
      <c r="C2917" t="s">
        <v>519</v>
      </c>
      <c r="D2917" t="s">
        <v>44</v>
      </c>
      <c r="E2917">
        <v>-122383</v>
      </c>
      <c r="F2917" t="s">
        <v>23</v>
      </c>
      <c r="G2917" t="s">
        <v>32</v>
      </c>
      <c r="H2917" t="s">
        <v>33</v>
      </c>
      <c r="I2917" t="s">
        <v>39</v>
      </c>
      <c r="J2917" t="s">
        <v>27</v>
      </c>
    </row>
    <row r="2918" spans="1:10">
      <c r="A2918" t="s">
        <v>4296</v>
      </c>
      <c r="B2918" t="s">
        <v>4127</v>
      </c>
      <c r="C2918" t="s">
        <v>43</v>
      </c>
      <c r="D2918" t="s">
        <v>44</v>
      </c>
      <c r="E2918">
        <v>-99308</v>
      </c>
      <c r="F2918" t="s">
        <v>23</v>
      </c>
      <c r="G2918" t="s">
        <v>24</v>
      </c>
      <c r="H2918" t="s">
        <v>33</v>
      </c>
      <c r="I2918" t="s">
        <v>26</v>
      </c>
      <c r="J2918" t="s">
        <v>27</v>
      </c>
    </row>
    <row r="2919" spans="1:10">
      <c r="A2919" t="s">
        <v>4297</v>
      </c>
      <c r="B2919" t="s">
        <v>3071</v>
      </c>
      <c r="C2919" t="s">
        <v>519</v>
      </c>
      <c r="D2919" t="s">
        <v>44</v>
      </c>
      <c r="E2919">
        <v>-64447</v>
      </c>
      <c r="F2919" t="s">
        <v>23</v>
      </c>
      <c r="G2919" t="s">
        <v>24</v>
      </c>
      <c r="H2919" t="s">
        <v>33</v>
      </c>
      <c r="I2919" t="s">
        <v>39</v>
      </c>
      <c r="J2919" t="s">
        <v>27</v>
      </c>
    </row>
    <row r="2920" spans="1:10">
      <c r="A2920" t="s">
        <v>4298</v>
      </c>
      <c r="B2920" t="s">
        <v>3167</v>
      </c>
      <c r="C2920" t="s">
        <v>215</v>
      </c>
      <c r="D2920" t="s">
        <v>61</v>
      </c>
      <c r="E2920">
        <v>-23917</v>
      </c>
      <c r="F2920" t="s">
        <v>62</v>
      </c>
      <c r="G2920" t="s">
        <v>24</v>
      </c>
      <c r="H2920" t="s">
        <v>63</v>
      </c>
      <c r="I2920" t="s">
        <v>26</v>
      </c>
      <c r="J2920" t="s">
        <v>34</v>
      </c>
    </row>
    <row r="2921" spans="1:10">
      <c r="A2921" t="s">
        <v>4299</v>
      </c>
      <c r="B2921" t="s">
        <v>312</v>
      </c>
      <c r="C2921" t="s">
        <v>293</v>
      </c>
      <c r="D2921" t="s">
        <v>157</v>
      </c>
      <c r="E2921">
        <v>565500</v>
      </c>
      <c r="F2921" t="s">
        <v>62</v>
      </c>
      <c r="G2921" t="s">
        <v>32</v>
      </c>
      <c r="H2921" t="s">
        <v>25</v>
      </c>
      <c r="I2921" t="s">
        <v>26</v>
      </c>
      <c r="J2921" t="s">
        <v>48</v>
      </c>
    </row>
    <row r="2922" spans="1:10">
      <c r="A2922" t="s">
        <v>4300</v>
      </c>
      <c r="B2922" t="s">
        <v>353</v>
      </c>
      <c r="C2922" t="s">
        <v>116</v>
      </c>
      <c r="D2922" t="s">
        <v>73</v>
      </c>
      <c r="E2922">
        <v>-14536</v>
      </c>
      <c r="F2922" t="s">
        <v>74</v>
      </c>
      <c r="G2922" t="s">
        <v>24</v>
      </c>
      <c r="H2922" t="s">
        <v>25</v>
      </c>
      <c r="I2922" t="s">
        <v>45</v>
      </c>
      <c r="J2922" t="s">
        <v>40</v>
      </c>
    </row>
    <row r="2923" spans="1:10">
      <c r="A2923" t="s">
        <v>4301</v>
      </c>
      <c r="B2923" t="s">
        <v>4302</v>
      </c>
      <c r="C2923" t="s">
        <v>116</v>
      </c>
      <c r="D2923" t="s">
        <v>73</v>
      </c>
      <c r="E2923">
        <v>-28152</v>
      </c>
      <c r="F2923" t="s">
        <v>74</v>
      </c>
      <c r="G2923" t="s">
        <v>24</v>
      </c>
      <c r="H2923" t="s">
        <v>25</v>
      </c>
      <c r="I2923" t="s">
        <v>26</v>
      </c>
      <c r="J2923" t="s">
        <v>48</v>
      </c>
    </row>
    <row r="2924" spans="1:10">
      <c r="A2924" t="s">
        <v>4303</v>
      </c>
      <c r="B2924" t="s">
        <v>1419</v>
      </c>
      <c r="C2924" t="s">
        <v>237</v>
      </c>
      <c r="D2924" t="s">
        <v>22</v>
      </c>
      <c r="E2924">
        <v>-141338</v>
      </c>
      <c r="F2924" t="s">
        <v>23</v>
      </c>
      <c r="G2924" t="s">
        <v>24</v>
      </c>
      <c r="H2924" t="s">
        <v>25</v>
      </c>
      <c r="I2924" t="s">
        <v>26</v>
      </c>
      <c r="J2924" t="s">
        <v>34</v>
      </c>
    </row>
    <row r="2925" spans="1:10">
      <c r="A2925" t="s">
        <v>4304</v>
      </c>
      <c r="B2925" t="s">
        <v>2599</v>
      </c>
      <c r="C2925" t="s">
        <v>177</v>
      </c>
      <c r="D2925" t="s">
        <v>78</v>
      </c>
      <c r="E2925">
        <v>-83406</v>
      </c>
      <c r="F2925" t="s">
        <v>23</v>
      </c>
      <c r="G2925" t="s">
        <v>24</v>
      </c>
      <c r="H2925" t="s">
        <v>79</v>
      </c>
      <c r="I2925" t="s">
        <v>39</v>
      </c>
      <c r="J2925" t="s">
        <v>40</v>
      </c>
    </row>
    <row r="2926" spans="1:10">
      <c r="A2926" t="s">
        <v>4305</v>
      </c>
      <c r="B2926" t="s">
        <v>1954</v>
      </c>
      <c r="C2926" t="s">
        <v>93</v>
      </c>
      <c r="D2926" t="s">
        <v>73</v>
      </c>
      <c r="E2926">
        <v>-81695</v>
      </c>
      <c r="F2926" t="s">
        <v>74</v>
      </c>
      <c r="G2926" t="s">
        <v>24</v>
      </c>
      <c r="H2926" t="s">
        <v>25</v>
      </c>
      <c r="I2926" t="s">
        <v>26</v>
      </c>
      <c r="J2926" t="s">
        <v>27</v>
      </c>
    </row>
    <row r="2927" spans="1:10">
      <c r="A2927" t="s">
        <v>4306</v>
      </c>
      <c r="B2927" t="s">
        <v>1230</v>
      </c>
      <c r="C2927" t="s">
        <v>57</v>
      </c>
      <c r="D2927" t="s">
        <v>248</v>
      </c>
      <c r="E2927">
        <v>-126075</v>
      </c>
      <c r="F2927" t="s">
        <v>23</v>
      </c>
      <c r="G2927" t="s">
        <v>32</v>
      </c>
      <c r="H2927" t="s">
        <v>33</v>
      </c>
      <c r="I2927" t="s">
        <v>26</v>
      </c>
      <c r="J2927" t="s">
        <v>34</v>
      </c>
    </row>
    <row r="2928" spans="1:10">
      <c r="A2928" t="s">
        <v>4307</v>
      </c>
      <c r="B2928" t="s">
        <v>525</v>
      </c>
      <c r="C2928" t="s">
        <v>174</v>
      </c>
      <c r="D2928" t="s">
        <v>22</v>
      </c>
      <c r="E2928">
        <v>-43048</v>
      </c>
      <c r="F2928" t="s">
        <v>23</v>
      </c>
      <c r="G2928" t="s">
        <v>32</v>
      </c>
      <c r="H2928" t="s">
        <v>25</v>
      </c>
      <c r="I2928" t="s">
        <v>26</v>
      </c>
      <c r="J2928" t="s">
        <v>48</v>
      </c>
    </row>
    <row r="2929" spans="1:10">
      <c r="A2929" t="s">
        <v>4308</v>
      </c>
      <c r="B2929" t="s">
        <v>1121</v>
      </c>
      <c r="C2929" t="s">
        <v>4309</v>
      </c>
      <c r="D2929" t="s">
        <v>22</v>
      </c>
      <c r="E2929">
        <v>-96342</v>
      </c>
      <c r="F2929" t="s">
        <v>23</v>
      </c>
      <c r="G2929" t="s">
        <v>32</v>
      </c>
      <c r="H2929" t="s">
        <v>25</v>
      </c>
      <c r="I2929" t="s">
        <v>26</v>
      </c>
      <c r="J2929" t="s">
        <v>40</v>
      </c>
    </row>
    <row r="2930" spans="1:10">
      <c r="A2930" t="s">
        <v>4310</v>
      </c>
      <c r="B2930" t="s">
        <v>410</v>
      </c>
      <c r="C2930" t="s">
        <v>566</v>
      </c>
      <c r="D2930" t="s">
        <v>78</v>
      </c>
      <c r="E2930">
        <v>-32782</v>
      </c>
      <c r="F2930" t="s">
        <v>23</v>
      </c>
      <c r="G2930" t="s">
        <v>32</v>
      </c>
      <c r="H2930" t="s">
        <v>79</v>
      </c>
      <c r="I2930" t="s">
        <v>39</v>
      </c>
      <c r="J2930" t="s">
        <v>34</v>
      </c>
    </row>
    <row r="2931" spans="1:10">
      <c r="A2931" t="s">
        <v>4311</v>
      </c>
      <c r="B2931" t="s">
        <v>1153</v>
      </c>
      <c r="C2931" t="s">
        <v>166</v>
      </c>
      <c r="D2931" t="s">
        <v>31</v>
      </c>
      <c r="E2931">
        <v>-43785</v>
      </c>
      <c r="F2931" t="s">
        <v>23</v>
      </c>
      <c r="G2931" t="s">
        <v>24</v>
      </c>
      <c r="H2931" t="s">
        <v>33</v>
      </c>
      <c r="I2931" t="s">
        <v>26</v>
      </c>
      <c r="J2931" t="s">
        <v>34</v>
      </c>
    </row>
    <row r="2932" spans="1:10">
      <c r="A2932" t="s">
        <v>4312</v>
      </c>
      <c r="B2932" t="s">
        <v>268</v>
      </c>
      <c r="C2932" t="s">
        <v>271</v>
      </c>
      <c r="D2932" t="s">
        <v>73</v>
      </c>
      <c r="E2932">
        <v>-12940</v>
      </c>
      <c r="F2932" t="s">
        <v>74</v>
      </c>
      <c r="G2932" t="s">
        <v>24</v>
      </c>
      <c r="H2932" t="s">
        <v>25</v>
      </c>
      <c r="I2932" t="s">
        <v>39</v>
      </c>
      <c r="J2932" t="s">
        <v>34</v>
      </c>
    </row>
    <row r="2933" spans="1:10">
      <c r="A2933" t="s">
        <v>4313</v>
      </c>
      <c r="B2933" t="s">
        <v>1295</v>
      </c>
      <c r="C2933" t="s">
        <v>84</v>
      </c>
      <c r="D2933" t="s">
        <v>78</v>
      </c>
      <c r="E2933">
        <v>-74996</v>
      </c>
      <c r="F2933" t="s">
        <v>23</v>
      </c>
      <c r="G2933" t="s">
        <v>32</v>
      </c>
      <c r="H2933" t="s">
        <v>79</v>
      </c>
      <c r="I2933" t="s">
        <v>26</v>
      </c>
      <c r="J2933" t="s">
        <v>27</v>
      </c>
    </row>
    <row r="2934" spans="1:10">
      <c r="A2934" t="s">
        <v>4314</v>
      </c>
      <c r="B2934" t="s">
        <v>159</v>
      </c>
      <c r="C2934" t="s">
        <v>90</v>
      </c>
      <c r="D2934" t="s">
        <v>73</v>
      </c>
      <c r="E2934">
        <v>-9025</v>
      </c>
      <c r="F2934" t="s">
        <v>74</v>
      </c>
      <c r="G2934" t="s">
        <v>32</v>
      </c>
      <c r="H2934" t="s">
        <v>25</v>
      </c>
      <c r="I2934" t="s">
        <v>26</v>
      </c>
      <c r="J2934" t="s">
        <v>34</v>
      </c>
    </row>
    <row r="2935" spans="1:10">
      <c r="A2935" t="s">
        <v>4315</v>
      </c>
      <c r="B2935" t="s">
        <v>1746</v>
      </c>
      <c r="C2935" t="s">
        <v>271</v>
      </c>
      <c r="D2935" t="s">
        <v>73</v>
      </c>
      <c r="E2935">
        <v>-66079</v>
      </c>
      <c r="F2935" t="s">
        <v>74</v>
      </c>
      <c r="G2935" t="s">
        <v>32</v>
      </c>
      <c r="H2935" t="s">
        <v>25</v>
      </c>
      <c r="I2935" t="s">
        <v>26</v>
      </c>
      <c r="J2935" t="s">
        <v>40</v>
      </c>
    </row>
    <row r="2936" spans="1:10">
      <c r="A2936" t="s">
        <v>4316</v>
      </c>
      <c r="B2936" t="s">
        <v>4317</v>
      </c>
      <c r="C2936" t="s">
        <v>51</v>
      </c>
      <c r="D2936" t="s">
        <v>31</v>
      </c>
      <c r="E2936">
        <v>-8374</v>
      </c>
      <c r="F2936" t="s">
        <v>23</v>
      </c>
      <c r="G2936" t="s">
        <v>32</v>
      </c>
      <c r="H2936" t="s">
        <v>33</v>
      </c>
      <c r="I2936" t="s">
        <v>39</v>
      </c>
      <c r="J2936" t="s">
        <v>27</v>
      </c>
    </row>
    <row r="2937" spans="1:10">
      <c r="A2937" t="s">
        <v>4318</v>
      </c>
      <c r="B2937" t="s">
        <v>1468</v>
      </c>
      <c r="C2937" t="s">
        <v>1039</v>
      </c>
      <c r="D2937" t="s">
        <v>440</v>
      </c>
      <c r="E2937">
        <v>-138222</v>
      </c>
      <c r="F2937" t="s">
        <v>23</v>
      </c>
      <c r="G2937" t="s">
        <v>32</v>
      </c>
      <c r="H2937" t="s">
        <v>33</v>
      </c>
      <c r="I2937" t="s">
        <v>39</v>
      </c>
      <c r="J2937" t="s">
        <v>34</v>
      </c>
    </row>
    <row r="2938" spans="1:10">
      <c r="A2938" t="s">
        <v>4319</v>
      </c>
      <c r="B2938" t="s">
        <v>1474</v>
      </c>
      <c r="C2938" t="s">
        <v>4320</v>
      </c>
      <c r="D2938" t="s">
        <v>136</v>
      </c>
      <c r="E2938">
        <v>-10493197</v>
      </c>
      <c r="F2938" t="s">
        <v>62</v>
      </c>
      <c r="G2938" t="s">
        <v>32</v>
      </c>
      <c r="H2938" t="s">
        <v>63</v>
      </c>
      <c r="I2938" t="s">
        <v>39</v>
      </c>
      <c r="J2938" t="s">
        <v>40</v>
      </c>
    </row>
    <row r="2939" spans="1:10">
      <c r="A2939" t="s">
        <v>4321</v>
      </c>
      <c r="B2939" t="s">
        <v>2179</v>
      </c>
      <c r="C2939" t="s">
        <v>21</v>
      </c>
      <c r="D2939" t="s">
        <v>22</v>
      </c>
      <c r="E2939">
        <v>-209122</v>
      </c>
      <c r="F2939" t="s">
        <v>23</v>
      </c>
      <c r="G2939" t="s">
        <v>24</v>
      </c>
      <c r="H2939" t="s">
        <v>25</v>
      </c>
      <c r="I2939" t="s">
        <v>26</v>
      </c>
      <c r="J2939" t="s">
        <v>34</v>
      </c>
    </row>
    <row r="2940" spans="1:10">
      <c r="A2940" t="s">
        <v>4322</v>
      </c>
      <c r="B2940" t="s">
        <v>3878</v>
      </c>
      <c r="C2940" t="s">
        <v>177</v>
      </c>
      <c r="D2940" t="s">
        <v>371</v>
      </c>
      <c r="E2940">
        <v>-111667</v>
      </c>
      <c r="F2940" t="s">
        <v>23</v>
      </c>
      <c r="G2940" t="s">
        <v>32</v>
      </c>
      <c r="H2940" t="s">
        <v>79</v>
      </c>
      <c r="I2940" t="s">
        <v>26</v>
      </c>
      <c r="J2940" t="s">
        <v>27</v>
      </c>
    </row>
    <row r="2941" spans="1:10">
      <c r="A2941" t="s">
        <v>4323</v>
      </c>
      <c r="B2941" t="s">
        <v>4324</v>
      </c>
      <c r="C2941" t="s">
        <v>21</v>
      </c>
      <c r="D2941" t="s">
        <v>22</v>
      </c>
      <c r="E2941">
        <v>-204854</v>
      </c>
      <c r="F2941" t="s">
        <v>23</v>
      </c>
      <c r="G2941" t="s">
        <v>24</v>
      </c>
      <c r="H2941" t="s">
        <v>25</v>
      </c>
      <c r="I2941" t="s">
        <v>45</v>
      </c>
      <c r="J2941" t="s">
        <v>48</v>
      </c>
    </row>
    <row r="2942" spans="1:10">
      <c r="A2942" t="s">
        <v>4325</v>
      </c>
      <c r="B2942" t="s">
        <v>4326</v>
      </c>
      <c r="C2942" t="s">
        <v>271</v>
      </c>
      <c r="D2942" t="s">
        <v>73</v>
      </c>
      <c r="E2942">
        <v>-80608</v>
      </c>
      <c r="F2942" t="s">
        <v>74</v>
      </c>
      <c r="G2942" t="s">
        <v>24</v>
      </c>
      <c r="H2942" t="s">
        <v>25</v>
      </c>
      <c r="I2942" t="s">
        <v>39</v>
      </c>
      <c r="J2942" t="s">
        <v>40</v>
      </c>
    </row>
    <row r="2943" spans="1:10">
      <c r="A2943" t="s">
        <v>4327</v>
      </c>
      <c r="B2943" t="s">
        <v>1971</v>
      </c>
      <c r="C2943" t="s">
        <v>60</v>
      </c>
      <c r="D2943" t="s">
        <v>61</v>
      </c>
      <c r="E2943">
        <v>-38709</v>
      </c>
      <c r="F2943" t="s">
        <v>62</v>
      </c>
      <c r="G2943" t="s">
        <v>24</v>
      </c>
      <c r="H2943" t="s">
        <v>63</v>
      </c>
      <c r="I2943" t="s">
        <v>39</v>
      </c>
      <c r="J2943" t="s">
        <v>40</v>
      </c>
    </row>
    <row r="2944" spans="1:10">
      <c r="A2944" t="s">
        <v>4328</v>
      </c>
      <c r="B2944" t="s">
        <v>1887</v>
      </c>
      <c r="C2944" t="s">
        <v>106</v>
      </c>
      <c r="D2944" t="s">
        <v>31</v>
      </c>
      <c r="E2944">
        <v>-6409</v>
      </c>
      <c r="F2944" t="s">
        <v>23</v>
      </c>
      <c r="G2944" t="s">
        <v>32</v>
      </c>
      <c r="H2944" t="s">
        <v>33</v>
      </c>
      <c r="I2944" t="s">
        <v>26</v>
      </c>
      <c r="J2944" t="s">
        <v>40</v>
      </c>
    </row>
    <row r="2945" spans="1:10">
      <c r="A2945" t="s">
        <v>4329</v>
      </c>
      <c r="B2945" t="s">
        <v>2474</v>
      </c>
      <c r="C2945" t="s">
        <v>305</v>
      </c>
      <c r="D2945" t="s">
        <v>38</v>
      </c>
      <c r="E2945">
        <v>-43516</v>
      </c>
      <c r="F2945" t="s">
        <v>23</v>
      </c>
      <c r="G2945" t="s">
        <v>32</v>
      </c>
      <c r="H2945" t="s">
        <v>33</v>
      </c>
      <c r="I2945" t="s">
        <v>39</v>
      </c>
      <c r="J2945" t="s">
        <v>40</v>
      </c>
    </row>
    <row r="2946" spans="1:10">
      <c r="A2946" t="s">
        <v>4330</v>
      </c>
      <c r="B2946" t="s">
        <v>4331</v>
      </c>
      <c r="C2946" t="s">
        <v>100</v>
      </c>
      <c r="D2946" t="s">
        <v>31</v>
      </c>
      <c r="E2946">
        <v>-33420</v>
      </c>
      <c r="F2946" t="s">
        <v>23</v>
      </c>
      <c r="G2946" t="s">
        <v>24</v>
      </c>
      <c r="H2946" t="s">
        <v>33</v>
      </c>
      <c r="I2946" t="s">
        <v>45</v>
      </c>
      <c r="J2946" t="s">
        <v>27</v>
      </c>
    </row>
    <row r="2947" spans="1:10">
      <c r="A2947" t="s">
        <v>4332</v>
      </c>
      <c r="B2947" t="s">
        <v>1603</v>
      </c>
      <c r="C2947" t="s">
        <v>2863</v>
      </c>
      <c r="D2947" t="s">
        <v>78</v>
      </c>
      <c r="E2947">
        <v>-41433</v>
      </c>
      <c r="F2947" t="s">
        <v>23</v>
      </c>
      <c r="G2947" t="s">
        <v>32</v>
      </c>
      <c r="H2947" t="s">
        <v>79</v>
      </c>
      <c r="I2947" t="s">
        <v>26</v>
      </c>
      <c r="J2947" t="s">
        <v>40</v>
      </c>
    </row>
    <row r="2948" spans="1:10">
      <c r="A2948" t="s">
        <v>4333</v>
      </c>
      <c r="B2948" t="s">
        <v>4334</v>
      </c>
      <c r="C2948" t="s">
        <v>757</v>
      </c>
      <c r="D2948" t="s">
        <v>157</v>
      </c>
      <c r="E2948">
        <v>519767</v>
      </c>
      <c r="F2948" t="s">
        <v>62</v>
      </c>
      <c r="G2948" t="s">
        <v>32</v>
      </c>
      <c r="H2948" t="s">
        <v>25</v>
      </c>
      <c r="I2948" t="s">
        <v>26</v>
      </c>
      <c r="J2948" t="s">
        <v>34</v>
      </c>
    </row>
    <row r="2949" spans="1:10">
      <c r="A2949" t="s">
        <v>4335</v>
      </c>
      <c r="B2949" t="s">
        <v>842</v>
      </c>
      <c r="C2949" t="s">
        <v>180</v>
      </c>
      <c r="D2949" t="s">
        <v>44</v>
      </c>
      <c r="E2949">
        <v>-128731</v>
      </c>
      <c r="F2949" t="s">
        <v>23</v>
      </c>
      <c r="G2949" t="s">
        <v>32</v>
      </c>
      <c r="H2949" t="s">
        <v>33</v>
      </c>
      <c r="I2949" t="s">
        <v>45</v>
      </c>
      <c r="J2949" t="s">
        <v>40</v>
      </c>
    </row>
    <row r="2950" spans="1:10">
      <c r="A2950" t="s">
        <v>4336</v>
      </c>
      <c r="B2950" t="s">
        <v>691</v>
      </c>
      <c r="C2950" t="s">
        <v>93</v>
      </c>
      <c r="D2950" t="s">
        <v>302</v>
      </c>
      <c r="E2950">
        <v>-80132</v>
      </c>
      <c r="F2950" t="s">
        <v>74</v>
      </c>
      <c r="G2950" t="s">
        <v>32</v>
      </c>
      <c r="H2950" t="s">
        <v>25</v>
      </c>
      <c r="I2950" t="s">
        <v>26</v>
      </c>
      <c r="J2950" t="s">
        <v>34</v>
      </c>
    </row>
    <row r="2951" spans="1:10">
      <c r="A2951" t="s">
        <v>4337</v>
      </c>
      <c r="B2951" t="s">
        <v>1397</v>
      </c>
      <c r="C2951" t="s">
        <v>72</v>
      </c>
      <c r="D2951" t="s">
        <v>302</v>
      </c>
      <c r="E2951">
        <v>-67777</v>
      </c>
      <c r="F2951" t="s">
        <v>74</v>
      </c>
      <c r="G2951" t="s">
        <v>32</v>
      </c>
      <c r="H2951" t="s">
        <v>25</v>
      </c>
      <c r="I2951" t="s">
        <v>45</v>
      </c>
      <c r="J2951" t="s">
        <v>48</v>
      </c>
    </row>
    <row r="2952" spans="1:10">
      <c r="A2952" t="s">
        <v>4338</v>
      </c>
      <c r="B2952" t="s">
        <v>408</v>
      </c>
      <c r="C2952" t="s">
        <v>283</v>
      </c>
      <c r="E2952">
        <v>-146871</v>
      </c>
      <c r="F2952" t="s">
        <v>23</v>
      </c>
      <c r="G2952" t="s">
        <v>32</v>
      </c>
      <c r="H2952" t="s">
        <v>33</v>
      </c>
      <c r="I2952" t="s">
        <v>39</v>
      </c>
      <c r="J2952" t="s">
        <v>27</v>
      </c>
    </row>
    <row r="2953" spans="1:10">
      <c r="A2953" t="s">
        <v>4339</v>
      </c>
      <c r="B2953" t="s">
        <v>1617</v>
      </c>
      <c r="C2953" t="s">
        <v>143</v>
      </c>
      <c r="D2953" t="s">
        <v>78</v>
      </c>
      <c r="E2953">
        <v>-28164</v>
      </c>
      <c r="F2953" t="s">
        <v>23</v>
      </c>
      <c r="G2953" t="s">
        <v>32</v>
      </c>
      <c r="H2953" t="s">
        <v>79</v>
      </c>
      <c r="I2953" t="s">
        <v>45</v>
      </c>
      <c r="J2953" t="s">
        <v>40</v>
      </c>
    </row>
    <row r="2954" spans="1:10">
      <c r="A2954" t="s">
        <v>4340</v>
      </c>
      <c r="B2954" t="s">
        <v>482</v>
      </c>
      <c r="C2954" t="s">
        <v>69</v>
      </c>
      <c r="D2954" t="s">
        <v>38</v>
      </c>
      <c r="E2954">
        <v>-16970</v>
      </c>
      <c r="F2954" t="s">
        <v>23</v>
      </c>
      <c r="G2954" t="s">
        <v>24</v>
      </c>
      <c r="H2954" t="s">
        <v>33</v>
      </c>
      <c r="I2954" t="s">
        <v>45</v>
      </c>
      <c r="J2954" t="s">
        <v>40</v>
      </c>
    </row>
    <row r="2955" spans="1:10">
      <c r="A2955" t="s">
        <v>3580</v>
      </c>
      <c r="B2955" t="s">
        <v>2430</v>
      </c>
      <c r="C2955" t="s">
        <v>166</v>
      </c>
      <c r="D2955" t="s">
        <v>31</v>
      </c>
      <c r="E2955">
        <v>-27173</v>
      </c>
      <c r="F2955" t="s">
        <v>23</v>
      </c>
      <c r="G2955" t="s">
        <v>32</v>
      </c>
      <c r="H2955" t="s">
        <v>33</v>
      </c>
      <c r="I2955" t="s">
        <v>26</v>
      </c>
      <c r="J2955" t="s">
        <v>34</v>
      </c>
    </row>
    <row r="2956" spans="1:10">
      <c r="A2956" t="s">
        <v>4341</v>
      </c>
      <c r="B2956" t="s">
        <v>4342</v>
      </c>
      <c r="C2956" t="s">
        <v>169</v>
      </c>
      <c r="D2956" t="s">
        <v>73</v>
      </c>
      <c r="E2956">
        <v>-23615</v>
      </c>
      <c r="F2956" t="s">
        <v>74</v>
      </c>
      <c r="G2956" t="s">
        <v>32</v>
      </c>
      <c r="H2956" t="s">
        <v>25</v>
      </c>
      <c r="I2956" t="s">
        <v>26</v>
      </c>
      <c r="J2956" t="s">
        <v>27</v>
      </c>
    </row>
    <row r="2957" spans="1:10">
      <c r="A2957" t="s">
        <v>4343</v>
      </c>
      <c r="B2957" t="s">
        <v>2381</v>
      </c>
      <c r="C2957" t="s">
        <v>317</v>
      </c>
      <c r="D2957" t="s">
        <v>465</v>
      </c>
      <c r="E2957">
        <v>-108216</v>
      </c>
      <c r="F2957" t="s">
        <v>23</v>
      </c>
      <c r="G2957" t="s">
        <v>24</v>
      </c>
      <c r="H2957" t="s">
        <v>33</v>
      </c>
      <c r="I2957" t="s">
        <v>45</v>
      </c>
      <c r="J2957" t="s">
        <v>40</v>
      </c>
    </row>
    <row r="2958" spans="1:10">
      <c r="A2958" t="s">
        <v>2861</v>
      </c>
      <c r="B2958" t="s">
        <v>1199</v>
      </c>
      <c r="C2958" t="s">
        <v>293</v>
      </c>
      <c r="D2958" t="s">
        <v>157</v>
      </c>
      <c r="E2958">
        <v>493640</v>
      </c>
      <c r="F2958" t="s">
        <v>62</v>
      </c>
      <c r="G2958" t="s">
        <v>32</v>
      </c>
      <c r="H2958" t="s">
        <v>25</v>
      </c>
      <c r="I2958" t="s">
        <v>26</v>
      </c>
      <c r="J2958" t="s">
        <v>34</v>
      </c>
    </row>
    <row r="2959" spans="1:10">
      <c r="A2959" t="s">
        <v>4344</v>
      </c>
      <c r="B2959" t="s">
        <v>1496</v>
      </c>
      <c r="C2959" t="s">
        <v>305</v>
      </c>
      <c r="D2959" t="s">
        <v>38</v>
      </c>
      <c r="E2959">
        <v>-11752</v>
      </c>
      <c r="F2959" t="s">
        <v>23</v>
      </c>
      <c r="G2959" t="s">
        <v>24</v>
      </c>
      <c r="H2959" t="s">
        <v>33</v>
      </c>
      <c r="I2959" t="s">
        <v>45</v>
      </c>
      <c r="J2959" t="s">
        <v>34</v>
      </c>
    </row>
    <row r="2960" spans="1:10">
      <c r="A2960" t="s">
        <v>4345</v>
      </c>
      <c r="B2960" t="s">
        <v>2654</v>
      </c>
      <c r="C2960" t="s">
        <v>60</v>
      </c>
      <c r="D2960" t="s">
        <v>61</v>
      </c>
      <c r="E2960">
        <v>-54248</v>
      </c>
      <c r="F2960" t="s">
        <v>62</v>
      </c>
      <c r="G2960" t="s">
        <v>24</v>
      </c>
      <c r="H2960" t="s">
        <v>63</v>
      </c>
      <c r="I2960" t="s">
        <v>26</v>
      </c>
      <c r="J2960" t="s">
        <v>34</v>
      </c>
    </row>
    <row r="2961" spans="1:10">
      <c r="A2961" t="s">
        <v>4346</v>
      </c>
      <c r="B2961" t="s">
        <v>211</v>
      </c>
      <c r="C2961" t="s">
        <v>757</v>
      </c>
      <c r="D2961" t="s">
        <v>157</v>
      </c>
      <c r="E2961">
        <v>626320</v>
      </c>
      <c r="F2961" t="s">
        <v>62</v>
      </c>
      <c r="G2961" t="s">
        <v>32</v>
      </c>
      <c r="H2961" t="s">
        <v>25</v>
      </c>
      <c r="I2961" t="s">
        <v>45</v>
      </c>
      <c r="J2961" t="s">
        <v>48</v>
      </c>
    </row>
    <row r="2962" spans="1:10">
      <c r="A2962" t="s">
        <v>4347</v>
      </c>
      <c r="B2962" t="s">
        <v>1172</v>
      </c>
      <c r="C2962" t="s">
        <v>60</v>
      </c>
      <c r="D2962" t="s">
        <v>61</v>
      </c>
      <c r="E2962">
        <v>-56126</v>
      </c>
      <c r="F2962" t="s">
        <v>62</v>
      </c>
      <c r="G2962" t="s">
        <v>32</v>
      </c>
      <c r="H2962" t="s">
        <v>63</v>
      </c>
      <c r="I2962" t="s">
        <v>45</v>
      </c>
      <c r="J2962" t="s">
        <v>27</v>
      </c>
    </row>
    <row r="2963" spans="1:10">
      <c r="A2963" t="s">
        <v>4348</v>
      </c>
      <c r="B2963" t="s">
        <v>403</v>
      </c>
      <c r="C2963" t="s">
        <v>116</v>
      </c>
      <c r="D2963" t="s">
        <v>73</v>
      </c>
      <c r="E2963">
        <v>-93799</v>
      </c>
      <c r="F2963" t="s">
        <v>74</v>
      </c>
      <c r="G2963" t="s">
        <v>32</v>
      </c>
      <c r="H2963" t="s">
        <v>25</v>
      </c>
      <c r="I2963" t="s">
        <v>45</v>
      </c>
      <c r="J2963" t="s">
        <v>40</v>
      </c>
    </row>
    <row r="2964" spans="1:10">
      <c r="A2964" t="s">
        <v>4349</v>
      </c>
      <c r="B2964" t="s">
        <v>3293</v>
      </c>
      <c r="C2964" t="s">
        <v>143</v>
      </c>
      <c r="D2964" t="s">
        <v>78</v>
      </c>
      <c r="E2964">
        <v>-22122</v>
      </c>
      <c r="F2964" t="s">
        <v>23</v>
      </c>
      <c r="G2964" t="s">
        <v>24</v>
      </c>
      <c r="H2964" t="s">
        <v>79</v>
      </c>
      <c r="I2964" t="s">
        <v>26</v>
      </c>
      <c r="J2964" t="s">
        <v>27</v>
      </c>
    </row>
    <row r="2965" spans="1:10">
      <c r="A2965" t="s">
        <v>4350</v>
      </c>
      <c r="B2965" t="s">
        <v>856</v>
      </c>
      <c r="C2965" t="s">
        <v>935</v>
      </c>
      <c r="D2965" t="s">
        <v>331</v>
      </c>
      <c r="E2965">
        <v>-102975</v>
      </c>
      <c r="F2965" t="s">
        <v>23</v>
      </c>
      <c r="G2965" t="s">
        <v>32</v>
      </c>
      <c r="H2965" t="s">
        <v>25</v>
      </c>
      <c r="I2965" t="s">
        <v>26</v>
      </c>
      <c r="J2965" t="s">
        <v>34</v>
      </c>
    </row>
    <row r="2966" spans="1:10">
      <c r="A2966" t="s">
        <v>4351</v>
      </c>
      <c r="B2966" t="s">
        <v>1343</v>
      </c>
      <c r="C2966" t="s">
        <v>60</v>
      </c>
      <c r="D2966" t="s">
        <v>61</v>
      </c>
      <c r="E2966">
        <v>-33160</v>
      </c>
      <c r="F2966" t="s">
        <v>62</v>
      </c>
      <c r="G2966" t="s">
        <v>32</v>
      </c>
      <c r="H2966" t="s">
        <v>63</v>
      </c>
      <c r="I2966" t="s">
        <v>45</v>
      </c>
      <c r="J2966" t="s">
        <v>48</v>
      </c>
    </row>
    <row r="2967" spans="1:10">
      <c r="A2967" t="s">
        <v>4352</v>
      </c>
      <c r="B2967" t="s">
        <v>4289</v>
      </c>
      <c r="C2967" t="s">
        <v>4353</v>
      </c>
      <c r="D2967" t="s">
        <v>136</v>
      </c>
      <c r="E2967">
        <v>-10351516</v>
      </c>
      <c r="F2967" t="s">
        <v>62</v>
      </c>
      <c r="G2967" t="s">
        <v>32</v>
      </c>
      <c r="H2967" t="s">
        <v>63</v>
      </c>
      <c r="I2967" t="s">
        <v>39</v>
      </c>
      <c r="J2967" t="s">
        <v>34</v>
      </c>
    </row>
    <row r="2968" spans="1:10">
      <c r="A2968" t="s">
        <v>4354</v>
      </c>
      <c r="B2968" t="s">
        <v>754</v>
      </c>
      <c r="C2968" t="s">
        <v>84</v>
      </c>
      <c r="D2968" t="s">
        <v>78</v>
      </c>
      <c r="E2968">
        <v>-92717</v>
      </c>
      <c r="F2968" t="s">
        <v>23</v>
      </c>
      <c r="G2968" t="s">
        <v>24</v>
      </c>
      <c r="H2968" t="s">
        <v>79</v>
      </c>
      <c r="I2968" t="s">
        <v>45</v>
      </c>
      <c r="J2968" t="s">
        <v>27</v>
      </c>
    </row>
    <row r="2969" spans="1:10">
      <c r="A2969" t="s">
        <v>4355</v>
      </c>
      <c r="B2969" t="s">
        <v>289</v>
      </c>
      <c r="C2969" t="s">
        <v>37</v>
      </c>
      <c r="D2969" t="s">
        <v>38</v>
      </c>
      <c r="E2969">
        <v>-27007</v>
      </c>
      <c r="F2969" t="s">
        <v>23</v>
      </c>
      <c r="G2969" t="s">
        <v>24</v>
      </c>
      <c r="H2969" t="s">
        <v>33</v>
      </c>
      <c r="I2969" t="s">
        <v>45</v>
      </c>
      <c r="J2969" t="s">
        <v>40</v>
      </c>
    </row>
    <row r="2970" spans="1:10">
      <c r="A2970" t="s">
        <v>4356</v>
      </c>
      <c r="B2970" t="s">
        <v>1746</v>
      </c>
      <c r="C2970" t="s">
        <v>69</v>
      </c>
      <c r="D2970" t="s">
        <v>38</v>
      </c>
      <c r="E2970">
        <v>-13903</v>
      </c>
      <c r="F2970" t="s">
        <v>23</v>
      </c>
      <c r="G2970" t="s">
        <v>24</v>
      </c>
      <c r="H2970" t="s">
        <v>33</v>
      </c>
      <c r="I2970" t="s">
        <v>26</v>
      </c>
      <c r="J2970" t="s">
        <v>40</v>
      </c>
    </row>
    <row r="2971" spans="1:10">
      <c r="A2971" t="s">
        <v>1552</v>
      </c>
      <c r="B2971" t="s">
        <v>1553</v>
      </c>
      <c r="C2971" t="s">
        <v>103</v>
      </c>
      <c r="D2971" t="s">
        <v>78</v>
      </c>
      <c r="E2971">
        <v>-117029</v>
      </c>
      <c r="F2971" t="s">
        <v>23</v>
      </c>
      <c r="G2971" t="s">
        <v>32</v>
      </c>
      <c r="H2971" t="s">
        <v>79</v>
      </c>
      <c r="I2971" t="s">
        <v>26</v>
      </c>
      <c r="J2971" t="s">
        <v>34</v>
      </c>
    </row>
    <row r="2972" spans="1:10">
      <c r="A2972" t="s">
        <v>4357</v>
      </c>
      <c r="B2972" t="s">
        <v>848</v>
      </c>
      <c r="C2972" t="s">
        <v>90</v>
      </c>
      <c r="D2972" t="s">
        <v>111</v>
      </c>
      <c r="E2972">
        <v>-87432</v>
      </c>
      <c r="F2972" t="s">
        <v>74</v>
      </c>
      <c r="G2972" t="s">
        <v>32</v>
      </c>
      <c r="H2972" t="s">
        <v>25</v>
      </c>
      <c r="I2972" t="s">
        <v>45</v>
      </c>
      <c r="J2972" t="s">
        <v>34</v>
      </c>
    </row>
    <row r="2973" spans="1:10">
      <c r="A2973" t="s">
        <v>4358</v>
      </c>
      <c r="B2973" t="s">
        <v>3071</v>
      </c>
      <c r="C2973" t="s">
        <v>69</v>
      </c>
      <c r="D2973" t="s">
        <v>38</v>
      </c>
      <c r="E2973">
        <v>-16840</v>
      </c>
      <c r="F2973" t="s">
        <v>23</v>
      </c>
      <c r="G2973" t="s">
        <v>24</v>
      </c>
      <c r="H2973" t="s">
        <v>33</v>
      </c>
      <c r="I2973" t="s">
        <v>39</v>
      </c>
      <c r="J2973" t="s">
        <v>27</v>
      </c>
    </row>
    <row r="2974" spans="1:10">
      <c r="A2974" t="s">
        <v>4359</v>
      </c>
      <c r="B2974" t="s">
        <v>1141</v>
      </c>
      <c r="C2974" t="s">
        <v>935</v>
      </c>
      <c r="D2974" t="s">
        <v>22</v>
      </c>
      <c r="E2974">
        <v>-158682</v>
      </c>
      <c r="F2974" t="s">
        <v>23</v>
      </c>
      <c r="G2974" t="s">
        <v>24</v>
      </c>
      <c r="H2974" t="s">
        <v>25</v>
      </c>
      <c r="I2974" t="s">
        <v>26</v>
      </c>
      <c r="J2974" t="s">
        <v>40</v>
      </c>
    </row>
    <row r="2975" spans="1:10">
      <c r="A2975" t="s">
        <v>4360</v>
      </c>
      <c r="B2975" t="s">
        <v>866</v>
      </c>
      <c r="C2975" t="s">
        <v>192</v>
      </c>
      <c r="D2975" t="s">
        <v>22</v>
      </c>
      <c r="E2975">
        <v>-162547</v>
      </c>
      <c r="F2975" t="s">
        <v>23</v>
      </c>
      <c r="G2975" t="s">
        <v>32</v>
      </c>
      <c r="H2975" t="s">
        <v>25</v>
      </c>
      <c r="I2975" t="s">
        <v>45</v>
      </c>
      <c r="J2975" t="s">
        <v>40</v>
      </c>
    </row>
    <row r="2976" spans="1:10">
      <c r="A2976" t="s">
        <v>4361</v>
      </c>
      <c r="B2976" t="s">
        <v>1415</v>
      </c>
      <c r="C2976" t="s">
        <v>60</v>
      </c>
      <c r="D2976" t="s">
        <v>61</v>
      </c>
      <c r="E2976">
        <v>-25743</v>
      </c>
      <c r="F2976" t="s">
        <v>62</v>
      </c>
      <c r="G2976" t="s">
        <v>32</v>
      </c>
      <c r="H2976" t="s">
        <v>63</v>
      </c>
      <c r="I2976" t="s">
        <v>26</v>
      </c>
      <c r="J2976" t="s">
        <v>48</v>
      </c>
    </row>
    <row r="2977" spans="1:10">
      <c r="A2977" t="s">
        <v>4362</v>
      </c>
      <c r="B2977" t="s">
        <v>3435</v>
      </c>
      <c r="C2977" t="s">
        <v>687</v>
      </c>
      <c r="D2977" t="s">
        <v>44</v>
      </c>
      <c r="E2977">
        <v>-53198</v>
      </c>
      <c r="F2977" t="s">
        <v>23</v>
      </c>
      <c r="G2977" t="s">
        <v>24</v>
      </c>
      <c r="H2977" t="s">
        <v>33</v>
      </c>
      <c r="I2977" t="s">
        <v>26</v>
      </c>
      <c r="J2977" t="s">
        <v>34</v>
      </c>
    </row>
    <row r="2978" spans="1:10">
      <c r="A2978" t="s">
        <v>4363</v>
      </c>
      <c r="B2978" t="s">
        <v>2174</v>
      </c>
      <c r="C2978" t="s">
        <v>255</v>
      </c>
      <c r="D2978" t="s">
        <v>207</v>
      </c>
      <c r="E2978">
        <v>-20692</v>
      </c>
      <c r="F2978" t="s">
        <v>23</v>
      </c>
      <c r="G2978" t="s">
        <v>32</v>
      </c>
      <c r="H2978" t="s">
        <v>25</v>
      </c>
      <c r="I2978" t="s">
        <v>26</v>
      </c>
      <c r="J2978" t="s">
        <v>27</v>
      </c>
    </row>
    <row r="2979" spans="1:10">
      <c r="A2979" t="s">
        <v>4364</v>
      </c>
      <c r="B2979" t="s">
        <v>3071</v>
      </c>
      <c r="C2979" t="s">
        <v>2734</v>
      </c>
      <c r="D2979" t="s">
        <v>22</v>
      </c>
      <c r="E2979">
        <v>-131737</v>
      </c>
      <c r="F2979" t="s">
        <v>23</v>
      </c>
      <c r="G2979" t="s">
        <v>24</v>
      </c>
      <c r="H2979" t="s">
        <v>25</v>
      </c>
      <c r="I2979" t="s">
        <v>39</v>
      </c>
      <c r="J2979" t="s">
        <v>27</v>
      </c>
    </row>
    <row r="2980" spans="1:10">
      <c r="A2980" t="s">
        <v>4365</v>
      </c>
      <c r="B2980" t="s">
        <v>195</v>
      </c>
      <c r="C2980" t="s">
        <v>156</v>
      </c>
      <c r="D2980" t="s">
        <v>157</v>
      </c>
      <c r="E2980">
        <v>671908</v>
      </c>
      <c r="F2980" t="s">
        <v>62</v>
      </c>
      <c r="G2980" t="s">
        <v>32</v>
      </c>
      <c r="H2980" t="s">
        <v>25</v>
      </c>
      <c r="I2980" t="s">
        <v>39</v>
      </c>
      <c r="J2980" t="s">
        <v>27</v>
      </c>
    </row>
    <row r="2981" spans="1:10">
      <c r="A2981" t="s">
        <v>4366</v>
      </c>
      <c r="B2981" t="s">
        <v>689</v>
      </c>
      <c r="C2981" t="s">
        <v>54</v>
      </c>
      <c r="D2981" t="s">
        <v>38</v>
      </c>
      <c r="E2981">
        <v>-54432</v>
      </c>
      <c r="F2981" t="s">
        <v>23</v>
      </c>
      <c r="G2981" t="s">
        <v>24</v>
      </c>
      <c r="H2981" t="s">
        <v>33</v>
      </c>
      <c r="I2981" t="s">
        <v>45</v>
      </c>
      <c r="J2981" t="s">
        <v>40</v>
      </c>
    </row>
    <row r="2982" spans="1:10">
      <c r="A2982" t="s">
        <v>4367</v>
      </c>
      <c r="B2982" t="s">
        <v>276</v>
      </c>
      <c r="C2982" t="s">
        <v>339</v>
      </c>
      <c r="D2982" t="s">
        <v>157</v>
      </c>
      <c r="E2982">
        <v>688425</v>
      </c>
      <c r="F2982" t="s">
        <v>62</v>
      </c>
      <c r="G2982" t="s">
        <v>32</v>
      </c>
      <c r="H2982" t="s">
        <v>25</v>
      </c>
      <c r="I2982" t="s">
        <v>39</v>
      </c>
      <c r="J2982" t="s">
        <v>34</v>
      </c>
    </row>
    <row r="2983" spans="1:10">
      <c r="A2983" t="s">
        <v>4368</v>
      </c>
      <c r="B2983" t="s">
        <v>1738</v>
      </c>
      <c r="C2983" t="s">
        <v>439</v>
      </c>
      <c r="E2983">
        <v>-157991</v>
      </c>
      <c r="F2983" t="s">
        <v>23</v>
      </c>
      <c r="G2983" t="s">
        <v>32</v>
      </c>
      <c r="H2983" t="s">
        <v>33</v>
      </c>
      <c r="I2983" t="s">
        <v>39</v>
      </c>
      <c r="J2983" t="s">
        <v>48</v>
      </c>
    </row>
    <row r="2984" spans="1:10">
      <c r="A2984" t="s">
        <v>4369</v>
      </c>
      <c r="B2984" t="s">
        <v>1003</v>
      </c>
      <c r="C2984" t="s">
        <v>687</v>
      </c>
      <c r="D2984" t="s">
        <v>44</v>
      </c>
      <c r="E2984">
        <v>-108546</v>
      </c>
      <c r="F2984" t="s">
        <v>23</v>
      </c>
      <c r="G2984" t="s">
        <v>32</v>
      </c>
      <c r="H2984" t="s">
        <v>33</v>
      </c>
      <c r="I2984" t="s">
        <v>45</v>
      </c>
      <c r="J2984" t="s">
        <v>34</v>
      </c>
    </row>
    <row r="2985" spans="1:10">
      <c r="A2985" t="s">
        <v>4370</v>
      </c>
      <c r="B2985" t="s">
        <v>992</v>
      </c>
      <c r="C2985" t="s">
        <v>51</v>
      </c>
      <c r="D2985" t="s">
        <v>31</v>
      </c>
      <c r="E2985">
        <v>-31415</v>
      </c>
      <c r="F2985" t="s">
        <v>23</v>
      </c>
      <c r="G2985" t="s">
        <v>24</v>
      </c>
      <c r="H2985" t="s">
        <v>33</v>
      </c>
      <c r="I2985" t="s">
        <v>26</v>
      </c>
      <c r="J2985" t="s">
        <v>27</v>
      </c>
    </row>
    <row r="2986" spans="1:10">
      <c r="A2986" t="s">
        <v>4371</v>
      </c>
      <c r="B2986" t="s">
        <v>3183</v>
      </c>
      <c r="C2986" t="s">
        <v>4372</v>
      </c>
      <c r="D2986" t="s">
        <v>136</v>
      </c>
      <c r="E2986">
        <v>-10422415</v>
      </c>
      <c r="F2986" t="s">
        <v>62</v>
      </c>
      <c r="G2986" t="s">
        <v>32</v>
      </c>
      <c r="H2986" t="s">
        <v>63</v>
      </c>
      <c r="I2986" t="s">
        <v>26</v>
      </c>
      <c r="J2986" t="s">
        <v>48</v>
      </c>
    </row>
    <row r="2987" spans="1:10">
      <c r="A2987" t="s">
        <v>4373</v>
      </c>
      <c r="B2987" t="s">
        <v>633</v>
      </c>
      <c r="C2987" t="s">
        <v>345</v>
      </c>
      <c r="D2987" t="s">
        <v>22</v>
      </c>
      <c r="E2987">
        <v>-129716</v>
      </c>
      <c r="F2987" t="s">
        <v>23</v>
      </c>
      <c r="G2987" t="s">
        <v>32</v>
      </c>
      <c r="H2987" t="s">
        <v>25</v>
      </c>
      <c r="I2987" t="s">
        <v>45</v>
      </c>
      <c r="J2987" t="s">
        <v>48</v>
      </c>
    </row>
    <row r="2988" spans="1:10">
      <c r="A2988" t="s">
        <v>4374</v>
      </c>
      <c r="B2988" t="s">
        <v>4375</v>
      </c>
      <c r="C2988" t="s">
        <v>215</v>
      </c>
      <c r="D2988" t="s">
        <v>61</v>
      </c>
      <c r="E2988">
        <v>-24185</v>
      </c>
      <c r="F2988" t="s">
        <v>62</v>
      </c>
      <c r="G2988" t="s">
        <v>24</v>
      </c>
      <c r="H2988" t="s">
        <v>63</v>
      </c>
      <c r="I2988" t="s">
        <v>39</v>
      </c>
      <c r="J2988" t="s">
        <v>27</v>
      </c>
    </row>
    <row r="2989" spans="1:10">
      <c r="A2989" t="s">
        <v>4376</v>
      </c>
      <c r="B2989" t="s">
        <v>211</v>
      </c>
      <c r="C2989" t="s">
        <v>616</v>
      </c>
      <c r="D2989" t="s">
        <v>22</v>
      </c>
      <c r="E2989">
        <v>-62066</v>
      </c>
      <c r="F2989" t="s">
        <v>23</v>
      </c>
      <c r="G2989" t="s">
        <v>32</v>
      </c>
      <c r="H2989" t="s">
        <v>25</v>
      </c>
      <c r="I2989" t="s">
        <v>45</v>
      </c>
      <c r="J2989" t="s">
        <v>48</v>
      </c>
    </row>
    <row r="2990" spans="1:10">
      <c r="A2990" t="s">
        <v>4377</v>
      </c>
      <c r="B2990" t="s">
        <v>1707</v>
      </c>
      <c r="C2990" t="s">
        <v>93</v>
      </c>
      <c r="D2990" t="s">
        <v>187</v>
      </c>
      <c r="E2990">
        <v>-9162</v>
      </c>
      <c r="F2990" t="s">
        <v>74</v>
      </c>
      <c r="G2990" t="s">
        <v>32</v>
      </c>
      <c r="H2990" t="s">
        <v>25</v>
      </c>
      <c r="I2990" t="s">
        <v>45</v>
      </c>
      <c r="J2990" t="s">
        <v>40</v>
      </c>
    </row>
    <row r="2991" spans="1:10">
      <c r="A2991" t="s">
        <v>4378</v>
      </c>
      <c r="B2991" t="s">
        <v>2292</v>
      </c>
      <c r="C2991" t="s">
        <v>2752</v>
      </c>
      <c r="D2991" t="s">
        <v>78</v>
      </c>
      <c r="E2991">
        <v>-64998</v>
      </c>
      <c r="F2991" t="s">
        <v>23</v>
      </c>
      <c r="G2991" t="s">
        <v>32</v>
      </c>
      <c r="H2991" t="s">
        <v>79</v>
      </c>
      <c r="I2991" t="s">
        <v>45</v>
      </c>
      <c r="J2991" t="s">
        <v>27</v>
      </c>
    </row>
    <row r="2992" spans="1:10">
      <c r="A2992" t="s">
        <v>4379</v>
      </c>
      <c r="B2992" t="s">
        <v>2274</v>
      </c>
      <c r="C2992" t="s">
        <v>51</v>
      </c>
      <c r="D2992" t="s">
        <v>31</v>
      </c>
      <c r="E2992">
        <v>-9508</v>
      </c>
      <c r="F2992" t="s">
        <v>23</v>
      </c>
      <c r="G2992" t="s">
        <v>24</v>
      </c>
      <c r="H2992" t="s">
        <v>33</v>
      </c>
      <c r="I2992" t="s">
        <v>45</v>
      </c>
      <c r="J2992" t="s">
        <v>48</v>
      </c>
    </row>
    <row r="2993" spans="1:10">
      <c r="A2993" t="s">
        <v>4380</v>
      </c>
      <c r="B2993" t="s">
        <v>4222</v>
      </c>
      <c r="C2993" t="s">
        <v>60</v>
      </c>
      <c r="D2993" t="s">
        <v>61</v>
      </c>
      <c r="E2993">
        <v>-15399</v>
      </c>
      <c r="F2993" t="s">
        <v>62</v>
      </c>
      <c r="G2993" t="s">
        <v>24</v>
      </c>
      <c r="H2993" t="s">
        <v>63</v>
      </c>
      <c r="I2993" t="s">
        <v>45</v>
      </c>
      <c r="J2993" t="s">
        <v>34</v>
      </c>
    </row>
    <row r="2994" spans="1:10">
      <c r="A2994" t="s">
        <v>4381</v>
      </c>
      <c r="B2994" t="s">
        <v>1212</v>
      </c>
      <c r="C2994" t="s">
        <v>293</v>
      </c>
      <c r="D2994" t="s">
        <v>157</v>
      </c>
      <c r="E2994">
        <v>690756</v>
      </c>
      <c r="F2994" t="s">
        <v>62</v>
      </c>
      <c r="G2994" t="s">
        <v>32</v>
      </c>
      <c r="H2994" t="s">
        <v>25</v>
      </c>
      <c r="I2994" t="s">
        <v>39</v>
      </c>
      <c r="J2994" t="s">
        <v>34</v>
      </c>
    </row>
    <row r="2995" spans="1:10">
      <c r="A2995" t="s">
        <v>4382</v>
      </c>
      <c r="B2995" t="s">
        <v>1750</v>
      </c>
      <c r="C2995" t="s">
        <v>2258</v>
      </c>
      <c r="D2995" t="s">
        <v>38</v>
      </c>
      <c r="E2995">
        <v>-54902</v>
      </c>
      <c r="F2995" t="s">
        <v>23</v>
      </c>
      <c r="G2995" t="s">
        <v>32</v>
      </c>
      <c r="H2995" t="s">
        <v>33</v>
      </c>
      <c r="I2995" t="s">
        <v>26</v>
      </c>
      <c r="J2995" t="s">
        <v>27</v>
      </c>
    </row>
    <row r="2996" spans="1:10">
      <c r="A2996" t="s">
        <v>4383</v>
      </c>
      <c r="B2996" t="s">
        <v>280</v>
      </c>
      <c r="C2996" t="s">
        <v>129</v>
      </c>
      <c r="D2996" t="s">
        <v>38</v>
      </c>
      <c r="E2996">
        <v>-17300</v>
      </c>
      <c r="F2996" t="s">
        <v>23</v>
      </c>
      <c r="G2996" t="s">
        <v>24</v>
      </c>
      <c r="H2996" t="s">
        <v>33</v>
      </c>
      <c r="I2996" t="s">
        <v>39</v>
      </c>
      <c r="J2996" t="s">
        <v>48</v>
      </c>
    </row>
    <row r="2997" spans="1:10">
      <c r="A2997" t="s">
        <v>4384</v>
      </c>
      <c r="B2997" t="s">
        <v>118</v>
      </c>
      <c r="C2997" t="s">
        <v>616</v>
      </c>
      <c r="D2997" t="s">
        <v>22</v>
      </c>
      <c r="E2997">
        <v>-76874</v>
      </c>
      <c r="F2997" t="s">
        <v>23</v>
      </c>
      <c r="G2997" t="s">
        <v>32</v>
      </c>
      <c r="H2997" t="s">
        <v>25</v>
      </c>
      <c r="I2997" t="s">
        <v>45</v>
      </c>
      <c r="J2997" t="s">
        <v>40</v>
      </c>
    </row>
    <row r="2998" spans="1:10">
      <c r="A2998" t="s">
        <v>4385</v>
      </c>
      <c r="B2998" t="s">
        <v>1550</v>
      </c>
      <c r="C2998" t="s">
        <v>129</v>
      </c>
      <c r="D2998" t="s">
        <v>38</v>
      </c>
      <c r="E2998">
        <v>-33374</v>
      </c>
      <c r="F2998" t="s">
        <v>23</v>
      </c>
      <c r="G2998" t="s">
        <v>24</v>
      </c>
      <c r="H2998" t="s">
        <v>33</v>
      </c>
      <c r="I2998" t="s">
        <v>39</v>
      </c>
      <c r="J2998" t="s">
        <v>34</v>
      </c>
    </row>
    <row r="2999" spans="1:10">
      <c r="A2999" t="s">
        <v>4386</v>
      </c>
      <c r="B2999" t="s">
        <v>807</v>
      </c>
      <c r="C2999" t="s">
        <v>224</v>
      </c>
      <c r="D2999" t="s">
        <v>371</v>
      </c>
      <c r="E2999">
        <v>-101495</v>
      </c>
      <c r="F2999" t="s">
        <v>23</v>
      </c>
      <c r="G2999" t="s">
        <v>24</v>
      </c>
      <c r="H2999" t="s">
        <v>79</v>
      </c>
      <c r="I2999" t="s">
        <v>39</v>
      </c>
      <c r="J2999" t="s">
        <v>40</v>
      </c>
    </row>
    <row r="3000" spans="1:10">
      <c r="A3000" t="s">
        <v>4387</v>
      </c>
      <c r="B3000" t="s">
        <v>4388</v>
      </c>
      <c r="C3000" t="s">
        <v>212</v>
      </c>
      <c r="D3000" t="s">
        <v>73</v>
      </c>
      <c r="E3000">
        <v>-12784</v>
      </c>
      <c r="F3000" t="s">
        <v>74</v>
      </c>
      <c r="G3000" t="s">
        <v>32</v>
      </c>
      <c r="H3000" t="s">
        <v>25</v>
      </c>
      <c r="I3000" t="s">
        <v>39</v>
      </c>
      <c r="J3000" t="s">
        <v>27</v>
      </c>
    </row>
    <row r="3001" spans="1:10">
      <c r="A3001" t="s">
        <v>4389</v>
      </c>
      <c r="B3001" t="s">
        <v>4390</v>
      </c>
      <c r="C3001" t="s">
        <v>72</v>
      </c>
      <c r="D3001" t="s">
        <v>73</v>
      </c>
      <c r="E3001">
        <v>-51081</v>
      </c>
      <c r="F3001" t="s">
        <v>74</v>
      </c>
      <c r="G3001" t="s">
        <v>32</v>
      </c>
      <c r="H3001" t="s">
        <v>25</v>
      </c>
      <c r="I3001" t="s">
        <v>45</v>
      </c>
      <c r="J3001" t="s">
        <v>40</v>
      </c>
    </row>
    <row r="3002" spans="1:10">
      <c r="A3002" t="s">
        <v>4391</v>
      </c>
      <c r="B3002" t="s">
        <v>821</v>
      </c>
      <c r="C3002" t="s">
        <v>166</v>
      </c>
      <c r="D3002" t="s">
        <v>31</v>
      </c>
      <c r="E3002">
        <v>-17382</v>
      </c>
      <c r="F3002" t="s">
        <v>23</v>
      </c>
      <c r="G3002" t="s">
        <v>24</v>
      </c>
      <c r="H3002" t="s">
        <v>33</v>
      </c>
      <c r="I3002" t="s">
        <v>45</v>
      </c>
      <c r="J3002" t="s">
        <v>34</v>
      </c>
    </row>
    <row r="3003" spans="1:10">
      <c r="A3003" t="s">
        <v>4392</v>
      </c>
      <c r="B3003" t="s">
        <v>324</v>
      </c>
      <c r="C3003" t="s">
        <v>54</v>
      </c>
      <c r="D3003" t="s">
        <v>38</v>
      </c>
      <c r="E3003">
        <v>-44819</v>
      </c>
      <c r="F3003" t="s">
        <v>23</v>
      </c>
      <c r="G3003" t="s">
        <v>24</v>
      </c>
      <c r="H3003" t="s">
        <v>33</v>
      </c>
      <c r="I3003" t="s">
        <v>26</v>
      </c>
      <c r="J3003" t="s">
        <v>34</v>
      </c>
    </row>
    <row r="3004" spans="1:10">
      <c r="A3004" t="s">
        <v>4393</v>
      </c>
      <c r="B3004" t="s">
        <v>1351</v>
      </c>
      <c r="C3004" t="s">
        <v>166</v>
      </c>
      <c r="D3004" t="s">
        <v>31</v>
      </c>
      <c r="E3004">
        <v>-30160</v>
      </c>
      <c r="F3004" t="s">
        <v>23</v>
      </c>
      <c r="G3004" t="s">
        <v>32</v>
      </c>
      <c r="H3004" t="s">
        <v>33</v>
      </c>
      <c r="I3004" t="s">
        <v>45</v>
      </c>
      <c r="J3004" t="s">
        <v>48</v>
      </c>
    </row>
    <row r="3005" spans="1:10">
      <c r="A3005" t="s">
        <v>4394</v>
      </c>
      <c r="B3005" t="s">
        <v>304</v>
      </c>
      <c r="C3005" t="s">
        <v>439</v>
      </c>
      <c r="D3005" t="s">
        <v>440</v>
      </c>
      <c r="E3005">
        <v>-104172</v>
      </c>
      <c r="F3005" t="s">
        <v>23</v>
      </c>
      <c r="G3005" t="s">
        <v>32</v>
      </c>
      <c r="H3005" t="s">
        <v>33</v>
      </c>
      <c r="I3005" t="s">
        <v>26</v>
      </c>
      <c r="J3005" t="s">
        <v>40</v>
      </c>
    </row>
    <row r="3006" spans="1:10">
      <c r="A3006" t="s">
        <v>4395</v>
      </c>
      <c r="B3006" t="s">
        <v>1735</v>
      </c>
      <c r="C3006" t="s">
        <v>37</v>
      </c>
      <c r="D3006" t="s">
        <v>38</v>
      </c>
      <c r="E3006">
        <v>-28341</v>
      </c>
      <c r="F3006" t="s">
        <v>23</v>
      </c>
      <c r="G3006" t="s">
        <v>32</v>
      </c>
      <c r="H3006" t="s">
        <v>33</v>
      </c>
      <c r="I3006" t="s">
        <v>26</v>
      </c>
      <c r="J3006" t="s">
        <v>48</v>
      </c>
    </row>
    <row r="3007" spans="1:10">
      <c r="A3007" t="s">
        <v>4396</v>
      </c>
      <c r="B3007" t="s">
        <v>1069</v>
      </c>
      <c r="C3007" t="s">
        <v>37</v>
      </c>
      <c r="D3007" t="s">
        <v>38</v>
      </c>
      <c r="E3007">
        <v>-42730</v>
      </c>
      <c r="F3007" t="s">
        <v>23</v>
      </c>
      <c r="G3007" t="s">
        <v>32</v>
      </c>
      <c r="H3007" t="s">
        <v>33</v>
      </c>
      <c r="I3007" t="s">
        <v>39</v>
      </c>
      <c r="J3007" t="s">
        <v>40</v>
      </c>
    </row>
    <row r="3008" spans="1:10">
      <c r="A3008" t="s">
        <v>4397</v>
      </c>
      <c r="B3008" t="s">
        <v>342</v>
      </c>
      <c r="C3008" t="s">
        <v>66</v>
      </c>
      <c r="D3008" t="s">
        <v>61</v>
      </c>
      <c r="E3008">
        <v>-47901</v>
      </c>
      <c r="F3008" t="s">
        <v>62</v>
      </c>
      <c r="G3008" t="s">
        <v>32</v>
      </c>
      <c r="H3008" t="s">
        <v>63</v>
      </c>
      <c r="I3008" t="s">
        <v>26</v>
      </c>
      <c r="J3008" t="s">
        <v>48</v>
      </c>
    </row>
    <row r="3009" spans="1:10">
      <c r="A3009" t="s">
        <v>4398</v>
      </c>
      <c r="B3009" t="s">
        <v>4399</v>
      </c>
      <c r="C3009" t="s">
        <v>66</v>
      </c>
      <c r="D3009" t="s">
        <v>61</v>
      </c>
      <c r="E3009">
        <v>-46150</v>
      </c>
      <c r="F3009" t="s">
        <v>62</v>
      </c>
      <c r="G3009" t="s">
        <v>24</v>
      </c>
      <c r="H3009" t="s">
        <v>63</v>
      </c>
      <c r="I3009" t="s">
        <v>39</v>
      </c>
      <c r="J3009" t="s">
        <v>27</v>
      </c>
    </row>
    <row r="3010" spans="1:10">
      <c r="A3010" t="s">
        <v>4400</v>
      </c>
      <c r="B3010" t="s">
        <v>2768</v>
      </c>
      <c r="C3010" t="s">
        <v>72</v>
      </c>
      <c r="D3010" t="s">
        <v>73</v>
      </c>
      <c r="E3010">
        <v>-45626</v>
      </c>
      <c r="F3010" t="s">
        <v>74</v>
      </c>
      <c r="G3010" t="s">
        <v>32</v>
      </c>
      <c r="H3010" t="s">
        <v>25</v>
      </c>
      <c r="I3010" t="s">
        <v>39</v>
      </c>
      <c r="J3010" t="s">
        <v>48</v>
      </c>
    </row>
    <row r="3011" spans="1:10">
      <c r="A3011" t="s">
        <v>4401</v>
      </c>
      <c r="B3011" t="s">
        <v>361</v>
      </c>
      <c r="C3011" t="s">
        <v>166</v>
      </c>
      <c r="D3011" t="s">
        <v>31</v>
      </c>
      <c r="E3011">
        <v>-30049</v>
      </c>
      <c r="F3011" t="s">
        <v>23</v>
      </c>
      <c r="G3011" t="s">
        <v>24</v>
      </c>
      <c r="H3011" t="s">
        <v>33</v>
      </c>
      <c r="I3011" t="s">
        <v>45</v>
      </c>
      <c r="J3011" t="s">
        <v>27</v>
      </c>
    </row>
    <row r="3012" spans="1:10">
      <c r="A3012" t="s">
        <v>4402</v>
      </c>
      <c r="B3012" t="s">
        <v>2872</v>
      </c>
      <c r="C3012" t="s">
        <v>802</v>
      </c>
      <c r="D3012" t="s">
        <v>440</v>
      </c>
      <c r="E3012">
        <v>-142032</v>
      </c>
      <c r="F3012" t="s">
        <v>23</v>
      </c>
      <c r="G3012" t="s">
        <v>24</v>
      </c>
      <c r="H3012" t="s">
        <v>33</v>
      </c>
      <c r="I3012" t="s">
        <v>26</v>
      </c>
      <c r="J3012" t="s">
        <v>34</v>
      </c>
    </row>
    <row r="3013" spans="1:10">
      <c r="A3013" t="s">
        <v>4403</v>
      </c>
      <c r="B3013" t="s">
        <v>1919</v>
      </c>
      <c r="C3013" t="s">
        <v>90</v>
      </c>
      <c r="D3013" t="s">
        <v>73</v>
      </c>
      <c r="E3013">
        <v>-60755</v>
      </c>
      <c r="F3013" t="s">
        <v>74</v>
      </c>
      <c r="G3013" t="s">
        <v>32</v>
      </c>
      <c r="H3013" t="s">
        <v>25</v>
      </c>
      <c r="I3013" t="s">
        <v>39</v>
      </c>
      <c r="J3013" t="s">
        <v>48</v>
      </c>
    </row>
    <row r="3014" spans="1:10">
      <c r="A3014" t="s">
        <v>4404</v>
      </c>
      <c r="B3014" t="s">
        <v>639</v>
      </c>
      <c r="C3014" t="s">
        <v>103</v>
      </c>
      <c r="D3014" t="s">
        <v>371</v>
      </c>
      <c r="E3014">
        <v>-34850</v>
      </c>
      <c r="F3014" t="s">
        <v>23</v>
      </c>
      <c r="G3014" t="s">
        <v>24</v>
      </c>
      <c r="H3014" t="s">
        <v>79</v>
      </c>
      <c r="I3014" t="s">
        <v>39</v>
      </c>
      <c r="J3014" t="s">
        <v>48</v>
      </c>
    </row>
    <row r="3015" spans="1:10">
      <c r="A3015" t="s">
        <v>4405</v>
      </c>
      <c r="B3015" t="s">
        <v>1832</v>
      </c>
      <c r="C3015" t="s">
        <v>90</v>
      </c>
      <c r="E3015">
        <v>-44732</v>
      </c>
      <c r="F3015" t="s">
        <v>74</v>
      </c>
      <c r="G3015" t="s">
        <v>32</v>
      </c>
      <c r="H3015" t="s">
        <v>25</v>
      </c>
      <c r="I3015" t="s">
        <v>45</v>
      </c>
      <c r="J3015" t="s">
        <v>27</v>
      </c>
    </row>
    <row r="3016" spans="1:10">
      <c r="A3016" t="s">
        <v>4406</v>
      </c>
      <c r="B3016" t="s">
        <v>499</v>
      </c>
      <c r="C3016" t="s">
        <v>310</v>
      </c>
      <c r="D3016" t="s">
        <v>22</v>
      </c>
      <c r="E3016">
        <v>-61790</v>
      </c>
      <c r="F3016" t="s">
        <v>23</v>
      </c>
      <c r="G3016" t="s">
        <v>32</v>
      </c>
      <c r="H3016" t="s">
        <v>25</v>
      </c>
      <c r="I3016" t="s">
        <v>45</v>
      </c>
      <c r="J3016" t="s">
        <v>34</v>
      </c>
    </row>
    <row r="3017" spans="1:10">
      <c r="A3017" t="s">
        <v>4407</v>
      </c>
      <c r="B3017" t="s">
        <v>4408</v>
      </c>
      <c r="C3017" t="s">
        <v>72</v>
      </c>
      <c r="D3017" t="s">
        <v>73</v>
      </c>
      <c r="E3017">
        <v>-63550</v>
      </c>
      <c r="F3017" t="s">
        <v>74</v>
      </c>
      <c r="G3017" t="s">
        <v>32</v>
      </c>
      <c r="H3017" t="s">
        <v>25</v>
      </c>
      <c r="I3017" t="s">
        <v>45</v>
      </c>
      <c r="J3017" t="s">
        <v>34</v>
      </c>
    </row>
    <row r="3018" spans="1:10">
      <c r="A3018" t="s">
        <v>4409</v>
      </c>
      <c r="B3018" t="s">
        <v>1526</v>
      </c>
      <c r="C3018" t="s">
        <v>51</v>
      </c>
      <c r="D3018" t="s">
        <v>31</v>
      </c>
      <c r="E3018">
        <v>-24707</v>
      </c>
      <c r="F3018" t="s">
        <v>23</v>
      </c>
      <c r="G3018" t="s">
        <v>24</v>
      </c>
      <c r="H3018" t="s">
        <v>33</v>
      </c>
      <c r="I3018" t="s">
        <v>39</v>
      </c>
      <c r="J3018" t="s">
        <v>48</v>
      </c>
    </row>
    <row r="3019" spans="1:10">
      <c r="A3019" t="s">
        <v>4410</v>
      </c>
      <c r="B3019" t="s">
        <v>4411</v>
      </c>
      <c r="C3019" t="s">
        <v>161</v>
      </c>
      <c r="D3019" t="s">
        <v>22</v>
      </c>
      <c r="E3019">
        <v>-136602</v>
      </c>
      <c r="F3019" t="s">
        <v>23</v>
      </c>
      <c r="G3019" t="s">
        <v>24</v>
      </c>
      <c r="H3019" t="s">
        <v>25</v>
      </c>
      <c r="I3019" t="s">
        <v>45</v>
      </c>
      <c r="J3019" t="s">
        <v>40</v>
      </c>
    </row>
    <row r="3020" spans="1:10">
      <c r="A3020" t="s">
        <v>4412</v>
      </c>
      <c r="B3020" t="s">
        <v>4413</v>
      </c>
      <c r="C3020" t="s">
        <v>60</v>
      </c>
      <c r="D3020" t="s">
        <v>61</v>
      </c>
      <c r="E3020">
        <v>-29648</v>
      </c>
      <c r="F3020" t="s">
        <v>62</v>
      </c>
      <c r="G3020" t="s">
        <v>32</v>
      </c>
      <c r="H3020" t="s">
        <v>63</v>
      </c>
      <c r="I3020" t="s">
        <v>45</v>
      </c>
      <c r="J3020" t="s">
        <v>34</v>
      </c>
    </row>
    <row r="3021" spans="1:10">
      <c r="A3021" t="s">
        <v>4414</v>
      </c>
      <c r="B3021" t="s">
        <v>2189</v>
      </c>
      <c r="C3021" t="s">
        <v>255</v>
      </c>
      <c r="D3021" t="s">
        <v>22</v>
      </c>
      <c r="E3021">
        <v>-123349</v>
      </c>
      <c r="F3021" t="s">
        <v>23</v>
      </c>
      <c r="G3021" t="s">
        <v>32</v>
      </c>
      <c r="H3021" t="s">
        <v>25</v>
      </c>
      <c r="I3021" t="s">
        <v>45</v>
      </c>
      <c r="J3021" t="s">
        <v>27</v>
      </c>
    </row>
    <row r="3022" spans="1:10">
      <c r="A3022" t="s">
        <v>4415</v>
      </c>
      <c r="B3022" t="s">
        <v>1875</v>
      </c>
      <c r="C3022" t="s">
        <v>310</v>
      </c>
      <c r="D3022" t="s">
        <v>22</v>
      </c>
      <c r="E3022">
        <v>-136570</v>
      </c>
      <c r="F3022" t="s">
        <v>23</v>
      </c>
      <c r="G3022" t="s">
        <v>32</v>
      </c>
      <c r="H3022" t="s">
        <v>25</v>
      </c>
      <c r="I3022" t="s">
        <v>45</v>
      </c>
      <c r="J3022" t="s">
        <v>27</v>
      </c>
    </row>
    <row r="3023" spans="1:10">
      <c r="A3023" t="s">
        <v>4416</v>
      </c>
      <c r="B3023" t="s">
        <v>678</v>
      </c>
      <c r="C3023" t="s">
        <v>4309</v>
      </c>
      <c r="D3023" t="s">
        <v>320</v>
      </c>
      <c r="E3023">
        <v>-153679</v>
      </c>
      <c r="F3023" t="s">
        <v>23</v>
      </c>
      <c r="G3023" t="s">
        <v>32</v>
      </c>
      <c r="H3023" t="s">
        <v>25</v>
      </c>
      <c r="I3023" t="s">
        <v>26</v>
      </c>
      <c r="J3023" t="s">
        <v>34</v>
      </c>
    </row>
    <row r="3024" spans="1:10">
      <c r="A3024" t="s">
        <v>4417</v>
      </c>
      <c r="B3024" t="s">
        <v>853</v>
      </c>
      <c r="C3024" t="s">
        <v>132</v>
      </c>
      <c r="D3024" t="s">
        <v>73</v>
      </c>
      <c r="E3024">
        <v>-87356</v>
      </c>
      <c r="F3024" t="s">
        <v>74</v>
      </c>
      <c r="G3024" t="s">
        <v>24</v>
      </c>
      <c r="H3024" t="s">
        <v>25</v>
      </c>
      <c r="I3024" t="s">
        <v>39</v>
      </c>
      <c r="J3024" t="s">
        <v>48</v>
      </c>
    </row>
    <row r="3025" spans="1:10">
      <c r="A3025" t="s">
        <v>4418</v>
      </c>
      <c r="B3025" t="s">
        <v>494</v>
      </c>
      <c r="C3025" t="s">
        <v>177</v>
      </c>
      <c r="D3025" t="s">
        <v>78</v>
      </c>
      <c r="E3025">
        <v>-26799</v>
      </c>
      <c r="F3025" t="s">
        <v>23</v>
      </c>
      <c r="G3025" t="s">
        <v>32</v>
      </c>
      <c r="H3025" t="s">
        <v>79</v>
      </c>
      <c r="I3025" t="s">
        <v>39</v>
      </c>
      <c r="J3025" t="s">
        <v>27</v>
      </c>
    </row>
    <row r="3026" spans="1:10">
      <c r="A3026" t="s">
        <v>4419</v>
      </c>
      <c r="B3026" t="s">
        <v>436</v>
      </c>
      <c r="C3026" t="s">
        <v>60</v>
      </c>
      <c r="D3026" t="s">
        <v>61</v>
      </c>
      <c r="E3026">
        <v>-21838</v>
      </c>
      <c r="F3026" t="s">
        <v>62</v>
      </c>
      <c r="G3026" t="s">
        <v>32</v>
      </c>
      <c r="H3026" t="s">
        <v>63</v>
      </c>
      <c r="I3026" t="s">
        <v>39</v>
      </c>
      <c r="J3026" t="s">
        <v>40</v>
      </c>
    </row>
    <row r="3027" spans="1:10">
      <c r="A3027" t="s">
        <v>4420</v>
      </c>
      <c r="B3027" t="s">
        <v>1954</v>
      </c>
      <c r="C3027" t="s">
        <v>4421</v>
      </c>
      <c r="D3027" t="s">
        <v>136</v>
      </c>
      <c r="E3027">
        <v>-10506791</v>
      </c>
      <c r="F3027" t="s">
        <v>62</v>
      </c>
      <c r="G3027" t="s">
        <v>32</v>
      </c>
      <c r="H3027" t="s">
        <v>63</v>
      </c>
      <c r="I3027" t="s">
        <v>26</v>
      </c>
      <c r="J3027" t="s">
        <v>27</v>
      </c>
    </row>
    <row r="3028" spans="1:10">
      <c r="A3028" t="s">
        <v>4422</v>
      </c>
      <c r="B3028" t="s">
        <v>3960</v>
      </c>
      <c r="C3028" t="s">
        <v>339</v>
      </c>
      <c r="D3028" t="s">
        <v>157</v>
      </c>
      <c r="E3028">
        <v>617781</v>
      </c>
      <c r="F3028" t="s">
        <v>62</v>
      </c>
      <c r="G3028" t="s">
        <v>32</v>
      </c>
      <c r="H3028" t="s">
        <v>25</v>
      </c>
      <c r="I3028" t="s">
        <v>45</v>
      </c>
      <c r="J3028" t="s">
        <v>34</v>
      </c>
    </row>
    <row r="3029" spans="1:10">
      <c r="A3029" t="s">
        <v>4423</v>
      </c>
      <c r="B3029" t="s">
        <v>4424</v>
      </c>
      <c r="C3029" t="s">
        <v>54</v>
      </c>
      <c r="D3029" t="s">
        <v>38</v>
      </c>
      <c r="E3029">
        <v>-53581</v>
      </c>
      <c r="F3029" t="s">
        <v>23</v>
      </c>
      <c r="G3029" t="s">
        <v>32</v>
      </c>
      <c r="H3029" t="s">
        <v>33</v>
      </c>
      <c r="I3029" t="s">
        <v>26</v>
      </c>
      <c r="J3029" t="s">
        <v>34</v>
      </c>
    </row>
    <row r="3030" spans="1:10">
      <c r="A3030" t="s">
        <v>4425</v>
      </c>
      <c r="B3030" t="s">
        <v>4426</v>
      </c>
      <c r="C3030" t="s">
        <v>439</v>
      </c>
      <c r="D3030" t="s">
        <v>440</v>
      </c>
      <c r="E3030">
        <v>-112251</v>
      </c>
      <c r="F3030" t="s">
        <v>23</v>
      </c>
      <c r="G3030" t="s">
        <v>32</v>
      </c>
      <c r="H3030" t="s">
        <v>33</v>
      </c>
      <c r="I3030" t="s">
        <v>26</v>
      </c>
      <c r="J3030" t="s">
        <v>48</v>
      </c>
    </row>
    <row r="3031" spans="1:10">
      <c r="A3031" t="s">
        <v>4427</v>
      </c>
      <c r="B3031" t="s">
        <v>525</v>
      </c>
      <c r="C3031" t="s">
        <v>60</v>
      </c>
      <c r="D3031" t="s">
        <v>61</v>
      </c>
      <c r="E3031">
        <v>-30827</v>
      </c>
      <c r="F3031" t="s">
        <v>62</v>
      </c>
      <c r="G3031" t="s">
        <v>32</v>
      </c>
      <c r="H3031" t="s">
        <v>63</v>
      </c>
      <c r="I3031" t="s">
        <v>26</v>
      </c>
      <c r="J3031" t="s">
        <v>48</v>
      </c>
    </row>
    <row r="3032" spans="1:10">
      <c r="A3032" t="s">
        <v>4428</v>
      </c>
      <c r="B3032" t="s">
        <v>595</v>
      </c>
      <c r="C3032" t="s">
        <v>192</v>
      </c>
      <c r="D3032" t="s">
        <v>22</v>
      </c>
      <c r="E3032">
        <v>-136190</v>
      </c>
      <c r="F3032" t="s">
        <v>23</v>
      </c>
      <c r="G3032" t="s">
        <v>32</v>
      </c>
      <c r="H3032" t="s">
        <v>25</v>
      </c>
      <c r="I3032" t="s">
        <v>39</v>
      </c>
      <c r="J3032" t="s">
        <v>48</v>
      </c>
    </row>
    <row r="3033" spans="1:10">
      <c r="A3033" t="s">
        <v>4429</v>
      </c>
      <c r="B3033" t="s">
        <v>853</v>
      </c>
      <c r="C3033" t="s">
        <v>84</v>
      </c>
      <c r="D3033" t="s">
        <v>78</v>
      </c>
      <c r="E3033">
        <v>-45255</v>
      </c>
      <c r="F3033" t="s">
        <v>23</v>
      </c>
      <c r="G3033" t="s">
        <v>32</v>
      </c>
      <c r="H3033" t="s">
        <v>79</v>
      </c>
      <c r="I3033" t="s">
        <v>39</v>
      </c>
      <c r="J3033" t="s">
        <v>48</v>
      </c>
    </row>
    <row r="3034" spans="1:10">
      <c r="A3034" t="s">
        <v>4430</v>
      </c>
      <c r="B3034" t="s">
        <v>3077</v>
      </c>
      <c r="C3034" t="s">
        <v>169</v>
      </c>
      <c r="D3034" t="s">
        <v>73</v>
      </c>
      <c r="E3034">
        <v>-84674</v>
      </c>
      <c r="F3034" t="s">
        <v>74</v>
      </c>
      <c r="G3034" t="s">
        <v>32</v>
      </c>
      <c r="H3034" t="s">
        <v>25</v>
      </c>
      <c r="I3034" t="s">
        <v>45</v>
      </c>
      <c r="J3034" t="s">
        <v>48</v>
      </c>
    </row>
    <row r="3035" spans="1:10">
      <c r="A3035" t="s">
        <v>4431</v>
      </c>
      <c r="B3035" t="s">
        <v>2135</v>
      </c>
      <c r="C3035" t="s">
        <v>66</v>
      </c>
      <c r="D3035" t="s">
        <v>61</v>
      </c>
      <c r="E3035">
        <v>-14257</v>
      </c>
      <c r="F3035" t="s">
        <v>62</v>
      </c>
      <c r="G3035" t="s">
        <v>32</v>
      </c>
      <c r="H3035" t="s">
        <v>63</v>
      </c>
      <c r="I3035" t="s">
        <v>45</v>
      </c>
      <c r="J3035" t="s">
        <v>34</v>
      </c>
    </row>
    <row r="3036" spans="1:10">
      <c r="A3036" t="s">
        <v>4432</v>
      </c>
      <c r="B3036" t="s">
        <v>3396</v>
      </c>
      <c r="C3036" t="s">
        <v>116</v>
      </c>
      <c r="D3036" t="s">
        <v>73</v>
      </c>
      <c r="E3036">
        <v>-65711</v>
      </c>
      <c r="F3036" t="s">
        <v>74</v>
      </c>
      <c r="G3036" t="s">
        <v>32</v>
      </c>
      <c r="H3036" t="s">
        <v>25</v>
      </c>
      <c r="I3036" t="s">
        <v>26</v>
      </c>
      <c r="J3036" t="s">
        <v>34</v>
      </c>
    </row>
    <row r="3037" spans="1:10">
      <c r="A3037" t="s">
        <v>4433</v>
      </c>
      <c r="B3037" t="s">
        <v>925</v>
      </c>
      <c r="C3037" t="s">
        <v>215</v>
      </c>
      <c r="D3037" t="s">
        <v>61</v>
      </c>
      <c r="E3037">
        <v>-62541</v>
      </c>
      <c r="F3037" t="s">
        <v>62</v>
      </c>
      <c r="G3037" t="s">
        <v>24</v>
      </c>
      <c r="H3037" t="s">
        <v>63</v>
      </c>
      <c r="I3037" t="s">
        <v>45</v>
      </c>
      <c r="J3037" t="s">
        <v>48</v>
      </c>
    </row>
    <row r="3038" spans="1:10">
      <c r="A3038" t="s">
        <v>4434</v>
      </c>
      <c r="B3038" t="s">
        <v>951</v>
      </c>
      <c r="C3038" t="s">
        <v>266</v>
      </c>
      <c r="D3038" t="s">
        <v>73</v>
      </c>
      <c r="E3038">
        <v>-73678</v>
      </c>
      <c r="F3038" t="s">
        <v>74</v>
      </c>
      <c r="G3038" t="s">
        <v>24</v>
      </c>
      <c r="H3038" t="s">
        <v>25</v>
      </c>
      <c r="I3038" t="s">
        <v>39</v>
      </c>
      <c r="J3038" t="s">
        <v>40</v>
      </c>
    </row>
    <row r="3039" spans="1:10">
      <c r="A3039" t="s">
        <v>4435</v>
      </c>
      <c r="B3039" t="s">
        <v>276</v>
      </c>
      <c r="C3039" t="s">
        <v>224</v>
      </c>
      <c r="D3039" t="s">
        <v>78</v>
      </c>
      <c r="E3039">
        <v>-87868</v>
      </c>
      <c r="F3039" t="s">
        <v>23</v>
      </c>
      <c r="G3039" t="s">
        <v>24</v>
      </c>
      <c r="H3039" t="s">
        <v>79</v>
      </c>
      <c r="I3039" t="s">
        <v>39</v>
      </c>
      <c r="J3039" t="s">
        <v>34</v>
      </c>
    </row>
    <row r="3040" spans="1:10">
      <c r="A3040" t="s">
        <v>4436</v>
      </c>
      <c r="B3040" t="s">
        <v>4437</v>
      </c>
      <c r="C3040" t="s">
        <v>30</v>
      </c>
      <c r="D3040" t="s">
        <v>31</v>
      </c>
      <c r="E3040">
        <v>-15630</v>
      </c>
      <c r="F3040" t="s">
        <v>23</v>
      </c>
      <c r="G3040" t="s">
        <v>32</v>
      </c>
      <c r="H3040" t="s">
        <v>33</v>
      </c>
      <c r="I3040" t="s">
        <v>26</v>
      </c>
      <c r="J3040" t="s">
        <v>40</v>
      </c>
    </row>
    <row r="3041" spans="1:10">
      <c r="A3041" t="s">
        <v>4438</v>
      </c>
      <c r="B3041" t="s">
        <v>910</v>
      </c>
      <c r="C3041" t="s">
        <v>202</v>
      </c>
      <c r="D3041" t="s">
        <v>22</v>
      </c>
      <c r="E3041">
        <v>-138103</v>
      </c>
      <c r="F3041" t="s">
        <v>23</v>
      </c>
      <c r="G3041" t="s">
        <v>24</v>
      </c>
      <c r="H3041" t="s">
        <v>25</v>
      </c>
      <c r="I3041" t="s">
        <v>26</v>
      </c>
      <c r="J3041" t="s">
        <v>40</v>
      </c>
    </row>
    <row r="3042" spans="1:10">
      <c r="A3042" t="s">
        <v>4439</v>
      </c>
      <c r="B3042" t="s">
        <v>4440</v>
      </c>
      <c r="C3042" t="s">
        <v>180</v>
      </c>
      <c r="D3042" t="s">
        <v>44</v>
      </c>
      <c r="E3042">
        <v>-164234</v>
      </c>
      <c r="F3042" t="s">
        <v>23</v>
      </c>
      <c r="G3042" t="s">
        <v>32</v>
      </c>
      <c r="H3042" t="s">
        <v>33</v>
      </c>
      <c r="I3042" t="s">
        <v>39</v>
      </c>
      <c r="J3042" t="s">
        <v>40</v>
      </c>
    </row>
    <row r="3043" spans="1:10">
      <c r="A3043" t="s">
        <v>4441</v>
      </c>
      <c r="B3043" t="s">
        <v>861</v>
      </c>
      <c r="C3043" t="s">
        <v>202</v>
      </c>
      <c r="D3043" t="s">
        <v>22</v>
      </c>
      <c r="E3043">
        <v>-46656</v>
      </c>
      <c r="F3043" t="s">
        <v>23</v>
      </c>
      <c r="G3043" t="s">
        <v>24</v>
      </c>
      <c r="H3043" t="s">
        <v>25</v>
      </c>
      <c r="I3043" t="s">
        <v>26</v>
      </c>
      <c r="J3043" t="s">
        <v>48</v>
      </c>
    </row>
    <row r="3044" spans="1:10">
      <c r="A3044" t="s">
        <v>4442</v>
      </c>
      <c r="B3044" t="s">
        <v>1667</v>
      </c>
      <c r="C3044" t="s">
        <v>224</v>
      </c>
      <c r="D3044" t="s">
        <v>78</v>
      </c>
      <c r="E3044">
        <v>-23444</v>
      </c>
      <c r="F3044" t="s">
        <v>23</v>
      </c>
      <c r="G3044" t="s">
        <v>24</v>
      </c>
      <c r="H3044" t="s">
        <v>79</v>
      </c>
      <c r="I3044" t="s">
        <v>26</v>
      </c>
      <c r="J3044" t="s">
        <v>27</v>
      </c>
    </row>
    <row r="3045" spans="1:10">
      <c r="A3045" t="s">
        <v>4443</v>
      </c>
      <c r="B3045" t="s">
        <v>2691</v>
      </c>
      <c r="C3045" t="s">
        <v>212</v>
      </c>
      <c r="E3045">
        <v>-33221</v>
      </c>
      <c r="F3045" t="s">
        <v>74</v>
      </c>
      <c r="G3045" t="s">
        <v>32</v>
      </c>
      <c r="H3045" t="s">
        <v>25</v>
      </c>
      <c r="I3045" t="s">
        <v>39</v>
      </c>
      <c r="J3045" t="s">
        <v>27</v>
      </c>
    </row>
    <row r="3046" spans="1:10">
      <c r="A3046" t="s">
        <v>4444</v>
      </c>
      <c r="B3046" t="s">
        <v>880</v>
      </c>
      <c r="C3046" t="s">
        <v>21</v>
      </c>
      <c r="D3046" t="s">
        <v>22</v>
      </c>
      <c r="E3046">
        <v>-213190</v>
      </c>
      <c r="F3046" t="s">
        <v>23</v>
      </c>
      <c r="G3046" t="s">
        <v>24</v>
      </c>
      <c r="H3046" t="s">
        <v>25</v>
      </c>
      <c r="I3046" t="s">
        <v>26</v>
      </c>
      <c r="J3046" t="s">
        <v>48</v>
      </c>
    </row>
    <row r="3047" spans="1:10">
      <c r="A3047" t="s">
        <v>4445</v>
      </c>
      <c r="B3047" t="s">
        <v>3559</v>
      </c>
      <c r="C3047" t="s">
        <v>72</v>
      </c>
      <c r="D3047" t="s">
        <v>73</v>
      </c>
      <c r="E3047">
        <v>-36265</v>
      </c>
      <c r="F3047" t="s">
        <v>74</v>
      </c>
      <c r="G3047" t="s">
        <v>24</v>
      </c>
      <c r="H3047" t="s">
        <v>25</v>
      </c>
      <c r="I3047" t="s">
        <v>45</v>
      </c>
      <c r="J3047" t="s">
        <v>40</v>
      </c>
    </row>
    <row r="3048" spans="1:10">
      <c r="A3048" t="s">
        <v>4446</v>
      </c>
      <c r="B3048" t="s">
        <v>695</v>
      </c>
      <c r="C3048" t="s">
        <v>4447</v>
      </c>
      <c r="D3048" t="s">
        <v>136</v>
      </c>
      <c r="E3048">
        <v>-10447524</v>
      </c>
      <c r="F3048" t="s">
        <v>62</v>
      </c>
      <c r="G3048" t="s">
        <v>32</v>
      </c>
      <c r="H3048" t="s">
        <v>63</v>
      </c>
      <c r="I3048" t="s">
        <v>39</v>
      </c>
      <c r="J3048" t="s">
        <v>27</v>
      </c>
    </row>
    <row r="3049" spans="1:10">
      <c r="A3049" t="s">
        <v>4448</v>
      </c>
      <c r="B3049" t="s">
        <v>4449</v>
      </c>
      <c r="C3049" t="s">
        <v>616</v>
      </c>
      <c r="D3049" t="s">
        <v>22</v>
      </c>
      <c r="E3049">
        <v>-209167</v>
      </c>
      <c r="F3049" t="s">
        <v>23</v>
      </c>
      <c r="G3049" t="s">
        <v>24</v>
      </c>
      <c r="H3049" t="s">
        <v>25</v>
      </c>
      <c r="I3049" t="s">
        <v>39</v>
      </c>
      <c r="J3049" t="s">
        <v>34</v>
      </c>
    </row>
    <row r="3050" spans="1:10">
      <c r="A3050" t="s">
        <v>4450</v>
      </c>
      <c r="B3050" t="s">
        <v>523</v>
      </c>
      <c r="C3050" t="s">
        <v>66</v>
      </c>
      <c r="D3050" t="s">
        <v>61</v>
      </c>
      <c r="E3050">
        <v>-43059</v>
      </c>
      <c r="F3050" t="s">
        <v>62</v>
      </c>
      <c r="G3050" t="s">
        <v>24</v>
      </c>
      <c r="H3050" t="s">
        <v>63</v>
      </c>
      <c r="I3050" t="s">
        <v>45</v>
      </c>
      <c r="J3050" t="s">
        <v>40</v>
      </c>
    </row>
    <row r="3051" spans="1:10">
      <c r="A3051" t="s">
        <v>4451</v>
      </c>
      <c r="B3051" t="s">
        <v>2888</v>
      </c>
      <c r="C3051" t="s">
        <v>106</v>
      </c>
      <c r="D3051" t="s">
        <v>31</v>
      </c>
      <c r="E3051">
        <v>-39229</v>
      </c>
      <c r="F3051" t="s">
        <v>23</v>
      </c>
      <c r="G3051" t="s">
        <v>32</v>
      </c>
      <c r="H3051" t="s">
        <v>33</v>
      </c>
      <c r="I3051" t="s">
        <v>39</v>
      </c>
      <c r="J3051" t="s">
        <v>34</v>
      </c>
    </row>
    <row r="3052" spans="1:10">
      <c r="A3052" t="s">
        <v>4452</v>
      </c>
      <c r="B3052" t="s">
        <v>2418</v>
      </c>
      <c r="C3052" t="s">
        <v>202</v>
      </c>
      <c r="D3052" t="s">
        <v>22</v>
      </c>
      <c r="E3052">
        <v>-39272</v>
      </c>
      <c r="F3052" t="s">
        <v>23</v>
      </c>
      <c r="G3052" t="s">
        <v>24</v>
      </c>
      <c r="H3052" t="s">
        <v>25</v>
      </c>
      <c r="I3052" t="s">
        <v>45</v>
      </c>
      <c r="J3052" t="s">
        <v>34</v>
      </c>
    </row>
    <row r="3053" spans="1:10">
      <c r="A3053" t="s">
        <v>4453</v>
      </c>
      <c r="B3053" t="s">
        <v>3110</v>
      </c>
      <c r="C3053" t="s">
        <v>215</v>
      </c>
      <c r="D3053" t="s">
        <v>61</v>
      </c>
      <c r="E3053">
        <v>-22607</v>
      </c>
      <c r="F3053" t="s">
        <v>62</v>
      </c>
      <c r="G3053" t="s">
        <v>24</v>
      </c>
      <c r="H3053" t="s">
        <v>63</v>
      </c>
      <c r="I3053" t="s">
        <v>39</v>
      </c>
      <c r="J3053" t="s">
        <v>34</v>
      </c>
    </row>
    <row r="3054" spans="1:10">
      <c r="A3054" t="s">
        <v>4454</v>
      </c>
      <c r="B3054" t="s">
        <v>1679</v>
      </c>
      <c r="C3054" t="s">
        <v>4455</v>
      </c>
      <c r="D3054" t="s">
        <v>136</v>
      </c>
      <c r="E3054">
        <v>-10557855</v>
      </c>
      <c r="F3054" t="s">
        <v>62</v>
      </c>
      <c r="G3054" t="s">
        <v>32</v>
      </c>
      <c r="H3054" t="s">
        <v>63</v>
      </c>
      <c r="I3054" t="s">
        <v>45</v>
      </c>
      <c r="J3054" t="s">
        <v>40</v>
      </c>
    </row>
    <row r="3055" spans="1:10">
      <c r="A3055" t="s">
        <v>1154</v>
      </c>
      <c r="B3055" t="s">
        <v>1155</v>
      </c>
      <c r="C3055" t="s">
        <v>161</v>
      </c>
      <c r="D3055" t="s">
        <v>22</v>
      </c>
      <c r="E3055">
        <v>-153164</v>
      </c>
      <c r="F3055" t="s">
        <v>23</v>
      </c>
      <c r="G3055" t="s">
        <v>24</v>
      </c>
      <c r="H3055" t="s">
        <v>25</v>
      </c>
      <c r="I3055" t="s">
        <v>26</v>
      </c>
      <c r="J3055" t="s">
        <v>40</v>
      </c>
    </row>
    <row r="3056" spans="1:10">
      <c r="A3056" t="s">
        <v>4456</v>
      </c>
      <c r="B3056" t="s">
        <v>4457</v>
      </c>
      <c r="C3056" t="s">
        <v>93</v>
      </c>
      <c r="D3056" t="s">
        <v>73</v>
      </c>
      <c r="E3056">
        <v>-58578</v>
      </c>
      <c r="F3056" t="s">
        <v>74</v>
      </c>
      <c r="G3056" t="s">
        <v>32</v>
      </c>
      <c r="H3056" t="s">
        <v>25</v>
      </c>
      <c r="I3056" t="s">
        <v>26</v>
      </c>
      <c r="J3056" t="s">
        <v>40</v>
      </c>
    </row>
    <row r="3057" spans="1:10">
      <c r="A3057" t="s">
        <v>4458</v>
      </c>
      <c r="B3057" t="s">
        <v>4459</v>
      </c>
      <c r="C3057" t="s">
        <v>30</v>
      </c>
      <c r="D3057" t="s">
        <v>31</v>
      </c>
      <c r="E3057">
        <v>-44532</v>
      </c>
      <c r="F3057" t="s">
        <v>23</v>
      </c>
      <c r="G3057" t="s">
        <v>24</v>
      </c>
      <c r="H3057" t="s">
        <v>33</v>
      </c>
      <c r="I3057" t="s">
        <v>45</v>
      </c>
      <c r="J3057" t="s">
        <v>40</v>
      </c>
    </row>
    <row r="3058" spans="1:10">
      <c r="A3058" t="s">
        <v>4460</v>
      </c>
      <c r="B3058" t="s">
        <v>3800</v>
      </c>
      <c r="C3058" t="s">
        <v>72</v>
      </c>
      <c r="D3058" t="s">
        <v>73</v>
      </c>
      <c r="E3058">
        <v>-57655</v>
      </c>
      <c r="F3058" t="s">
        <v>74</v>
      </c>
      <c r="G3058" t="s">
        <v>32</v>
      </c>
      <c r="H3058" t="s">
        <v>25</v>
      </c>
      <c r="I3058" t="s">
        <v>45</v>
      </c>
      <c r="J3058" t="s">
        <v>40</v>
      </c>
    </row>
    <row r="3059" spans="1:10">
      <c r="A3059" t="s">
        <v>4461</v>
      </c>
      <c r="B3059" t="s">
        <v>836</v>
      </c>
      <c r="C3059" t="s">
        <v>132</v>
      </c>
      <c r="D3059" t="s">
        <v>73</v>
      </c>
      <c r="E3059">
        <v>-32116</v>
      </c>
      <c r="F3059" t="s">
        <v>74</v>
      </c>
      <c r="G3059" t="s">
        <v>32</v>
      </c>
      <c r="H3059" t="s">
        <v>25</v>
      </c>
      <c r="I3059" t="s">
        <v>26</v>
      </c>
      <c r="J3059" t="s">
        <v>48</v>
      </c>
    </row>
    <row r="3060" spans="1:10">
      <c r="A3060" t="s">
        <v>4462</v>
      </c>
      <c r="B3060" t="s">
        <v>2886</v>
      </c>
      <c r="C3060" t="s">
        <v>57</v>
      </c>
      <c r="D3060" t="s">
        <v>44</v>
      </c>
      <c r="E3060">
        <v>-70581</v>
      </c>
      <c r="F3060" t="s">
        <v>23</v>
      </c>
      <c r="G3060" t="s">
        <v>24</v>
      </c>
      <c r="H3060" t="s">
        <v>33</v>
      </c>
      <c r="I3060" t="s">
        <v>39</v>
      </c>
      <c r="J3060" t="s">
        <v>48</v>
      </c>
    </row>
    <row r="3061" spans="1:10">
      <c r="A3061" t="s">
        <v>4463</v>
      </c>
      <c r="B3061" t="s">
        <v>307</v>
      </c>
      <c r="C3061" t="s">
        <v>51</v>
      </c>
      <c r="D3061" t="s">
        <v>31</v>
      </c>
      <c r="E3061">
        <v>-24748</v>
      </c>
      <c r="F3061" t="s">
        <v>23</v>
      </c>
      <c r="G3061" t="s">
        <v>24</v>
      </c>
      <c r="H3061" t="s">
        <v>33</v>
      </c>
      <c r="I3061" t="s">
        <v>26</v>
      </c>
      <c r="J3061" t="s">
        <v>48</v>
      </c>
    </row>
    <row r="3062" spans="1:10">
      <c r="A3062" t="s">
        <v>4464</v>
      </c>
      <c r="B3062" t="s">
        <v>3088</v>
      </c>
      <c r="C3062" t="s">
        <v>66</v>
      </c>
      <c r="D3062" t="s">
        <v>61</v>
      </c>
      <c r="E3062">
        <v>-50677</v>
      </c>
      <c r="F3062" t="s">
        <v>62</v>
      </c>
      <c r="G3062" t="s">
        <v>32</v>
      </c>
      <c r="H3062" t="s">
        <v>63</v>
      </c>
      <c r="I3062" t="s">
        <v>26</v>
      </c>
      <c r="J3062" t="s">
        <v>40</v>
      </c>
    </row>
    <row r="3063" spans="1:10">
      <c r="A3063" t="s">
        <v>4465</v>
      </c>
      <c r="B3063" t="s">
        <v>4466</v>
      </c>
      <c r="C3063" t="s">
        <v>174</v>
      </c>
      <c r="D3063" t="s">
        <v>22</v>
      </c>
      <c r="E3063">
        <v>-120449</v>
      </c>
      <c r="F3063" t="s">
        <v>23</v>
      </c>
      <c r="G3063" t="s">
        <v>32</v>
      </c>
      <c r="H3063" t="s">
        <v>25</v>
      </c>
      <c r="I3063" t="s">
        <v>39</v>
      </c>
      <c r="J3063" t="s">
        <v>27</v>
      </c>
    </row>
    <row r="3064" spans="1:10">
      <c r="A3064" t="s">
        <v>4467</v>
      </c>
      <c r="B3064" t="s">
        <v>1383</v>
      </c>
      <c r="C3064" t="s">
        <v>106</v>
      </c>
      <c r="D3064" t="s">
        <v>31</v>
      </c>
      <c r="E3064">
        <v>-38744</v>
      </c>
      <c r="F3064" t="s">
        <v>23</v>
      </c>
      <c r="G3064" t="s">
        <v>24</v>
      </c>
      <c r="H3064" t="s">
        <v>33</v>
      </c>
      <c r="I3064" t="s">
        <v>26</v>
      </c>
      <c r="J3064" t="s">
        <v>27</v>
      </c>
    </row>
    <row r="3065" spans="1:10">
      <c r="A3065" t="s">
        <v>4468</v>
      </c>
      <c r="B3065" t="s">
        <v>659</v>
      </c>
      <c r="C3065" t="s">
        <v>439</v>
      </c>
      <c r="D3065" t="s">
        <v>440</v>
      </c>
      <c r="E3065">
        <v>-155290</v>
      </c>
      <c r="F3065" t="s">
        <v>23</v>
      </c>
      <c r="G3065" t="s">
        <v>32</v>
      </c>
      <c r="H3065" t="s">
        <v>33</v>
      </c>
      <c r="I3065" t="s">
        <v>45</v>
      </c>
      <c r="J3065" t="s">
        <v>34</v>
      </c>
    </row>
    <row r="3066" spans="1:10">
      <c r="A3066" t="s">
        <v>4469</v>
      </c>
      <c r="B3066" t="s">
        <v>1168</v>
      </c>
      <c r="C3066" t="s">
        <v>310</v>
      </c>
      <c r="D3066" t="s">
        <v>22</v>
      </c>
      <c r="E3066">
        <v>-84226</v>
      </c>
      <c r="F3066" t="s">
        <v>23</v>
      </c>
      <c r="G3066" t="s">
        <v>24</v>
      </c>
      <c r="H3066" t="s">
        <v>25</v>
      </c>
      <c r="I3066" t="s">
        <v>39</v>
      </c>
      <c r="J3066" t="s">
        <v>40</v>
      </c>
    </row>
    <row r="3067" spans="1:10">
      <c r="A3067" t="s">
        <v>4470</v>
      </c>
      <c r="B3067" t="s">
        <v>3549</v>
      </c>
      <c r="C3067" t="s">
        <v>60</v>
      </c>
      <c r="D3067" t="s">
        <v>61</v>
      </c>
      <c r="E3067">
        <v>-24748</v>
      </c>
      <c r="F3067" t="s">
        <v>62</v>
      </c>
      <c r="G3067" t="s">
        <v>32</v>
      </c>
      <c r="H3067" t="s">
        <v>63</v>
      </c>
      <c r="I3067" t="s">
        <v>39</v>
      </c>
      <c r="J3067" t="s">
        <v>48</v>
      </c>
    </row>
    <row r="3068" spans="1:10">
      <c r="A3068" t="s">
        <v>4471</v>
      </c>
      <c r="B3068" t="s">
        <v>4077</v>
      </c>
      <c r="C3068" t="s">
        <v>116</v>
      </c>
      <c r="D3068" t="s">
        <v>73</v>
      </c>
      <c r="E3068">
        <v>-58298</v>
      </c>
      <c r="F3068" t="s">
        <v>74</v>
      </c>
      <c r="G3068" t="s">
        <v>32</v>
      </c>
      <c r="H3068" t="s">
        <v>25</v>
      </c>
      <c r="I3068" t="s">
        <v>39</v>
      </c>
      <c r="J3068" t="s">
        <v>48</v>
      </c>
    </row>
    <row r="3069" spans="1:10">
      <c r="A3069" t="s">
        <v>4472</v>
      </c>
      <c r="B3069" t="s">
        <v>4473</v>
      </c>
      <c r="C3069" t="s">
        <v>90</v>
      </c>
      <c r="D3069" t="s">
        <v>73</v>
      </c>
      <c r="E3069">
        <v>-55682</v>
      </c>
      <c r="F3069" t="s">
        <v>74</v>
      </c>
      <c r="G3069" t="s">
        <v>24</v>
      </c>
      <c r="H3069" t="s">
        <v>25</v>
      </c>
      <c r="I3069" t="s">
        <v>39</v>
      </c>
      <c r="J3069" t="s">
        <v>34</v>
      </c>
    </row>
    <row r="3070" spans="1:10">
      <c r="A3070" t="s">
        <v>4474</v>
      </c>
      <c r="B3070" t="s">
        <v>186</v>
      </c>
      <c r="C3070" t="s">
        <v>66</v>
      </c>
      <c r="D3070" t="s">
        <v>61</v>
      </c>
      <c r="E3070">
        <v>-22935</v>
      </c>
      <c r="F3070" t="s">
        <v>62</v>
      </c>
      <c r="G3070" t="s">
        <v>32</v>
      </c>
      <c r="H3070" t="s">
        <v>63</v>
      </c>
      <c r="I3070" t="s">
        <v>26</v>
      </c>
      <c r="J3070" t="s">
        <v>40</v>
      </c>
    </row>
    <row r="3071" spans="1:10">
      <c r="A3071" t="s">
        <v>4475</v>
      </c>
      <c r="B3071" t="s">
        <v>623</v>
      </c>
      <c r="C3071" t="s">
        <v>77</v>
      </c>
      <c r="D3071" t="s">
        <v>78</v>
      </c>
      <c r="E3071">
        <v>-68396</v>
      </c>
      <c r="F3071" t="s">
        <v>23</v>
      </c>
      <c r="G3071" t="s">
        <v>32</v>
      </c>
      <c r="H3071" t="s">
        <v>79</v>
      </c>
      <c r="I3071" t="s">
        <v>39</v>
      </c>
      <c r="J3071" t="s">
        <v>40</v>
      </c>
    </row>
    <row r="3072" spans="1:10">
      <c r="A3072" t="s">
        <v>4476</v>
      </c>
      <c r="B3072" t="s">
        <v>2935</v>
      </c>
      <c r="C3072" t="s">
        <v>266</v>
      </c>
      <c r="D3072" t="s">
        <v>73</v>
      </c>
      <c r="E3072">
        <v>-91205</v>
      </c>
      <c r="F3072" t="s">
        <v>74</v>
      </c>
      <c r="G3072" t="s">
        <v>32</v>
      </c>
      <c r="H3072" t="s">
        <v>25</v>
      </c>
      <c r="I3072" t="s">
        <v>39</v>
      </c>
      <c r="J3072" t="s">
        <v>48</v>
      </c>
    </row>
    <row r="3073" spans="1:10">
      <c r="A3073" t="s">
        <v>4477</v>
      </c>
      <c r="B3073" t="s">
        <v>1339</v>
      </c>
      <c r="C3073" t="s">
        <v>156</v>
      </c>
      <c r="D3073" t="s">
        <v>157</v>
      </c>
      <c r="E3073">
        <v>681791</v>
      </c>
      <c r="F3073" t="s">
        <v>62</v>
      </c>
      <c r="G3073" t="s">
        <v>32</v>
      </c>
      <c r="H3073" t="s">
        <v>25</v>
      </c>
      <c r="I3073" t="s">
        <v>39</v>
      </c>
      <c r="J3073" t="s">
        <v>40</v>
      </c>
    </row>
    <row r="3074" spans="1:10">
      <c r="A3074" t="s">
        <v>4478</v>
      </c>
      <c r="B3074" t="s">
        <v>3299</v>
      </c>
      <c r="C3074" t="s">
        <v>345</v>
      </c>
      <c r="D3074" t="s">
        <v>22</v>
      </c>
      <c r="E3074">
        <v>-133275</v>
      </c>
      <c r="F3074" t="s">
        <v>23</v>
      </c>
      <c r="G3074" t="s">
        <v>32</v>
      </c>
      <c r="H3074" t="s">
        <v>25</v>
      </c>
      <c r="I3074" t="s">
        <v>26</v>
      </c>
      <c r="J3074" t="s">
        <v>40</v>
      </c>
    </row>
    <row r="3075" spans="1:10">
      <c r="A3075" t="s">
        <v>4479</v>
      </c>
      <c r="B3075" t="s">
        <v>555</v>
      </c>
      <c r="C3075" t="s">
        <v>215</v>
      </c>
      <c r="D3075" t="s">
        <v>61</v>
      </c>
      <c r="E3075">
        <v>-18480</v>
      </c>
      <c r="F3075" t="s">
        <v>62</v>
      </c>
      <c r="G3075" t="s">
        <v>32</v>
      </c>
      <c r="H3075" t="s">
        <v>63</v>
      </c>
      <c r="I3075" t="s">
        <v>39</v>
      </c>
      <c r="J3075" t="s">
        <v>48</v>
      </c>
    </row>
    <row r="3076" spans="1:10">
      <c r="A3076" t="s">
        <v>4480</v>
      </c>
      <c r="B3076" t="s">
        <v>1026</v>
      </c>
      <c r="C3076" t="s">
        <v>439</v>
      </c>
      <c r="D3076" t="s">
        <v>440</v>
      </c>
      <c r="E3076">
        <v>-146038</v>
      </c>
      <c r="F3076" t="s">
        <v>23</v>
      </c>
      <c r="G3076" t="s">
        <v>24</v>
      </c>
      <c r="H3076" t="s">
        <v>33</v>
      </c>
      <c r="I3076" t="s">
        <v>39</v>
      </c>
      <c r="J3076" t="s">
        <v>48</v>
      </c>
    </row>
    <row r="3077" spans="1:10">
      <c r="A3077" t="s">
        <v>4481</v>
      </c>
      <c r="B3077" t="s">
        <v>4482</v>
      </c>
      <c r="C3077" t="s">
        <v>69</v>
      </c>
      <c r="D3077" t="s">
        <v>38</v>
      </c>
      <c r="E3077">
        <v>-53011</v>
      </c>
      <c r="F3077" t="s">
        <v>23</v>
      </c>
      <c r="G3077" t="s">
        <v>24</v>
      </c>
      <c r="H3077" t="s">
        <v>33</v>
      </c>
      <c r="I3077" t="s">
        <v>26</v>
      </c>
      <c r="J3077" t="s">
        <v>34</v>
      </c>
    </row>
    <row r="3078" spans="1:10">
      <c r="A3078" t="s">
        <v>4483</v>
      </c>
      <c r="B3078" t="s">
        <v>4484</v>
      </c>
      <c r="C3078" t="s">
        <v>93</v>
      </c>
      <c r="D3078" t="s">
        <v>111</v>
      </c>
      <c r="E3078">
        <v>-9075</v>
      </c>
      <c r="F3078" t="s">
        <v>74</v>
      </c>
      <c r="G3078" t="s">
        <v>24</v>
      </c>
      <c r="H3078" t="s">
        <v>25</v>
      </c>
      <c r="I3078" t="s">
        <v>26</v>
      </c>
      <c r="J3078" t="s">
        <v>48</v>
      </c>
    </row>
    <row r="3079" spans="1:10">
      <c r="A3079" t="s">
        <v>4485</v>
      </c>
      <c r="B3079" t="s">
        <v>530</v>
      </c>
      <c r="C3079" t="s">
        <v>100</v>
      </c>
      <c r="D3079" t="s">
        <v>31</v>
      </c>
      <c r="E3079">
        <v>-17237</v>
      </c>
      <c r="F3079" t="s">
        <v>23</v>
      </c>
      <c r="G3079" t="s">
        <v>32</v>
      </c>
      <c r="H3079" t="s">
        <v>33</v>
      </c>
      <c r="I3079" t="s">
        <v>39</v>
      </c>
      <c r="J3079" t="s">
        <v>34</v>
      </c>
    </row>
    <row r="3080" spans="1:10">
      <c r="A3080" t="s">
        <v>4486</v>
      </c>
      <c r="B3080" t="s">
        <v>4487</v>
      </c>
      <c r="C3080" t="s">
        <v>339</v>
      </c>
      <c r="D3080" t="s">
        <v>157</v>
      </c>
      <c r="E3080">
        <v>710783</v>
      </c>
      <c r="F3080" t="s">
        <v>62</v>
      </c>
      <c r="G3080" t="s">
        <v>32</v>
      </c>
      <c r="H3080" t="s">
        <v>25</v>
      </c>
      <c r="I3080" t="s">
        <v>39</v>
      </c>
      <c r="J3080" t="s">
        <v>27</v>
      </c>
    </row>
    <row r="3081" spans="1:10">
      <c r="A3081" t="s">
        <v>4488</v>
      </c>
      <c r="B3081" t="s">
        <v>263</v>
      </c>
      <c r="C3081" t="s">
        <v>687</v>
      </c>
      <c r="D3081" t="s">
        <v>44</v>
      </c>
      <c r="E3081">
        <v>-173761</v>
      </c>
      <c r="F3081" t="s">
        <v>23</v>
      </c>
      <c r="G3081" t="s">
        <v>32</v>
      </c>
      <c r="H3081" t="s">
        <v>33</v>
      </c>
      <c r="I3081" t="s">
        <v>45</v>
      </c>
      <c r="J3081" t="s">
        <v>27</v>
      </c>
    </row>
    <row r="3082" spans="1:10">
      <c r="A3082" t="s">
        <v>4489</v>
      </c>
      <c r="B3082" t="s">
        <v>1297</v>
      </c>
      <c r="C3082" t="s">
        <v>66</v>
      </c>
      <c r="D3082" t="s">
        <v>61</v>
      </c>
      <c r="E3082">
        <v>-63027</v>
      </c>
      <c r="F3082" t="s">
        <v>62</v>
      </c>
      <c r="G3082" t="s">
        <v>32</v>
      </c>
      <c r="H3082" t="s">
        <v>63</v>
      </c>
      <c r="I3082" t="s">
        <v>39</v>
      </c>
      <c r="J3082" t="s">
        <v>34</v>
      </c>
    </row>
    <row r="3083" spans="1:10">
      <c r="A3083" t="s">
        <v>4490</v>
      </c>
      <c r="B3083" t="s">
        <v>1088</v>
      </c>
      <c r="C3083" t="s">
        <v>72</v>
      </c>
      <c r="D3083" t="s">
        <v>73</v>
      </c>
      <c r="E3083">
        <v>-11545</v>
      </c>
      <c r="F3083" t="s">
        <v>74</v>
      </c>
      <c r="G3083" t="s">
        <v>24</v>
      </c>
      <c r="H3083" t="s">
        <v>25</v>
      </c>
      <c r="I3083" t="s">
        <v>39</v>
      </c>
      <c r="J3083" t="s">
        <v>27</v>
      </c>
    </row>
    <row r="3084" spans="1:10">
      <c r="A3084" t="s">
        <v>4491</v>
      </c>
      <c r="B3084" t="s">
        <v>4492</v>
      </c>
      <c r="C3084" t="s">
        <v>271</v>
      </c>
      <c r="D3084" t="s">
        <v>73</v>
      </c>
      <c r="E3084">
        <v>-40256</v>
      </c>
      <c r="F3084" t="s">
        <v>74</v>
      </c>
      <c r="G3084" t="s">
        <v>32</v>
      </c>
      <c r="H3084" t="s">
        <v>25</v>
      </c>
      <c r="I3084" t="s">
        <v>39</v>
      </c>
      <c r="J3084" t="s">
        <v>48</v>
      </c>
    </row>
    <row r="3085" spans="1:10">
      <c r="A3085" t="s">
        <v>4493</v>
      </c>
      <c r="B3085" t="s">
        <v>1830</v>
      </c>
      <c r="C3085" t="s">
        <v>687</v>
      </c>
      <c r="D3085" t="s">
        <v>388</v>
      </c>
      <c r="E3085">
        <v>-121878</v>
      </c>
      <c r="F3085" t="s">
        <v>23</v>
      </c>
      <c r="G3085" t="s">
        <v>32</v>
      </c>
      <c r="H3085" t="s">
        <v>33</v>
      </c>
      <c r="I3085" t="s">
        <v>45</v>
      </c>
      <c r="J3085" t="s">
        <v>27</v>
      </c>
    </row>
    <row r="3086" spans="1:10">
      <c r="A3086" t="s">
        <v>4494</v>
      </c>
      <c r="B3086" t="s">
        <v>4495</v>
      </c>
      <c r="C3086" t="s">
        <v>106</v>
      </c>
      <c r="D3086" t="s">
        <v>31</v>
      </c>
      <c r="E3086">
        <v>-21527</v>
      </c>
      <c r="F3086" t="s">
        <v>23</v>
      </c>
      <c r="G3086" t="s">
        <v>24</v>
      </c>
      <c r="H3086" t="s">
        <v>33</v>
      </c>
      <c r="I3086" t="s">
        <v>26</v>
      </c>
      <c r="J3086" t="s">
        <v>34</v>
      </c>
    </row>
    <row r="3087" spans="1:10">
      <c r="A3087" t="s">
        <v>4496</v>
      </c>
      <c r="B3087" t="s">
        <v>754</v>
      </c>
      <c r="C3087" t="s">
        <v>37</v>
      </c>
      <c r="D3087" t="s">
        <v>38</v>
      </c>
      <c r="E3087">
        <v>-8849</v>
      </c>
      <c r="F3087" t="s">
        <v>23</v>
      </c>
      <c r="G3087" t="s">
        <v>24</v>
      </c>
      <c r="H3087" t="s">
        <v>33</v>
      </c>
      <c r="I3087" t="s">
        <v>45</v>
      </c>
      <c r="J3087" t="s">
        <v>27</v>
      </c>
    </row>
    <row r="3088" spans="1:10">
      <c r="A3088" t="s">
        <v>4497</v>
      </c>
      <c r="B3088" t="s">
        <v>3774</v>
      </c>
      <c r="C3088" t="s">
        <v>169</v>
      </c>
      <c r="D3088" t="s">
        <v>73</v>
      </c>
      <c r="E3088">
        <v>-41725</v>
      </c>
      <c r="F3088" t="s">
        <v>74</v>
      </c>
      <c r="G3088" t="s">
        <v>32</v>
      </c>
      <c r="H3088" t="s">
        <v>25</v>
      </c>
      <c r="I3088" t="s">
        <v>45</v>
      </c>
      <c r="J3088" t="s">
        <v>48</v>
      </c>
    </row>
    <row r="3089" spans="1:10">
      <c r="A3089" t="s">
        <v>4498</v>
      </c>
      <c r="B3089" t="s">
        <v>2652</v>
      </c>
      <c r="C3089" t="s">
        <v>93</v>
      </c>
      <c r="E3089">
        <v>-88654</v>
      </c>
      <c r="F3089" t="s">
        <v>74</v>
      </c>
      <c r="G3089" t="s">
        <v>24</v>
      </c>
      <c r="H3089" t="s">
        <v>25</v>
      </c>
      <c r="I3089" t="s">
        <v>26</v>
      </c>
      <c r="J3089" t="s">
        <v>34</v>
      </c>
    </row>
    <row r="3090" spans="1:10">
      <c r="A3090" t="s">
        <v>4499</v>
      </c>
      <c r="B3090" t="s">
        <v>2427</v>
      </c>
      <c r="C3090" t="s">
        <v>177</v>
      </c>
      <c r="D3090" t="s">
        <v>371</v>
      </c>
      <c r="E3090">
        <v>-49472</v>
      </c>
      <c r="F3090" t="s">
        <v>23</v>
      </c>
      <c r="G3090" t="s">
        <v>32</v>
      </c>
      <c r="H3090" t="s">
        <v>79</v>
      </c>
      <c r="I3090" t="s">
        <v>45</v>
      </c>
      <c r="J3090" t="s">
        <v>27</v>
      </c>
    </row>
    <row r="3091" spans="1:10">
      <c r="A3091" t="s">
        <v>4500</v>
      </c>
      <c r="B3091" t="s">
        <v>344</v>
      </c>
      <c r="C3091" t="s">
        <v>116</v>
      </c>
      <c r="E3091">
        <v>-63301</v>
      </c>
      <c r="F3091" t="s">
        <v>74</v>
      </c>
      <c r="G3091" t="s">
        <v>24</v>
      </c>
      <c r="H3091" t="s">
        <v>25</v>
      </c>
      <c r="I3091" t="s">
        <v>45</v>
      </c>
      <c r="J3091" t="s">
        <v>27</v>
      </c>
    </row>
    <row r="3092" spans="1:10">
      <c r="A3092" t="s">
        <v>4501</v>
      </c>
      <c r="B3092" t="s">
        <v>691</v>
      </c>
      <c r="C3092" t="s">
        <v>51</v>
      </c>
      <c r="D3092" t="s">
        <v>31</v>
      </c>
      <c r="E3092">
        <v>-24384</v>
      </c>
      <c r="F3092" t="s">
        <v>23</v>
      </c>
      <c r="G3092" t="s">
        <v>24</v>
      </c>
      <c r="H3092" t="s">
        <v>33</v>
      </c>
      <c r="I3092" t="s">
        <v>26</v>
      </c>
      <c r="J3092" t="s">
        <v>34</v>
      </c>
    </row>
    <row r="3093" spans="1:10">
      <c r="A3093" t="s">
        <v>4502</v>
      </c>
      <c r="B3093" t="s">
        <v>3781</v>
      </c>
      <c r="C3093" t="s">
        <v>180</v>
      </c>
      <c r="D3093" t="s">
        <v>44</v>
      </c>
      <c r="E3093">
        <v>-50154</v>
      </c>
      <c r="F3093" t="s">
        <v>23</v>
      </c>
      <c r="G3093" t="s">
        <v>24</v>
      </c>
      <c r="H3093" t="s">
        <v>33</v>
      </c>
      <c r="I3093" t="s">
        <v>26</v>
      </c>
      <c r="J3093" t="s">
        <v>27</v>
      </c>
    </row>
    <row r="3094" spans="1:10">
      <c r="A3094" t="s">
        <v>4503</v>
      </c>
      <c r="B3094" t="s">
        <v>3163</v>
      </c>
      <c r="C3094" t="s">
        <v>72</v>
      </c>
      <c r="D3094" t="s">
        <v>73</v>
      </c>
      <c r="E3094">
        <v>-74509</v>
      </c>
      <c r="F3094" t="s">
        <v>74</v>
      </c>
      <c r="G3094" t="s">
        <v>24</v>
      </c>
      <c r="H3094" t="s">
        <v>25</v>
      </c>
      <c r="I3094" t="s">
        <v>45</v>
      </c>
      <c r="J3094" t="s">
        <v>34</v>
      </c>
    </row>
    <row r="3095" spans="1:10">
      <c r="A3095" t="s">
        <v>4504</v>
      </c>
      <c r="B3095" t="s">
        <v>4505</v>
      </c>
      <c r="C3095" t="s">
        <v>106</v>
      </c>
      <c r="D3095" t="s">
        <v>31</v>
      </c>
      <c r="E3095">
        <v>-28302</v>
      </c>
      <c r="F3095" t="s">
        <v>23</v>
      </c>
      <c r="G3095" t="s">
        <v>32</v>
      </c>
      <c r="H3095" t="s">
        <v>33</v>
      </c>
      <c r="I3095" t="s">
        <v>45</v>
      </c>
      <c r="J3095" t="s">
        <v>48</v>
      </c>
    </row>
    <row r="3096" spans="1:10">
      <c r="A3096" t="s">
        <v>4506</v>
      </c>
      <c r="B3096" t="s">
        <v>4507</v>
      </c>
      <c r="C3096" t="s">
        <v>161</v>
      </c>
      <c r="D3096" t="s">
        <v>22</v>
      </c>
      <c r="E3096">
        <v>-90396</v>
      </c>
      <c r="F3096" t="s">
        <v>23</v>
      </c>
      <c r="G3096" t="s">
        <v>32</v>
      </c>
      <c r="H3096" t="s">
        <v>25</v>
      </c>
      <c r="I3096" t="s">
        <v>39</v>
      </c>
      <c r="J3096" t="s">
        <v>40</v>
      </c>
    </row>
    <row r="3097" spans="1:10">
      <c r="A3097" t="s">
        <v>362</v>
      </c>
      <c r="B3097" t="s">
        <v>363</v>
      </c>
      <c r="C3097" t="s">
        <v>84</v>
      </c>
      <c r="D3097" t="s">
        <v>78</v>
      </c>
      <c r="E3097">
        <v>-19073</v>
      </c>
      <c r="F3097" t="s">
        <v>23</v>
      </c>
      <c r="G3097" t="s">
        <v>24</v>
      </c>
      <c r="H3097" t="s">
        <v>79</v>
      </c>
      <c r="I3097" t="s">
        <v>26</v>
      </c>
      <c r="J3097" t="s">
        <v>40</v>
      </c>
    </row>
    <row r="3098" spans="1:10">
      <c r="A3098" t="s">
        <v>4508</v>
      </c>
      <c r="B3098" t="s">
        <v>2803</v>
      </c>
      <c r="C3098" t="s">
        <v>266</v>
      </c>
      <c r="D3098" t="s">
        <v>73</v>
      </c>
      <c r="E3098">
        <v>-49365</v>
      </c>
      <c r="F3098" t="s">
        <v>74</v>
      </c>
      <c r="G3098" t="s">
        <v>32</v>
      </c>
      <c r="H3098" t="s">
        <v>25</v>
      </c>
      <c r="I3098" t="s">
        <v>26</v>
      </c>
      <c r="J3098" t="s">
        <v>34</v>
      </c>
    </row>
    <row r="3099" spans="1:10">
      <c r="A3099" t="s">
        <v>4509</v>
      </c>
      <c r="B3099" t="s">
        <v>4510</v>
      </c>
      <c r="C3099" t="s">
        <v>30</v>
      </c>
      <c r="D3099" t="s">
        <v>31</v>
      </c>
      <c r="E3099">
        <v>-8090</v>
      </c>
      <c r="F3099" t="s">
        <v>23</v>
      </c>
      <c r="G3099" t="s">
        <v>24</v>
      </c>
      <c r="H3099" t="s">
        <v>33</v>
      </c>
      <c r="I3099" t="s">
        <v>26</v>
      </c>
      <c r="J3099" t="s">
        <v>48</v>
      </c>
    </row>
    <row r="3100" spans="1:10">
      <c r="A3100" t="s">
        <v>4511</v>
      </c>
      <c r="B3100" t="s">
        <v>1746</v>
      </c>
      <c r="C3100" t="s">
        <v>100</v>
      </c>
      <c r="D3100" t="s">
        <v>31</v>
      </c>
      <c r="E3100">
        <v>-38394</v>
      </c>
      <c r="F3100" t="s">
        <v>23</v>
      </c>
      <c r="G3100" t="s">
        <v>24</v>
      </c>
      <c r="H3100" t="s">
        <v>33</v>
      </c>
      <c r="I3100" t="s">
        <v>26</v>
      </c>
      <c r="J3100" t="s">
        <v>40</v>
      </c>
    </row>
    <row r="3101" spans="1:10">
      <c r="A3101" t="s">
        <v>4512</v>
      </c>
      <c r="B3101" t="s">
        <v>1849</v>
      </c>
      <c r="C3101" t="s">
        <v>177</v>
      </c>
      <c r="D3101" t="s">
        <v>78</v>
      </c>
      <c r="E3101">
        <v>-24392</v>
      </c>
      <c r="F3101" t="s">
        <v>23</v>
      </c>
      <c r="G3101" t="s">
        <v>32</v>
      </c>
      <c r="H3101" t="s">
        <v>79</v>
      </c>
      <c r="I3101" t="s">
        <v>45</v>
      </c>
      <c r="J3101" t="s">
        <v>48</v>
      </c>
    </row>
    <row r="3102" spans="1:10">
      <c r="A3102" t="s">
        <v>4513</v>
      </c>
      <c r="B3102" t="s">
        <v>4514</v>
      </c>
      <c r="C3102" t="s">
        <v>212</v>
      </c>
      <c r="D3102" t="s">
        <v>73</v>
      </c>
      <c r="E3102">
        <v>-91179</v>
      </c>
      <c r="F3102" t="s">
        <v>74</v>
      </c>
      <c r="G3102" t="s">
        <v>24</v>
      </c>
      <c r="H3102" t="s">
        <v>25</v>
      </c>
      <c r="I3102" t="s">
        <v>39</v>
      </c>
      <c r="J3102" t="s">
        <v>48</v>
      </c>
    </row>
    <row r="3103" spans="1:10">
      <c r="A3103" t="s">
        <v>4515</v>
      </c>
      <c r="B3103" t="s">
        <v>1679</v>
      </c>
      <c r="C3103" t="s">
        <v>93</v>
      </c>
      <c r="D3103" t="s">
        <v>73</v>
      </c>
      <c r="E3103">
        <v>-84855</v>
      </c>
      <c r="F3103" t="s">
        <v>74</v>
      </c>
      <c r="G3103" t="s">
        <v>32</v>
      </c>
      <c r="H3103" t="s">
        <v>25</v>
      </c>
      <c r="I3103" t="s">
        <v>45</v>
      </c>
      <c r="J3103" t="s">
        <v>40</v>
      </c>
    </row>
    <row r="3104" spans="1:10">
      <c r="A3104" t="s">
        <v>4516</v>
      </c>
      <c r="B3104" t="s">
        <v>1954</v>
      </c>
      <c r="C3104" t="s">
        <v>90</v>
      </c>
      <c r="D3104" t="s">
        <v>73</v>
      </c>
      <c r="E3104">
        <v>-94430</v>
      </c>
      <c r="F3104" t="s">
        <v>74</v>
      </c>
      <c r="G3104" t="s">
        <v>24</v>
      </c>
      <c r="H3104" t="s">
        <v>25</v>
      </c>
      <c r="I3104" t="s">
        <v>26</v>
      </c>
      <c r="J3104" t="s">
        <v>27</v>
      </c>
    </row>
    <row r="3105" spans="1:10">
      <c r="A3105" t="s">
        <v>3591</v>
      </c>
      <c r="B3105" t="s">
        <v>2143</v>
      </c>
      <c r="C3105" t="s">
        <v>66</v>
      </c>
      <c r="D3105" t="s">
        <v>61</v>
      </c>
      <c r="E3105">
        <v>-58115</v>
      </c>
      <c r="F3105" t="s">
        <v>62</v>
      </c>
      <c r="G3105" t="s">
        <v>32</v>
      </c>
      <c r="H3105" t="s">
        <v>63</v>
      </c>
      <c r="I3105" t="s">
        <v>26</v>
      </c>
      <c r="J3105" t="s">
        <v>34</v>
      </c>
    </row>
    <row r="3106" spans="1:10">
      <c r="A3106" t="s">
        <v>4517</v>
      </c>
      <c r="B3106" t="s">
        <v>2221</v>
      </c>
      <c r="C3106" t="s">
        <v>66</v>
      </c>
      <c r="D3106" t="s">
        <v>61</v>
      </c>
      <c r="E3106">
        <v>-63021</v>
      </c>
      <c r="F3106" t="s">
        <v>62</v>
      </c>
      <c r="G3106" t="s">
        <v>24</v>
      </c>
      <c r="H3106" t="s">
        <v>63</v>
      </c>
      <c r="I3106" t="s">
        <v>26</v>
      </c>
      <c r="J3106" t="s">
        <v>27</v>
      </c>
    </row>
    <row r="3107" spans="1:10">
      <c r="A3107" t="s">
        <v>4518</v>
      </c>
      <c r="B3107" t="s">
        <v>3552</v>
      </c>
      <c r="C3107" t="s">
        <v>21</v>
      </c>
      <c r="D3107" t="s">
        <v>22</v>
      </c>
      <c r="E3107">
        <v>-86845</v>
      </c>
      <c r="F3107" t="s">
        <v>23</v>
      </c>
      <c r="G3107" t="s">
        <v>24</v>
      </c>
      <c r="H3107" t="s">
        <v>25</v>
      </c>
      <c r="I3107" t="s">
        <v>26</v>
      </c>
      <c r="J3107" t="s">
        <v>27</v>
      </c>
    </row>
    <row r="3108" spans="1:10">
      <c r="A3108" t="s">
        <v>4519</v>
      </c>
      <c r="B3108" t="s">
        <v>551</v>
      </c>
      <c r="C3108" t="s">
        <v>156</v>
      </c>
      <c r="D3108" t="s">
        <v>157</v>
      </c>
      <c r="E3108">
        <v>684215</v>
      </c>
      <c r="F3108" t="s">
        <v>62</v>
      </c>
      <c r="G3108" t="s">
        <v>32</v>
      </c>
      <c r="H3108" t="s">
        <v>25</v>
      </c>
      <c r="I3108" t="s">
        <v>39</v>
      </c>
      <c r="J3108" t="s">
        <v>40</v>
      </c>
    </row>
    <row r="3109" spans="1:10">
      <c r="A3109" t="s">
        <v>4520</v>
      </c>
      <c r="B3109" t="s">
        <v>1426</v>
      </c>
      <c r="C3109" t="s">
        <v>30</v>
      </c>
      <c r="D3109" t="s">
        <v>31</v>
      </c>
      <c r="E3109">
        <v>-18078</v>
      </c>
      <c r="F3109" t="s">
        <v>23</v>
      </c>
      <c r="G3109" t="s">
        <v>24</v>
      </c>
      <c r="H3109" t="s">
        <v>33</v>
      </c>
      <c r="I3109" t="s">
        <v>39</v>
      </c>
      <c r="J3109" t="s">
        <v>48</v>
      </c>
    </row>
    <row r="3110" spans="1:10">
      <c r="A3110" t="s">
        <v>4521</v>
      </c>
      <c r="B3110" t="s">
        <v>115</v>
      </c>
      <c r="C3110" t="s">
        <v>519</v>
      </c>
      <c r="D3110" t="s">
        <v>44</v>
      </c>
      <c r="E3110">
        <v>-138164</v>
      </c>
      <c r="F3110" t="s">
        <v>23</v>
      </c>
      <c r="G3110" t="s">
        <v>24</v>
      </c>
      <c r="H3110" t="s">
        <v>33</v>
      </c>
      <c r="I3110" t="s">
        <v>45</v>
      </c>
      <c r="J3110" t="s">
        <v>48</v>
      </c>
    </row>
    <row r="3111" spans="1:10">
      <c r="A3111" t="s">
        <v>4522</v>
      </c>
      <c r="B3111" t="s">
        <v>1738</v>
      </c>
      <c r="C3111" t="s">
        <v>215</v>
      </c>
      <c r="D3111" t="s">
        <v>61</v>
      </c>
      <c r="E3111">
        <v>-28014</v>
      </c>
      <c r="F3111" t="s">
        <v>62</v>
      </c>
      <c r="G3111" t="s">
        <v>32</v>
      </c>
      <c r="H3111" t="s">
        <v>63</v>
      </c>
      <c r="I3111" t="s">
        <v>39</v>
      </c>
      <c r="J3111" t="s">
        <v>48</v>
      </c>
    </row>
    <row r="3112" spans="1:10">
      <c r="A3112" t="s">
        <v>4523</v>
      </c>
      <c r="B3112" t="s">
        <v>4524</v>
      </c>
      <c r="C3112" t="s">
        <v>3972</v>
      </c>
      <c r="D3112" t="s">
        <v>440</v>
      </c>
      <c r="E3112">
        <v>-121234</v>
      </c>
      <c r="F3112" t="s">
        <v>23</v>
      </c>
      <c r="G3112" t="s">
        <v>24</v>
      </c>
      <c r="H3112" t="s">
        <v>33</v>
      </c>
      <c r="I3112" t="s">
        <v>45</v>
      </c>
      <c r="J3112" t="s">
        <v>34</v>
      </c>
    </row>
    <row r="3113" spans="1:10">
      <c r="A3113" t="s">
        <v>4525</v>
      </c>
      <c r="B3113" t="s">
        <v>1798</v>
      </c>
      <c r="C3113" t="s">
        <v>60</v>
      </c>
      <c r="D3113" t="s">
        <v>61</v>
      </c>
      <c r="E3113">
        <v>-62699</v>
      </c>
      <c r="F3113" t="s">
        <v>62</v>
      </c>
      <c r="G3113" t="s">
        <v>32</v>
      </c>
      <c r="H3113" t="s">
        <v>63</v>
      </c>
      <c r="I3113" t="s">
        <v>45</v>
      </c>
      <c r="J3113" t="s">
        <v>40</v>
      </c>
    </row>
    <row r="3114" spans="1:10">
      <c r="A3114" t="s">
        <v>4526</v>
      </c>
      <c r="B3114" t="s">
        <v>784</v>
      </c>
      <c r="C3114" t="s">
        <v>156</v>
      </c>
      <c r="D3114" t="s">
        <v>157</v>
      </c>
      <c r="E3114">
        <v>544168</v>
      </c>
      <c r="F3114" t="s">
        <v>62</v>
      </c>
      <c r="G3114" t="s">
        <v>32</v>
      </c>
      <c r="H3114" t="s">
        <v>25</v>
      </c>
      <c r="I3114" t="s">
        <v>26</v>
      </c>
      <c r="J3114" t="s">
        <v>40</v>
      </c>
    </row>
    <row r="3115" spans="1:10">
      <c r="A3115" t="s">
        <v>4527</v>
      </c>
      <c r="B3115" t="s">
        <v>1865</v>
      </c>
      <c r="C3115" t="s">
        <v>215</v>
      </c>
      <c r="D3115" t="s">
        <v>61</v>
      </c>
      <c r="E3115">
        <v>-17479</v>
      </c>
      <c r="F3115" t="s">
        <v>62</v>
      </c>
      <c r="G3115" t="s">
        <v>32</v>
      </c>
      <c r="H3115" t="s">
        <v>63</v>
      </c>
      <c r="I3115" t="s">
        <v>45</v>
      </c>
      <c r="J3115" t="s">
        <v>40</v>
      </c>
    </row>
    <row r="3116" spans="1:10">
      <c r="A3116" t="s">
        <v>4528</v>
      </c>
      <c r="B3116" t="s">
        <v>3700</v>
      </c>
      <c r="C3116" t="s">
        <v>72</v>
      </c>
      <c r="D3116" t="s">
        <v>73</v>
      </c>
      <c r="E3116">
        <v>-36113</v>
      </c>
      <c r="F3116" t="s">
        <v>74</v>
      </c>
      <c r="G3116" t="s">
        <v>32</v>
      </c>
      <c r="H3116" t="s">
        <v>25</v>
      </c>
      <c r="I3116" t="s">
        <v>39</v>
      </c>
      <c r="J3116" t="s">
        <v>48</v>
      </c>
    </row>
    <row r="3117" spans="1:10">
      <c r="A3117" t="s">
        <v>4529</v>
      </c>
      <c r="B3117" t="s">
        <v>436</v>
      </c>
      <c r="C3117" t="s">
        <v>266</v>
      </c>
      <c r="E3117">
        <v>-41491</v>
      </c>
      <c r="F3117" t="s">
        <v>74</v>
      </c>
      <c r="G3117" t="s">
        <v>24</v>
      </c>
      <c r="H3117" t="s">
        <v>25</v>
      </c>
      <c r="I3117" t="s">
        <v>39</v>
      </c>
      <c r="J3117" t="s">
        <v>40</v>
      </c>
    </row>
    <row r="3118" spans="1:10">
      <c r="A3118" t="s">
        <v>4530</v>
      </c>
      <c r="B3118" t="s">
        <v>2951</v>
      </c>
      <c r="C3118" t="s">
        <v>166</v>
      </c>
      <c r="D3118" t="s">
        <v>31</v>
      </c>
      <c r="E3118">
        <v>-28712</v>
      </c>
      <c r="F3118" t="s">
        <v>23</v>
      </c>
      <c r="G3118" t="s">
        <v>24</v>
      </c>
      <c r="H3118" t="s">
        <v>33</v>
      </c>
      <c r="I3118" t="s">
        <v>26</v>
      </c>
      <c r="J3118" t="s">
        <v>48</v>
      </c>
    </row>
    <row r="3119" spans="1:10">
      <c r="A3119" t="s">
        <v>4531</v>
      </c>
      <c r="B3119" t="s">
        <v>1573</v>
      </c>
      <c r="C3119" t="s">
        <v>72</v>
      </c>
      <c r="D3119" t="s">
        <v>73</v>
      </c>
      <c r="E3119">
        <v>-8955</v>
      </c>
      <c r="F3119" t="s">
        <v>74</v>
      </c>
      <c r="G3119" t="s">
        <v>32</v>
      </c>
      <c r="H3119" t="s">
        <v>25</v>
      </c>
      <c r="I3119" t="s">
        <v>45</v>
      </c>
      <c r="J3119" t="s">
        <v>34</v>
      </c>
    </row>
    <row r="3120" spans="1:10">
      <c r="A3120" t="s">
        <v>4532</v>
      </c>
      <c r="B3120" t="s">
        <v>945</v>
      </c>
      <c r="C3120" t="s">
        <v>3972</v>
      </c>
      <c r="D3120" t="s">
        <v>440</v>
      </c>
      <c r="E3120">
        <v>-153974</v>
      </c>
      <c r="F3120" t="s">
        <v>23</v>
      </c>
      <c r="G3120" t="s">
        <v>24</v>
      </c>
      <c r="H3120" t="s">
        <v>33</v>
      </c>
      <c r="I3120" t="s">
        <v>45</v>
      </c>
      <c r="J3120" t="s">
        <v>40</v>
      </c>
    </row>
    <row r="3121" spans="1:10">
      <c r="A3121" t="s">
        <v>4533</v>
      </c>
      <c r="B3121" t="s">
        <v>2701</v>
      </c>
      <c r="C3121" t="s">
        <v>84</v>
      </c>
      <c r="D3121" t="s">
        <v>664</v>
      </c>
      <c r="E3121">
        <v>-64572</v>
      </c>
      <c r="F3121" t="s">
        <v>23</v>
      </c>
      <c r="G3121" t="s">
        <v>24</v>
      </c>
      <c r="H3121" t="s">
        <v>79</v>
      </c>
      <c r="I3121" t="s">
        <v>26</v>
      </c>
      <c r="J3121" t="s">
        <v>48</v>
      </c>
    </row>
    <row r="3122" spans="1:10">
      <c r="A3122" t="s">
        <v>4534</v>
      </c>
      <c r="B3122" t="s">
        <v>159</v>
      </c>
      <c r="C3122" t="s">
        <v>468</v>
      </c>
      <c r="D3122" t="s">
        <v>440</v>
      </c>
      <c r="E3122">
        <v>-108767</v>
      </c>
      <c r="F3122" t="s">
        <v>23</v>
      </c>
      <c r="G3122" t="s">
        <v>24</v>
      </c>
      <c r="H3122" t="s">
        <v>33</v>
      </c>
      <c r="I3122" t="s">
        <v>26</v>
      </c>
      <c r="J3122" t="s">
        <v>34</v>
      </c>
    </row>
    <row r="3123" spans="1:10">
      <c r="A3123" t="s">
        <v>4535</v>
      </c>
      <c r="B3123" t="s">
        <v>4536</v>
      </c>
      <c r="C3123" t="s">
        <v>72</v>
      </c>
      <c r="D3123" t="s">
        <v>73</v>
      </c>
      <c r="E3123">
        <v>-48902</v>
      </c>
      <c r="F3123" t="s">
        <v>74</v>
      </c>
      <c r="G3123" t="s">
        <v>24</v>
      </c>
      <c r="H3123" t="s">
        <v>25</v>
      </c>
      <c r="I3123" t="s">
        <v>39</v>
      </c>
      <c r="J3123" t="s">
        <v>34</v>
      </c>
    </row>
    <row r="3124" spans="1:10">
      <c r="A3124" t="s">
        <v>4537</v>
      </c>
      <c r="B3124" t="s">
        <v>110</v>
      </c>
      <c r="C3124" t="s">
        <v>293</v>
      </c>
      <c r="D3124" t="s">
        <v>157</v>
      </c>
      <c r="E3124">
        <v>667315</v>
      </c>
      <c r="F3124" t="s">
        <v>62</v>
      </c>
      <c r="G3124" t="s">
        <v>32</v>
      </c>
      <c r="H3124" t="s">
        <v>25</v>
      </c>
      <c r="I3124" t="s">
        <v>39</v>
      </c>
      <c r="J3124" t="s">
        <v>34</v>
      </c>
    </row>
    <row r="3125" spans="1:10">
      <c r="A3125" t="s">
        <v>4538</v>
      </c>
      <c r="B3125" t="s">
        <v>4539</v>
      </c>
      <c r="C3125" t="s">
        <v>100</v>
      </c>
      <c r="D3125" t="s">
        <v>31</v>
      </c>
      <c r="E3125">
        <v>-4475</v>
      </c>
      <c r="F3125" t="s">
        <v>23</v>
      </c>
      <c r="G3125" t="s">
        <v>24</v>
      </c>
      <c r="H3125" t="s">
        <v>33</v>
      </c>
      <c r="I3125" t="s">
        <v>45</v>
      </c>
      <c r="J3125" t="s">
        <v>48</v>
      </c>
    </row>
    <row r="3126" spans="1:10">
      <c r="A3126" t="s">
        <v>4540</v>
      </c>
      <c r="B3126" t="s">
        <v>4541</v>
      </c>
      <c r="C3126" t="s">
        <v>77</v>
      </c>
      <c r="D3126" t="s">
        <v>78</v>
      </c>
      <c r="E3126">
        <v>-92941</v>
      </c>
      <c r="F3126" t="s">
        <v>23</v>
      </c>
      <c r="G3126" t="s">
        <v>24</v>
      </c>
      <c r="H3126" t="s">
        <v>79</v>
      </c>
      <c r="I3126" t="s">
        <v>39</v>
      </c>
      <c r="J3126" t="s">
        <v>40</v>
      </c>
    </row>
    <row r="3127" spans="1:10">
      <c r="A3127" t="s">
        <v>4542</v>
      </c>
      <c r="B3127" t="s">
        <v>1777</v>
      </c>
      <c r="C3127" t="s">
        <v>106</v>
      </c>
      <c r="D3127" t="s">
        <v>31</v>
      </c>
      <c r="E3127">
        <v>-11933</v>
      </c>
      <c r="F3127" t="s">
        <v>23</v>
      </c>
      <c r="G3127" t="s">
        <v>24</v>
      </c>
      <c r="H3127" t="s">
        <v>33</v>
      </c>
      <c r="I3127" t="s">
        <v>26</v>
      </c>
      <c r="J3127" t="s">
        <v>34</v>
      </c>
    </row>
    <row r="3128" spans="1:10">
      <c r="A3128" t="s">
        <v>4543</v>
      </c>
      <c r="B3128" t="s">
        <v>347</v>
      </c>
      <c r="C3128" t="s">
        <v>468</v>
      </c>
      <c r="D3128" t="s">
        <v>440</v>
      </c>
      <c r="E3128">
        <v>-137127</v>
      </c>
      <c r="F3128" t="s">
        <v>23</v>
      </c>
      <c r="G3128" t="s">
        <v>24</v>
      </c>
      <c r="H3128" t="s">
        <v>33</v>
      </c>
      <c r="I3128" t="s">
        <v>39</v>
      </c>
      <c r="J3128" t="s">
        <v>27</v>
      </c>
    </row>
    <row r="3129" spans="1:10">
      <c r="A3129" t="s">
        <v>4544</v>
      </c>
      <c r="B3129" t="s">
        <v>1695</v>
      </c>
      <c r="C3129" t="s">
        <v>60</v>
      </c>
      <c r="D3129" t="s">
        <v>61</v>
      </c>
      <c r="E3129">
        <v>-36386</v>
      </c>
      <c r="F3129" t="s">
        <v>62</v>
      </c>
      <c r="G3129" t="s">
        <v>24</v>
      </c>
      <c r="H3129" t="s">
        <v>63</v>
      </c>
      <c r="I3129" t="s">
        <v>39</v>
      </c>
      <c r="J3129" t="s">
        <v>48</v>
      </c>
    </row>
    <row r="3130" spans="1:10">
      <c r="A3130" t="s">
        <v>4545</v>
      </c>
      <c r="B3130" t="s">
        <v>2813</v>
      </c>
      <c r="C3130" t="s">
        <v>616</v>
      </c>
      <c r="D3130" t="s">
        <v>193</v>
      </c>
      <c r="E3130">
        <v>-186728</v>
      </c>
      <c r="F3130" t="s">
        <v>23</v>
      </c>
      <c r="G3130" t="s">
        <v>24</v>
      </c>
      <c r="H3130" t="s">
        <v>25</v>
      </c>
      <c r="I3130" t="s">
        <v>39</v>
      </c>
      <c r="J3130" t="s">
        <v>40</v>
      </c>
    </row>
    <row r="3131" spans="1:10">
      <c r="A3131" t="s">
        <v>4546</v>
      </c>
      <c r="B3131" t="s">
        <v>1113</v>
      </c>
      <c r="C3131" t="s">
        <v>266</v>
      </c>
      <c r="D3131" t="s">
        <v>73</v>
      </c>
      <c r="E3131">
        <v>-70910</v>
      </c>
      <c r="F3131" t="s">
        <v>74</v>
      </c>
      <c r="G3131" t="s">
        <v>24</v>
      </c>
      <c r="H3131" t="s">
        <v>25</v>
      </c>
      <c r="I3131" t="s">
        <v>45</v>
      </c>
      <c r="J3131" t="s">
        <v>34</v>
      </c>
    </row>
    <row r="3132" spans="1:10">
      <c r="A3132" t="s">
        <v>4547</v>
      </c>
      <c r="B3132" t="s">
        <v>412</v>
      </c>
      <c r="C3132" t="s">
        <v>69</v>
      </c>
      <c r="D3132" t="s">
        <v>38</v>
      </c>
      <c r="E3132">
        <v>-51379</v>
      </c>
      <c r="F3132" t="s">
        <v>23</v>
      </c>
      <c r="G3132" t="s">
        <v>24</v>
      </c>
      <c r="H3132" t="s">
        <v>33</v>
      </c>
      <c r="I3132" t="s">
        <v>39</v>
      </c>
      <c r="J3132" t="s">
        <v>48</v>
      </c>
    </row>
    <row r="3133" spans="1:10">
      <c r="A3133" t="s">
        <v>4548</v>
      </c>
      <c r="B3133" t="s">
        <v>4549</v>
      </c>
      <c r="C3133" t="s">
        <v>100</v>
      </c>
      <c r="D3133" t="s">
        <v>31</v>
      </c>
      <c r="E3133">
        <v>-44193</v>
      </c>
      <c r="F3133" t="s">
        <v>23</v>
      </c>
      <c r="G3133" t="s">
        <v>32</v>
      </c>
      <c r="H3133" t="s">
        <v>33</v>
      </c>
      <c r="I3133" t="s">
        <v>45</v>
      </c>
      <c r="J3133" t="s">
        <v>40</v>
      </c>
    </row>
    <row r="3134" spans="1:10">
      <c r="A3134" t="s">
        <v>4550</v>
      </c>
      <c r="B3134" t="s">
        <v>4080</v>
      </c>
      <c r="C3134" t="s">
        <v>293</v>
      </c>
      <c r="D3134" t="s">
        <v>157</v>
      </c>
      <c r="E3134">
        <v>651790</v>
      </c>
      <c r="F3134" t="s">
        <v>62</v>
      </c>
      <c r="G3134" t="s">
        <v>32</v>
      </c>
      <c r="H3134" t="s">
        <v>25</v>
      </c>
      <c r="I3134" t="s">
        <v>39</v>
      </c>
      <c r="J3134" t="s">
        <v>34</v>
      </c>
    </row>
    <row r="3135" spans="1:10">
      <c r="A3135" t="s">
        <v>4551</v>
      </c>
      <c r="B3135" t="s">
        <v>1452</v>
      </c>
      <c r="C3135" t="s">
        <v>132</v>
      </c>
      <c r="D3135" t="s">
        <v>73</v>
      </c>
      <c r="E3135">
        <v>-83578</v>
      </c>
      <c r="F3135" t="s">
        <v>74</v>
      </c>
      <c r="G3135" t="s">
        <v>32</v>
      </c>
      <c r="H3135" t="s">
        <v>25</v>
      </c>
      <c r="I3135" t="s">
        <v>39</v>
      </c>
      <c r="J3135" t="s">
        <v>34</v>
      </c>
    </row>
    <row r="3136" spans="1:10">
      <c r="A3136" t="s">
        <v>4552</v>
      </c>
      <c r="B3136" t="s">
        <v>4553</v>
      </c>
      <c r="C3136" t="s">
        <v>77</v>
      </c>
      <c r="D3136" t="s">
        <v>78</v>
      </c>
      <c r="E3136">
        <v>-15780</v>
      </c>
      <c r="F3136" t="s">
        <v>23</v>
      </c>
      <c r="G3136" t="s">
        <v>32</v>
      </c>
      <c r="H3136" t="s">
        <v>79</v>
      </c>
      <c r="I3136" t="s">
        <v>45</v>
      </c>
      <c r="J3136" t="s">
        <v>40</v>
      </c>
    </row>
    <row r="3137" spans="1:10">
      <c r="A3137" t="s">
        <v>4554</v>
      </c>
      <c r="B3137" t="s">
        <v>693</v>
      </c>
      <c r="C3137" t="s">
        <v>4555</v>
      </c>
      <c r="D3137" t="s">
        <v>136</v>
      </c>
      <c r="E3137">
        <v>-10629311</v>
      </c>
      <c r="F3137" t="s">
        <v>62</v>
      </c>
      <c r="G3137" t="s">
        <v>32</v>
      </c>
      <c r="H3137" t="s">
        <v>63</v>
      </c>
      <c r="I3137" t="s">
        <v>45</v>
      </c>
      <c r="J3137" t="s">
        <v>27</v>
      </c>
    </row>
    <row r="3138" spans="1:10">
      <c r="A3138" t="s">
        <v>4556</v>
      </c>
      <c r="B3138" t="s">
        <v>239</v>
      </c>
      <c r="C3138" t="s">
        <v>180</v>
      </c>
      <c r="D3138" t="s">
        <v>465</v>
      </c>
      <c r="E3138">
        <v>-145407</v>
      </c>
      <c r="F3138" t="s">
        <v>23</v>
      </c>
      <c r="G3138" t="s">
        <v>24</v>
      </c>
      <c r="H3138" t="s">
        <v>33</v>
      </c>
      <c r="I3138" t="s">
        <v>26</v>
      </c>
      <c r="J3138" t="s">
        <v>27</v>
      </c>
    </row>
    <row r="3139" spans="1:10">
      <c r="A3139" t="s">
        <v>4557</v>
      </c>
      <c r="B3139" t="s">
        <v>3167</v>
      </c>
      <c r="C3139" t="s">
        <v>129</v>
      </c>
      <c r="D3139" t="s">
        <v>38</v>
      </c>
      <c r="E3139">
        <v>-11986</v>
      </c>
      <c r="F3139" t="s">
        <v>23</v>
      </c>
      <c r="G3139" t="s">
        <v>24</v>
      </c>
      <c r="H3139" t="s">
        <v>33</v>
      </c>
      <c r="I3139" t="s">
        <v>26</v>
      </c>
      <c r="J3139" t="s">
        <v>34</v>
      </c>
    </row>
    <row r="3140" spans="1:10">
      <c r="A3140" t="s">
        <v>4558</v>
      </c>
      <c r="B3140" t="s">
        <v>3937</v>
      </c>
      <c r="C3140" t="s">
        <v>106</v>
      </c>
      <c r="D3140" t="s">
        <v>31</v>
      </c>
      <c r="E3140">
        <v>-38440</v>
      </c>
      <c r="F3140" t="s">
        <v>23</v>
      </c>
      <c r="G3140" t="s">
        <v>32</v>
      </c>
      <c r="H3140" t="s">
        <v>33</v>
      </c>
      <c r="I3140" t="s">
        <v>39</v>
      </c>
      <c r="J3140" t="s">
        <v>48</v>
      </c>
    </row>
    <row r="3141" spans="1:10">
      <c r="A3141" t="s">
        <v>4559</v>
      </c>
      <c r="B3141" t="s">
        <v>3902</v>
      </c>
      <c r="C3141" t="s">
        <v>21</v>
      </c>
      <c r="D3141" t="s">
        <v>22</v>
      </c>
      <c r="E3141">
        <v>-86702</v>
      </c>
      <c r="F3141" t="s">
        <v>23</v>
      </c>
      <c r="G3141" t="s">
        <v>32</v>
      </c>
      <c r="H3141" t="s">
        <v>25</v>
      </c>
      <c r="I3141" t="s">
        <v>39</v>
      </c>
      <c r="J3141" t="s">
        <v>27</v>
      </c>
    </row>
    <row r="3142" spans="1:10">
      <c r="A3142" t="s">
        <v>4560</v>
      </c>
      <c r="B3142" t="s">
        <v>825</v>
      </c>
      <c r="C3142" t="s">
        <v>215</v>
      </c>
      <c r="D3142" t="s">
        <v>61</v>
      </c>
      <c r="E3142">
        <v>-23984</v>
      </c>
      <c r="F3142" t="s">
        <v>62</v>
      </c>
      <c r="G3142" t="s">
        <v>32</v>
      </c>
      <c r="H3142" t="s">
        <v>63</v>
      </c>
      <c r="I3142" t="s">
        <v>26</v>
      </c>
      <c r="J3142" t="s">
        <v>48</v>
      </c>
    </row>
    <row r="3143" spans="1:10">
      <c r="A3143" t="s">
        <v>4561</v>
      </c>
      <c r="B3143" t="s">
        <v>1575</v>
      </c>
      <c r="C3143" t="s">
        <v>2752</v>
      </c>
      <c r="D3143" t="s">
        <v>78</v>
      </c>
      <c r="E3143">
        <v>-65340</v>
      </c>
      <c r="F3143" t="s">
        <v>23</v>
      </c>
      <c r="G3143" t="s">
        <v>32</v>
      </c>
      <c r="H3143" t="s">
        <v>79</v>
      </c>
      <c r="I3143" t="s">
        <v>45</v>
      </c>
      <c r="J3143" t="s">
        <v>40</v>
      </c>
    </row>
    <row r="3144" spans="1:10">
      <c r="A3144" t="s">
        <v>4562</v>
      </c>
      <c r="B3144" t="s">
        <v>3759</v>
      </c>
      <c r="C3144" t="s">
        <v>66</v>
      </c>
      <c r="D3144" t="s">
        <v>61</v>
      </c>
      <c r="E3144">
        <v>-21028</v>
      </c>
      <c r="F3144" t="s">
        <v>62</v>
      </c>
      <c r="G3144" t="s">
        <v>24</v>
      </c>
      <c r="H3144" t="s">
        <v>63</v>
      </c>
      <c r="I3144" t="s">
        <v>45</v>
      </c>
      <c r="J3144" t="s">
        <v>40</v>
      </c>
    </row>
    <row r="3145" spans="1:10">
      <c r="A3145" t="s">
        <v>4563</v>
      </c>
      <c r="B3145" t="s">
        <v>319</v>
      </c>
      <c r="C3145" t="s">
        <v>93</v>
      </c>
      <c r="D3145" t="s">
        <v>73</v>
      </c>
      <c r="E3145">
        <v>-78636</v>
      </c>
      <c r="F3145" t="s">
        <v>74</v>
      </c>
      <c r="G3145" t="s">
        <v>24</v>
      </c>
      <c r="H3145" t="s">
        <v>25</v>
      </c>
      <c r="I3145" t="s">
        <v>39</v>
      </c>
      <c r="J3145" t="s">
        <v>34</v>
      </c>
    </row>
    <row r="3146" spans="1:10">
      <c r="A3146" t="s">
        <v>4564</v>
      </c>
      <c r="B3146" t="s">
        <v>2826</v>
      </c>
      <c r="C3146" t="s">
        <v>87</v>
      </c>
      <c r="D3146" t="s">
        <v>22</v>
      </c>
      <c r="E3146">
        <v>-118348</v>
      </c>
      <c r="F3146" t="s">
        <v>23</v>
      </c>
      <c r="G3146" t="s">
        <v>24</v>
      </c>
      <c r="H3146" t="s">
        <v>25</v>
      </c>
      <c r="I3146" t="s">
        <v>26</v>
      </c>
      <c r="J3146" t="s">
        <v>27</v>
      </c>
    </row>
    <row r="3147" spans="1:10">
      <c r="A3147" t="s">
        <v>4565</v>
      </c>
      <c r="B3147" t="s">
        <v>4566</v>
      </c>
      <c r="C3147" t="s">
        <v>283</v>
      </c>
      <c r="D3147" t="s">
        <v>44</v>
      </c>
      <c r="E3147">
        <v>-63254</v>
      </c>
      <c r="F3147" t="s">
        <v>23</v>
      </c>
      <c r="G3147" t="s">
        <v>24</v>
      </c>
      <c r="H3147" t="s">
        <v>33</v>
      </c>
      <c r="I3147" t="s">
        <v>39</v>
      </c>
      <c r="J3147" t="s">
        <v>48</v>
      </c>
    </row>
    <row r="3148" spans="1:10">
      <c r="A3148" t="s">
        <v>4567</v>
      </c>
      <c r="B3148" t="s">
        <v>547</v>
      </c>
      <c r="C3148" t="s">
        <v>60</v>
      </c>
      <c r="D3148" t="s">
        <v>61</v>
      </c>
      <c r="E3148">
        <v>-31283</v>
      </c>
      <c r="F3148" t="s">
        <v>62</v>
      </c>
      <c r="G3148" t="s">
        <v>24</v>
      </c>
      <c r="H3148" t="s">
        <v>63</v>
      </c>
      <c r="I3148" t="s">
        <v>26</v>
      </c>
      <c r="J3148" t="s">
        <v>34</v>
      </c>
    </row>
    <row r="3149" spans="1:10">
      <c r="A3149" t="s">
        <v>4568</v>
      </c>
      <c r="B3149" t="s">
        <v>1043</v>
      </c>
      <c r="C3149" t="s">
        <v>305</v>
      </c>
      <c r="D3149" t="s">
        <v>38</v>
      </c>
      <c r="E3149">
        <v>-27997</v>
      </c>
      <c r="F3149" t="s">
        <v>23</v>
      </c>
      <c r="G3149" t="s">
        <v>24</v>
      </c>
      <c r="H3149" t="s">
        <v>33</v>
      </c>
      <c r="I3149" t="s">
        <v>39</v>
      </c>
      <c r="J3149" t="s">
        <v>27</v>
      </c>
    </row>
    <row r="3150" spans="1:10">
      <c r="A3150" t="s">
        <v>892</v>
      </c>
      <c r="B3150" t="s">
        <v>893</v>
      </c>
      <c r="C3150" t="s">
        <v>43</v>
      </c>
      <c r="D3150" t="s">
        <v>44</v>
      </c>
      <c r="E3150">
        <v>-132793</v>
      </c>
      <c r="F3150" t="s">
        <v>23</v>
      </c>
      <c r="G3150" t="s">
        <v>32</v>
      </c>
      <c r="H3150" t="s">
        <v>33</v>
      </c>
      <c r="I3150" t="s">
        <v>26</v>
      </c>
      <c r="J3150" t="s">
        <v>40</v>
      </c>
    </row>
    <row r="3151" spans="1:10">
      <c r="A3151" t="s">
        <v>4569</v>
      </c>
      <c r="B3151" t="s">
        <v>3986</v>
      </c>
      <c r="C3151" t="s">
        <v>30</v>
      </c>
      <c r="D3151" t="s">
        <v>31</v>
      </c>
      <c r="E3151">
        <v>-9575</v>
      </c>
      <c r="F3151" t="s">
        <v>23</v>
      </c>
      <c r="G3151" t="s">
        <v>32</v>
      </c>
      <c r="H3151" t="s">
        <v>33</v>
      </c>
      <c r="I3151" t="s">
        <v>26</v>
      </c>
      <c r="J3151" t="s">
        <v>48</v>
      </c>
    </row>
    <row r="3152" spans="1:10">
      <c r="A3152" t="s">
        <v>4570</v>
      </c>
      <c r="B3152" t="s">
        <v>312</v>
      </c>
      <c r="C3152" t="s">
        <v>519</v>
      </c>
      <c r="D3152" t="s">
        <v>44</v>
      </c>
      <c r="E3152">
        <v>-161382</v>
      </c>
      <c r="F3152" t="s">
        <v>23</v>
      </c>
      <c r="G3152" t="s">
        <v>32</v>
      </c>
      <c r="H3152" t="s">
        <v>33</v>
      </c>
      <c r="I3152" t="s">
        <v>26</v>
      </c>
      <c r="J3152" t="s">
        <v>48</v>
      </c>
    </row>
    <row r="3153" spans="1:10">
      <c r="A3153" t="s">
        <v>4571</v>
      </c>
      <c r="B3153" t="s">
        <v>2002</v>
      </c>
      <c r="C3153" t="s">
        <v>283</v>
      </c>
      <c r="D3153" t="s">
        <v>248</v>
      </c>
      <c r="E3153">
        <v>-146713</v>
      </c>
      <c r="F3153" t="s">
        <v>23</v>
      </c>
      <c r="G3153" t="s">
        <v>32</v>
      </c>
      <c r="H3153" t="s">
        <v>33</v>
      </c>
      <c r="I3153" t="s">
        <v>39</v>
      </c>
      <c r="J3153" t="s">
        <v>34</v>
      </c>
    </row>
    <row r="3154" spans="1:10">
      <c r="A3154" t="s">
        <v>4572</v>
      </c>
      <c r="B3154" t="s">
        <v>1840</v>
      </c>
      <c r="C3154" t="s">
        <v>51</v>
      </c>
      <c r="D3154" t="s">
        <v>31</v>
      </c>
      <c r="E3154">
        <v>-23171</v>
      </c>
      <c r="F3154" t="s">
        <v>23</v>
      </c>
      <c r="G3154" t="s">
        <v>24</v>
      </c>
      <c r="H3154" t="s">
        <v>33</v>
      </c>
      <c r="I3154" t="s">
        <v>39</v>
      </c>
      <c r="J3154" t="s">
        <v>48</v>
      </c>
    </row>
    <row r="3155" spans="1:10">
      <c r="A3155" t="s">
        <v>4573</v>
      </c>
      <c r="B3155" t="s">
        <v>123</v>
      </c>
      <c r="C3155" t="s">
        <v>215</v>
      </c>
      <c r="D3155" t="s">
        <v>61</v>
      </c>
      <c r="E3155">
        <v>-30680</v>
      </c>
      <c r="F3155" t="s">
        <v>62</v>
      </c>
      <c r="G3155" t="s">
        <v>32</v>
      </c>
      <c r="H3155" t="s">
        <v>63</v>
      </c>
      <c r="I3155" t="s">
        <v>39</v>
      </c>
      <c r="J3155" t="s">
        <v>40</v>
      </c>
    </row>
    <row r="3156" spans="1:10">
      <c r="A3156" t="s">
        <v>4574</v>
      </c>
      <c r="B3156" t="s">
        <v>574</v>
      </c>
      <c r="C3156" t="s">
        <v>100</v>
      </c>
      <c r="D3156" t="s">
        <v>31</v>
      </c>
      <c r="E3156">
        <v>-4676</v>
      </c>
      <c r="F3156" t="s">
        <v>23</v>
      </c>
      <c r="G3156" t="s">
        <v>32</v>
      </c>
      <c r="H3156" t="s">
        <v>33</v>
      </c>
      <c r="I3156" t="s">
        <v>26</v>
      </c>
      <c r="J3156" t="s">
        <v>27</v>
      </c>
    </row>
    <row r="3157" spans="1:10">
      <c r="A3157" t="s">
        <v>4575</v>
      </c>
      <c r="B3157" t="s">
        <v>4576</v>
      </c>
      <c r="C3157" t="s">
        <v>169</v>
      </c>
      <c r="E3157">
        <v>-33430</v>
      </c>
      <c r="F3157" t="s">
        <v>74</v>
      </c>
      <c r="G3157" t="s">
        <v>32</v>
      </c>
      <c r="H3157" t="s">
        <v>25</v>
      </c>
      <c r="I3157" t="s">
        <v>39</v>
      </c>
      <c r="J3157" t="s">
        <v>27</v>
      </c>
    </row>
    <row r="3158" spans="1:10">
      <c r="A3158" t="s">
        <v>4577</v>
      </c>
      <c r="B3158" t="s">
        <v>3435</v>
      </c>
      <c r="C3158" t="s">
        <v>305</v>
      </c>
      <c r="D3158" t="s">
        <v>38</v>
      </c>
      <c r="E3158">
        <v>-27569</v>
      </c>
      <c r="F3158" t="s">
        <v>23</v>
      </c>
      <c r="G3158" t="s">
        <v>32</v>
      </c>
      <c r="H3158" t="s">
        <v>33</v>
      </c>
      <c r="I3158" t="s">
        <v>26</v>
      </c>
      <c r="J3158" t="s">
        <v>34</v>
      </c>
    </row>
    <row r="3159" spans="1:10">
      <c r="A3159" t="s">
        <v>4578</v>
      </c>
      <c r="B3159" t="s">
        <v>4579</v>
      </c>
      <c r="C3159" t="s">
        <v>174</v>
      </c>
      <c r="D3159" t="s">
        <v>22</v>
      </c>
      <c r="E3159">
        <v>-139292</v>
      </c>
      <c r="F3159" t="s">
        <v>23</v>
      </c>
      <c r="G3159" t="s">
        <v>24</v>
      </c>
      <c r="H3159" t="s">
        <v>25</v>
      </c>
      <c r="I3159" t="s">
        <v>45</v>
      </c>
      <c r="J3159" t="s">
        <v>34</v>
      </c>
    </row>
    <row r="3160" spans="1:10">
      <c r="A3160" t="s">
        <v>4580</v>
      </c>
      <c r="B3160" t="s">
        <v>4581</v>
      </c>
      <c r="C3160" t="s">
        <v>87</v>
      </c>
      <c r="D3160" t="s">
        <v>22</v>
      </c>
      <c r="E3160">
        <v>-192215</v>
      </c>
      <c r="F3160" t="s">
        <v>23</v>
      </c>
      <c r="G3160" t="s">
        <v>24</v>
      </c>
      <c r="H3160" t="s">
        <v>25</v>
      </c>
      <c r="I3160" t="s">
        <v>39</v>
      </c>
      <c r="J3160" t="s">
        <v>34</v>
      </c>
    </row>
    <row r="3161" spans="1:10">
      <c r="A3161" t="s">
        <v>1240</v>
      </c>
      <c r="B3161" t="s">
        <v>1241</v>
      </c>
      <c r="C3161" t="s">
        <v>66</v>
      </c>
      <c r="D3161" t="s">
        <v>61</v>
      </c>
      <c r="E3161">
        <v>-47659</v>
      </c>
      <c r="F3161" t="s">
        <v>62</v>
      </c>
      <c r="G3161" t="s">
        <v>24</v>
      </c>
      <c r="H3161" t="s">
        <v>63</v>
      </c>
      <c r="I3161" t="s">
        <v>26</v>
      </c>
      <c r="J3161" t="s">
        <v>40</v>
      </c>
    </row>
    <row r="3162" spans="1:10">
      <c r="A3162" t="s">
        <v>4582</v>
      </c>
      <c r="B3162" t="s">
        <v>2815</v>
      </c>
      <c r="C3162" t="s">
        <v>106</v>
      </c>
      <c r="D3162" t="s">
        <v>31</v>
      </c>
      <c r="E3162">
        <v>-22549</v>
      </c>
      <c r="F3162" t="s">
        <v>23</v>
      </c>
      <c r="G3162" t="s">
        <v>24</v>
      </c>
      <c r="H3162" t="s">
        <v>33</v>
      </c>
      <c r="I3162" t="s">
        <v>45</v>
      </c>
      <c r="J3162" t="s">
        <v>34</v>
      </c>
    </row>
    <row r="3163" spans="1:10">
      <c r="A3163" t="s">
        <v>4583</v>
      </c>
      <c r="B3163" t="s">
        <v>2909</v>
      </c>
      <c r="C3163" t="s">
        <v>87</v>
      </c>
      <c r="D3163" t="s">
        <v>22</v>
      </c>
      <c r="E3163">
        <v>-43676</v>
      </c>
      <c r="F3163" t="s">
        <v>23</v>
      </c>
      <c r="G3163" t="s">
        <v>32</v>
      </c>
      <c r="H3163" t="s">
        <v>25</v>
      </c>
      <c r="I3163" t="s">
        <v>45</v>
      </c>
      <c r="J3163" t="s">
        <v>34</v>
      </c>
    </row>
    <row r="3164" spans="1:10">
      <c r="A3164" t="s">
        <v>4584</v>
      </c>
      <c r="B3164" t="s">
        <v>365</v>
      </c>
      <c r="C3164" t="s">
        <v>30</v>
      </c>
      <c r="D3164" t="s">
        <v>31</v>
      </c>
      <c r="E3164">
        <v>-31684</v>
      </c>
      <c r="F3164" t="s">
        <v>23</v>
      </c>
      <c r="G3164" t="s">
        <v>32</v>
      </c>
      <c r="H3164" t="s">
        <v>33</v>
      </c>
      <c r="I3164" t="s">
        <v>45</v>
      </c>
      <c r="J3164" t="s">
        <v>34</v>
      </c>
    </row>
    <row r="3165" spans="1:10">
      <c r="A3165" t="s">
        <v>4585</v>
      </c>
      <c r="B3165" t="s">
        <v>1625</v>
      </c>
      <c r="C3165" t="s">
        <v>174</v>
      </c>
      <c r="D3165" t="s">
        <v>22</v>
      </c>
      <c r="E3165">
        <v>-134731</v>
      </c>
      <c r="F3165" t="s">
        <v>23</v>
      </c>
      <c r="G3165" t="s">
        <v>24</v>
      </c>
      <c r="H3165" t="s">
        <v>25</v>
      </c>
      <c r="I3165" t="s">
        <v>39</v>
      </c>
      <c r="J3165" t="s">
        <v>48</v>
      </c>
    </row>
    <row r="3166" spans="1:10">
      <c r="A3166" t="s">
        <v>3520</v>
      </c>
      <c r="B3166" t="s">
        <v>2517</v>
      </c>
      <c r="C3166" t="s">
        <v>802</v>
      </c>
      <c r="D3166" t="s">
        <v>440</v>
      </c>
      <c r="E3166">
        <v>-144117</v>
      </c>
      <c r="F3166" t="s">
        <v>23</v>
      </c>
      <c r="G3166" t="s">
        <v>32</v>
      </c>
      <c r="H3166" t="s">
        <v>33</v>
      </c>
      <c r="I3166" t="s">
        <v>26</v>
      </c>
      <c r="J3166" t="s">
        <v>34</v>
      </c>
    </row>
    <row r="3167" spans="1:10">
      <c r="A3167" t="s">
        <v>4586</v>
      </c>
      <c r="B3167" t="s">
        <v>92</v>
      </c>
      <c r="C3167" t="s">
        <v>51</v>
      </c>
      <c r="D3167" t="s">
        <v>31</v>
      </c>
      <c r="E3167">
        <v>-4201</v>
      </c>
      <c r="F3167" t="s">
        <v>23</v>
      </c>
      <c r="G3167" t="s">
        <v>32</v>
      </c>
      <c r="H3167" t="s">
        <v>33</v>
      </c>
      <c r="I3167" t="s">
        <v>26</v>
      </c>
      <c r="J3167" t="s">
        <v>27</v>
      </c>
    </row>
    <row r="3168" spans="1:10">
      <c r="A3168" t="s">
        <v>4587</v>
      </c>
      <c r="B3168" t="s">
        <v>2257</v>
      </c>
      <c r="C3168" t="s">
        <v>90</v>
      </c>
      <c r="D3168" t="s">
        <v>302</v>
      </c>
      <c r="E3168">
        <v>-69982</v>
      </c>
      <c r="F3168" t="s">
        <v>74</v>
      </c>
      <c r="G3168" t="s">
        <v>24</v>
      </c>
      <c r="H3168" t="s">
        <v>25</v>
      </c>
      <c r="I3168" t="s">
        <v>39</v>
      </c>
      <c r="J3168" t="s">
        <v>34</v>
      </c>
    </row>
    <row r="3169" spans="1:10">
      <c r="A3169" t="s">
        <v>4588</v>
      </c>
      <c r="B3169" t="s">
        <v>3516</v>
      </c>
      <c r="C3169" t="s">
        <v>72</v>
      </c>
      <c r="D3169" t="s">
        <v>73</v>
      </c>
      <c r="E3169">
        <v>-91130</v>
      </c>
      <c r="F3169" t="s">
        <v>74</v>
      </c>
      <c r="G3169" t="s">
        <v>32</v>
      </c>
      <c r="H3169" t="s">
        <v>25</v>
      </c>
      <c r="I3169" t="s">
        <v>26</v>
      </c>
      <c r="J3169" t="s">
        <v>34</v>
      </c>
    </row>
    <row r="3170" spans="1:10">
      <c r="A3170" t="s">
        <v>4589</v>
      </c>
      <c r="B3170" t="s">
        <v>2147</v>
      </c>
      <c r="C3170" t="s">
        <v>84</v>
      </c>
      <c r="D3170" t="s">
        <v>78</v>
      </c>
      <c r="E3170">
        <v>-57182</v>
      </c>
      <c r="F3170" t="s">
        <v>23</v>
      </c>
      <c r="G3170" t="s">
        <v>24</v>
      </c>
      <c r="H3170" t="s">
        <v>79</v>
      </c>
      <c r="I3170" t="s">
        <v>45</v>
      </c>
      <c r="J3170" t="s">
        <v>34</v>
      </c>
    </row>
    <row r="3171" spans="1:10">
      <c r="A3171" t="s">
        <v>4590</v>
      </c>
      <c r="B3171" t="s">
        <v>2652</v>
      </c>
      <c r="C3171" t="s">
        <v>202</v>
      </c>
      <c r="D3171" t="s">
        <v>22</v>
      </c>
      <c r="E3171">
        <v>-112851</v>
      </c>
      <c r="F3171" t="s">
        <v>23</v>
      </c>
      <c r="G3171" t="s">
        <v>24</v>
      </c>
      <c r="H3171" t="s">
        <v>25</v>
      </c>
      <c r="I3171" t="s">
        <v>26</v>
      </c>
      <c r="J3171" t="s">
        <v>34</v>
      </c>
    </row>
    <row r="3172" spans="1:10">
      <c r="A3172" t="s">
        <v>4591</v>
      </c>
      <c r="B3172" t="s">
        <v>678</v>
      </c>
      <c r="C3172" t="s">
        <v>215</v>
      </c>
      <c r="D3172" t="s">
        <v>61</v>
      </c>
      <c r="E3172">
        <v>-30217</v>
      </c>
      <c r="F3172" t="s">
        <v>62</v>
      </c>
      <c r="G3172" t="s">
        <v>32</v>
      </c>
      <c r="H3172" t="s">
        <v>63</v>
      </c>
      <c r="I3172" t="s">
        <v>26</v>
      </c>
      <c r="J3172" t="s">
        <v>34</v>
      </c>
    </row>
    <row r="3173" spans="1:10">
      <c r="A3173" t="s">
        <v>4592</v>
      </c>
      <c r="B3173" t="s">
        <v>4593</v>
      </c>
      <c r="C3173" t="s">
        <v>221</v>
      </c>
      <c r="E3173">
        <v>-59507</v>
      </c>
      <c r="F3173" t="s">
        <v>62</v>
      </c>
      <c r="G3173" t="s">
        <v>24</v>
      </c>
      <c r="H3173" t="s">
        <v>63</v>
      </c>
      <c r="I3173" t="s">
        <v>45</v>
      </c>
      <c r="J3173" t="s">
        <v>27</v>
      </c>
    </row>
    <row r="3174" spans="1:10">
      <c r="A3174" t="s">
        <v>4594</v>
      </c>
      <c r="B3174" t="s">
        <v>1404</v>
      </c>
      <c r="C3174" t="s">
        <v>339</v>
      </c>
      <c r="D3174" t="s">
        <v>157</v>
      </c>
      <c r="E3174">
        <v>638435</v>
      </c>
      <c r="F3174" t="s">
        <v>62</v>
      </c>
      <c r="G3174" t="s">
        <v>32</v>
      </c>
      <c r="H3174" t="s">
        <v>25</v>
      </c>
      <c r="I3174" t="s">
        <v>45</v>
      </c>
      <c r="J3174" t="s">
        <v>27</v>
      </c>
    </row>
    <row r="3175" spans="1:10">
      <c r="A3175" t="s">
        <v>4595</v>
      </c>
      <c r="B3175" t="s">
        <v>518</v>
      </c>
      <c r="C3175" t="s">
        <v>66</v>
      </c>
      <c r="D3175" t="s">
        <v>61</v>
      </c>
      <c r="E3175">
        <v>-52409</v>
      </c>
      <c r="F3175" t="s">
        <v>62</v>
      </c>
      <c r="G3175" t="s">
        <v>32</v>
      </c>
      <c r="H3175" t="s">
        <v>63</v>
      </c>
      <c r="I3175" t="s">
        <v>39</v>
      </c>
      <c r="J3175" t="s">
        <v>40</v>
      </c>
    </row>
    <row r="3176" spans="1:10">
      <c r="A3176" t="s">
        <v>4596</v>
      </c>
      <c r="B3176" t="s">
        <v>324</v>
      </c>
      <c r="C3176" t="s">
        <v>66</v>
      </c>
      <c r="D3176" t="s">
        <v>61</v>
      </c>
      <c r="E3176">
        <v>-45420</v>
      </c>
      <c r="F3176" t="s">
        <v>62</v>
      </c>
      <c r="G3176" t="s">
        <v>32</v>
      </c>
      <c r="H3176" t="s">
        <v>63</v>
      </c>
      <c r="I3176" t="s">
        <v>26</v>
      </c>
      <c r="J3176" t="s">
        <v>34</v>
      </c>
    </row>
    <row r="3177" spans="1:10">
      <c r="A3177" t="s">
        <v>4597</v>
      </c>
      <c r="B3177" t="s">
        <v>3006</v>
      </c>
      <c r="C3177" t="s">
        <v>106</v>
      </c>
      <c r="D3177" t="s">
        <v>31</v>
      </c>
      <c r="E3177">
        <v>-31001</v>
      </c>
      <c r="F3177" t="s">
        <v>23</v>
      </c>
      <c r="G3177" t="s">
        <v>24</v>
      </c>
      <c r="H3177" t="s">
        <v>33</v>
      </c>
      <c r="I3177" t="s">
        <v>45</v>
      </c>
      <c r="J3177" t="s">
        <v>40</v>
      </c>
    </row>
    <row r="3178" spans="1:10">
      <c r="A3178" t="s">
        <v>4137</v>
      </c>
      <c r="B3178" t="s">
        <v>2650</v>
      </c>
      <c r="C3178" t="s">
        <v>60</v>
      </c>
      <c r="D3178" t="s">
        <v>61</v>
      </c>
      <c r="E3178">
        <v>-32208</v>
      </c>
      <c r="F3178" t="s">
        <v>62</v>
      </c>
      <c r="G3178" t="s">
        <v>32</v>
      </c>
      <c r="H3178" t="s">
        <v>63</v>
      </c>
      <c r="I3178" t="s">
        <v>26</v>
      </c>
      <c r="J3178" t="s">
        <v>40</v>
      </c>
    </row>
    <row r="3179" spans="1:10">
      <c r="A3179" t="s">
        <v>4598</v>
      </c>
      <c r="B3179" t="s">
        <v>36</v>
      </c>
      <c r="C3179" t="s">
        <v>166</v>
      </c>
      <c r="D3179" t="s">
        <v>31</v>
      </c>
      <c r="E3179">
        <v>-18552</v>
      </c>
      <c r="F3179" t="s">
        <v>23</v>
      </c>
      <c r="G3179" t="s">
        <v>32</v>
      </c>
      <c r="H3179" t="s">
        <v>33</v>
      </c>
      <c r="I3179" t="s">
        <v>39</v>
      </c>
      <c r="J3179" t="s">
        <v>40</v>
      </c>
    </row>
    <row r="3180" spans="1:10">
      <c r="A3180" t="s">
        <v>4599</v>
      </c>
      <c r="B3180" t="s">
        <v>551</v>
      </c>
      <c r="C3180" t="s">
        <v>60</v>
      </c>
      <c r="D3180" t="s">
        <v>61</v>
      </c>
      <c r="E3180">
        <v>-43578</v>
      </c>
      <c r="F3180" t="s">
        <v>62</v>
      </c>
      <c r="G3180" t="s">
        <v>24</v>
      </c>
      <c r="H3180" t="s">
        <v>63</v>
      </c>
      <c r="I3180" t="s">
        <v>39</v>
      </c>
      <c r="J3180" t="s">
        <v>40</v>
      </c>
    </row>
    <row r="3181" spans="1:10">
      <c r="A3181" t="s">
        <v>4600</v>
      </c>
      <c r="B3181" t="s">
        <v>1074</v>
      </c>
      <c r="C3181" t="s">
        <v>757</v>
      </c>
      <c r="D3181" t="s">
        <v>157</v>
      </c>
      <c r="E3181">
        <v>558929</v>
      </c>
      <c r="F3181" t="s">
        <v>62</v>
      </c>
      <c r="G3181" t="s">
        <v>32</v>
      </c>
      <c r="H3181" t="s">
        <v>25</v>
      </c>
      <c r="I3181" t="s">
        <v>26</v>
      </c>
      <c r="J3181" t="s">
        <v>27</v>
      </c>
    </row>
    <row r="3182" spans="1:10">
      <c r="A3182" t="s">
        <v>4601</v>
      </c>
      <c r="B3182" t="s">
        <v>490</v>
      </c>
      <c r="C3182" t="s">
        <v>271</v>
      </c>
      <c r="D3182" t="s">
        <v>73</v>
      </c>
      <c r="E3182">
        <v>-39276</v>
      </c>
      <c r="F3182" t="s">
        <v>74</v>
      </c>
      <c r="G3182" t="s">
        <v>32</v>
      </c>
      <c r="H3182" t="s">
        <v>25</v>
      </c>
      <c r="I3182" t="s">
        <v>45</v>
      </c>
      <c r="J3182" t="s">
        <v>40</v>
      </c>
    </row>
    <row r="3183" spans="1:10">
      <c r="A3183" t="s">
        <v>4602</v>
      </c>
      <c r="B3183" t="s">
        <v>1791</v>
      </c>
      <c r="C3183" t="s">
        <v>66</v>
      </c>
      <c r="D3183" t="s">
        <v>61</v>
      </c>
      <c r="E3183">
        <v>-18955</v>
      </c>
      <c r="F3183" t="s">
        <v>62</v>
      </c>
      <c r="G3183" t="s">
        <v>32</v>
      </c>
      <c r="H3183" t="s">
        <v>63</v>
      </c>
      <c r="I3183" t="s">
        <v>39</v>
      </c>
      <c r="J3183" t="s">
        <v>48</v>
      </c>
    </row>
    <row r="3184" spans="1:10">
      <c r="A3184" t="s">
        <v>4603</v>
      </c>
      <c r="B3184" t="s">
        <v>4219</v>
      </c>
      <c r="C3184" t="s">
        <v>57</v>
      </c>
      <c r="D3184" t="s">
        <v>44</v>
      </c>
      <c r="E3184">
        <v>-98290</v>
      </c>
      <c r="F3184" t="s">
        <v>23</v>
      </c>
      <c r="G3184" t="s">
        <v>32</v>
      </c>
      <c r="H3184" t="s">
        <v>33</v>
      </c>
      <c r="I3184" t="s">
        <v>45</v>
      </c>
      <c r="J3184" t="s">
        <v>40</v>
      </c>
    </row>
    <row r="3185" spans="1:10">
      <c r="A3185" t="s">
        <v>4604</v>
      </c>
      <c r="B3185" t="s">
        <v>3392</v>
      </c>
      <c r="C3185" t="s">
        <v>305</v>
      </c>
      <c r="D3185" t="s">
        <v>38</v>
      </c>
      <c r="E3185">
        <v>-44487</v>
      </c>
      <c r="F3185" t="s">
        <v>23</v>
      </c>
      <c r="G3185" t="s">
        <v>24</v>
      </c>
      <c r="H3185" t="s">
        <v>33</v>
      </c>
      <c r="I3185" t="s">
        <v>39</v>
      </c>
      <c r="J3185" t="s">
        <v>40</v>
      </c>
    </row>
    <row r="3186" spans="1:10">
      <c r="A3186" t="s">
        <v>4605</v>
      </c>
      <c r="B3186" t="s">
        <v>615</v>
      </c>
      <c r="C3186" t="s">
        <v>345</v>
      </c>
      <c r="D3186" t="s">
        <v>22</v>
      </c>
      <c r="E3186">
        <v>-103915</v>
      </c>
      <c r="F3186" t="s">
        <v>23</v>
      </c>
      <c r="G3186" t="s">
        <v>32</v>
      </c>
      <c r="H3186" t="s">
        <v>25</v>
      </c>
      <c r="I3186" t="s">
        <v>39</v>
      </c>
      <c r="J3186" t="s">
        <v>48</v>
      </c>
    </row>
    <row r="3187" spans="1:10">
      <c r="A3187" t="s">
        <v>4606</v>
      </c>
      <c r="B3187" t="s">
        <v>549</v>
      </c>
      <c r="C3187" t="s">
        <v>293</v>
      </c>
      <c r="D3187" t="s">
        <v>157</v>
      </c>
      <c r="E3187">
        <v>572607</v>
      </c>
      <c r="F3187" t="s">
        <v>62</v>
      </c>
      <c r="G3187" t="s">
        <v>32</v>
      </c>
      <c r="H3187" t="s">
        <v>25</v>
      </c>
      <c r="I3187" t="s">
        <v>45</v>
      </c>
      <c r="J3187" t="s">
        <v>34</v>
      </c>
    </row>
    <row r="3188" spans="1:10">
      <c r="A3188" t="s">
        <v>4607</v>
      </c>
      <c r="B3188" t="s">
        <v>375</v>
      </c>
      <c r="C3188" t="s">
        <v>90</v>
      </c>
      <c r="D3188" t="s">
        <v>187</v>
      </c>
      <c r="E3188">
        <v>-12190</v>
      </c>
      <c r="F3188" t="s">
        <v>74</v>
      </c>
      <c r="G3188" t="s">
        <v>24</v>
      </c>
      <c r="H3188" t="s">
        <v>25</v>
      </c>
      <c r="I3188" t="s">
        <v>26</v>
      </c>
      <c r="J3188" t="s">
        <v>27</v>
      </c>
    </row>
    <row r="3189" spans="1:10">
      <c r="A3189" t="s">
        <v>4608</v>
      </c>
      <c r="B3189" t="s">
        <v>1435</v>
      </c>
      <c r="C3189" t="s">
        <v>161</v>
      </c>
      <c r="D3189" t="s">
        <v>320</v>
      </c>
      <c r="E3189">
        <v>-151930</v>
      </c>
      <c r="F3189" t="s">
        <v>23</v>
      </c>
      <c r="G3189" t="s">
        <v>32</v>
      </c>
      <c r="H3189" t="s">
        <v>25</v>
      </c>
      <c r="I3189" t="s">
        <v>45</v>
      </c>
      <c r="J3189" t="s">
        <v>48</v>
      </c>
    </row>
    <row r="3190" spans="1:10">
      <c r="A3190" t="s">
        <v>4609</v>
      </c>
      <c r="B3190" t="s">
        <v>4114</v>
      </c>
      <c r="C3190" t="s">
        <v>116</v>
      </c>
      <c r="D3190" t="s">
        <v>73</v>
      </c>
      <c r="E3190">
        <v>-18052</v>
      </c>
      <c r="F3190" t="s">
        <v>74</v>
      </c>
      <c r="G3190" t="s">
        <v>24</v>
      </c>
      <c r="H3190" t="s">
        <v>25</v>
      </c>
      <c r="I3190" t="s">
        <v>45</v>
      </c>
      <c r="J3190" t="s">
        <v>34</v>
      </c>
    </row>
    <row r="3191" spans="1:10">
      <c r="A3191" t="s">
        <v>4610</v>
      </c>
      <c r="B3191" t="s">
        <v>363</v>
      </c>
      <c r="C3191" t="s">
        <v>66</v>
      </c>
      <c r="D3191" t="s">
        <v>61</v>
      </c>
      <c r="E3191">
        <v>-29520</v>
      </c>
      <c r="F3191" t="s">
        <v>62</v>
      </c>
      <c r="G3191" t="s">
        <v>32</v>
      </c>
      <c r="H3191" t="s">
        <v>63</v>
      </c>
      <c r="I3191" t="s">
        <v>26</v>
      </c>
      <c r="J3191" t="s">
        <v>40</v>
      </c>
    </row>
    <row r="3192" spans="1:10">
      <c r="A3192" t="s">
        <v>4611</v>
      </c>
      <c r="B3192" t="s">
        <v>4612</v>
      </c>
      <c r="C3192" t="s">
        <v>66</v>
      </c>
      <c r="D3192" t="s">
        <v>61</v>
      </c>
      <c r="E3192">
        <v>-28982</v>
      </c>
      <c r="F3192" t="s">
        <v>62</v>
      </c>
      <c r="G3192" t="s">
        <v>24</v>
      </c>
      <c r="H3192" t="s">
        <v>63</v>
      </c>
      <c r="I3192" t="s">
        <v>39</v>
      </c>
      <c r="J3192" t="s">
        <v>27</v>
      </c>
    </row>
    <row r="3193" spans="1:10">
      <c r="A3193" t="s">
        <v>4613</v>
      </c>
      <c r="B3193" t="s">
        <v>4492</v>
      </c>
      <c r="C3193" t="s">
        <v>129</v>
      </c>
      <c r="E3193">
        <v>-50463</v>
      </c>
      <c r="F3193" t="s">
        <v>23</v>
      </c>
      <c r="G3193" t="s">
        <v>24</v>
      </c>
      <c r="H3193" t="s">
        <v>33</v>
      </c>
      <c r="I3193" t="s">
        <v>39</v>
      </c>
      <c r="J3193" t="s">
        <v>48</v>
      </c>
    </row>
    <row r="3194" spans="1:10">
      <c r="A3194" t="s">
        <v>4614</v>
      </c>
      <c r="B3194" t="s">
        <v>666</v>
      </c>
      <c r="C3194" t="s">
        <v>72</v>
      </c>
      <c r="D3194" t="s">
        <v>73</v>
      </c>
      <c r="E3194">
        <v>-56589</v>
      </c>
      <c r="F3194" t="s">
        <v>74</v>
      </c>
      <c r="G3194" t="s">
        <v>24</v>
      </c>
      <c r="H3194" t="s">
        <v>25</v>
      </c>
      <c r="I3194" t="s">
        <v>26</v>
      </c>
      <c r="J3194" t="s">
        <v>40</v>
      </c>
    </row>
    <row r="3195" spans="1:10">
      <c r="A3195" t="s">
        <v>4615</v>
      </c>
      <c r="B3195" t="s">
        <v>2187</v>
      </c>
      <c r="C3195" t="s">
        <v>212</v>
      </c>
      <c r="D3195" t="s">
        <v>73</v>
      </c>
      <c r="E3195">
        <v>-60453</v>
      </c>
      <c r="F3195" t="s">
        <v>74</v>
      </c>
      <c r="G3195" t="s">
        <v>24</v>
      </c>
      <c r="H3195" t="s">
        <v>25</v>
      </c>
      <c r="I3195" t="s">
        <v>39</v>
      </c>
      <c r="J3195" t="s">
        <v>27</v>
      </c>
    </row>
    <row r="3196" spans="1:10">
      <c r="A3196" t="s">
        <v>4616</v>
      </c>
      <c r="B3196" t="s">
        <v>108</v>
      </c>
      <c r="C3196" t="s">
        <v>984</v>
      </c>
      <c r="D3196" t="s">
        <v>73</v>
      </c>
      <c r="E3196">
        <v>-93439</v>
      </c>
      <c r="F3196" t="s">
        <v>74</v>
      </c>
      <c r="G3196" t="s">
        <v>32</v>
      </c>
      <c r="H3196" t="s">
        <v>25</v>
      </c>
      <c r="I3196" t="s">
        <v>39</v>
      </c>
      <c r="J3196" t="s">
        <v>34</v>
      </c>
    </row>
    <row r="3197" spans="1:10">
      <c r="A3197" t="s">
        <v>4617</v>
      </c>
      <c r="B3197" t="s">
        <v>4618</v>
      </c>
      <c r="C3197" t="s">
        <v>468</v>
      </c>
      <c r="D3197" t="s">
        <v>440</v>
      </c>
      <c r="E3197">
        <v>-132237</v>
      </c>
      <c r="F3197" t="s">
        <v>23</v>
      </c>
      <c r="G3197" t="s">
        <v>24</v>
      </c>
      <c r="H3197" t="s">
        <v>33</v>
      </c>
      <c r="I3197" t="s">
        <v>45</v>
      </c>
      <c r="J3197" t="s">
        <v>40</v>
      </c>
    </row>
    <row r="3198" spans="1:10">
      <c r="A3198" t="s">
        <v>4619</v>
      </c>
      <c r="B3198" t="s">
        <v>105</v>
      </c>
      <c r="C3198" t="s">
        <v>93</v>
      </c>
      <c r="D3198" t="s">
        <v>111</v>
      </c>
      <c r="E3198">
        <v>-93235</v>
      </c>
      <c r="F3198" t="s">
        <v>74</v>
      </c>
      <c r="G3198" t="s">
        <v>24</v>
      </c>
      <c r="H3198" t="s">
        <v>25</v>
      </c>
      <c r="I3198" t="s">
        <v>45</v>
      </c>
      <c r="J3198" t="s">
        <v>40</v>
      </c>
    </row>
    <row r="3199" spans="1:10">
      <c r="A3199" t="s">
        <v>4620</v>
      </c>
      <c r="B3199" t="s">
        <v>1139</v>
      </c>
      <c r="C3199" t="s">
        <v>60</v>
      </c>
      <c r="D3199" t="s">
        <v>61</v>
      </c>
      <c r="E3199">
        <v>-58925</v>
      </c>
      <c r="F3199" t="s">
        <v>62</v>
      </c>
      <c r="G3199" t="s">
        <v>24</v>
      </c>
      <c r="H3199" t="s">
        <v>63</v>
      </c>
      <c r="I3199" t="s">
        <v>26</v>
      </c>
      <c r="J3199" t="s">
        <v>34</v>
      </c>
    </row>
    <row r="3200" spans="1:10">
      <c r="A3200" t="s">
        <v>4621</v>
      </c>
      <c r="B3200" t="s">
        <v>232</v>
      </c>
      <c r="C3200" t="s">
        <v>129</v>
      </c>
      <c r="D3200" t="s">
        <v>38</v>
      </c>
      <c r="E3200">
        <v>-20622</v>
      </c>
      <c r="F3200" t="s">
        <v>23</v>
      </c>
      <c r="G3200" t="s">
        <v>32</v>
      </c>
      <c r="H3200" t="s">
        <v>33</v>
      </c>
      <c r="I3200" t="s">
        <v>45</v>
      </c>
      <c r="J3200" t="s">
        <v>27</v>
      </c>
    </row>
    <row r="3201" spans="1:10">
      <c r="A3201" t="s">
        <v>4622</v>
      </c>
      <c r="B3201" t="s">
        <v>3761</v>
      </c>
      <c r="C3201" t="s">
        <v>166</v>
      </c>
      <c r="D3201" t="s">
        <v>31</v>
      </c>
      <c r="E3201">
        <v>-10597</v>
      </c>
      <c r="F3201" t="s">
        <v>23</v>
      </c>
      <c r="G3201" t="s">
        <v>32</v>
      </c>
      <c r="H3201" t="s">
        <v>33</v>
      </c>
      <c r="I3201" t="s">
        <v>45</v>
      </c>
      <c r="J3201" t="s">
        <v>40</v>
      </c>
    </row>
    <row r="3202" spans="1:10">
      <c r="A3202" t="s">
        <v>4623</v>
      </c>
      <c r="B3202" t="s">
        <v>2302</v>
      </c>
      <c r="C3202" t="s">
        <v>60</v>
      </c>
      <c r="D3202" t="s">
        <v>61</v>
      </c>
      <c r="E3202">
        <v>-38881</v>
      </c>
      <c r="F3202" t="s">
        <v>62</v>
      </c>
      <c r="G3202" t="s">
        <v>32</v>
      </c>
      <c r="H3202" t="s">
        <v>63</v>
      </c>
      <c r="I3202" t="s">
        <v>39</v>
      </c>
      <c r="J3202" t="s">
        <v>34</v>
      </c>
    </row>
    <row r="3203" spans="1:10">
      <c r="A3203" t="s">
        <v>1720</v>
      </c>
      <c r="B3203" t="s">
        <v>973</v>
      </c>
      <c r="C3203" t="s">
        <v>60</v>
      </c>
      <c r="D3203" t="s">
        <v>61</v>
      </c>
      <c r="E3203">
        <v>-34801</v>
      </c>
      <c r="F3203" t="s">
        <v>62</v>
      </c>
      <c r="G3203" t="s">
        <v>24</v>
      </c>
      <c r="H3203" t="s">
        <v>63</v>
      </c>
      <c r="I3203" t="s">
        <v>26</v>
      </c>
      <c r="J3203" t="s">
        <v>40</v>
      </c>
    </row>
    <row r="3204" spans="1:10">
      <c r="A3204" t="s">
        <v>4624</v>
      </c>
      <c r="B3204" t="s">
        <v>4085</v>
      </c>
      <c r="C3204" t="s">
        <v>202</v>
      </c>
      <c r="D3204" t="s">
        <v>22</v>
      </c>
      <c r="E3204">
        <v>-43540</v>
      </c>
      <c r="F3204" t="s">
        <v>23</v>
      </c>
      <c r="G3204" t="s">
        <v>32</v>
      </c>
      <c r="H3204" t="s">
        <v>25</v>
      </c>
      <c r="I3204" t="s">
        <v>39</v>
      </c>
      <c r="J3204" t="s">
        <v>40</v>
      </c>
    </row>
    <row r="3205" spans="1:10">
      <c r="A3205" t="s">
        <v>4625</v>
      </c>
      <c r="B3205" t="s">
        <v>4626</v>
      </c>
      <c r="C3205" t="s">
        <v>180</v>
      </c>
      <c r="D3205" t="s">
        <v>465</v>
      </c>
      <c r="E3205">
        <v>-93030</v>
      </c>
      <c r="F3205" t="s">
        <v>23</v>
      </c>
      <c r="G3205" t="s">
        <v>32</v>
      </c>
      <c r="H3205" t="s">
        <v>33</v>
      </c>
      <c r="I3205" t="s">
        <v>26</v>
      </c>
      <c r="J3205" t="s">
        <v>34</v>
      </c>
    </row>
    <row r="3206" spans="1:10">
      <c r="A3206" t="s">
        <v>4627</v>
      </c>
      <c r="B3206" t="s">
        <v>1166</v>
      </c>
      <c r="C3206" t="s">
        <v>345</v>
      </c>
      <c r="D3206" t="s">
        <v>22</v>
      </c>
      <c r="E3206">
        <v>-56956</v>
      </c>
      <c r="F3206" t="s">
        <v>23</v>
      </c>
      <c r="G3206" t="s">
        <v>32</v>
      </c>
      <c r="H3206" t="s">
        <v>25</v>
      </c>
      <c r="I3206" t="s">
        <v>26</v>
      </c>
      <c r="J3206" t="s">
        <v>27</v>
      </c>
    </row>
    <row r="3207" spans="1:10">
      <c r="A3207" t="s">
        <v>4628</v>
      </c>
      <c r="B3207" t="s">
        <v>4629</v>
      </c>
      <c r="C3207" t="s">
        <v>283</v>
      </c>
      <c r="D3207" t="s">
        <v>44</v>
      </c>
      <c r="E3207">
        <v>-155748</v>
      </c>
      <c r="F3207" t="s">
        <v>23</v>
      </c>
      <c r="G3207" t="s">
        <v>32</v>
      </c>
      <c r="H3207" t="s">
        <v>33</v>
      </c>
      <c r="I3207" t="s">
        <v>26</v>
      </c>
      <c r="J3207" t="s">
        <v>48</v>
      </c>
    </row>
    <row r="3208" spans="1:10">
      <c r="A3208" t="s">
        <v>4630</v>
      </c>
      <c r="B3208" t="s">
        <v>4390</v>
      </c>
      <c r="C3208" t="s">
        <v>60</v>
      </c>
      <c r="D3208" t="s">
        <v>61</v>
      </c>
      <c r="E3208">
        <v>-59174</v>
      </c>
      <c r="F3208" t="s">
        <v>62</v>
      </c>
      <c r="G3208" t="s">
        <v>32</v>
      </c>
      <c r="H3208" t="s">
        <v>63</v>
      </c>
      <c r="I3208" t="s">
        <v>45</v>
      </c>
      <c r="J3208" t="s">
        <v>40</v>
      </c>
    </row>
    <row r="3209" spans="1:10">
      <c r="A3209" t="s">
        <v>4631</v>
      </c>
      <c r="B3209" t="s">
        <v>2699</v>
      </c>
      <c r="C3209" t="s">
        <v>69</v>
      </c>
      <c r="D3209" t="s">
        <v>38</v>
      </c>
      <c r="E3209">
        <v>-48387</v>
      </c>
      <c r="F3209" t="s">
        <v>23</v>
      </c>
      <c r="G3209" t="s">
        <v>24</v>
      </c>
      <c r="H3209" t="s">
        <v>33</v>
      </c>
      <c r="I3209" t="s">
        <v>45</v>
      </c>
      <c r="J3209" t="s">
        <v>40</v>
      </c>
    </row>
    <row r="3210" spans="1:10">
      <c r="A3210" t="s">
        <v>4632</v>
      </c>
      <c r="B3210" t="s">
        <v>1074</v>
      </c>
      <c r="C3210" t="s">
        <v>69</v>
      </c>
      <c r="E3210">
        <v>-46641</v>
      </c>
      <c r="F3210" t="s">
        <v>23</v>
      </c>
      <c r="G3210" t="s">
        <v>32</v>
      </c>
      <c r="H3210" t="s">
        <v>33</v>
      </c>
      <c r="I3210" t="s">
        <v>26</v>
      </c>
      <c r="J3210" t="s">
        <v>27</v>
      </c>
    </row>
    <row r="3211" spans="1:10">
      <c r="A3211" t="s">
        <v>1614</v>
      </c>
      <c r="B3211" t="s">
        <v>1615</v>
      </c>
      <c r="C3211" t="s">
        <v>169</v>
      </c>
      <c r="D3211" t="s">
        <v>73</v>
      </c>
      <c r="E3211">
        <v>-39369</v>
      </c>
      <c r="F3211" t="s">
        <v>74</v>
      </c>
      <c r="G3211" t="s">
        <v>24</v>
      </c>
      <c r="H3211" t="s">
        <v>25</v>
      </c>
      <c r="I3211" t="s">
        <v>26</v>
      </c>
      <c r="J3211" t="s">
        <v>40</v>
      </c>
    </row>
    <row r="3212" spans="1:10">
      <c r="A3212" t="s">
        <v>4633</v>
      </c>
      <c r="B3212" t="s">
        <v>2145</v>
      </c>
      <c r="C3212" t="s">
        <v>180</v>
      </c>
      <c r="D3212" t="s">
        <v>44</v>
      </c>
      <c r="E3212">
        <v>-91126</v>
      </c>
      <c r="F3212" t="s">
        <v>23</v>
      </c>
      <c r="G3212" t="s">
        <v>24</v>
      </c>
      <c r="H3212" t="s">
        <v>33</v>
      </c>
      <c r="I3212" t="s">
        <v>45</v>
      </c>
      <c r="J3212" t="s">
        <v>40</v>
      </c>
    </row>
    <row r="3213" spans="1:10">
      <c r="A3213" t="s">
        <v>4634</v>
      </c>
      <c r="B3213" t="s">
        <v>745</v>
      </c>
      <c r="C3213" t="s">
        <v>103</v>
      </c>
      <c r="D3213" t="s">
        <v>78</v>
      </c>
      <c r="E3213">
        <v>-74921</v>
      </c>
      <c r="F3213" t="s">
        <v>23</v>
      </c>
      <c r="G3213" t="s">
        <v>32</v>
      </c>
      <c r="H3213" t="s">
        <v>79</v>
      </c>
      <c r="I3213" t="s">
        <v>39</v>
      </c>
      <c r="J3213" t="s">
        <v>34</v>
      </c>
    </row>
    <row r="3214" spans="1:10">
      <c r="A3214" t="s">
        <v>4635</v>
      </c>
      <c r="B3214" t="s">
        <v>604</v>
      </c>
      <c r="C3214" t="s">
        <v>255</v>
      </c>
      <c r="D3214" t="s">
        <v>22</v>
      </c>
      <c r="E3214">
        <v>-179052</v>
      </c>
      <c r="F3214" t="s">
        <v>23</v>
      </c>
      <c r="G3214" t="s">
        <v>32</v>
      </c>
      <c r="H3214" t="s">
        <v>25</v>
      </c>
      <c r="I3214" t="s">
        <v>39</v>
      </c>
      <c r="J3214" t="s">
        <v>34</v>
      </c>
    </row>
    <row r="3215" spans="1:10">
      <c r="A3215" t="s">
        <v>4636</v>
      </c>
      <c r="B3215" t="s">
        <v>2626</v>
      </c>
      <c r="C3215" t="s">
        <v>271</v>
      </c>
      <c r="D3215" t="s">
        <v>73</v>
      </c>
      <c r="E3215">
        <v>-9383</v>
      </c>
      <c r="F3215" t="s">
        <v>74</v>
      </c>
      <c r="G3215" t="s">
        <v>32</v>
      </c>
      <c r="H3215" t="s">
        <v>25</v>
      </c>
      <c r="I3215" t="s">
        <v>26</v>
      </c>
      <c r="J3215" t="s">
        <v>48</v>
      </c>
    </row>
    <row r="3216" spans="1:10">
      <c r="A3216" t="s">
        <v>4637</v>
      </c>
      <c r="B3216" t="s">
        <v>1459</v>
      </c>
      <c r="C3216" t="s">
        <v>519</v>
      </c>
      <c r="D3216" t="s">
        <v>44</v>
      </c>
      <c r="E3216">
        <v>-78850</v>
      </c>
      <c r="F3216" t="s">
        <v>23</v>
      </c>
      <c r="G3216" t="s">
        <v>32</v>
      </c>
      <c r="H3216" t="s">
        <v>33</v>
      </c>
      <c r="I3216" t="s">
        <v>39</v>
      </c>
      <c r="J3216" t="s">
        <v>40</v>
      </c>
    </row>
    <row r="3217" spans="1:10">
      <c r="A3217" t="s">
        <v>4638</v>
      </c>
      <c r="B3217" t="s">
        <v>1096</v>
      </c>
      <c r="C3217" t="s">
        <v>687</v>
      </c>
      <c r="D3217" t="s">
        <v>44</v>
      </c>
      <c r="E3217">
        <v>-60618</v>
      </c>
      <c r="F3217" t="s">
        <v>23</v>
      </c>
      <c r="G3217" t="s">
        <v>24</v>
      </c>
      <c r="H3217" t="s">
        <v>33</v>
      </c>
      <c r="I3217" t="s">
        <v>26</v>
      </c>
      <c r="J3217" t="s">
        <v>27</v>
      </c>
    </row>
    <row r="3218" spans="1:10">
      <c r="A3218" t="s">
        <v>4639</v>
      </c>
      <c r="B3218" t="s">
        <v>4640</v>
      </c>
      <c r="C3218" t="s">
        <v>174</v>
      </c>
      <c r="D3218" t="s">
        <v>22</v>
      </c>
      <c r="E3218">
        <v>-178042</v>
      </c>
      <c r="F3218" t="s">
        <v>23</v>
      </c>
      <c r="G3218" t="s">
        <v>32</v>
      </c>
      <c r="H3218" t="s">
        <v>25</v>
      </c>
      <c r="I3218" t="s">
        <v>39</v>
      </c>
      <c r="J3218" t="s">
        <v>48</v>
      </c>
    </row>
    <row r="3219" spans="1:10">
      <c r="A3219" t="s">
        <v>4641</v>
      </c>
      <c r="B3219" t="s">
        <v>3063</v>
      </c>
      <c r="C3219" t="s">
        <v>519</v>
      </c>
      <c r="D3219" t="s">
        <v>44</v>
      </c>
      <c r="E3219">
        <v>-110514</v>
      </c>
      <c r="F3219" t="s">
        <v>23</v>
      </c>
      <c r="G3219" t="s">
        <v>32</v>
      </c>
      <c r="H3219" t="s">
        <v>33</v>
      </c>
      <c r="I3219" t="s">
        <v>45</v>
      </c>
      <c r="J3219" t="s">
        <v>27</v>
      </c>
    </row>
    <row r="3220" spans="1:10">
      <c r="A3220" t="s">
        <v>4642</v>
      </c>
      <c r="B3220" t="s">
        <v>1615</v>
      </c>
      <c r="C3220" t="s">
        <v>106</v>
      </c>
      <c r="D3220" t="s">
        <v>31</v>
      </c>
      <c r="E3220">
        <v>-15432</v>
      </c>
      <c r="F3220" t="s">
        <v>23</v>
      </c>
      <c r="G3220" t="s">
        <v>32</v>
      </c>
      <c r="H3220" t="s">
        <v>33</v>
      </c>
      <c r="I3220" t="s">
        <v>26</v>
      </c>
      <c r="J3220" t="s">
        <v>40</v>
      </c>
    </row>
    <row r="3221" spans="1:10">
      <c r="A3221" t="s">
        <v>4643</v>
      </c>
      <c r="B3221" t="s">
        <v>4123</v>
      </c>
      <c r="C3221" t="s">
        <v>4644</v>
      </c>
      <c r="D3221" t="s">
        <v>136</v>
      </c>
      <c r="E3221">
        <v>-10631716</v>
      </c>
      <c r="F3221" t="s">
        <v>62</v>
      </c>
      <c r="G3221" t="s">
        <v>32</v>
      </c>
      <c r="H3221" t="s">
        <v>63</v>
      </c>
      <c r="I3221" t="s">
        <v>45</v>
      </c>
      <c r="J3221" t="s">
        <v>40</v>
      </c>
    </row>
    <row r="3222" spans="1:10">
      <c r="A3222" t="s">
        <v>4645</v>
      </c>
      <c r="B3222" t="s">
        <v>1636</v>
      </c>
      <c r="C3222" t="s">
        <v>21</v>
      </c>
      <c r="D3222" t="s">
        <v>22</v>
      </c>
      <c r="E3222">
        <v>-200394</v>
      </c>
      <c r="F3222" t="s">
        <v>23</v>
      </c>
      <c r="G3222" t="s">
        <v>32</v>
      </c>
      <c r="H3222" t="s">
        <v>25</v>
      </c>
      <c r="I3222" t="s">
        <v>39</v>
      </c>
      <c r="J3222" t="s">
        <v>27</v>
      </c>
    </row>
    <row r="3223" spans="1:10">
      <c r="A3223" t="s">
        <v>4646</v>
      </c>
      <c r="B3223" t="s">
        <v>1297</v>
      </c>
      <c r="C3223" t="s">
        <v>215</v>
      </c>
      <c r="D3223" t="s">
        <v>61</v>
      </c>
      <c r="E3223">
        <v>-34632</v>
      </c>
      <c r="F3223" t="s">
        <v>62</v>
      </c>
      <c r="G3223" t="s">
        <v>32</v>
      </c>
      <c r="H3223" t="s">
        <v>63</v>
      </c>
      <c r="I3223" t="s">
        <v>39</v>
      </c>
      <c r="J3223" t="s">
        <v>34</v>
      </c>
    </row>
    <row r="3224" spans="1:10">
      <c r="A3224" t="s">
        <v>4647</v>
      </c>
      <c r="B3224" t="s">
        <v>1026</v>
      </c>
      <c r="C3224" t="s">
        <v>51</v>
      </c>
      <c r="D3224" t="s">
        <v>31</v>
      </c>
      <c r="E3224">
        <v>-13459</v>
      </c>
      <c r="F3224" t="s">
        <v>23</v>
      </c>
      <c r="G3224" t="s">
        <v>24</v>
      </c>
      <c r="H3224" t="s">
        <v>33</v>
      </c>
      <c r="I3224" t="s">
        <v>39</v>
      </c>
      <c r="J3224" t="s">
        <v>48</v>
      </c>
    </row>
    <row r="3225" spans="1:10">
      <c r="A3225" t="s">
        <v>4648</v>
      </c>
      <c r="B3225" t="s">
        <v>3716</v>
      </c>
      <c r="C3225" t="s">
        <v>93</v>
      </c>
      <c r="D3225" t="s">
        <v>73</v>
      </c>
      <c r="E3225">
        <v>-91611</v>
      </c>
      <c r="F3225" t="s">
        <v>74</v>
      </c>
      <c r="G3225" t="s">
        <v>24</v>
      </c>
      <c r="H3225" t="s">
        <v>25</v>
      </c>
      <c r="I3225" t="s">
        <v>26</v>
      </c>
      <c r="J3225" t="s">
        <v>34</v>
      </c>
    </row>
    <row r="3226" spans="1:10">
      <c r="A3226" t="s">
        <v>4649</v>
      </c>
      <c r="B3226" t="s">
        <v>4650</v>
      </c>
      <c r="C3226" t="s">
        <v>87</v>
      </c>
      <c r="D3226" t="s">
        <v>22</v>
      </c>
      <c r="E3226">
        <v>-120733</v>
      </c>
      <c r="F3226" t="s">
        <v>23</v>
      </c>
      <c r="G3226" t="s">
        <v>32</v>
      </c>
      <c r="H3226" t="s">
        <v>25</v>
      </c>
      <c r="I3226" t="s">
        <v>39</v>
      </c>
      <c r="J3226" t="s">
        <v>40</v>
      </c>
    </row>
    <row r="3227" spans="1:10">
      <c r="A3227" t="s">
        <v>4651</v>
      </c>
      <c r="B3227" t="s">
        <v>1976</v>
      </c>
      <c r="C3227" t="s">
        <v>66</v>
      </c>
      <c r="D3227" t="s">
        <v>61</v>
      </c>
      <c r="E3227">
        <v>-33455</v>
      </c>
      <c r="F3227" t="s">
        <v>62</v>
      </c>
      <c r="G3227" t="s">
        <v>24</v>
      </c>
      <c r="H3227" t="s">
        <v>63</v>
      </c>
      <c r="I3227" t="s">
        <v>45</v>
      </c>
      <c r="J3227" t="s">
        <v>27</v>
      </c>
    </row>
    <row r="3228" spans="1:10">
      <c r="A3228" t="s">
        <v>4652</v>
      </c>
      <c r="B3228" t="s">
        <v>4653</v>
      </c>
      <c r="C3228" t="s">
        <v>57</v>
      </c>
      <c r="D3228" t="s">
        <v>44</v>
      </c>
      <c r="E3228">
        <v>-173334</v>
      </c>
      <c r="F3228" t="s">
        <v>23</v>
      </c>
      <c r="G3228" t="s">
        <v>24</v>
      </c>
      <c r="H3228" t="s">
        <v>33</v>
      </c>
      <c r="I3228" t="s">
        <v>39</v>
      </c>
      <c r="J3228" t="s">
        <v>27</v>
      </c>
    </row>
    <row r="3229" spans="1:10">
      <c r="A3229" t="s">
        <v>4103</v>
      </c>
      <c r="B3229" t="s">
        <v>2717</v>
      </c>
      <c r="C3229" t="s">
        <v>60</v>
      </c>
      <c r="D3229" t="s">
        <v>61</v>
      </c>
      <c r="E3229">
        <v>-52039</v>
      </c>
      <c r="F3229" t="s">
        <v>62</v>
      </c>
      <c r="G3229" t="s">
        <v>24</v>
      </c>
      <c r="H3229" t="s">
        <v>63</v>
      </c>
      <c r="I3229" t="s">
        <v>26</v>
      </c>
      <c r="J3229" t="s">
        <v>40</v>
      </c>
    </row>
    <row r="3230" spans="1:10">
      <c r="A3230" t="s">
        <v>4654</v>
      </c>
      <c r="B3230" t="s">
        <v>801</v>
      </c>
      <c r="C3230" t="s">
        <v>169</v>
      </c>
      <c r="D3230" t="s">
        <v>73</v>
      </c>
      <c r="E3230">
        <v>-87443</v>
      </c>
      <c r="F3230" t="s">
        <v>74</v>
      </c>
      <c r="G3230" t="s">
        <v>24</v>
      </c>
      <c r="H3230" t="s">
        <v>25</v>
      </c>
      <c r="I3230" t="s">
        <v>39</v>
      </c>
      <c r="J3230" t="s">
        <v>40</v>
      </c>
    </row>
    <row r="3231" spans="1:10">
      <c r="A3231" t="s">
        <v>4655</v>
      </c>
      <c r="B3231" t="s">
        <v>1956</v>
      </c>
      <c r="C3231" t="s">
        <v>60</v>
      </c>
      <c r="D3231" t="s">
        <v>61</v>
      </c>
      <c r="E3231">
        <v>-43341</v>
      </c>
      <c r="F3231" t="s">
        <v>62</v>
      </c>
      <c r="G3231" t="s">
        <v>32</v>
      </c>
      <c r="H3231" t="s">
        <v>63</v>
      </c>
      <c r="I3231" t="s">
        <v>39</v>
      </c>
      <c r="J3231" t="s">
        <v>27</v>
      </c>
    </row>
    <row r="3232" spans="1:10">
      <c r="A3232" t="s">
        <v>4656</v>
      </c>
      <c r="B3232" t="s">
        <v>230</v>
      </c>
      <c r="C3232" t="s">
        <v>60</v>
      </c>
      <c r="D3232" t="s">
        <v>61</v>
      </c>
      <c r="E3232">
        <v>-17671</v>
      </c>
      <c r="F3232" t="s">
        <v>62</v>
      </c>
      <c r="G3232" t="s">
        <v>32</v>
      </c>
      <c r="H3232" t="s">
        <v>63</v>
      </c>
      <c r="I3232" t="s">
        <v>39</v>
      </c>
      <c r="J3232" t="s">
        <v>27</v>
      </c>
    </row>
    <row r="3233" spans="1:10">
      <c r="A3233" t="s">
        <v>4657</v>
      </c>
      <c r="B3233" t="s">
        <v>454</v>
      </c>
      <c r="C3233" t="s">
        <v>90</v>
      </c>
      <c r="D3233" t="s">
        <v>73</v>
      </c>
      <c r="E3233">
        <v>-45914</v>
      </c>
      <c r="F3233" t="s">
        <v>74</v>
      </c>
      <c r="G3233" t="s">
        <v>24</v>
      </c>
      <c r="H3233" t="s">
        <v>25</v>
      </c>
      <c r="I3233" t="s">
        <v>26</v>
      </c>
      <c r="J3233" t="s">
        <v>40</v>
      </c>
    </row>
    <row r="3234" spans="1:10">
      <c r="A3234" t="s">
        <v>4658</v>
      </c>
      <c r="B3234" t="s">
        <v>314</v>
      </c>
      <c r="C3234" t="s">
        <v>93</v>
      </c>
      <c r="D3234" t="s">
        <v>73</v>
      </c>
      <c r="E3234">
        <v>-73248</v>
      </c>
      <c r="F3234" t="s">
        <v>74</v>
      </c>
      <c r="G3234" t="s">
        <v>32</v>
      </c>
      <c r="H3234" t="s">
        <v>25</v>
      </c>
      <c r="I3234" t="s">
        <v>45</v>
      </c>
      <c r="J3234" t="s">
        <v>34</v>
      </c>
    </row>
    <row r="3235" spans="1:10">
      <c r="A3235" t="s">
        <v>4659</v>
      </c>
      <c r="B3235" t="s">
        <v>1849</v>
      </c>
      <c r="C3235" t="s">
        <v>116</v>
      </c>
      <c r="D3235" t="s">
        <v>73</v>
      </c>
      <c r="E3235">
        <v>-72210</v>
      </c>
      <c r="F3235" t="s">
        <v>74</v>
      </c>
      <c r="G3235" t="s">
        <v>32</v>
      </c>
      <c r="H3235" t="s">
        <v>25</v>
      </c>
      <c r="I3235" t="s">
        <v>45</v>
      </c>
      <c r="J3235" t="s">
        <v>48</v>
      </c>
    </row>
    <row r="3236" spans="1:10">
      <c r="A3236" t="s">
        <v>4660</v>
      </c>
      <c r="B3236" t="s">
        <v>708</v>
      </c>
      <c r="C3236" t="s">
        <v>757</v>
      </c>
      <c r="D3236" t="s">
        <v>157</v>
      </c>
      <c r="E3236">
        <v>622739</v>
      </c>
      <c r="F3236" t="s">
        <v>62</v>
      </c>
      <c r="G3236" t="s">
        <v>32</v>
      </c>
      <c r="H3236" t="s">
        <v>25</v>
      </c>
      <c r="I3236" t="s">
        <v>45</v>
      </c>
      <c r="J3236" t="s">
        <v>27</v>
      </c>
    </row>
    <row r="3237" spans="1:10">
      <c r="A3237" t="s">
        <v>4661</v>
      </c>
      <c r="B3237" t="s">
        <v>1361</v>
      </c>
      <c r="C3237" t="s">
        <v>60</v>
      </c>
      <c r="D3237" t="s">
        <v>61</v>
      </c>
      <c r="E3237">
        <v>-50758</v>
      </c>
      <c r="F3237" t="s">
        <v>62</v>
      </c>
      <c r="G3237" t="s">
        <v>32</v>
      </c>
      <c r="H3237" t="s">
        <v>63</v>
      </c>
      <c r="I3237" t="s">
        <v>39</v>
      </c>
      <c r="J3237" t="s">
        <v>48</v>
      </c>
    </row>
    <row r="3238" spans="1:10">
      <c r="A3238" t="s">
        <v>4662</v>
      </c>
      <c r="B3238" t="s">
        <v>3435</v>
      </c>
      <c r="C3238" t="s">
        <v>66</v>
      </c>
      <c r="D3238" t="s">
        <v>61</v>
      </c>
      <c r="E3238">
        <v>-47190</v>
      </c>
      <c r="F3238" t="s">
        <v>62</v>
      </c>
      <c r="G3238" t="s">
        <v>24</v>
      </c>
      <c r="H3238" t="s">
        <v>63</v>
      </c>
      <c r="I3238" t="s">
        <v>26</v>
      </c>
      <c r="J3238" t="s">
        <v>34</v>
      </c>
    </row>
    <row r="3239" spans="1:10">
      <c r="A3239" t="s">
        <v>3254</v>
      </c>
      <c r="B3239" t="s">
        <v>637</v>
      </c>
      <c r="C3239" t="s">
        <v>51</v>
      </c>
      <c r="D3239" t="s">
        <v>31</v>
      </c>
      <c r="E3239">
        <v>-19872</v>
      </c>
      <c r="F3239" t="s">
        <v>23</v>
      </c>
      <c r="G3239" t="s">
        <v>24</v>
      </c>
      <c r="H3239" t="s">
        <v>33</v>
      </c>
      <c r="I3239" t="s">
        <v>26</v>
      </c>
      <c r="J3239" t="s">
        <v>34</v>
      </c>
    </row>
    <row r="3240" spans="1:10">
      <c r="A3240" t="s">
        <v>4663</v>
      </c>
      <c r="B3240" t="s">
        <v>641</v>
      </c>
      <c r="C3240" t="s">
        <v>60</v>
      </c>
      <c r="D3240" t="s">
        <v>61</v>
      </c>
      <c r="E3240">
        <v>-58777</v>
      </c>
      <c r="F3240" t="s">
        <v>62</v>
      </c>
      <c r="G3240" t="s">
        <v>32</v>
      </c>
      <c r="H3240" t="s">
        <v>63</v>
      </c>
      <c r="I3240" t="s">
        <v>45</v>
      </c>
      <c r="J3240" t="s">
        <v>34</v>
      </c>
    </row>
    <row r="3241" spans="1:10">
      <c r="A3241" t="s">
        <v>3365</v>
      </c>
      <c r="B3241" t="s">
        <v>29</v>
      </c>
      <c r="C3241" t="s">
        <v>54</v>
      </c>
      <c r="D3241" t="s">
        <v>38</v>
      </c>
      <c r="E3241">
        <v>-10841</v>
      </c>
      <c r="F3241" t="s">
        <v>23</v>
      </c>
      <c r="G3241" t="s">
        <v>24</v>
      </c>
      <c r="H3241" t="s">
        <v>33</v>
      </c>
      <c r="I3241" t="s">
        <v>26</v>
      </c>
      <c r="J3241" t="s">
        <v>34</v>
      </c>
    </row>
    <row r="3242" spans="1:10">
      <c r="A3242" t="s">
        <v>4664</v>
      </c>
      <c r="B3242" t="s">
        <v>3071</v>
      </c>
      <c r="C3242" t="s">
        <v>293</v>
      </c>
      <c r="D3242" t="s">
        <v>157</v>
      </c>
      <c r="E3242">
        <v>707397</v>
      </c>
      <c r="F3242" t="s">
        <v>62</v>
      </c>
      <c r="G3242" t="s">
        <v>32</v>
      </c>
      <c r="H3242" t="s">
        <v>25</v>
      </c>
      <c r="I3242" t="s">
        <v>39</v>
      </c>
      <c r="J3242" t="s">
        <v>27</v>
      </c>
    </row>
    <row r="3243" spans="1:10">
      <c r="A3243" t="s">
        <v>4665</v>
      </c>
      <c r="B3243" t="s">
        <v>1983</v>
      </c>
      <c r="C3243" t="s">
        <v>77</v>
      </c>
      <c r="D3243" t="s">
        <v>78</v>
      </c>
      <c r="E3243">
        <v>-28235</v>
      </c>
      <c r="F3243" t="s">
        <v>23</v>
      </c>
      <c r="G3243" t="s">
        <v>32</v>
      </c>
      <c r="H3243" t="s">
        <v>79</v>
      </c>
      <c r="I3243" t="s">
        <v>26</v>
      </c>
      <c r="J3243" t="s">
        <v>40</v>
      </c>
    </row>
    <row r="3244" spans="1:10">
      <c r="A3244" t="s">
        <v>4666</v>
      </c>
      <c r="B3244" t="s">
        <v>1357</v>
      </c>
      <c r="C3244" t="s">
        <v>180</v>
      </c>
      <c r="D3244" t="s">
        <v>44</v>
      </c>
      <c r="E3244">
        <v>-78616</v>
      </c>
      <c r="F3244" t="s">
        <v>23</v>
      </c>
      <c r="G3244" t="s">
        <v>32</v>
      </c>
      <c r="H3244" t="s">
        <v>33</v>
      </c>
      <c r="I3244" t="s">
        <v>45</v>
      </c>
      <c r="J3244" t="s">
        <v>48</v>
      </c>
    </row>
    <row r="3245" spans="1:10">
      <c r="A3245" t="s">
        <v>4667</v>
      </c>
      <c r="B3245" t="s">
        <v>4187</v>
      </c>
      <c r="C3245" t="s">
        <v>4668</v>
      </c>
      <c r="D3245" t="s">
        <v>136</v>
      </c>
      <c r="E3245">
        <v>-10474381</v>
      </c>
      <c r="F3245" t="s">
        <v>62</v>
      </c>
      <c r="G3245" t="s">
        <v>32</v>
      </c>
      <c r="H3245" t="s">
        <v>63</v>
      </c>
      <c r="I3245" t="s">
        <v>39</v>
      </c>
      <c r="J3245" t="s">
        <v>34</v>
      </c>
    </row>
    <row r="3246" spans="1:10">
      <c r="A3246" t="s">
        <v>4669</v>
      </c>
      <c r="B3246" t="s">
        <v>790</v>
      </c>
      <c r="C3246" t="s">
        <v>37</v>
      </c>
      <c r="E3246">
        <v>-51671</v>
      </c>
      <c r="F3246" t="s">
        <v>23</v>
      </c>
      <c r="G3246" t="s">
        <v>24</v>
      </c>
      <c r="H3246" t="s">
        <v>33</v>
      </c>
      <c r="I3246" t="s">
        <v>39</v>
      </c>
      <c r="J3246" t="s">
        <v>27</v>
      </c>
    </row>
    <row r="3247" spans="1:10">
      <c r="A3247" t="s">
        <v>4670</v>
      </c>
      <c r="B3247" t="s">
        <v>414</v>
      </c>
      <c r="C3247" t="s">
        <v>51</v>
      </c>
      <c r="D3247" t="s">
        <v>31</v>
      </c>
      <c r="E3247">
        <v>-37207</v>
      </c>
      <c r="F3247" t="s">
        <v>23</v>
      </c>
      <c r="G3247" t="s">
        <v>32</v>
      </c>
      <c r="H3247" t="s">
        <v>33</v>
      </c>
      <c r="I3247" t="s">
        <v>45</v>
      </c>
      <c r="J3247" t="s">
        <v>48</v>
      </c>
    </row>
    <row r="3248" spans="1:10">
      <c r="A3248" t="s">
        <v>4671</v>
      </c>
      <c r="B3248" t="s">
        <v>448</v>
      </c>
      <c r="C3248" t="s">
        <v>60</v>
      </c>
      <c r="D3248" t="s">
        <v>61</v>
      </c>
      <c r="E3248">
        <v>-12803</v>
      </c>
      <c r="F3248" t="s">
        <v>62</v>
      </c>
      <c r="G3248" t="s">
        <v>32</v>
      </c>
      <c r="H3248" t="s">
        <v>63</v>
      </c>
      <c r="I3248" t="s">
        <v>26</v>
      </c>
      <c r="J3248" t="s">
        <v>34</v>
      </c>
    </row>
    <row r="3249" spans="1:10">
      <c r="A3249" t="s">
        <v>4672</v>
      </c>
      <c r="B3249" t="s">
        <v>4673</v>
      </c>
      <c r="C3249" t="s">
        <v>21</v>
      </c>
      <c r="D3249" t="s">
        <v>22</v>
      </c>
      <c r="E3249">
        <v>-201385</v>
      </c>
      <c r="F3249" t="s">
        <v>23</v>
      </c>
      <c r="G3249" t="s">
        <v>24</v>
      </c>
      <c r="H3249" t="s">
        <v>25</v>
      </c>
      <c r="I3249" t="s">
        <v>45</v>
      </c>
      <c r="J3249" t="s">
        <v>48</v>
      </c>
    </row>
    <row r="3250" spans="1:10">
      <c r="A3250" t="s">
        <v>4674</v>
      </c>
      <c r="B3250" t="s">
        <v>3217</v>
      </c>
      <c r="C3250" t="s">
        <v>60</v>
      </c>
      <c r="D3250" t="s">
        <v>61</v>
      </c>
      <c r="E3250">
        <v>-46260</v>
      </c>
      <c r="F3250" t="s">
        <v>62</v>
      </c>
      <c r="G3250" t="s">
        <v>24</v>
      </c>
      <c r="H3250" t="s">
        <v>63</v>
      </c>
      <c r="I3250" t="s">
        <v>45</v>
      </c>
      <c r="J3250" t="s">
        <v>27</v>
      </c>
    </row>
    <row r="3251" spans="1:10">
      <c r="A3251" t="s">
        <v>4675</v>
      </c>
      <c r="B3251" t="s">
        <v>2829</v>
      </c>
      <c r="C3251" t="s">
        <v>293</v>
      </c>
      <c r="D3251" t="s">
        <v>157</v>
      </c>
      <c r="E3251">
        <v>570013</v>
      </c>
      <c r="F3251" t="s">
        <v>62</v>
      </c>
      <c r="G3251" t="s">
        <v>32</v>
      </c>
      <c r="H3251" t="s">
        <v>25</v>
      </c>
      <c r="I3251" t="s">
        <v>45</v>
      </c>
      <c r="J3251" t="s">
        <v>34</v>
      </c>
    </row>
    <row r="3252" spans="1:10">
      <c r="A3252" t="s">
        <v>4676</v>
      </c>
      <c r="B3252" t="s">
        <v>247</v>
      </c>
      <c r="C3252" t="s">
        <v>935</v>
      </c>
      <c r="D3252" t="s">
        <v>22</v>
      </c>
      <c r="E3252">
        <v>-75769</v>
      </c>
      <c r="F3252" t="s">
        <v>23</v>
      </c>
      <c r="G3252" t="s">
        <v>24</v>
      </c>
      <c r="H3252" t="s">
        <v>25</v>
      </c>
      <c r="I3252" t="s">
        <v>39</v>
      </c>
      <c r="J3252" t="s">
        <v>27</v>
      </c>
    </row>
    <row r="3253" spans="1:10">
      <c r="A3253" t="s">
        <v>4677</v>
      </c>
      <c r="B3253" t="s">
        <v>199</v>
      </c>
      <c r="C3253" t="s">
        <v>293</v>
      </c>
      <c r="D3253" t="s">
        <v>157</v>
      </c>
      <c r="E3253">
        <v>489139</v>
      </c>
      <c r="F3253" t="s">
        <v>62</v>
      </c>
      <c r="G3253" t="s">
        <v>32</v>
      </c>
      <c r="H3253" t="s">
        <v>25</v>
      </c>
      <c r="I3253" t="s">
        <v>26</v>
      </c>
      <c r="J3253" t="s">
        <v>34</v>
      </c>
    </row>
    <row r="3254" spans="1:10">
      <c r="A3254" t="s">
        <v>4678</v>
      </c>
      <c r="B3254" t="s">
        <v>123</v>
      </c>
      <c r="C3254" t="s">
        <v>132</v>
      </c>
      <c r="D3254" t="s">
        <v>73</v>
      </c>
      <c r="E3254">
        <v>-50247</v>
      </c>
      <c r="F3254" t="s">
        <v>74</v>
      </c>
      <c r="G3254" t="s">
        <v>24</v>
      </c>
      <c r="H3254" t="s">
        <v>25</v>
      </c>
      <c r="I3254" t="s">
        <v>39</v>
      </c>
      <c r="J3254" t="s">
        <v>40</v>
      </c>
    </row>
    <row r="3255" spans="1:10">
      <c r="A3255" t="s">
        <v>4679</v>
      </c>
      <c r="B3255" t="s">
        <v>2845</v>
      </c>
      <c r="C3255" t="s">
        <v>37</v>
      </c>
      <c r="D3255" t="s">
        <v>38</v>
      </c>
      <c r="E3255">
        <v>-53637</v>
      </c>
      <c r="F3255" t="s">
        <v>23</v>
      </c>
      <c r="G3255" t="s">
        <v>32</v>
      </c>
      <c r="H3255" t="s">
        <v>33</v>
      </c>
      <c r="I3255" t="s">
        <v>39</v>
      </c>
      <c r="J3255" t="s">
        <v>34</v>
      </c>
    </row>
    <row r="3256" spans="1:10">
      <c r="A3256" t="s">
        <v>4680</v>
      </c>
      <c r="B3256" t="s">
        <v>2316</v>
      </c>
      <c r="C3256" t="s">
        <v>224</v>
      </c>
      <c r="D3256" t="s">
        <v>78</v>
      </c>
      <c r="E3256">
        <v>-80767</v>
      </c>
      <c r="F3256" t="s">
        <v>23</v>
      </c>
      <c r="G3256" t="s">
        <v>32</v>
      </c>
      <c r="H3256" t="s">
        <v>79</v>
      </c>
      <c r="I3256" t="s">
        <v>45</v>
      </c>
      <c r="J3256" t="s">
        <v>34</v>
      </c>
    </row>
    <row r="3257" spans="1:10">
      <c r="A3257" t="s">
        <v>4681</v>
      </c>
      <c r="B3257" t="s">
        <v>1613</v>
      </c>
      <c r="C3257" t="s">
        <v>215</v>
      </c>
      <c r="D3257" t="s">
        <v>61</v>
      </c>
      <c r="E3257">
        <v>-44296</v>
      </c>
      <c r="F3257" t="s">
        <v>62</v>
      </c>
      <c r="G3257" t="s">
        <v>32</v>
      </c>
      <c r="H3257" t="s">
        <v>63</v>
      </c>
      <c r="I3257" t="s">
        <v>45</v>
      </c>
      <c r="J3257" t="s">
        <v>48</v>
      </c>
    </row>
    <row r="3258" spans="1:10">
      <c r="A3258" t="s">
        <v>4682</v>
      </c>
      <c r="B3258" t="s">
        <v>1958</v>
      </c>
      <c r="C3258" t="s">
        <v>66</v>
      </c>
      <c r="D3258" t="s">
        <v>61</v>
      </c>
      <c r="E3258">
        <v>-29128</v>
      </c>
      <c r="F3258" t="s">
        <v>62</v>
      </c>
      <c r="G3258" t="s">
        <v>24</v>
      </c>
      <c r="H3258" t="s">
        <v>63</v>
      </c>
      <c r="I3258" t="s">
        <v>45</v>
      </c>
      <c r="J3258" t="s">
        <v>34</v>
      </c>
    </row>
    <row r="3259" spans="1:10">
      <c r="A3259" t="s">
        <v>4683</v>
      </c>
      <c r="B3259" t="s">
        <v>2815</v>
      </c>
      <c r="C3259" t="s">
        <v>54</v>
      </c>
      <c r="D3259" t="s">
        <v>38</v>
      </c>
      <c r="E3259">
        <v>-28980</v>
      </c>
      <c r="F3259" t="s">
        <v>23</v>
      </c>
      <c r="G3259" t="s">
        <v>24</v>
      </c>
      <c r="H3259" t="s">
        <v>33</v>
      </c>
      <c r="I3259" t="s">
        <v>45</v>
      </c>
      <c r="J3259" t="s">
        <v>34</v>
      </c>
    </row>
    <row r="3260" spans="1:10">
      <c r="A3260" t="s">
        <v>4684</v>
      </c>
      <c r="B3260" t="s">
        <v>3163</v>
      </c>
      <c r="C3260" t="s">
        <v>215</v>
      </c>
      <c r="D3260" t="s">
        <v>61</v>
      </c>
      <c r="E3260">
        <v>-13750</v>
      </c>
      <c r="F3260" t="s">
        <v>62</v>
      </c>
      <c r="G3260" t="s">
        <v>24</v>
      </c>
      <c r="H3260" t="s">
        <v>63</v>
      </c>
      <c r="I3260" t="s">
        <v>45</v>
      </c>
      <c r="J3260" t="s">
        <v>34</v>
      </c>
    </row>
    <row r="3261" spans="1:10">
      <c r="A3261" t="s">
        <v>4685</v>
      </c>
      <c r="B3261" t="s">
        <v>1090</v>
      </c>
      <c r="C3261" t="s">
        <v>237</v>
      </c>
      <c r="D3261" t="s">
        <v>22</v>
      </c>
      <c r="E3261">
        <v>-99002</v>
      </c>
      <c r="F3261" t="s">
        <v>23</v>
      </c>
      <c r="G3261" t="s">
        <v>32</v>
      </c>
      <c r="H3261" t="s">
        <v>25</v>
      </c>
      <c r="I3261" t="s">
        <v>26</v>
      </c>
      <c r="J3261" t="s">
        <v>48</v>
      </c>
    </row>
    <row r="3262" spans="1:10">
      <c r="A3262" t="s">
        <v>4686</v>
      </c>
      <c r="B3262" t="s">
        <v>3880</v>
      </c>
      <c r="C3262" t="s">
        <v>106</v>
      </c>
      <c r="D3262" t="s">
        <v>31</v>
      </c>
      <c r="E3262">
        <v>-41175</v>
      </c>
      <c r="F3262" t="s">
        <v>23</v>
      </c>
      <c r="G3262" t="s">
        <v>32</v>
      </c>
      <c r="H3262" t="s">
        <v>33</v>
      </c>
      <c r="I3262" t="s">
        <v>39</v>
      </c>
      <c r="J3262" t="s">
        <v>48</v>
      </c>
    </row>
    <row r="3263" spans="1:10">
      <c r="A3263" t="s">
        <v>4687</v>
      </c>
      <c r="B3263" t="s">
        <v>4688</v>
      </c>
      <c r="C3263" t="s">
        <v>616</v>
      </c>
      <c r="D3263" t="s">
        <v>22</v>
      </c>
      <c r="E3263">
        <v>-23560</v>
      </c>
      <c r="F3263" t="s">
        <v>23</v>
      </c>
      <c r="G3263" t="s">
        <v>32</v>
      </c>
      <c r="H3263" t="s">
        <v>25</v>
      </c>
      <c r="I3263" t="s">
        <v>45</v>
      </c>
      <c r="J3263" t="s">
        <v>34</v>
      </c>
    </row>
    <row r="3264" spans="1:10">
      <c r="A3264" t="s">
        <v>4689</v>
      </c>
      <c r="B3264" t="s">
        <v>1767</v>
      </c>
      <c r="C3264" t="s">
        <v>93</v>
      </c>
      <c r="D3264" t="s">
        <v>73</v>
      </c>
      <c r="E3264">
        <v>-83886</v>
      </c>
      <c r="F3264" t="s">
        <v>74</v>
      </c>
      <c r="G3264" t="s">
        <v>24</v>
      </c>
      <c r="H3264" t="s">
        <v>25</v>
      </c>
      <c r="I3264" t="s">
        <v>26</v>
      </c>
      <c r="J3264" t="s">
        <v>48</v>
      </c>
    </row>
    <row r="3265" spans="1:10">
      <c r="A3265" t="s">
        <v>4690</v>
      </c>
      <c r="B3265" t="s">
        <v>1419</v>
      </c>
      <c r="C3265" t="s">
        <v>37</v>
      </c>
      <c r="D3265" t="s">
        <v>38</v>
      </c>
      <c r="E3265">
        <v>-47150</v>
      </c>
      <c r="F3265" t="s">
        <v>23</v>
      </c>
      <c r="G3265" t="s">
        <v>32</v>
      </c>
      <c r="H3265" t="s">
        <v>33</v>
      </c>
      <c r="I3265" t="s">
        <v>26</v>
      </c>
      <c r="J3265" t="s">
        <v>34</v>
      </c>
    </row>
    <row r="3266" spans="1:10">
      <c r="A3266" t="s">
        <v>4691</v>
      </c>
      <c r="B3266" t="s">
        <v>599</v>
      </c>
      <c r="C3266" t="s">
        <v>283</v>
      </c>
      <c r="D3266" t="s">
        <v>44</v>
      </c>
      <c r="E3266">
        <v>-178651</v>
      </c>
      <c r="F3266" t="s">
        <v>23</v>
      </c>
      <c r="G3266" t="s">
        <v>32</v>
      </c>
      <c r="H3266" t="s">
        <v>33</v>
      </c>
      <c r="I3266" t="s">
        <v>45</v>
      </c>
      <c r="J3266" t="s">
        <v>48</v>
      </c>
    </row>
    <row r="3267" spans="1:10">
      <c r="A3267" t="s">
        <v>4692</v>
      </c>
      <c r="B3267" t="s">
        <v>1301</v>
      </c>
      <c r="C3267" t="s">
        <v>212</v>
      </c>
      <c r="D3267" t="s">
        <v>302</v>
      </c>
      <c r="E3267">
        <v>-59292</v>
      </c>
      <c r="F3267" t="s">
        <v>74</v>
      </c>
      <c r="G3267" t="s">
        <v>32</v>
      </c>
      <c r="H3267" t="s">
        <v>25</v>
      </c>
      <c r="I3267" t="s">
        <v>26</v>
      </c>
      <c r="J3267" t="s">
        <v>27</v>
      </c>
    </row>
    <row r="3268" spans="1:10">
      <c r="A3268" t="s">
        <v>4693</v>
      </c>
      <c r="B3268" t="s">
        <v>816</v>
      </c>
      <c r="C3268" t="s">
        <v>77</v>
      </c>
      <c r="D3268" t="s">
        <v>78</v>
      </c>
      <c r="E3268">
        <v>-19145</v>
      </c>
      <c r="F3268" t="s">
        <v>23</v>
      </c>
      <c r="G3268" t="s">
        <v>24</v>
      </c>
      <c r="H3268" t="s">
        <v>79</v>
      </c>
      <c r="I3268" t="s">
        <v>26</v>
      </c>
      <c r="J3268" t="s">
        <v>48</v>
      </c>
    </row>
    <row r="3269" spans="1:10">
      <c r="A3269" t="s">
        <v>4694</v>
      </c>
      <c r="B3269" t="s">
        <v>1245</v>
      </c>
      <c r="C3269" t="s">
        <v>180</v>
      </c>
      <c r="D3269" t="s">
        <v>44</v>
      </c>
      <c r="E3269">
        <v>-36830</v>
      </c>
      <c r="F3269" t="s">
        <v>23</v>
      </c>
      <c r="G3269" t="s">
        <v>32</v>
      </c>
      <c r="H3269" t="s">
        <v>33</v>
      </c>
      <c r="I3269" t="s">
        <v>45</v>
      </c>
      <c r="J3269" t="s">
        <v>27</v>
      </c>
    </row>
    <row r="3270" spans="1:10">
      <c r="A3270" t="s">
        <v>4695</v>
      </c>
      <c r="B3270" t="s">
        <v>4696</v>
      </c>
      <c r="C3270" t="s">
        <v>60</v>
      </c>
      <c r="D3270" t="s">
        <v>61</v>
      </c>
      <c r="E3270">
        <v>-49436</v>
      </c>
      <c r="F3270" t="s">
        <v>62</v>
      </c>
      <c r="G3270" t="s">
        <v>32</v>
      </c>
      <c r="H3270" t="s">
        <v>63</v>
      </c>
      <c r="I3270" t="s">
        <v>45</v>
      </c>
      <c r="J3270" t="s">
        <v>27</v>
      </c>
    </row>
    <row r="3271" spans="1:10">
      <c r="A3271" t="s">
        <v>4697</v>
      </c>
      <c r="B3271" t="s">
        <v>2785</v>
      </c>
      <c r="C3271" t="s">
        <v>54</v>
      </c>
      <c r="D3271" t="s">
        <v>38</v>
      </c>
      <c r="E3271">
        <v>-30426</v>
      </c>
      <c r="F3271" t="s">
        <v>23</v>
      </c>
      <c r="G3271" t="s">
        <v>24</v>
      </c>
      <c r="H3271" t="s">
        <v>33</v>
      </c>
      <c r="I3271" t="s">
        <v>26</v>
      </c>
      <c r="J3271" t="s">
        <v>48</v>
      </c>
    </row>
    <row r="3272" spans="1:10">
      <c r="A3272" t="s">
        <v>4698</v>
      </c>
      <c r="B3272" t="s">
        <v>4021</v>
      </c>
      <c r="C3272" t="s">
        <v>57</v>
      </c>
      <c r="D3272" t="s">
        <v>44</v>
      </c>
      <c r="E3272">
        <v>-150622</v>
      </c>
      <c r="F3272" t="s">
        <v>23</v>
      </c>
      <c r="G3272" t="s">
        <v>24</v>
      </c>
      <c r="H3272" t="s">
        <v>33</v>
      </c>
      <c r="I3272" t="s">
        <v>39</v>
      </c>
      <c r="J3272" t="s">
        <v>34</v>
      </c>
    </row>
    <row r="3273" spans="1:10">
      <c r="A3273" t="s">
        <v>4699</v>
      </c>
      <c r="B3273" t="s">
        <v>1887</v>
      </c>
      <c r="C3273" t="s">
        <v>215</v>
      </c>
      <c r="D3273" t="s">
        <v>61</v>
      </c>
      <c r="E3273">
        <v>-24636</v>
      </c>
      <c r="F3273" t="s">
        <v>62</v>
      </c>
      <c r="G3273" t="s">
        <v>24</v>
      </c>
      <c r="H3273" t="s">
        <v>63</v>
      </c>
      <c r="I3273" t="s">
        <v>26</v>
      </c>
      <c r="J3273" t="s">
        <v>40</v>
      </c>
    </row>
    <row r="3274" spans="1:10">
      <c r="A3274" t="s">
        <v>4700</v>
      </c>
      <c r="B3274" t="s">
        <v>1752</v>
      </c>
      <c r="C3274" t="s">
        <v>212</v>
      </c>
      <c r="D3274" t="s">
        <v>73</v>
      </c>
      <c r="E3274">
        <v>-53954</v>
      </c>
      <c r="F3274" t="s">
        <v>74</v>
      </c>
      <c r="G3274" t="s">
        <v>24</v>
      </c>
      <c r="H3274" t="s">
        <v>25</v>
      </c>
      <c r="I3274" t="s">
        <v>39</v>
      </c>
      <c r="J3274" t="s">
        <v>48</v>
      </c>
    </row>
    <row r="3275" spans="1:10">
      <c r="A3275" t="s">
        <v>4701</v>
      </c>
      <c r="B3275" t="s">
        <v>1731</v>
      </c>
      <c r="C3275" t="s">
        <v>1048</v>
      </c>
      <c r="D3275" t="s">
        <v>31</v>
      </c>
      <c r="E3275">
        <v>-44113</v>
      </c>
      <c r="F3275" t="s">
        <v>23</v>
      </c>
      <c r="G3275" t="s">
        <v>24</v>
      </c>
      <c r="H3275" t="s">
        <v>33</v>
      </c>
      <c r="I3275" t="s">
        <v>39</v>
      </c>
      <c r="J3275" t="s">
        <v>34</v>
      </c>
    </row>
    <row r="3276" spans="1:10">
      <c r="A3276" t="s">
        <v>4702</v>
      </c>
      <c r="B3276" t="s">
        <v>4234</v>
      </c>
      <c r="C3276" t="s">
        <v>255</v>
      </c>
      <c r="D3276" t="s">
        <v>207</v>
      </c>
      <c r="E3276">
        <v>-137704</v>
      </c>
      <c r="F3276" t="s">
        <v>23</v>
      </c>
      <c r="G3276" t="s">
        <v>24</v>
      </c>
      <c r="H3276" t="s">
        <v>25</v>
      </c>
      <c r="I3276" t="s">
        <v>39</v>
      </c>
      <c r="J3276" t="s">
        <v>34</v>
      </c>
    </row>
    <row r="3277" spans="1:10">
      <c r="A3277" t="s">
        <v>4703</v>
      </c>
      <c r="B3277" t="s">
        <v>4612</v>
      </c>
      <c r="C3277" t="s">
        <v>687</v>
      </c>
      <c r="D3277" t="s">
        <v>44</v>
      </c>
      <c r="E3277">
        <v>-94073</v>
      </c>
      <c r="F3277" t="s">
        <v>23</v>
      </c>
      <c r="G3277" t="s">
        <v>32</v>
      </c>
      <c r="H3277" t="s">
        <v>33</v>
      </c>
      <c r="I3277" t="s">
        <v>39</v>
      </c>
      <c r="J3277" t="s">
        <v>27</v>
      </c>
    </row>
    <row r="3278" spans="1:10">
      <c r="A3278" t="s">
        <v>4704</v>
      </c>
      <c r="B3278" t="s">
        <v>670</v>
      </c>
      <c r="C3278" t="s">
        <v>106</v>
      </c>
      <c r="D3278" t="s">
        <v>31</v>
      </c>
      <c r="E3278">
        <v>-4983</v>
      </c>
      <c r="F3278" t="s">
        <v>23</v>
      </c>
      <c r="G3278" t="s">
        <v>24</v>
      </c>
      <c r="H3278" t="s">
        <v>33</v>
      </c>
      <c r="I3278" t="s">
        <v>39</v>
      </c>
      <c r="J3278" t="s">
        <v>40</v>
      </c>
    </row>
    <row r="3279" spans="1:10">
      <c r="A3279" t="s">
        <v>4705</v>
      </c>
      <c r="B3279" t="s">
        <v>827</v>
      </c>
      <c r="C3279" t="s">
        <v>51</v>
      </c>
      <c r="D3279" t="s">
        <v>31</v>
      </c>
      <c r="E3279">
        <v>-35485</v>
      </c>
      <c r="F3279" t="s">
        <v>23</v>
      </c>
      <c r="G3279" t="s">
        <v>24</v>
      </c>
      <c r="H3279" t="s">
        <v>33</v>
      </c>
      <c r="I3279" t="s">
        <v>45</v>
      </c>
      <c r="J3279" t="s">
        <v>34</v>
      </c>
    </row>
    <row r="3280" spans="1:10">
      <c r="A3280" t="s">
        <v>4706</v>
      </c>
      <c r="B3280" t="s">
        <v>4707</v>
      </c>
      <c r="C3280" t="s">
        <v>310</v>
      </c>
      <c r="D3280" t="s">
        <v>22</v>
      </c>
      <c r="E3280">
        <v>-99472</v>
      </c>
      <c r="F3280" t="s">
        <v>23</v>
      </c>
      <c r="G3280" t="s">
        <v>32</v>
      </c>
      <c r="H3280" t="s">
        <v>25</v>
      </c>
      <c r="I3280" t="s">
        <v>39</v>
      </c>
      <c r="J3280" t="s">
        <v>48</v>
      </c>
    </row>
    <row r="3281" spans="1:10">
      <c r="A3281" t="s">
        <v>4708</v>
      </c>
      <c r="B3281" t="s">
        <v>756</v>
      </c>
      <c r="C3281" t="s">
        <v>93</v>
      </c>
      <c r="D3281" t="s">
        <v>73</v>
      </c>
      <c r="E3281">
        <v>-80308</v>
      </c>
      <c r="F3281" t="s">
        <v>74</v>
      </c>
      <c r="G3281" t="s">
        <v>32</v>
      </c>
      <c r="H3281" t="s">
        <v>25</v>
      </c>
      <c r="I3281" t="s">
        <v>26</v>
      </c>
      <c r="J3281" t="s">
        <v>48</v>
      </c>
    </row>
    <row r="3282" spans="1:10">
      <c r="A3282" t="s">
        <v>4709</v>
      </c>
      <c r="B3282" t="s">
        <v>2654</v>
      </c>
      <c r="C3282" t="s">
        <v>4710</v>
      </c>
      <c r="D3282" t="s">
        <v>136</v>
      </c>
      <c r="E3282">
        <v>-10371950</v>
      </c>
      <c r="F3282" t="s">
        <v>62</v>
      </c>
      <c r="G3282" t="s">
        <v>32</v>
      </c>
      <c r="H3282" t="s">
        <v>63</v>
      </c>
      <c r="I3282" t="s">
        <v>26</v>
      </c>
      <c r="J3282" t="s">
        <v>34</v>
      </c>
    </row>
    <row r="3283" spans="1:10">
      <c r="A3283" t="s">
        <v>4711</v>
      </c>
      <c r="B3283" t="s">
        <v>2777</v>
      </c>
      <c r="C3283" t="s">
        <v>293</v>
      </c>
      <c r="D3283" t="s">
        <v>157</v>
      </c>
      <c r="E3283">
        <v>619976</v>
      </c>
      <c r="F3283" t="s">
        <v>62</v>
      </c>
      <c r="G3283" t="s">
        <v>32</v>
      </c>
      <c r="H3283" t="s">
        <v>25</v>
      </c>
      <c r="I3283" t="s">
        <v>26</v>
      </c>
      <c r="J3283" t="s">
        <v>48</v>
      </c>
    </row>
    <row r="3284" spans="1:10">
      <c r="A3284" t="s">
        <v>4712</v>
      </c>
      <c r="B3284" t="s">
        <v>36</v>
      </c>
      <c r="C3284" t="s">
        <v>54</v>
      </c>
      <c r="D3284" t="s">
        <v>38</v>
      </c>
      <c r="E3284">
        <v>-34930</v>
      </c>
      <c r="F3284" t="s">
        <v>23</v>
      </c>
      <c r="G3284" t="s">
        <v>24</v>
      </c>
      <c r="H3284" t="s">
        <v>33</v>
      </c>
      <c r="I3284" t="s">
        <v>39</v>
      </c>
      <c r="J3284" t="s">
        <v>40</v>
      </c>
    </row>
    <row r="3285" spans="1:10">
      <c r="A3285" t="s">
        <v>4713</v>
      </c>
      <c r="B3285" t="s">
        <v>2070</v>
      </c>
      <c r="C3285" t="s">
        <v>766</v>
      </c>
      <c r="D3285" t="s">
        <v>111</v>
      </c>
      <c r="E3285">
        <v>-39675</v>
      </c>
      <c r="F3285" t="s">
        <v>74</v>
      </c>
      <c r="G3285" t="s">
        <v>24</v>
      </c>
      <c r="H3285" t="s">
        <v>25</v>
      </c>
      <c r="I3285" t="s">
        <v>39</v>
      </c>
      <c r="J3285" t="s">
        <v>27</v>
      </c>
    </row>
    <row r="3286" spans="1:10">
      <c r="A3286" t="s">
        <v>4714</v>
      </c>
      <c r="B3286" t="s">
        <v>3480</v>
      </c>
      <c r="C3286" t="s">
        <v>106</v>
      </c>
      <c r="D3286" t="s">
        <v>31</v>
      </c>
      <c r="E3286">
        <v>-24824</v>
      </c>
      <c r="F3286" t="s">
        <v>23</v>
      </c>
      <c r="G3286" t="s">
        <v>24</v>
      </c>
      <c r="H3286" t="s">
        <v>33</v>
      </c>
      <c r="I3286" t="s">
        <v>39</v>
      </c>
      <c r="J3286" t="s">
        <v>34</v>
      </c>
    </row>
    <row r="3287" spans="1:10">
      <c r="A3287" t="s">
        <v>4715</v>
      </c>
      <c r="B3287" t="s">
        <v>1195</v>
      </c>
      <c r="C3287" t="s">
        <v>345</v>
      </c>
      <c r="D3287" t="s">
        <v>22</v>
      </c>
      <c r="E3287">
        <v>-153531</v>
      </c>
      <c r="F3287" t="s">
        <v>23</v>
      </c>
      <c r="G3287" t="s">
        <v>24</v>
      </c>
      <c r="H3287" t="s">
        <v>25</v>
      </c>
      <c r="I3287" t="s">
        <v>39</v>
      </c>
      <c r="J3287" t="s">
        <v>27</v>
      </c>
    </row>
    <row r="3288" spans="1:10">
      <c r="A3288" t="s">
        <v>4716</v>
      </c>
      <c r="B3288" t="s">
        <v>3033</v>
      </c>
      <c r="C3288" t="s">
        <v>305</v>
      </c>
      <c r="D3288" t="s">
        <v>38</v>
      </c>
      <c r="E3288">
        <v>-29015</v>
      </c>
      <c r="F3288" t="s">
        <v>23</v>
      </c>
      <c r="G3288" t="s">
        <v>24</v>
      </c>
      <c r="H3288" t="s">
        <v>33</v>
      </c>
      <c r="I3288" t="s">
        <v>26</v>
      </c>
      <c r="J3288" t="s">
        <v>40</v>
      </c>
    </row>
    <row r="3289" spans="1:10">
      <c r="A3289" t="s">
        <v>4717</v>
      </c>
      <c r="B3289" t="s">
        <v>2646</v>
      </c>
      <c r="C3289" t="s">
        <v>129</v>
      </c>
      <c r="D3289" t="s">
        <v>38</v>
      </c>
      <c r="E3289">
        <v>-39859</v>
      </c>
      <c r="F3289" t="s">
        <v>23</v>
      </c>
      <c r="G3289" t="s">
        <v>24</v>
      </c>
      <c r="H3289" t="s">
        <v>33</v>
      </c>
      <c r="I3289" t="s">
        <v>45</v>
      </c>
      <c r="J3289" t="s">
        <v>48</v>
      </c>
    </row>
    <row r="3290" spans="1:10">
      <c r="A3290" t="s">
        <v>4718</v>
      </c>
      <c r="B3290" t="s">
        <v>870</v>
      </c>
      <c r="C3290" t="s">
        <v>757</v>
      </c>
      <c r="D3290" t="s">
        <v>157</v>
      </c>
      <c r="E3290">
        <v>569372</v>
      </c>
      <c r="F3290" t="s">
        <v>62</v>
      </c>
      <c r="G3290" t="s">
        <v>32</v>
      </c>
      <c r="H3290" t="s">
        <v>25</v>
      </c>
      <c r="I3290" t="s">
        <v>26</v>
      </c>
      <c r="J3290" t="s">
        <v>27</v>
      </c>
    </row>
    <row r="3291" spans="1:10">
      <c r="A3291" t="s">
        <v>4719</v>
      </c>
      <c r="B3291" t="s">
        <v>606</v>
      </c>
      <c r="C3291" t="s">
        <v>37</v>
      </c>
      <c r="D3291" t="s">
        <v>38</v>
      </c>
      <c r="E3291">
        <v>-24247</v>
      </c>
      <c r="F3291" t="s">
        <v>23</v>
      </c>
      <c r="G3291" t="s">
        <v>24</v>
      </c>
      <c r="H3291" t="s">
        <v>33</v>
      </c>
      <c r="I3291" t="s">
        <v>26</v>
      </c>
      <c r="J3291" t="s">
        <v>34</v>
      </c>
    </row>
    <row r="3292" spans="1:10">
      <c r="A3292" t="s">
        <v>4720</v>
      </c>
      <c r="B3292" t="s">
        <v>2145</v>
      </c>
      <c r="C3292" t="s">
        <v>77</v>
      </c>
      <c r="D3292" t="s">
        <v>78</v>
      </c>
      <c r="E3292">
        <v>-105249</v>
      </c>
      <c r="F3292" t="s">
        <v>23</v>
      </c>
      <c r="G3292" t="s">
        <v>32</v>
      </c>
      <c r="H3292" t="s">
        <v>79</v>
      </c>
      <c r="I3292" t="s">
        <v>45</v>
      </c>
      <c r="J3292" t="s">
        <v>40</v>
      </c>
    </row>
    <row r="3293" spans="1:10">
      <c r="A3293" t="s">
        <v>679</v>
      </c>
      <c r="B3293" t="s">
        <v>680</v>
      </c>
      <c r="C3293" t="s">
        <v>143</v>
      </c>
      <c r="D3293" t="s">
        <v>78</v>
      </c>
      <c r="E3293">
        <v>-106845</v>
      </c>
      <c r="F3293" t="s">
        <v>23</v>
      </c>
      <c r="G3293" t="s">
        <v>32</v>
      </c>
      <c r="H3293" t="s">
        <v>79</v>
      </c>
      <c r="I3293" t="s">
        <v>26</v>
      </c>
      <c r="J3293" t="s">
        <v>40</v>
      </c>
    </row>
    <row r="3294" spans="1:10">
      <c r="A3294" t="s">
        <v>4721</v>
      </c>
      <c r="B3294" t="s">
        <v>4722</v>
      </c>
      <c r="C3294" t="s">
        <v>202</v>
      </c>
      <c r="D3294" t="s">
        <v>22</v>
      </c>
      <c r="E3294">
        <v>-135112</v>
      </c>
      <c r="F3294" t="s">
        <v>23</v>
      </c>
      <c r="G3294" t="s">
        <v>32</v>
      </c>
      <c r="H3294" t="s">
        <v>25</v>
      </c>
      <c r="I3294" t="s">
        <v>26</v>
      </c>
      <c r="J3294" t="s">
        <v>40</v>
      </c>
    </row>
    <row r="3295" spans="1:10">
      <c r="A3295" t="s">
        <v>4723</v>
      </c>
      <c r="B3295" t="s">
        <v>1368</v>
      </c>
      <c r="C3295" t="s">
        <v>519</v>
      </c>
      <c r="D3295" t="s">
        <v>44</v>
      </c>
      <c r="E3295">
        <v>-113332</v>
      </c>
      <c r="F3295" t="s">
        <v>23</v>
      </c>
      <c r="G3295" t="s">
        <v>32</v>
      </c>
      <c r="H3295" t="s">
        <v>33</v>
      </c>
      <c r="I3295" t="s">
        <v>26</v>
      </c>
      <c r="J3295" t="s">
        <v>48</v>
      </c>
    </row>
    <row r="3296" spans="1:10">
      <c r="A3296" t="s">
        <v>4724</v>
      </c>
      <c r="B3296" t="s">
        <v>259</v>
      </c>
      <c r="C3296" t="s">
        <v>51</v>
      </c>
      <c r="D3296" t="s">
        <v>31</v>
      </c>
      <c r="E3296">
        <v>-10535</v>
      </c>
      <c r="F3296" t="s">
        <v>23</v>
      </c>
      <c r="G3296" t="s">
        <v>24</v>
      </c>
      <c r="H3296" t="s">
        <v>33</v>
      </c>
      <c r="I3296" t="s">
        <v>39</v>
      </c>
      <c r="J3296" t="s">
        <v>40</v>
      </c>
    </row>
    <row r="3297" spans="1:10">
      <c r="A3297" t="s">
        <v>4725</v>
      </c>
      <c r="B3297" t="s">
        <v>1817</v>
      </c>
      <c r="C3297" t="s">
        <v>37</v>
      </c>
      <c r="D3297" t="s">
        <v>38</v>
      </c>
      <c r="E3297">
        <v>-45210</v>
      </c>
      <c r="F3297" t="s">
        <v>23</v>
      </c>
      <c r="G3297" t="s">
        <v>32</v>
      </c>
      <c r="H3297" t="s">
        <v>33</v>
      </c>
      <c r="I3297" t="s">
        <v>26</v>
      </c>
      <c r="J3297" t="s">
        <v>48</v>
      </c>
    </row>
    <row r="3298" spans="1:10">
      <c r="A3298" t="s">
        <v>4726</v>
      </c>
      <c r="B3298" t="s">
        <v>217</v>
      </c>
      <c r="C3298" t="s">
        <v>616</v>
      </c>
      <c r="D3298" t="s">
        <v>22</v>
      </c>
      <c r="E3298">
        <v>-103736</v>
      </c>
      <c r="F3298" t="s">
        <v>23</v>
      </c>
      <c r="G3298" t="s">
        <v>24</v>
      </c>
      <c r="H3298" t="s">
        <v>25</v>
      </c>
      <c r="I3298" t="s">
        <v>45</v>
      </c>
      <c r="J3298" t="s">
        <v>27</v>
      </c>
    </row>
    <row r="3299" spans="1:10">
      <c r="A3299" t="s">
        <v>4727</v>
      </c>
      <c r="B3299" t="s">
        <v>349</v>
      </c>
      <c r="C3299" t="s">
        <v>51</v>
      </c>
      <c r="D3299" t="s">
        <v>31</v>
      </c>
      <c r="E3299">
        <v>-43163</v>
      </c>
      <c r="F3299" t="s">
        <v>23</v>
      </c>
      <c r="G3299" t="s">
        <v>32</v>
      </c>
      <c r="H3299" t="s">
        <v>33</v>
      </c>
      <c r="I3299" t="s">
        <v>45</v>
      </c>
      <c r="J3299" t="s">
        <v>27</v>
      </c>
    </row>
    <row r="3300" spans="1:10">
      <c r="A3300" t="s">
        <v>4728</v>
      </c>
      <c r="B3300" t="s">
        <v>4729</v>
      </c>
      <c r="C3300" t="s">
        <v>616</v>
      </c>
      <c r="D3300" t="s">
        <v>207</v>
      </c>
      <c r="E3300">
        <v>-66452</v>
      </c>
      <c r="F3300" t="s">
        <v>23</v>
      </c>
      <c r="G3300" t="s">
        <v>24</v>
      </c>
      <c r="H3300" t="s">
        <v>25</v>
      </c>
      <c r="I3300" t="s">
        <v>45</v>
      </c>
      <c r="J3300" t="s">
        <v>27</v>
      </c>
    </row>
    <row r="3301" spans="1:10">
      <c r="A3301" t="s">
        <v>4730</v>
      </c>
      <c r="B3301" t="s">
        <v>2993</v>
      </c>
      <c r="C3301" t="s">
        <v>93</v>
      </c>
      <c r="D3301" t="s">
        <v>73</v>
      </c>
      <c r="E3301">
        <v>-68513</v>
      </c>
      <c r="F3301" t="s">
        <v>74</v>
      </c>
      <c r="G3301" t="s">
        <v>32</v>
      </c>
      <c r="H3301" t="s">
        <v>25</v>
      </c>
      <c r="I3301" t="s">
        <v>26</v>
      </c>
      <c r="J3301" t="s">
        <v>34</v>
      </c>
    </row>
    <row r="3302" spans="1:10">
      <c r="A3302" t="s">
        <v>4731</v>
      </c>
      <c r="B3302" t="s">
        <v>4732</v>
      </c>
      <c r="C3302" t="s">
        <v>1039</v>
      </c>
      <c r="D3302" t="s">
        <v>440</v>
      </c>
      <c r="E3302">
        <v>-96624</v>
      </c>
      <c r="F3302" t="s">
        <v>23</v>
      </c>
      <c r="G3302" t="s">
        <v>32</v>
      </c>
      <c r="H3302" t="s">
        <v>33</v>
      </c>
      <c r="I3302" t="s">
        <v>26</v>
      </c>
      <c r="J3302" t="s">
        <v>34</v>
      </c>
    </row>
    <row r="3303" spans="1:10">
      <c r="A3303" t="s">
        <v>4733</v>
      </c>
      <c r="B3303" t="s">
        <v>705</v>
      </c>
      <c r="C3303" t="s">
        <v>192</v>
      </c>
      <c r="D3303" t="s">
        <v>193</v>
      </c>
      <c r="E3303">
        <v>-161474</v>
      </c>
      <c r="F3303" t="s">
        <v>23</v>
      </c>
      <c r="G3303" t="s">
        <v>32</v>
      </c>
      <c r="H3303" t="s">
        <v>25</v>
      </c>
      <c r="I3303" t="s">
        <v>26</v>
      </c>
      <c r="J3303" t="s">
        <v>40</v>
      </c>
    </row>
    <row r="3304" spans="1:10">
      <c r="A3304" t="s">
        <v>4734</v>
      </c>
      <c r="B3304" t="s">
        <v>359</v>
      </c>
      <c r="C3304" t="s">
        <v>215</v>
      </c>
      <c r="D3304" t="s">
        <v>61</v>
      </c>
      <c r="E3304">
        <v>-58456</v>
      </c>
      <c r="F3304" t="s">
        <v>62</v>
      </c>
      <c r="G3304" t="s">
        <v>32</v>
      </c>
      <c r="H3304" t="s">
        <v>63</v>
      </c>
      <c r="I3304" t="s">
        <v>45</v>
      </c>
      <c r="J3304" t="s">
        <v>48</v>
      </c>
    </row>
    <row r="3305" spans="1:10">
      <c r="A3305" t="s">
        <v>4735</v>
      </c>
      <c r="B3305" t="s">
        <v>2748</v>
      </c>
      <c r="C3305" t="s">
        <v>60</v>
      </c>
      <c r="D3305" t="s">
        <v>61</v>
      </c>
      <c r="E3305">
        <v>-55160</v>
      </c>
      <c r="F3305" t="s">
        <v>62</v>
      </c>
      <c r="G3305" t="s">
        <v>32</v>
      </c>
      <c r="H3305" t="s">
        <v>63</v>
      </c>
      <c r="I3305" t="s">
        <v>45</v>
      </c>
      <c r="J3305" t="s">
        <v>34</v>
      </c>
    </row>
    <row r="3306" spans="1:10">
      <c r="A3306" t="s">
        <v>4736</v>
      </c>
      <c r="B3306" t="s">
        <v>436</v>
      </c>
      <c r="C3306" t="s">
        <v>129</v>
      </c>
      <c r="D3306" t="s">
        <v>38</v>
      </c>
      <c r="E3306">
        <v>-9623</v>
      </c>
      <c r="F3306" t="s">
        <v>23</v>
      </c>
      <c r="G3306" t="s">
        <v>24</v>
      </c>
      <c r="H3306" t="s">
        <v>33</v>
      </c>
      <c r="I3306" t="s">
        <v>39</v>
      </c>
      <c r="J3306" t="s">
        <v>40</v>
      </c>
    </row>
    <row r="3307" spans="1:10">
      <c r="A3307" t="s">
        <v>4737</v>
      </c>
      <c r="B3307" t="s">
        <v>2552</v>
      </c>
      <c r="C3307" t="s">
        <v>177</v>
      </c>
      <c r="D3307" t="s">
        <v>1001</v>
      </c>
      <c r="E3307">
        <v>-55153</v>
      </c>
      <c r="F3307" t="s">
        <v>23</v>
      </c>
      <c r="G3307" t="s">
        <v>24</v>
      </c>
      <c r="H3307" t="s">
        <v>79</v>
      </c>
      <c r="I3307" t="s">
        <v>39</v>
      </c>
      <c r="J3307" t="s">
        <v>40</v>
      </c>
    </row>
    <row r="3308" spans="1:10">
      <c r="A3308" t="s">
        <v>4738</v>
      </c>
      <c r="B3308" t="s">
        <v>206</v>
      </c>
      <c r="C3308" t="s">
        <v>116</v>
      </c>
      <c r="D3308" t="s">
        <v>73</v>
      </c>
      <c r="E3308">
        <v>-17884</v>
      </c>
      <c r="F3308" t="s">
        <v>74</v>
      </c>
      <c r="G3308" t="s">
        <v>32</v>
      </c>
      <c r="H3308" t="s">
        <v>25</v>
      </c>
      <c r="I3308" t="s">
        <v>45</v>
      </c>
      <c r="J3308" t="s">
        <v>27</v>
      </c>
    </row>
    <row r="3309" spans="1:10">
      <c r="A3309" t="s">
        <v>4739</v>
      </c>
      <c r="B3309" t="s">
        <v>307</v>
      </c>
      <c r="C3309" t="s">
        <v>77</v>
      </c>
      <c r="D3309" t="s">
        <v>78</v>
      </c>
      <c r="E3309">
        <v>-83632</v>
      </c>
      <c r="F3309" t="s">
        <v>23</v>
      </c>
      <c r="G3309" t="s">
        <v>32</v>
      </c>
      <c r="H3309" t="s">
        <v>79</v>
      </c>
      <c r="I3309" t="s">
        <v>26</v>
      </c>
      <c r="J3309" t="s">
        <v>48</v>
      </c>
    </row>
    <row r="3310" spans="1:10">
      <c r="A3310" t="s">
        <v>4740</v>
      </c>
      <c r="B3310" t="s">
        <v>951</v>
      </c>
      <c r="C3310" t="s">
        <v>468</v>
      </c>
      <c r="D3310" t="s">
        <v>440</v>
      </c>
      <c r="E3310">
        <v>-118702</v>
      </c>
      <c r="F3310" t="s">
        <v>23</v>
      </c>
      <c r="G3310" t="s">
        <v>24</v>
      </c>
      <c r="H3310" t="s">
        <v>33</v>
      </c>
      <c r="I3310" t="s">
        <v>39</v>
      </c>
      <c r="J3310" t="s">
        <v>40</v>
      </c>
    </row>
    <row r="3311" spans="1:10">
      <c r="A3311" t="s">
        <v>4741</v>
      </c>
      <c r="B3311" t="s">
        <v>585</v>
      </c>
      <c r="C3311" t="s">
        <v>310</v>
      </c>
      <c r="D3311" t="s">
        <v>22</v>
      </c>
      <c r="E3311">
        <v>-48779</v>
      </c>
      <c r="F3311" t="s">
        <v>23</v>
      </c>
      <c r="G3311" t="s">
        <v>32</v>
      </c>
      <c r="H3311" t="s">
        <v>25</v>
      </c>
      <c r="I3311" t="s">
        <v>26</v>
      </c>
      <c r="J3311" t="s">
        <v>40</v>
      </c>
    </row>
    <row r="3312" spans="1:10">
      <c r="A3312" t="s">
        <v>4742</v>
      </c>
      <c r="B3312" t="s">
        <v>4743</v>
      </c>
      <c r="C3312" t="s">
        <v>218</v>
      </c>
      <c r="D3312" t="s">
        <v>157</v>
      </c>
      <c r="E3312">
        <v>537826</v>
      </c>
      <c r="F3312" t="s">
        <v>62</v>
      </c>
      <c r="G3312" t="s">
        <v>32</v>
      </c>
      <c r="H3312" t="s">
        <v>25</v>
      </c>
      <c r="I3312" t="s">
        <v>26</v>
      </c>
      <c r="J3312" t="s">
        <v>27</v>
      </c>
    </row>
    <row r="3313" spans="2:6">
      <c r="B3313" s="14"/>
      <c r="F3313" s="15"/>
    </row>
  </sheetData>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F895C-8D14-43CC-9465-01D26ED6A83A}">
  <dimension ref="A1:D1252"/>
  <sheetViews>
    <sheetView workbookViewId="0">
      <selection activeCell="G28" sqref="G28"/>
    </sheetView>
  </sheetViews>
  <sheetFormatPr defaultRowHeight="14.4"/>
  <cols>
    <col min="1" max="1" width="10.33203125" bestFit="1" customWidth="1"/>
    <col min="2" max="2" width="8.6640625" customWidth="1"/>
    <col min="3" max="3" width="9.33203125" customWidth="1"/>
    <col min="4" max="4" width="14.5546875" customWidth="1"/>
  </cols>
  <sheetData>
    <row r="1" spans="1:4">
      <c r="A1" s="8" t="s">
        <v>10</v>
      </c>
      <c r="B1" s="8" t="s">
        <v>4744</v>
      </c>
      <c r="C1" s="8" t="s">
        <v>17</v>
      </c>
      <c r="D1" s="8" t="s">
        <v>4745</v>
      </c>
    </row>
    <row r="2" spans="1:4">
      <c r="A2" s="11">
        <v>45017</v>
      </c>
      <c r="B2" t="str">
        <f>TEXT(A2, "MMM_YYYY")</f>
        <v>Apr 2023</v>
      </c>
      <c r="C2" t="s">
        <v>34</v>
      </c>
      <c r="D2" t="str">
        <f>"FY" &amp; IF(MONTH(A2)&gt;=4, YEAR(A2), YEAR(A2)-1)</f>
        <v>FY2023</v>
      </c>
    </row>
    <row r="3" spans="1:4">
      <c r="A3" s="11">
        <f>A2+1</f>
        <v>45018</v>
      </c>
      <c r="B3" t="str">
        <f t="shared" ref="B3:B66" si="0">TEXT(A3, "MMM_YYYY")</f>
        <v>Apr 2023</v>
      </c>
      <c r="C3" t="s">
        <v>34</v>
      </c>
      <c r="D3" t="str">
        <f t="shared" ref="D3:D66" si="1">"FY" &amp; IF(MONTH(A3)&gt;=4, YEAR(A3), YEAR(A3)-1)</f>
        <v>FY2023</v>
      </c>
    </row>
    <row r="4" spans="1:4">
      <c r="A4" s="11">
        <f t="shared" ref="A4:A67" si="2">A3+1</f>
        <v>45019</v>
      </c>
      <c r="B4" t="str">
        <f t="shared" si="0"/>
        <v>Apr 2023</v>
      </c>
      <c r="C4" t="s">
        <v>34</v>
      </c>
      <c r="D4" t="str">
        <f t="shared" si="1"/>
        <v>FY2023</v>
      </c>
    </row>
    <row r="5" spans="1:4">
      <c r="A5" s="11">
        <f t="shared" si="2"/>
        <v>45020</v>
      </c>
      <c r="B5" t="str">
        <f t="shared" si="0"/>
        <v>Apr 2023</v>
      </c>
      <c r="C5" t="s">
        <v>34</v>
      </c>
      <c r="D5" t="str">
        <f t="shared" si="1"/>
        <v>FY2023</v>
      </c>
    </row>
    <row r="6" spans="1:4">
      <c r="A6" s="11">
        <f t="shared" si="2"/>
        <v>45021</v>
      </c>
      <c r="B6" t="str">
        <f t="shared" si="0"/>
        <v>Apr 2023</v>
      </c>
      <c r="C6" t="s">
        <v>34</v>
      </c>
      <c r="D6" t="str">
        <f t="shared" si="1"/>
        <v>FY2023</v>
      </c>
    </row>
    <row r="7" spans="1:4">
      <c r="A7" s="11">
        <f t="shared" si="2"/>
        <v>45022</v>
      </c>
      <c r="B7" t="str">
        <f t="shared" si="0"/>
        <v>Apr 2023</v>
      </c>
      <c r="C7" t="s">
        <v>34</v>
      </c>
      <c r="D7" t="str">
        <f t="shared" si="1"/>
        <v>FY2023</v>
      </c>
    </row>
    <row r="8" spans="1:4">
      <c r="A8" s="11">
        <f t="shared" si="2"/>
        <v>45023</v>
      </c>
      <c r="B8" t="str">
        <f t="shared" si="0"/>
        <v>Apr 2023</v>
      </c>
      <c r="C8" t="s">
        <v>34</v>
      </c>
      <c r="D8" t="str">
        <f t="shared" si="1"/>
        <v>FY2023</v>
      </c>
    </row>
    <row r="9" spans="1:4">
      <c r="A9" s="11">
        <f t="shared" si="2"/>
        <v>45024</v>
      </c>
      <c r="B9" t="str">
        <f t="shared" si="0"/>
        <v>Apr 2023</v>
      </c>
      <c r="C9" t="s">
        <v>34</v>
      </c>
      <c r="D9" t="str">
        <f t="shared" si="1"/>
        <v>FY2023</v>
      </c>
    </row>
    <row r="10" spans="1:4">
      <c r="A10" s="11">
        <f t="shared" si="2"/>
        <v>45025</v>
      </c>
      <c r="B10" t="str">
        <f t="shared" si="0"/>
        <v>Apr 2023</v>
      </c>
      <c r="C10" t="s">
        <v>34</v>
      </c>
      <c r="D10" t="str">
        <f t="shared" si="1"/>
        <v>FY2023</v>
      </c>
    </row>
    <row r="11" spans="1:4">
      <c r="A11" s="11">
        <f t="shared" si="2"/>
        <v>45026</v>
      </c>
      <c r="B11" t="str">
        <f t="shared" si="0"/>
        <v>Apr 2023</v>
      </c>
      <c r="C11" t="s">
        <v>34</v>
      </c>
      <c r="D11" t="str">
        <f t="shared" si="1"/>
        <v>FY2023</v>
      </c>
    </row>
    <row r="12" spans="1:4">
      <c r="A12" s="11">
        <f t="shared" si="2"/>
        <v>45027</v>
      </c>
      <c r="B12" t="str">
        <f t="shared" si="0"/>
        <v>Apr 2023</v>
      </c>
      <c r="C12" t="s">
        <v>34</v>
      </c>
      <c r="D12" t="str">
        <f t="shared" si="1"/>
        <v>FY2023</v>
      </c>
    </row>
    <row r="13" spans="1:4">
      <c r="A13" s="11">
        <f t="shared" si="2"/>
        <v>45028</v>
      </c>
      <c r="B13" t="str">
        <f t="shared" si="0"/>
        <v>Apr 2023</v>
      </c>
      <c r="C13" t="s">
        <v>34</v>
      </c>
      <c r="D13" t="str">
        <f t="shared" si="1"/>
        <v>FY2023</v>
      </c>
    </row>
    <row r="14" spans="1:4">
      <c r="A14" s="11">
        <f t="shared" si="2"/>
        <v>45029</v>
      </c>
      <c r="B14" t="str">
        <f t="shared" si="0"/>
        <v>Apr 2023</v>
      </c>
      <c r="C14" t="s">
        <v>34</v>
      </c>
      <c r="D14" t="str">
        <f t="shared" si="1"/>
        <v>FY2023</v>
      </c>
    </row>
    <row r="15" spans="1:4">
      <c r="A15" s="11">
        <f t="shared" si="2"/>
        <v>45030</v>
      </c>
      <c r="B15" t="str">
        <f t="shared" si="0"/>
        <v>Apr 2023</v>
      </c>
      <c r="C15" t="s">
        <v>34</v>
      </c>
      <c r="D15" t="str">
        <f t="shared" si="1"/>
        <v>FY2023</v>
      </c>
    </row>
    <row r="16" spans="1:4">
      <c r="A16" s="11">
        <f t="shared" si="2"/>
        <v>45031</v>
      </c>
      <c r="B16" t="str">
        <f t="shared" si="0"/>
        <v>Apr 2023</v>
      </c>
      <c r="C16" t="s">
        <v>34</v>
      </c>
      <c r="D16" t="str">
        <f t="shared" si="1"/>
        <v>FY2023</v>
      </c>
    </row>
    <row r="17" spans="1:4">
      <c r="A17" s="11">
        <f t="shared" si="2"/>
        <v>45032</v>
      </c>
      <c r="B17" t="str">
        <f t="shared" si="0"/>
        <v>Apr 2023</v>
      </c>
      <c r="C17" t="s">
        <v>34</v>
      </c>
      <c r="D17" t="str">
        <f t="shared" si="1"/>
        <v>FY2023</v>
      </c>
    </row>
    <row r="18" spans="1:4">
      <c r="A18" s="11">
        <f t="shared" si="2"/>
        <v>45033</v>
      </c>
      <c r="B18" t="str">
        <f t="shared" si="0"/>
        <v>Apr 2023</v>
      </c>
      <c r="C18" t="s">
        <v>34</v>
      </c>
      <c r="D18" t="str">
        <f t="shared" si="1"/>
        <v>FY2023</v>
      </c>
    </row>
    <row r="19" spans="1:4">
      <c r="A19" s="11">
        <f t="shared" si="2"/>
        <v>45034</v>
      </c>
      <c r="B19" t="str">
        <f t="shared" si="0"/>
        <v>Apr 2023</v>
      </c>
      <c r="C19" t="s">
        <v>34</v>
      </c>
      <c r="D19" t="str">
        <f t="shared" si="1"/>
        <v>FY2023</v>
      </c>
    </row>
    <row r="20" spans="1:4">
      <c r="A20" s="11">
        <f t="shared" si="2"/>
        <v>45035</v>
      </c>
      <c r="B20" t="str">
        <f t="shared" si="0"/>
        <v>Apr 2023</v>
      </c>
      <c r="C20" t="s">
        <v>34</v>
      </c>
      <c r="D20" t="str">
        <f t="shared" si="1"/>
        <v>FY2023</v>
      </c>
    </row>
    <row r="21" spans="1:4">
      <c r="A21" s="11">
        <f t="shared" si="2"/>
        <v>45036</v>
      </c>
      <c r="B21" t="str">
        <f t="shared" si="0"/>
        <v>Apr 2023</v>
      </c>
      <c r="C21" t="s">
        <v>34</v>
      </c>
      <c r="D21" t="str">
        <f t="shared" si="1"/>
        <v>FY2023</v>
      </c>
    </row>
    <row r="22" spans="1:4">
      <c r="A22" s="11">
        <f t="shared" si="2"/>
        <v>45037</v>
      </c>
      <c r="B22" t="str">
        <f t="shared" si="0"/>
        <v>Apr 2023</v>
      </c>
      <c r="C22" t="s">
        <v>34</v>
      </c>
      <c r="D22" t="str">
        <f t="shared" si="1"/>
        <v>FY2023</v>
      </c>
    </row>
    <row r="23" spans="1:4">
      <c r="A23" s="11">
        <f t="shared" si="2"/>
        <v>45038</v>
      </c>
      <c r="B23" t="str">
        <f t="shared" si="0"/>
        <v>Apr 2023</v>
      </c>
      <c r="C23" t="s">
        <v>34</v>
      </c>
      <c r="D23" t="str">
        <f t="shared" si="1"/>
        <v>FY2023</v>
      </c>
    </row>
    <row r="24" spans="1:4">
      <c r="A24" s="11">
        <f t="shared" si="2"/>
        <v>45039</v>
      </c>
      <c r="B24" t="str">
        <f t="shared" si="0"/>
        <v>Apr 2023</v>
      </c>
      <c r="C24" t="s">
        <v>34</v>
      </c>
      <c r="D24" t="str">
        <f t="shared" si="1"/>
        <v>FY2023</v>
      </c>
    </row>
    <row r="25" spans="1:4">
      <c r="A25" s="11">
        <f t="shared" si="2"/>
        <v>45040</v>
      </c>
      <c r="B25" t="str">
        <f t="shared" si="0"/>
        <v>Apr 2023</v>
      </c>
      <c r="C25" t="s">
        <v>34</v>
      </c>
      <c r="D25" t="str">
        <f t="shared" si="1"/>
        <v>FY2023</v>
      </c>
    </row>
    <row r="26" spans="1:4">
      <c r="A26" s="11">
        <f t="shared" si="2"/>
        <v>45041</v>
      </c>
      <c r="B26" t="str">
        <f t="shared" si="0"/>
        <v>Apr 2023</v>
      </c>
      <c r="C26" t="s">
        <v>34</v>
      </c>
      <c r="D26" t="str">
        <f t="shared" si="1"/>
        <v>FY2023</v>
      </c>
    </row>
    <row r="27" spans="1:4">
      <c r="A27" s="11">
        <f t="shared" si="2"/>
        <v>45042</v>
      </c>
      <c r="B27" t="str">
        <f t="shared" si="0"/>
        <v>Apr 2023</v>
      </c>
      <c r="C27" t="s">
        <v>34</v>
      </c>
      <c r="D27" t="str">
        <f t="shared" si="1"/>
        <v>FY2023</v>
      </c>
    </row>
    <row r="28" spans="1:4">
      <c r="A28" s="11">
        <f t="shared" si="2"/>
        <v>45043</v>
      </c>
      <c r="B28" t="str">
        <f t="shared" si="0"/>
        <v>Apr 2023</v>
      </c>
      <c r="C28" t="s">
        <v>34</v>
      </c>
      <c r="D28" t="str">
        <f t="shared" si="1"/>
        <v>FY2023</v>
      </c>
    </row>
    <row r="29" spans="1:4">
      <c r="A29" s="11">
        <f t="shared" si="2"/>
        <v>45044</v>
      </c>
      <c r="B29" t="str">
        <f t="shared" si="0"/>
        <v>Apr 2023</v>
      </c>
      <c r="C29" t="s">
        <v>34</v>
      </c>
      <c r="D29" t="str">
        <f t="shared" si="1"/>
        <v>FY2023</v>
      </c>
    </row>
    <row r="30" spans="1:4">
      <c r="A30" s="11">
        <f t="shared" si="2"/>
        <v>45045</v>
      </c>
      <c r="B30" t="str">
        <f t="shared" si="0"/>
        <v>Apr 2023</v>
      </c>
      <c r="C30" t="s">
        <v>34</v>
      </c>
      <c r="D30" t="str">
        <f t="shared" si="1"/>
        <v>FY2023</v>
      </c>
    </row>
    <row r="31" spans="1:4">
      <c r="A31" s="11">
        <f t="shared" si="2"/>
        <v>45046</v>
      </c>
      <c r="B31" t="str">
        <f t="shared" si="0"/>
        <v>Apr 2023</v>
      </c>
      <c r="C31" t="s">
        <v>34</v>
      </c>
      <c r="D31" t="str">
        <f t="shared" si="1"/>
        <v>FY2023</v>
      </c>
    </row>
    <row r="32" spans="1:4">
      <c r="A32" s="11">
        <f t="shared" si="2"/>
        <v>45047</v>
      </c>
      <c r="B32" t="str">
        <f t="shared" si="0"/>
        <v>May 2023</v>
      </c>
      <c r="C32" t="str">
        <f t="shared" ref="C32:C66" si="3">"Q" &amp; INT((MONTH(A32)-1)/3)+1</f>
        <v>Q2</v>
      </c>
      <c r="D32" t="str">
        <f t="shared" si="1"/>
        <v>FY2023</v>
      </c>
    </row>
    <row r="33" spans="1:4">
      <c r="A33" s="11">
        <f t="shared" si="2"/>
        <v>45048</v>
      </c>
      <c r="B33" t="str">
        <f t="shared" si="0"/>
        <v>May 2023</v>
      </c>
      <c r="C33" t="str">
        <f t="shared" si="3"/>
        <v>Q2</v>
      </c>
      <c r="D33" t="str">
        <f t="shared" si="1"/>
        <v>FY2023</v>
      </c>
    </row>
    <row r="34" spans="1:4">
      <c r="A34" s="11">
        <f t="shared" si="2"/>
        <v>45049</v>
      </c>
      <c r="B34" t="str">
        <f t="shared" si="0"/>
        <v>May 2023</v>
      </c>
      <c r="C34" t="str">
        <f t="shared" si="3"/>
        <v>Q2</v>
      </c>
      <c r="D34" t="str">
        <f t="shared" si="1"/>
        <v>FY2023</v>
      </c>
    </row>
    <row r="35" spans="1:4">
      <c r="A35" s="11">
        <f t="shared" si="2"/>
        <v>45050</v>
      </c>
      <c r="B35" t="str">
        <f t="shared" si="0"/>
        <v>May 2023</v>
      </c>
      <c r="C35" t="str">
        <f t="shared" si="3"/>
        <v>Q2</v>
      </c>
      <c r="D35" t="str">
        <f t="shared" si="1"/>
        <v>FY2023</v>
      </c>
    </row>
    <row r="36" spans="1:4">
      <c r="A36" s="11">
        <f t="shared" si="2"/>
        <v>45051</v>
      </c>
      <c r="B36" t="str">
        <f t="shared" si="0"/>
        <v>May 2023</v>
      </c>
      <c r="C36" t="str">
        <f t="shared" si="3"/>
        <v>Q2</v>
      </c>
      <c r="D36" t="str">
        <f t="shared" si="1"/>
        <v>FY2023</v>
      </c>
    </row>
    <row r="37" spans="1:4">
      <c r="A37" s="11">
        <f t="shared" si="2"/>
        <v>45052</v>
      </c>
      <c r="B37" t="str">
        <f t="shared" si="0"/>
        <v>May 2023</v>
      </c>
      <c r="C37" t="str">
        <f t="shared" si="3"/>
        <v>Q2</v>
      </c>
      <c r="D37" t="str">
        <f t="shared" si="1"/>
        <v>FY2023</v>
      </c>
    </row>
    <row r="38" spans="1:4">
      <c r="A38" s="11">
        <f t="shared" si="2"/>
        <v>45053</v>
      </c>
      <c r="B38" t="str">
        <f t="shared" si="0"/>
        <v>May 2023</v>
      </c>
      <c r="C38" t="str">
        <f t="shared" si="3"/>
        <v>Q2</v>
      </c>
      <c r="D38" t="str">
        <f t="shared" si="1"/>
        <v>FY2023</v>
      </c>
    </row>
    <row r="39" spans="1:4">
      <c r="A39" s="11">
        <f t="shared" si="2"/>
        <v>45054</v>
      </c>
      <c r="B39" t="str">
        <f t="shared" si="0"/>
        <v>May 2023</v>
      </c>
      <c r="C39" t="str">
        <f t="shared" si="3"/>
        <v>Q2</v>
      </c>
      <c r="D39" t="str">
        <f t="shared" si="1"/>
        <v>FY2023</v>
      </c>
    </row>
    <row r="40" spans="1:4">
      <c r="A40" s="11">
        <f t="shared" si="2"/>
        <v>45055</v>
      </c>
      <c r="B40" t="str">
        <f t="shared" si="0"/>
        <v>May 2023</v>
      </c>
      <c r="C40" t="str">
        <f t="shared" si="3"/>
        <v>Q2</v>
      </c>
      <c r="D40" t="str">
        <f t="shared" si="1"/>
        <v>FY2023</v>
      </c>
    </row>
    <row r="41" spans="1:4">
      <c r="A41" s="11">
        <f t="shared" si="2"/>
        <v>45056</v>
      </c>
      <c r="B41" t="str">
        <f t="shared" si="0"/>
        <v>May 2023</v>
      </c>
      <c r="C41" t="str">
        <f t="shared" si="3"/>
        <v>Q2</v>
      </c>
      <c r="D41" t="str">
        <f t="shared" si="1"/>
        <v>FY2023</v>
      </c>
    </row>
    <row r="42" spans="1:4">
      <c r="A42" s="11">
        <f t="shared" si="2"/>
        <v>45057</v>
      </c>
      <c r="B42" t="str">
        <f t="shared" si="0"/>
        <v>May 2023</v>
      </c>
      <c r="C42" t="str">
        <f t="shared" si="3"/>
        <v>Q2</v>
      </c>
      <c r="D42" t="str">
        <f t="shared" si="1"/>
        <v>FY2023</v>
      </c>
    </row>
    <row r="43" spans="1:4">
      <c r="A43" s="11">
        <f t="shared" si="2"/>
        <v>45058</v>
      </c>
      <c r="B43" t="str">
        <f t="shared" si="0"/>
        <v>May 2023</v>
      </c>
      <c r="C43" t="str">
        <f t="shared" si="3"/>
        <v>Q2</v>
      </c>
      <c r="D43" t="str">
        <f t="shared" si="1"/>
        <v>FY2023</v>
      </c>
    </row>
    <row r="44" spans="1:4">
      <c r="A44" s="11">
        <f t="shared" si="2"/>
        <v>45059</v>
      </c>
      <c r="B44" t="str">
        <f t="shared" si="0"/>
        <v>May 2023</v>
      </c>
      <c r="C44" t="str">
        <f t="shared" si="3"/>
        <v>Q2</v>
      </c>
      <c r="D44" t="str">
        <f t="shared" si="1"/>
        <v>FY2023</v>
      </c>
    </row>
    <row r="45" spans="1:4">
      <c r="A45" s="11">
        <f t="shared" si="2"/>
        <v>45060</v>
      </c>
      <c r="B45" t="str">
        <f t="shared" si="0"/>
        <v>May 2023</v>
      </c>
      <c r="C45" t="str">
        <f t="shared" si="3"/>
        <v>Q2</v>
      </c>
      <c r="D45" t="str">
        <f t="shared" si="1"/>
        <v>FY2023</v>
      </c>
    </row>
    <row r="46" spans="1:4">
      <c r="A46" s="11">
        <f t="shared" si="2"/>
        <v>45061</v>
      </c>
      <c r="B46" t="str">
        <f t="shared" si="0"/>
        <v>May 2023</v>
      </c>
      <c r="C46" t="str">
        <f t="shared" si="3"/>
        <v>Q2</v>
      </c>
      <c r="D46" t="str">
        <f t="shared" si="1"/>
        <v>FY2023</v>
      </c>
    </row>
    <row r="47" spans="1:4">
      <c r="A47" s="11">
        <f t="shared" si="2"/>
        <v>45062</v>
      </c>
      <c r="B47" t="str">
        <f t="shared" si="0"/>
        <v>May 2023</v>
      </c>
      <c r="C47" t="str">
        <f t="shared" si="3"/>
        <v>Q2</v>
      </c>
      <c r="D47" t="str">
        <f t="shared" si="1"/>
        <v>FY2023</v>
      </c>
    </row>
    <row r="48" spans="1:4">
      <c r="A48" s="11">
        <f t="shared" si="2"/>
        <v>45063</v>
      </c>
      <c r="B48" t="str">
        <f t="shared" si="0"/>
        <v>May 2023</v>
      </c>
      <c r="C48" t="str">
        <f t="shared" si="3"/>
        <v>Q2</v>
      </c>
      <c r="D48" t="str">
        <f t="shared" si="1"/>
        <v>FY2023</v>
      </c>
    </row>
    <row r="49" spans="1:4">
      <c r="A49" s="11">
        <f t="shared" si="2"/>
        <v>45064</v>
      </c>
      <c r="B49" t="str">
        <f t="shared" si="0"/>
        <v>May 2023</v>
      </c>
      <c r="C49" t="str">
        <f t="shared" si="3"/>
        <v>Q2</v>
      </c>
      <c r="D49" t="str">
        <f t="shared" si="1"/>
        <v>FY2023</v>
      </c>
    </row>
    <row r="50" spans="1:4">
      <c r="A50" s="11">
        <f t="shared" si="2"/>
        <v>45065</v>
      </c>
      <c r="B50" t="str">
        <f t="shared" si="0"/>
        <v>May 2023</v>
      </c>
      <c r="C50" t="str">
        <f t="shared" si="3"/>
        <v>Q2</v>
      </c>
      <c r="D50" t="str">
        <f t="shared" si="1"/>
        <v>FY2023</v>
      </c>
    </row>
    <row r="51" spans="1:4">
      <c r="A51" s="11">
        <f t="shared" si="2"/>
        <v>45066</v>
      </c>
      <c r="B51" t="str">
        <f t="shared" si="0"/>
        <v>May 2023</v>
      </c>
      <c r="C51" t="str">
        <f t="shared" si="3"/>
        <v>Q2</v>
      </c>
      <c r="D51" t="str">
        <f t="shared" si="1"/>
        <v>FY2023</v>
      </c>
    </row>
    <row r="52" spans="1:4">
      <c r="A52" s="11">
        <f t="shared" si="2"/>
        <v>45067</v>
      </c>
      <c r="B52" t="str">
        <f t="shared" si="0"/>
        <v>May 2023</v>
      </c>
      <c r="C52" t="str">
        <f t="shared" si="3"/>
        <v>Q2</v>
      </c>
      <c r="D52" t="str">
        <f t="shared" si="1"/>
        <v>FY2023</v>
      </c>
    </row>
    <row r="53" spans="1:4">
      <c r="A53" s="11">
        <f t="shared" si="2"/>
        <v>45068</v>
      </c>
      <c r="B53" t="str">
        <f t="shared" si="0"/>
        <v>May 2023</v>
      </c>
      <c r="C53" t="str">
        <f t="shared" si="3"/>
        <v>Q2</v>
      </c>
      <c r="D53" t="str">
        <f t="shared" si="1"/>
        <v>FY2023</v>
      </c>
    </row>
    <row r="54" spans="1:4">
      <c r="A54" s="11">
        <f t="shared" si="2"/>
        <v>45069</v>
      </c>
      <c r="B54" t="str">
        <f t="shared" si="0"/>
        <v>May 2023</v>
      </c>
      <c r="C54" t="str">
        <f t="shared" si="3"/>
        <v>Q2</v>
      </c>
      <c r="D54" t="str">
        <f t="shared" si="1"/>
        <v>FY2023</v>
      </c>
    </row>
    <row r="55" spans="1:4">
      <c r="A55" s="11">
        <f t="shared" si="2"/>
        <v>45070</v>
      </c>
      <c r="B55" t="str">
        <f t="shared" si="0"/>
        <v>May 2023</v>
      </c>
      <c r="C55" t="str">
        <f t="shared" si="3"/>
        <v>Q2</v>
      </c>
      <c r="D55" t="str">
        <f t="shared" si="1"/>
        <v>FY2023</v>
      </c>
    </row>
    <row r="56" spans="1:4">
      <c r="A56" s="11">
        <f t="shared" si="2"/>
        <v>45071</v>
      </c>
      <c r="B56" t="str">
        <f t="shared" si="0"/>
        <v>May 2023</v>
      </c>
      <c r="C56" t="str">
        <f t="shared" si="3"/>
        <v>Q2</v>
      </c>
      <c r="D56" t="str">
        <f t="shared" si="1"/>
        <v>FY2023</v>
      </c>
    </row>
    <row r="57" spans="1:4">
      <c r="A57" s="11">
        <f t="shared" si="2"/>
        <v>45072</v>
      </c>
      <c r="B57" t="str">
        <f t="shared" si="0"/>
        <v>May 2023</v>
      </c>
      <c r="C57" t="str">
        <f t="shared" si="3"/>
        <v>Q2</v>
      </c>
      <c r="D57" t="str">
        <f t="shared" si="1"/>
        <v>FY2023</v>
      </c>
    </row>
    <row r="58" spans="1:4">
      <c r="A58" s="11">
        <f t="shared" si="2"/>
        <v>45073</v>
      </c>
      <c r="B58" t="str">
        <f t="shared" si="0"/>
        <v>May 2023</v>
      </c>
      <c r="C58" t="str">
        <f t="shared" si="3"/>
        <v>Q2</v>
      </c>
      <c r="D58" t="str">
        <f t="shared" si="1"/>
        <v>FY2023</v>
      </c>
    </row>
    <row r="59" spans="1:4">
      <c r="A59" s="11">
        <f t="shared" si="2"/>
        <v>45074</v>
      </c>
      <c r="B59" t="str">
        <f t="shared" si="0"/>
        <v>May 2023</v>
      </c>
      <c r="C59" t="str">
        <f t="shared" si="3"/>
        <v>Q2</v>
      </c>
      <c r="D59" t="str">
        <f t="shared" si="1"/>
        <v>FY2023</v>
      </c>
    </row>
    <row r="60" spans="1:4">
      <c r="A60" s="11">
        <f t="shared" si="2"/>
        <v>45075</v>
      </c>
      <c r="B60" t="str">
        <f t="shared" si="0"/>
        <v>May 2023</v>
      </c>
      <c r="C60" t="str">
        <f t="shared" si="3"/>
        <v>Q2</v>
      </c>
      <c r="D60" t="str">
        <f t="shared" si="1"/>
        <v>FY2023</v>
      </c>
    </row>
    <row r="61" spans="1:4">
      <c r="A61" s="11">
        <f t="shared" si="2"/>
        <v>45076</v>
      </c>
      <c r="B61" t="str">
        <f t="shared" si="0"/>
        <v>May 2023</v>
      </c>
      <c r="C61" t="str">
        <f t="shared" si="3"/>
        <v>Q2</v>
      </c>
      <c r="D61" t="str">
        <f t="shared" si="1"/>
        <v>FY2023</v>
      </c>
    </row>
    <row r="62" spans="1:4">
      <c r="A62" s="11">
        <f t="shared" si="2"/>
        <v>45077</v>
      </c>
      <c r="B62" t="str">
        <f t="shared" si="0"/>
        <v>May 2023</v>
      </c>
      <c r="C62" t="str">
        <f t="shared" si="3"/>
        <v>Q2</v>
      </c>
      <c r="D62" t="str">
        <f t="shared" si="1"/>
        <v>FY2023</v>
      </c>
    </row>
    <row r="63" spans="1:4">
      <c r="A63" s="11">
        <f t="shared" si="2"/>
        <v>45078</v>
      </c>
      <c r="B63" t="str">
        <f t="shared" si="0"/>
        <v>Jun 2023</v>
      </c>
      <c r="C63" t="str">
        <f t="shared" si="3"/>
        <v>Q2</v>
      </c>
      <c r="D63" t="str">
        <f t="shared" si="1"/>
        <v>FY2023</v>
      </c>
    </row>
    <row r="64" spans="1:4">
      <c r="A64" s="11">
        <f t="shared" si="2"/>
        <v>45079</v>
      </c>
      <c r="B64" t="str">
        <f t="shared" si="0"/>
        <v>Jun 2023</v>
      </c>
      <c r="C64" t="str">
        <f t="shared" si="3"/>
        <v>Q2</v>
      </c>
      <c r="D64" t="str">
        <f t="shared" si="1"/>
        <v>FY2023</v>
      </c>
    </row>
    <row r="65" spans="1:4">
      <c r="A65" s="11">
        <f t="shared" si="2"/>
        <v>45080</v>
      </c>
      <c r="B65" t="str">
        <f t="shared" si="0"/>
        <v>Jun 2023</v>
      </c>
      <c r="C65" t="str">
        <f t="shared" si="3"/>
        <v>Q2</v>
      </c>
      <c r="D65" t="str">
        <f t="shared" si="1"/>
        <v>FY2023</v>
      </c>
    </row>
    <row r="66" spans="1:4">
      <c r="A66" s="11">
        <f t="shared" si="2"/>
        <v>45081</v>
      </c>
      <c r="B66" t="str">
        <f t="shared" si="0"/>
        <v>Jun 2023</v>
      </c>
      <c r="C66" t="str">
        <f t="shared" si="3"/>
        <v>Q2</v>
      </c>
      <c r="D66" t="str">
        <f t="shared" si="1"/>
        <v>FY2023</v>
      </c>
    </row>
    <row r="67" spans="1:4">
      <c r="A67" s="11">
        <f t="shared" si="2"/>
        <v>45082</v>
      </c>
      <c r="B67" t="str">
        <f t="shared" ref="B67:B130" si="4">TEXT(A67, "MMM_YYYY")</f>
        <v>Jun 2023</v>
      </c>
      <c r="C67" t="str">
        <f t="shared" ref="C67:C130" si="5">"Q" &amp; INT((MONTH(A67)-1)/3)+1</f>
        <v>Q2</v>
      </c>
      <c r="D67" t="str">
        <f t="shared" ref="D67:D130" si="6">"FY" &amp; IF(MONTH(A67)&gt;=4, YEAR(A67), YEAR(A67)-1)</f>
        <v>FY2023</v>
      </c>
    </row>
    <row r="68" spans="1:4">
      <c r="A68" s="11">
        <f t="shared" ref="A68:A131" si="7">A67+1</f>
        <v>45083</v>
      </c>
      <c r="B68" t="str">
        <f t="shared" si="4"/>
        <v>Jun 2023</v>
      </c>
      <c r="C68" t="str">
        <f t="shared" si="5"/>
        <v>Q2</v>
      </c>
      <c r="D68" t="str">
        <f t="shared" si="6"/>
        <v>FY2023</v>
      </c>
    </row>
    <row r="69" spans="1:4">
      <c r="A69" s="11">
        <f t="shared" si="7"/>
        <v>45084</v>
      </c>
      <c r="B69" t="str">
        <f t="shared" si="4"/>
        <v>Jun 2023</v>
      </c>
      <c r="C69" t="str">
        <f t="shared" si="5"/>
        <v>Q2</v>
      </c>
      <c r="D69" t="str">
        <f t="shared" si="6"/>
        <v>FY2023</v>
      </c>
    </row>
    <row r="70" spans="1:4">
      <c r="A70" s="11">
        <f t="shared" si="7"/>
        <v>45085</v>
      </c>
      <c r="B70" t="str">
        <f t="shared" si="4"/>
        <v>Jun 2023</v>
      </c>
      <c r="C70" t="str">
        <f t="shared" si="5"/>
        <v>Q2</v>
      </c>
      <c r="D70" t="str">
        <f t="shared" si="6"/>
        <v>FY2023</v>
      </c>
    </row>
    <row r="71" spans="1:4">
      <c r="A71" s="11">
        <f t="shared" si="7"/>
        <v>45086</v>
      </c>
      <c r="B71" t="str">
        <f t="shared" si="4"/>
        <v>Jun 2023</v>
      </c>
      <c r="C71" t="str">
        <f t="shared" si="5"/>
        <v>Q2</v>
      </c>
      <c r="D71" t="str">
        <f t="shared" si="6"/>
        <v>FY2023</v>
      </c>
    </row>
    <row r="72" spans="1:4">
      <c r="A72" s="11">
        <f t="shared" si="7"/>
        <v>45087</v>
      </c>
      <c r="B72" t="str">
        <f t="shared" si="4"/>
        <v>Jun 2023</v>
      </c>
      <c r="C72" t="str">
        <f t="shared" si="5"/>
        <v>Q2</v>
      </c>
      <c r="D72" t="str">
        <f t="shared" si="6"/>
        <v>FY2023</v>
      </c>
    </row>
    <row r="73" spans="1:4">
      <c r="A73" s="11">
        <f t="shared" si="7"/>
        <v>45088</v>
      </c>
      <c r="B73" t="str">
        <f t="shared" si="4"/>
        <v>Jun 2023</v>
      </c>
      <c r="C73" t="str">
        <f t="shared" si="5"/>
        <v>Q2</v>
      </c>
      <c r="D73" t="str">
        <f t="shared" si="6"/>
        <v>FY2023</v>
      </c>
    </row>
    <row r="74" spans="1:4">
      <c r="A74" s="11">
        <f t="shared" si="7"/>
        <v>45089</v>
      </c>
      <c r="B74" t="str">
        <f t="shared" si="4"/>
        <v>Jun 2023</v>
      </c>
      <c r="C74" t="str">
        <f t="shared" si="5"/>
        <v>Q2</v>
      </c>
      <c r="D74" t="str">
        <f t="shared" si="6"/>
        <v>FY2023</v>
      </c>
    </row>
    <row r="75" spans="1:4">
      <c r="A75" s="11">
        <f t="shared" si="7"/>
        <v>45090</v>
      </c>
      <c r="B75" t="str">
        <f t="shared" si="4"/>
        <v>Jun 2023</v>
      </c>
      <c r="C75" t="str">
        <f t="shared" si="5"/>
        <v>Q2</v>
      </c>
      <c r="D75" t="str">
        <f t="shared" si="6"/>
        <v>FY2023</v>
      </c>
    </row>
    <row r="76" spans="1:4">
      <c r="A76" s="11">
        <f t="shared" si="7"/>
        <v>45091</v>
      </c>
      <c r="B76" t="str">
        <f t="shared" si="4"/>
        <v>Jun 2023</v>
      </c>
      <c r="C76" t="str">
        <f t="shared" si="5"/>
        <v>Q2</v>
      </c>
      <c r="D76" t="str">
        <f t="shared" si="6"/>
        <v>FY2023</v>
      </c>
    </row>
    <row r="77" spans="1:4">
      <c r="A77" s="11">
        <f t="shared" si="7"/>
        <v>45092</v>
      </c>
      <c r="B77" t="str">
        <f t="shared" si="4"/>
        <v>Jun 2023</v>
      </c>
      <c r="C77" t="str">
        <f t="shared" si="5"/>
        <v>Q2</v>
      </c>
      <c r="D77" t="str">
        <f t="shared" si="6"/>
        <v>FY2023</v>
      </c>
    </row>
    <row r="78" spans="1:4">
      <c r="A78" s="11">
        <f t="shared" si="7"/>
        <v>45093</v>
      </c>
      <c r="B78" t="str">
        <f t="shared" si="4"/>
        <v>Jun 2023</v>
      </c>
      <c r="C78" t="str">
        <f t="shared" si="5"/>
        <v>Q2</v>
      </c>
      <c r="D78" t="str">
        <f t="shared" si="6"/>
        <v>FY2023</v>
      </c>
    </row>
    <row r="79" spans="1:4">
      <c r="A79" s="11">
        <f t="shared" si="7"/>
        <v>45094</v>
      </c>
      <c r="B79" t="str">
        <f t="shared" si="4"/>
        <v>Jun 2023</v>
      </c>
      <c r="C79" t="str">
        <f t="shared" si="5"/>
        <v>Q2</v>
      </c>
      <c r="D79" t="str">
        <f t="shared" si="6"/>
        <v>FY2023</v>
      </c>
    </row>
    <row r="80" spans="1:4">
      <c r="A80" s="11">
        <f t="shared" si="7"/>
        <v>45095</v>
      </c>
      <c r="B80" t="str">
        <f t="shared" si="4"/>
        <v>Jun 2023</v>
      </c>
      <c r="C80" t="str">
        <f t="shared" si="5"/>
        <v>Q2</v>
      </c>
      <c r="D80" t="str">
        <f t="shared" si="6"/>
        <v>FY2023</v>
      </c>
    </row>
    <row r="81" spans="1:4">
      <c r="A81" s="11">
        <f t="shared" si="7"/>
        <v>45096</v>
      </c>
      <c r="B81" t="str">
        <f t="shared" si="4"/>
        <v>Jun 2023</v>
      </c>
      <c r="C81" t="str">
        <f t="shared" si="5"/>
        <v>Q2</v>
      </c>
      <c r="D81" t="str">
        <f t="shared" si="6"/>
        <v>FY2023</v>
      </c>
    </row>
    <row r="82" spans="1:4">
      <c r="A82" s="11">
        <f t="shared" si="7"/>
        <v>45097</v>
      </c>
      <c r="B82" t="str">
        <f t="shared" si="4"/>
        <v>Jun 2023</v>
      </c>
      <c r="C82" t="str">
        <f t="shared" si="5"/>
        <v>Q2</v>
      </c>
      <c r="D82" t="str">
        <f t="shared" si="6"/>
        <v>FY2023</v>
      </c>
    </row>
    <row r="83" spans="1:4">
      <c r="A83" s="11">
        <f t="shared" si="7"/>
        <v>45098</v>
      </c>
      <c r="B83" t="str">
        <f t="shared" si="4"/>
        <v>Jun 2023</v>
      </c>
      <c r="C83" t="str">
        <f t="shared" si="5"/>
        <v>Q2</v>
      </c>
      <c r="D83" t="str">
        <f t="shared" si="6"/>
        <v>FY2023</v>
      </c>
    </row>
    <row r="84" spans="1:4">
      <c r="A84" s="11">
        <f t="shared" si="7"/>
        <v>45099</v>
      </c>
      <c r="B84" t="str">
        <f t="shared" si="4"/>
        <v>Jun 2023</v>
      </c>
      <c r="C84" t="str">
        <f t="shared" si="5"/>
        <v>Q2</v>
      </c>
      <c r="D84" t="str">
        <f t="shared" si="6"/>
        <v>FY2023</v>
      </c>
    </row>
    <row r="85" spans="1:4">
      <c r="A85" s="11">
        <f t="shared" si="7"/>
        <v>45100</v>
      </c>
      <c r="B85" t="str">
        <f t="shared" si="4"/>
        <v>Jun 2023</v>
      </c>
      <c r="C85" t="str">
        <f t="shared" si="5"/>
        <v>Q2</v>
      </c>
      <c r="D85" t="str">
        <f t="shared" si="6"/>
        <v>FY2023</v>
      </c>
    </row>
    <row r="86" spans="1:4">
      <c r="A86" s="11">
        <f t="shared" si="7"/>
        <v>45101</v>
      </c>
      <c r="B86" t="str">
        <f t="shared" si="4"/>
        <v>Jun 2023</v>
      </c>
      <c r="C86" t="str">
        <f t="shared" si="5"/>
        <v>Q2</v>
      </c>
      <c r="D86" t="str">
        <f t="shared" si="6"/>
        <v>FY2023</v>
      </c>
    </row>
    <row r="87" spans="1:4">
      <c r="A87" s="11">
        <f t="shared" si="7"/>
        <v>45102</v>
      </c>
      <c r="B87" t="str">
        <f t="shared" si="4"/>
        <v>Jun 2023</v>
      </c>
      <c r="C87" t="str">
        <f t="shared" si="5"/>
        <v>Q2</v>
      </c>
      <c r="D87" t="str">
        <f t="shared" si="6"/>
        <v>FY2023</v>
      </c>
    </row>
    <row r="88" spans="1:4">
      <c r="A88" s="11">
        <f t="shared" si="7"/>
        <v>45103</v>
      </c>
      <c r="B88" t="str">
        <f t="shared" si="4"/>
        <v>Jun 2023</v>
      </c>
      <c r="C88" t="str">
        <f t="shared" si="5"/>
        <v>Q2</v>
      </c>
      <c r="D88" t="str">
        <f t="shared" si="6"/>
        <v>FY2023</v>
      </c>
    </row>
    <row r="89" spans="1:4">
      <c r="A89" s="11">
        <f t="shared" si="7"/>
        <v>45104</v>
      </c>
      <c r="B89" t="str">
        <f t="shared" si="4"/>
        <v>Jun 2023</v>
      </c>
      <c r="C89" t="str">
        <f t="shared" si="5"/>
        <v>Q2</v>
      </c>
      <c r="D89" t="str">
        <f t="shared" si="6"/>
        <v>FY2023</v>
      </c>
    </row>
    <row r="90" spans="1:4">
      <c r="A90" s="11">
        <f t="shared" si="7"/>
        <v>45105</v>
      </c>
      <c r="B90" t="str">
        <f t="shared" si="4"/>
        <v>Jun 2023</v>
      </c>
      <c r="C90" t="str">
        <f t="shared" si="5"/>
        <v>Q2</v>
      </c>
      <c r="D90" t="str">
        <f t="shared" si="6"/>
        <v>FY2023</v>
      </c>
    </row>
    <row r="91" spans="1:4">
      <c r="A91" s="11">
        <f t="shared" si="7"/>
        <v>45106</v>
      </c>
      <c r="B91" t="str">
        <f t="shared" si="4"/>
        <v>Jun 2023</v>
      </c>
      <c r="C91" t="str">
        <f t="shared" si="5"/>
        <v>Q2</v>
      </c>
      <c r="D91" t="str">
        <f t="shared" si="6"/>
        <v>FY2023</v>
      </c>
    </row>
    <row r="92" spans="1:4">
      <c r="A92" s="11">
        <f t="shared" si="7"/>
        <v>45107</v>
      </c>
      <c r="B92" t="str">
        <f t="shared" si="4"/>
        <v>Jun 2023</v>
      </c>
      <c r="C92" t="str">
        <f t="shared" si="5"/>
        <v>Q2</v>
      </c>
      <c r="D92" t="str">
        <f t="shared" si="6"/>
        <v>FY2023</v>
      </c>
    </row>
    <row r="93" spans="1:4">
      <c r="A93" s="11">
        <f t="shared" si="7"/>
        <v>45108</v>
      </c>
      <c r="B93" t="str">
        <f t="shared" si="4"/>
        <v>Jul 2023</v>
      </c>
      <c r="C93" t="str">
        <f t="shared" si="5"/>
        <v>Q3</v>
      </c>
      <c r="D93" t="str">
        <f t="shared" si="6"/>
        <v>FY2023</v>
      </c>
    </row>
    <row r="94" spans="1:4">
      <c r="A94" s="11">
        <f t="shared" si="7"/>
        <v>45109</v>
      </c>
      <c r="B94" t="str">
        <f t="shared" si="4"/>
        <v>Jul 2023</v>
      </c>
      <c r="C94" t="str">
        <f t="shared" si="5"/>
        <v>Q3</v>
      </c>
      <c r="D94" t="str">
        <f t="shared" si="6"/>
        <v>FY2023</v>
      </c>
    </row>
    <row r="95" spans="1:4">
      <c r="A95" s="11">
        <f t="shared" si="7"/>
        <v>45110</v>
      </c>
      <c r="B95" t="str">
        <f t="shared" si="4"/>
        <v>Jul 2023</v>
      </c>
      <c r="C95" t="str">
        <f t="shared" si="5"/>
        <v>Q3</v>
      </c>
      <c r="D95" t="str">
        <f t="shared" si="6"/>
        <v>FY2023</v>
      </c>
    </row>
    <row r="96" spans="1:4">
      <c r="A96" s="11">
        <f t="shared" si="7"/>
        <v>45111</v>
      </c>
      <c r="B96" t="str">
        <f t="shared" si="4"/>
        <v>Jul 2023</v>
      </c>
      <c r="C96" t="str">
        <f t="shared" si="5"/>
        <v>Q3</v>
      </c>
      <c r="D96" t="str">
        <f t="shared" si="6"/>
        <v>FY2023</v>
      </c>
    </row>
    <row r="97" spans="1:4">
      <c r="A97" s="11">
        <f t="shared" si="7"/>
        <v>45112</v>
      </c>
      <c r="B97" t="str">
        <f t="shared" si="4"/>
        <v>Jul 2023</v>
      </c>
      <c r="C97" t="str">
        <f t="shared" si="5"/>
        <v>Q3</v>
      </c>
      <c r="D97" t="str">
        <f t="shared" si="6"/>
        <v>FY2023</v>
      </c>
    </row>
    <row r="98" spans="1:4">
      <c r="A98" s="11">
        <f t="shared" si="7"/>
        <v>45113</v>
      </c>
      <c r="B98" t="str">
        <f t="shared" si="4"/>
        <v>Jul 2023</v>
      </c>
      <c r="C98" t="str">
        <f t="shared" si="5"/>
        <v>Q3</v>
      </c>
      <c r="D98" t="str">
        <f t="shared" si="6"/>
        <v>FY2023</v>
      </c>
    </row>
    <row r="99" spans="1:4">
      <c r="A99" s="11">
        <f t="shared" si="7"/>
        <v>45114</v>
      </c>
      <c r="B99" t="str">
        <f t="shared" si="4"/>
        <v>Jul 2023</v>
      </c>
      <c r="C99" t="str">
        <f t="shared" si="5"/>
        <v>Q3</v>
      </c>
      <c r="D99" t="str">
        <f t="shared" si="6"/>
        <v>FY2023</v>
      </c>
    </row>
    <row r="100" spans="1:4">
      <c r="A100" s="11">
        <f t="shared" si="7"/>
        <v>45115</v>
      </c>
      <c r="B100" t="str">
        <f t="shared" si="4"/>
        <v>Jul 2023</v>
      </c>
      <c r="C100" t="str">
        <f t="shared" si="5"/>
        <v>Q3</v>
      </c>
      <c r="D100" t="str">
        <f t="shared" si="6"/>
        <v>FY2023</v>
      </c>
    </row>
    <row r="101" spans="1:4">
      <c r="A101" s="11">
        <f t="shared" si="7"/>
        <v>45116</v>
      </c>
      <c r="B101" t="str">
        <f t="shared" si="4"/>
        <v>Jul 2023</v>
      </c>
      <c r="C101" t="str">
        <f t="shared" si="5"/>
        <v>Q3</v>
      </c>
      <c r="D101" t="str">
        <f t="shared" si="6"/>
        <v>FY2023</v>
      </c>
    </row>
    <row r="102" spans="1:4">
      <c r="A102" s="11">
        <f t="shared" si="7"/>
        <v>45117</v>
      </c>
      <c r="B102" t="str">
        <f t="shared" si="4"/>
        <v>Jul 2023</v>
      </c>
      <c r="C102" t="str">
        <f t="shared" si="5"/>
        <v>Q3</v>
      </c>
      <c r="D102" t="str">
        <f t="shared" si="6"/>
        <v>FY2023</v>
      </c>
    </row>
    <row r="103" spans="1:4">
      <c r="A103" s="11">
        <f t="shared" si="7"/>
        <v>45118</v>
      </c>
      <c r="B103" t="str">
        <f t="shared" si="4"/>
        <v>Jul 2023</v>
      </c>
      <c r="C103" t="str">
        <f t="shared" si="5"/>
        <v>Q3</v>
      </c>
      <c r="D103" t="str">
        <f t="shared" si="6"/>
        <v>FY2023</v>
      </c>
    </row>
    <row r="104" spans="1:4">
      <c r="A104" s="11">
        <f t="shared" si="7"/>
        <v>45119</v>
      </c>
      <c r="B104" t="str">
        <f t="shared" si="4"/>
        <v>Jul 2023</v>
      </c>
      <c r="C104" t="str">
        <f t="shared" si="5"/>
        <v>Q3</v>
      </c>
      <c r="D104" t="str">
        <f t="shared" si="6"/>
        <v>FY2023</v>
      </c>
    </row>
    <row r="105" spans="1:4">
      <c r="A105" s="11">
        <f t="shared" si="7"/>
        <v>45120</v>
      </c>
      <c r="B105" t="str">
        <f t="shared" si="4"/>
        <v>Jul 2023</v>
      </c>
      <c r="C105" t="str">
        <f t="shared" si="5"/>
        <v>Q3</v>
      </c>
      <c r="D105" t="str">
        <f t="shared" si="6"/>
        <v>FY2023</v>
      </c>
    </row>
    <row r="106" spans="1:4">
      <c r="A106" s="11">
        <f t="shared" si="7"/>
        <v>45121</v>
      </c>
      <c r="B106" t="str">
        <f t="shared" si="4"/>
        <v>Jul 2023</v>
      </c>
      <c r="C106" t="str">
        <f t="shared" si="5"/>
        <v>Q3</v>
      </c>
      <c r="D106" t="str">
        <f t="shared" si="6"/>
        <v>FY2023</v>
      </c>
    </row>
    <row r="107" spans="1:4">
      <c r="A107" s="11">
        <f t="shared" si="7"/>
        <v>45122</v>
      </c>
      <c r="B107" t="str">
        <f t="shared" si="4"/>
        <v>Jul 2023</v>
      </c>
      <c r="C107" t="str">
        <f t="shared" si="5"/>
        <v>Q3</v>
      </c>
      <c r="D107" t="str">
        <f t="shared" si="6"/>
        <v>FY2023</v>
      </c>
    </row>
    <row r="108" spans="1:4">
      <c r="A108" s="11">
        <f t="shared" si="7"/>
        <v>45123</v>
      </c>
      <c r="B108" t="str">
        <f t="shared" si="4"/>
        <v>Jul 2023</v>
      </c>
      <c r="C108" t="str">
        <f t="shared" si="5"/>
        <v>Q3</v>
      </c>
      <c r="D108" t="str">
        <f t="shared" si="6"/>
        <v>FY2023</v>
      </c>
    </row>
    <row r="109" spans="1:4">
      <c r="A109" s="11">
        <f t="shared" si="7"/>
        <v>45124</v>
      </c>
      <c r="B109" t="str">
        <f t="shared" si="4"/>
        <v>Jul 2023</v>
      </c>
      <c r="C109" t="str">
        <f t="shared" si="5"/>
        <v>Q3</v>
      </c>
      <c r="D109" t="str">
        <f t="shared" si="6"/>
        <v>FY2023</v>
      </c>
    </row>
    <row r="110" spans="1:4">
      <c r="A110" s="11">
        <f t="shared" si="7"/>
        <v>45125</v>
      </c>
      <c r="B110" t="str">
        <f t="shared" si="4"/>
        <v>Jul 2023</v>
      </c>
      <c r="C110" t="str">
        <f t="shared" si="5"/>
        <v>Q3</v>
      </c>
      <c r="D110" t="str">
        <f t="shared" si="6"/>
        <v>FY2023</v>
      </c>
    </row>
    <row r="111" spans="1:4">
      <c r="A111" s="11">
        <f t="shared" si="7"/>
        <v>45126</v>
      </c>
      <c r="B111" t="str">
        <f t="shared" si="4"/>
        <v>Jul 2023</v>
      </c>
      <c r="C111" t="str">
        <f t="shared" si="5"/>
        <v>Q3</v>
      </c>
      <c r="D111" t="str">
        <f t="shared" si="6"/>
        <v>FY2023</v>
      </c>
    </row>
    <row r="112" spans="1:4">
      <c r="A112" s="11">
        <f t="shared" si="7"/>
        <v>45127</v>
      </c>
      <c r="B112" t="str">
        <f t="shared" si="4"/>
        <v>Jul 2023</v>
      </c>
      <c r="C112" t="str">
        <f t="shared" si="5"/>
        <v>Q3</v>
      </c>
      <c r="D112" t="str">
        <f t="shared" si="6"/>
        <v>FY2023</v>
      </c>
    </row>
    <row r="113" spans="1:4">
      <c r="A113" s="11">
        <f t="shared" si="7"/>
        <v>45128</v>
      </c>
      <c r="B113" t="str">
        <f t="shared" si="4"/>
        <v>Jul 2023</v>
      </c>
      <c r="C113" t="str">
        <f t="shared" si="5"/>
        <v>Q3</v>
      </c>
      <c r="D113" t="str">
        <f t="shared" si="6"/>
        <v>FY2023</v>
      </c>
    </row>
    <row r="114" spans="1:4">
      <c r="A114" s="11">
        <f t="shared" si="7"/>
        <v>45129</v>
      </c>
      <c r="B114" t="str">
        <f t="shared" si="4"/>
        <v>Jul 2023</v>
      </c>
      <c r="C114" t="str">
        <f t="shared" si="5"/>
        <v>Q3</v>
      </c>
      <c r="D114" t="str">
        <f t="shared" si="6"/>
        <v>FY2023</v>
      </c>
    </row>
    <row r="115" spans="1:4">
      <c r="A115" s="11">
        <f t="shared" si="7"/>
        <v>45130</v>
      </c>
      <c r="B115" t="str">
        <f t="shared" si="4"/>
        <v>Jul 2023</v>
      </c>
      <c r="C115" t="str">
        <f t="shared" si="5"/>
        <v>Q3</v>
      </c>
      <c r="D115" t="str">
        <f t="shared" si="6"/>
        <v>FY2023</v>
      </c>
    </row>
    <row r="116" spans="1:4">
      <c r="A116" s="11">
        <f t="shared" si="7"/>
        <v>45131</v>
      </c>
      <c r="B116" t="str">
        <f t="shared" si="4"/>
        <v>Jul 2023</v>
      </c>
      <c r="C116" t="str">
        <f t="shared" si="5"/>
        <v>Q3</v>
      </c>
      <c r="D116" t="str">
        <f t="shared" si="6"/>
        <v>FY2023</v>
      </c>
    </row>
    <row r="117" spans="1:4">
      <c r="A117" s="11">
        <f t="shared" si="7"/>
        <v>45132</v>
      </c>
      <c r="B117" t="str">
        <f t="shared" si="4"/>
        <v>Jul 2023</v>
      </c>
      <c r="C117" t="str">
        <f t="shared" si="5"/>
        <v>Q3</v>
      </c>
      <c r="D117" t="str">
        <f t="shared" si="6"/>
        <v>FY2023</v>
      </c>
    </row>
    <row r="118" spans="1:4">
      <c r="A118" s="11">
        <f t="shared" si="7"/>
        <v>45133</v>
      </c>
      <c r="B118" t="str">
        <f t="shared" si="4"/>
        <v>Jul 2023</v>
      </c>
      <c r="C118" t="str">
        <f t="shared" si="5"/>
        <v>Q3</v>
      </c>
      <c r="D118" t="str">
        <f t="shared" si="6"/>
        <v>FY2023</v>
      </c>
    </row>
    <row r="119" spans="1:4">
      <c r="A119" s="11">
        <f t="shared" si="7"/>
        <v>45134</v>
      </c>
      <c r="B119" t="str">
        <f t="shared" si="4"/>
        <v>Jul 2023</v>
      </c>
      <c r="C119" t="str">
        <f t="shared" si="5"/>
        <v>Q3</v>
      </c>
      <c r="D119" t="str">
        <f t="shared" si="6"/>
        <v>FY2023</v>
      </c>
    </row>
    <row r="120" spans="1:4">
      <c r="A120" s="11">
        <f t="shared" si="7"/>
        <v>45135</v>
      </c>
      <c r="B120" t="str">
        <f t="shared" si="4"/>
        <v>Jul 2023</v>
      </c>
      <c r="C120" t="str">
        <f t="shared" si="5"/>
        <v>Q3</v>
      </c>
      <c r="D120" t="str">
        <f t="shared" si="6"/>
        <v>FY2023</v>
      </c>
    </row>
    <row r="121" spans="1:4">
      <c r="A121" s="11">
        <f t="shared" si="7"/>
        <v>45136</v>
      </c>
      <c r="B121" t="str">
        <f t="shared" si="4"/>
        <v>Jul 2023</v>
      </c>
      <c r="C121" t="str">
        <f t="shared" si="5"/>
        <v>Q3</v>
      </c>
      <c r="D121" t="str">
        <f t="shared" si="6"/>
        <v>FY2023</v>
      </c>
    </row>
    <row r="122" spans="1:4">
      <c r="A122" s="11">
        <f t="shared" si="7"/>
        <v>45137</v>
      </c>
      <c r="B122" t="str">
        <f t="shared" si="4"/>
        <v>Jul 2023</v>
      </c>
      <c r="C122" t="str">
        <f t="shared" si="5"/>
        <v>Q3</v>
      </c>
      <c r="D122" t="str">
        <f t="shared" si="6"/>
        <v>FY2023</v>
      </c>
    </row>
    <row r="123" spans="1:4">
      <c r="A123" s="11">
        <f t="shared" si="7"/>
        <v>45138</v>
      </c>
      <c r="B123" t="str">
        <f t="shared" si="4"/>
        <v>Jul 2023</v>
      </c>
      <c r="C123" t="str">
        <f t="shared" si="5"/>
        <v>Q3</v>
      </c>
      <c r="D123" t="str">
        <f t="shared" si="6"/>
        <v>FY2023</v>
      </c>
    </row>
    <row r="124" spans="1:4">
      <c r="A124" s="11">
        <f t="shared" si="7"/>
        <v>45139</v>
      </c>
      <c r="B124" t="str">
        <f t="shared" si="4"/>
        <v>Aug 2023</v>
      </c>
      <c r="C124" t="str">
        <f t="shared" si="5"/>
        <v>Q3</v>
      </c>
      <c r="D124" t="str">
        <f t="shared" si="6"/>
        <v>FY2023</v>
      </c>
    </row>
    <row r="125" spans="1:4">
      <c r="A125" s="11">
        <f t="shared" si="7"/>
        <v>45140</v>
      </c>
      <c r="B125" t="str">
        <f t="shared" si="4"/>
        <v>Aug 2023</v>
      </c>
      <c r="C125" t="str">
        <f t="shared" si="5"/>
        <v>Q3</v>
      </c>
      <c r="D125" t="str">
        <f t="shared" si="6"/>
        <v>FY2023</v>
      </c>
    </row>
    <row r="126" spans="1:4">
      <c r="A126" s="11">
        <f t="shared" si="7"/>
        <v>45141</v>
      </c>
      <c r="B126" t="str">
        <f t="shared" si="4"/>
        <v>Aug 2023</v>
      </c>
      <c r="C126" t="str">
        <f t="shared" si="5"/>
        <v>Q3</v>
      </c>
      <c r="D126" t="str">
        <f t="shared" si="6"/>
        <v>FY2023</v>
      </c>
    </row>
    <row r="127" spans="1:4">
      <c r="A127" s="11">
        <f t="shared" si="7"/>
        <v>45142</v>
      </c>
      <c r="B127" t="str">
        <f t="shared" si="4"/>
        <v>Aug 2023</v>
      </c>
      <c r="C127" t="str">
        <f t="shared" si="5"/>
        <v>Q3</v>
      </c>
      <c r="D127" t="str">
        <f t="shared" si="6"/>
        <v>FY2023</v>
      </c>
    </row>
    <row r="128" spans="1:4">
      <c r="A128" s="11">
        <f t="shared" si="7"/>
        <v>45143</v>
      </c>
      <c r="B128" t="str">
        <f t="shared" si="4"/>
        <v>Aug 2023</v>
      </c>
      <c r="C128" t="str">
        <f t="shared" si="5"/>
        <v>Q3</v>
      </c>
      <c r="D128" t="str">
        <f t="shared" si="6"/>
        <v>FY2023</v>
      </c>
    </row>
    <row r="129" spans="1:4">
      <c r="A129" s="11">
        <f t="shared" si="7"/>
        <v>45144</v>
      </c>
      <c r="B129" t="str">
        <f t="shared" si="4"/>
        <v>Aug 2023</v>
      </c>
      <c r="C129" t="str">
        <f t="shared" si="5"/>
        <v>Q3</v>
      </c>
      <c r="D129" t="str">
        <f t="shared" si="6"/>
        <v>FY2023</v>
      </c>
    </row>
    <row r="130" spans="1:4">
      <c r="A130" s="11">
        <f t="shared" si="7"/>
        <v>45145</v>
      </c>
      <c r="B130" t="str">
        <f t="shared" si="4"/>
        <v>Aug 2023</v>
      </c>
      <c r="C130" t="str">
        <f t="shared" si="5"/>
        <v>Q3</v>
      </c>
      <c r="D130" t="str">
        <f t="shared" si="6"/>
        <v>FY2023</v>
      </c>
    </row>
    <row r="131" spans="1:4">
      <c r="A131" s="11">
        <f t="shared" si="7"/>
        <v>45146</v>
      </c>
      <c r="B131" t="str">
        <f t="shared" ref="B131:B194" si="8">TEXT(A131, "MMM_YYYY")</f>
        <v>Aug 2023</v>
      </c>
      <c r="C131" t="str">
        <f t="shared" ref="C131:C194" si="9">"Q" &amp; INT((MONTH(A131)-1)/3)+1</f>
        <v>Q3</v>
      </c>
      <c r="D131" t="str">
        <f t="shared" ref="D131:D194" si="10">"FY" &amp; IF(MONTH(A131)&gt;=4, YEAR(A131), YEAR(A131)-1)</f>
        <v>FY2023</v>
      </c>
    </row>
    <row r="132" spans="1:4">
      <c r="A132" s="11">
        <f t="shared" ref="A132:A195" si="11">A131+1</f>
        <v>45147</v>
      </c>
      <c r="B132" t="str">
        <f t="shared" si="8"/>
        <v>Aug 2023</v>
      </c>
      <c r="C132" t="str">
        <f t="shared" si="9"/>
        <v>Q3</v>
      </c>
      <c r="D132" t="str">
        <f t="shared" si="10"/>
        <v>FY2023</v>
      </c>
    </row>
    <row r="133" spans="1:4">
      <c r="A133" s="11">
        <f t="shared" si="11"/>
        <v>45148</v>
      </c>
      <c r="B133" t="str">
        <f t="shared" si="8"/>
        <v>Aug 2023</v>
      </c>
      <c r="C133" t="str">
        <f t="shared" si="9"/>
        <v>Q3</v>
      </c>
      <c r="D133" t="str">
        <f t="shared" si="10"/>
        <v>FY2023</v>
      </c>
    </row>
    <row r="134" spans="1:4">
      <c r="A134" s="11">
        <f t="shared" si="11"/>
        <v>45149</v>
      </c>
      <c r="B134" t="str">
        <f t="shared" si="8"/>
        <v>Aug 2023</v>
      </c>
      <c r="C134" t="str">
        <f t="shared" si="9"/>
        <v>Q3</v>
      </c>
      <c r="D134" t="str">
        <f t="shared" si="10"/>
        <v>FY2023</v>
      </c>
    </row>
    <row r="135" spans="1:4">
      <c r="A135" s="11">
        <f t="shared" si="11"/>
        <v>45150</v>
      </c>
      <c r="B135" t="str">
        <f t="shared" si="8"/>
        <v>Aug 2023</v>
      </c>
      <c r="C135" t="str">
        <f t="shared" si="9"/>
        <v>Q3</v>
      </c>
      <c r="D135" t="str">
        <f t="shared" si="10"/>
        <v>FY2023</v>
      </c>
    </row>
    <row r="136" spans="1:4">
      <c r="A136" s="11">
        <f t="shared" si="11"/>
        <v>45151</v>
      </c>
      <c r="B136" t="str">
        <f t="shared" si="8"/>
        <v>Aug 2023</v>
      </c>
      <c r="C136" t="str">
        <f t="shared" si="9"/>
        <v>Q3</v>
      </c>
      <c r="D136" t="str">
        <f t="shared" si="10"/>
        <v>FY2023</v>
      </c>
    </row>
    <row r="137" spans="1:4">
      <c r="A137" s="11">
        <f t="shared" si="11"/>
        <v>45152</v>
      </c>
      <c r="B137" t="str">
        <f t="shared" si="8"/>
        <v>Aug 2023</v>
      </c>
      <c r="C137" t="str">
        <f t="shared" si="9"/>
        <v>Q3</v>
      </c>
      <c r="D137" t="str">
        <f t="shared" si="10"/>
        <v>FY2023</v>
      </c>
    </row>
    <row r="138" spans="1:4">
      <c r="A138" s="11">
        <f t="shared" si="11"/>
        <v>45153</v>
      </c>
      <c r="B138" t="str">
        <f t="shared" si="8"/>
        <v>Aug 2023</v>
      </c>
      <c r="C138" t="str">
        <f t="shared" si="9"/>
        <v>Q3</v>
      </c>
      <c r="D138" t="str">
        <f t="shared" si="10"/>
        <v>FY2023</v>
      </c>
    </row>
    <row r="139" spans="1:4">
      <c r="A139" s="11">
        <f t="shared" si="11"/>
        <v>45154</v>
      </c>
      <c r="B139" t="str">
        <f t="shared" si="8"/>
        <v>Aug 2023</v>
      </c>
      <c r="C139" t="str">
        <f t="shared" si="9"/>
        <v>Q3</v>
      </c>
      <c r="D139" t="str">
        <f t="shared" si="10"/>
        <v>FY2023</v>
      </c>
    </row>
    <row r="140" spans="1:4">
      <c r="A140" s="11">
        <f t="shared" si="11"/>
        <v>45155</v>
      </c>
      <c r="B140" t="str">
        <f t="shared" si="8"/>
        <v>Aug 2023</v>
      </c>
      <c r="C140" t="str">
        <f t="shared" si="9"/>
        <v>Q3</v>
      </c>
      <c r="D140" t="str">
        <f t="shared" si="10"/>
        <v>FY2023</v>
      </c>
    </row>
    <row r="141" spans="1:4">
      <c r="A141" s="11">
        <f t="shared" si="11"/>
        <v>45156</v>
      </c>
      <c r="B141" t="str">
        <f t="shared" si="8"/>
        <v>Aug 2023</v>
      </c>
      <c r="C141" t="str">
        <f t="shared" si="9"/>
        <v>Q3</v>
      </c>
      <c r="D141" t="str">
        <f t="shared" si="10"/>
        <v>FY2023</v>
      </c>
    </row>
    <row r="142" spans="1:4">
      <c r="A142" s="11">
        <f t="shared" si="11"/>
        <v>45157</v>
      </c>
      <c r="B142" t="str">
        <f t="shared" si="8"/>
        <v>Aug 2023</v>
      </c>
      <c r="C142" t="str">
        <f t="shared" si="9"/>
        <v>Q3</v>
      </c>
      <c r="D142" t="str">
        <f t="shared" si="10"/>
        <v>FY2023</v>
      </c>
    </row>
    <row r="143" spans="1:4">
      <c r="A143" s="11">
        <f t="shared" si="11"/>
        <v>45158</v>
      </c>
      <c r="B143" t="str">
        <f t="shared" si="8"/>
        <v>Aug 2023</v>
      </c>
      <c r="C143" t="str">
        <f t="shared" si="9"/>
        <v>Q3</v>
      </c>
      <c r="D143" t="str">
        <f t="shared" si="10"/>
        <v>FY2023</v>
      </c>
    </row>
    <row r="144" spans="1:4">
      <c r="A144" s="11">
        <f t="shared" si="11"/>
        <v>45159</v>
      </c>
      <c r="B144" t="str">
        <f t="shared" si="8"/>
        <v>Aug 2023</v>
      </c>
      <c r="C144" t="str">
        <f t="shared" si="9"/>
        <v>Q3</v>
      </c>
      <c r="D144" t="str">
        <f t="shared" si="10"/>
        <v>FY2023</v>
      </c>
    </row>
    <row r="145" spans="1:4">
      <c r="A145" s="11">
        <f t="shared" si="11"/>
        <v>45160</v>
      </c>
      <c r="B145" t="str">
        <f t="shared" si="8"/>
        <v>Aug 2023</v>
      </c>
      <c r="C145" t="str">
        <f t="shared" si="9"/>
        <v>Q3</v>
      </c>
      <c r="D145" t="str">
        <f t="shared" si="10"/>
        <v>FY2023</v>
      </c>
    </row>
    <row r="146" spans="1:4">
      <c r="A146" s="11">
        <f t="shared" si="11"/>
        <v>45161</v>
      </c>
      <c r="B146" t="str">
        <f t="shared" si="8"/>
        <v>Aug 2023</v>
      </c>
      <c r="C146" t="str">
        <f t="shared" si="9"/>
        <v>Q3</v>
      </c>
      <c r="D146" t="str">
        <f t="shared" si="10"/>
        <v>FY2023</v>
      </c>
    </row>
    <row r="147" spans="1:4">
      <c r="A147" s="11">
        <f t="shared" si="11"/>
        <v>45162</v>
      </c>
      <c r="B147" t="str">
        <f t="shared" si="8"/>
        <v>Aug 2023</v>
      </c>
      <c r="C147" t="str">
        <f t="shared" si="9"/>
        <v>Q3</v>
      </c>
      <c r="D147" t="str">
        <f t="shared" si="10"/>
        <v>FY2023</v>
      </c>
    </row>
    <row r="148" spans="1:4">
      <c r="A148" s="11">
        <f t="shared" si="11"/>
        <v>45163</v>
      </c>
      <c r="B148" t="str">
        <f t="shared" si="8"/>
        <v>Aug 2023</v>
      </c>
      <c r="C148" t="str">
        <f t="shared" si="9"/>
        <v>Q3</v>
      </c>
      <c r="D148" t="str">
        <f t="shared" si="10"/>
        <v>FY2023</v>
      </c>
    </row>
    <row r="149" spans="1:4">
      <c r="A149" s="11">
        <f t="shared" si="11"/>
        <v>45164</v>
      </c>
      <c r="B149" t="str">
        <f t="shared" si="8"/>
        <v>Aug 2023</v>
      </c>
      <c r="C149" t="str">
        <f t="shared" si="9"/>
        <v>Q3</v>
      </c>
      <c r="D149" t="str">
        <f t="shared" si="10"/>
        <v>FY2023</v>
      </c>
    </row>
    <row r="150" spans="1:4">
      <c r="A150" s="11">
        <f t="shared" si="11"/>
        <v>45165</v>
      </c>
      <c r="B150" t="str">
        <f t="shared" si="8"/>
        <v>Aug 2023</v>
      </c>
      <c r="C150" t="str">
        <f t="shared" si="9"/>
        <v>Q3</v>
      </c>
      <c r="D150" t="str">
        <f t="shared" si="10"/>
        <v>FY2023</v>
      </c>
    </row>
    <row r="151" spans="1:4">
      <c r="A151" s="11">
        <f t="shared" si="11"/>
        <v>45166</v>
      </c>
      <c r="B151" t="str">
        <f t="shared" si="8"/>
        <v>Aug 2023</v>
      </c>
      <c r="C151" t="str">
        <f t="shared" si="9"/>
        <v>Q3</v>
      </c>
      <c r="D151" t="str">
        <f t="shared" si="10"/>
        <v>FY2023</v>
      </c>
    </row>
    <row r="152" spans="1:4">
      <c r="A152" s="11">
        <f t="shared" si="11"/>
        <v>45167</v>
      </c>
      <c r="B152" t="str">
        <f t="shared" si="8"/>
        <v>Aug 2023</v>
      </c>
      <c r="C152" t="str">
        <f t="shared" si="9"/>
        <v>Q3</v>
      </c>
      <c r="D152" t="str">
        <f t="shared" si="10"/>
        <v>FY2023</v>
      </c>
    </row>
    <row r="153" spans="1:4">
      <c r="A153" s="11">
        <f t="shared" si="11"/>
        <v>45168</v>
      </c>
      <c r="B153" t="str">
        <f t="shared" si="8"/>
        <v>Aug 2023</v>
      </c>
      <c r="C153" t="str">
        <f t="shared" si="9"/>
        <v>Q3</v>
      </c>
      <c r="D153" t="str">
        <f t="shared" si="10"/>
        <v>FY2023</v>
      </c>
    </row>
    <row r="154" spans="1:4">
      <c r="A154" s="11">
        <f t="shared" si="11"/>
        <v>45169</v>
      </c>
      <c r="B154" t="str">
        <f t="shared" si="8"/>
        <v>Aug 2023</v>
      </c>
      <c r="C154" t="str">
        <f t="shared" si="9"/>
        <v>Q3</v>
      </c>
      <c r="D154" t="str">
        <f t="shared" si="10"/>
        <v>FY2023</v>
      </c>
    </row>
    <row r="155" spans="1:4">
      <c r="A155" s="11">
        <f t="shared" si="11"/>
        <v>45170</v>
      </c>
      <c r="B155" t="str">
        <f t="shared" si="8"/>
        <v>Sep 2023</v>
      </c>
      <c r="C155" t="str">
        <f t="shared" si="9"/>
        <v>Q3</v>
      </c>
      <c r="D155" t="str">
        <f t="shared" si="10"/>
        <v>FY2023</v>
      </c>
    </row>
    <row r="156" spans="1:4">
      <c r="A156" s="11">
        <f t="shared" si="11"/>
        <v>45171</v>
      </c>
      <c r="B156" t="str">
        <f t="shared" si="8"/>
        <v>Sep 2023</v>
      </c>
      <c r="C156" t="str">
        <f t="shared" si="9"/>
        <v>Q3</v>
      </c>
      <c r="D156" t="str">
        <f t="shared" si="10"/>
        <v>FY2023</v>
      </c>
    </row>
    <row r="157" spans="1:4">
      <c r="A157" s="11">
        <f t="shared" si="11"/>
        <v>45172</v>
      </c>
      <c r="B157" t="str">
        <f t="shared" si="8"/>
        <v>Sep 2023</v>
      </c>
      <c r="C157" t="str">
        <f t="shared" si="9"/>
        <v>Q3</v>
      </c>
      <c r="D157" t="str">
        <f t="shared" si="10"/>
        <v>FY2023</v>
      </c>
    </row>
    <row r="158" spans="1:4">
      <c r="A158" s="11">
        <f t="shared" si="11"/>
        <v>45173</v>
      </c>
      <c r="B158" t="str">
        <f t="shared" si="8"/>
        <v>Sep 2023</v>
      </c>
      <c r="C158" t="str">
        <f t="shared" si="9"/>
        <v>Q3</v>
      </c>
      <c r="D158" t="str">
        <f t="shared" si="10"/>
        <v>FY2023</v>
      </c>
    </row>
    <row r="159" spans="1:4">
      <c r="A159" s="11">
        <f t="shared" si="11"/>
        <v>45174</v>
      </c>
      <c r="B159" t="str">
        <f t="shared" si="8"/>
        <v>Sep 2023</v>
      </c>
      <c r="C159" t="str">
        <f t="shared" si="9"/>
        <v>Q3</v>
      </c>
      <c r="D159" t="str">
        <f t="shared" si="10"/>
        <v>FY2023</v>
      </c>
    </row>
    <row r="160" spans="1:4">
      <c r="A160" s="11">
        <f t="shared" si="11"/>
        <v>45175</v>
      </c>
      <c r="B160" t="str">
        <f t="shared" si="8"/>
        <v>Sep 2023</v>
      </c>
      <c r="C160" t="str">
        <f t="shared" si="9"/>
        <v>Q3</v>
      </c>
      <c r="D160" t="str">
        <f t="shared" si="10"/>
        <v>FY2023</v>
      </c>
    </row>
    <row r="161" spans="1:4">
      <c r="A161" s="11">
        <f t="shared" si="11"/>
        <v>45176</v>
      </c>
      <c r="B161" t="str">
        <f t="shared" si="8"/>
        <v>Sep 2023</v>
      </c>
      <c r="C161" t="str">
        <f t="shared" si="9"/>
        <v>Q3</v>
      </c>
      <c r="D161" t="str">
        <f t="shared" si="10"/>
        <v>FY2023</v>
      </c>
    </row>
    <row r="162" spans="1:4">
      <c r="A162" s="11">
        <f t="shared" si="11"/>
        <v>45177</v>
      </c>
      <c r="B162" t="str">
        <f t="shared" si="8"/>
        <v>Sep 2023</v>
      </c>
      <c r="C162" t="str">
        <f t="shared" si="9"/>
        <v>Q3</v>
      </c>
      <c r="D162" t="str">
        <f t="shared" si="10"/>
        <v>FY2023</v>
      </c>
    </row>
    <row r="163" spans="1:4">
      <c r="A163" s="11">
        <f t="shared" si="11"/>
        <v>45178</v>
      </c>
      <c r="B163" t="str">
        <f t="shared" si="8"/>
        <v>Sep 2023</v>
      </c>
      <c r="C163" t="str">
        <f t="shared" si="9"/>
        <v>Q3</v>
      </c>
      <c r="D163" t="str">
        <f t="shared" si="10"/>
        <v>FY2023</v>
      </c>
    </row>
    <row r="164" spans="1:4">
      <c r="A164" s="11">
        <f t="shared" si="11"/>
        <v>45179</v>
      </c>
      <c r="B164" t="str">
        <f t="shared" si="8"/>
        <v>Sep 2023</v>
      </c>
      <c r="C164" t="str">
        <f t="shared" si="9"/>
        <v>Q3</v>
      </c>
      <c r="D164" t="str">
        <f t="shared" si="10"/>
        <v>FY2023</v>
      </c>
    </row>
    <row r="165" spans="1:4">
      <c r="A165" s="11">
        <f t="shared" si="11"/>
        <v>45180</v>
      </c>
      <c r="B165" t="str">
        <f t="shared" si="8"/>
        <v>Sep 2023</v>
      </c>
      <c r="C165" t="str">
        <f t="shared" si="9"/>
        <v>Q3</v>
      </c>
      <c r="D165" t="str">
        <f t="shared" si="10"/>
        <v>FY2023</v>
      </c>
    </row>
    <row r="166" spans="1:4">
      <c r="A166" s="11">
        <f t="shared" si="11"/>
        <v>45181</v>
      </c>
      <c r="B166" t="str">
        <f t="shared" si="8"/>
        <v>Sep 2023</v>
      </c>
      <c r="C166" t="str">
        <f t="shared" si="9"/>
        <v>Q3</v>
      </c>
      <c r="D166" t="str">
        <f t="shared" si="10"/>
        <v>FY2023</v>
      </c>
    </row>
    <row r="167" spans="1:4">
      <c r="A167" s="11">
        <f t="shared" si="11"/>
        <v>45182</v>
      </c>
      <c r="B167" t="str">
        <f t="shared" si="8"/>
        <v>Sep 2023</v>
      </c>
      <c r="C167" t="str">
        <f t="shared" si="9"/>
        <v>Q3</v>
      </c>
      <c r="D167" t="str">
        <f t="shared" si="10"/>
        <v>FY2023</v>
      </c>
    </row>
    <row r="168" spans="1:4">
      <c r="A168" s="11">
        <f t="shared" si="11"/>
        <v>45183</v>
      </c>
      <c r="B168" t="str">
        <f t="shared" si="8"/>
        <v>Sep 2023</v>
      </c>
      <c r="C168" t="str">
        <f t="shared" si="9"/>
        <v>Q3</v>
      </c>
      <c r="D168" t="str">
        <f t="shared" si="10"/>
        <v>FY2023</v>
      </c>
    </row>
    <row r="169" spans="1:4">
      <c r="A169" s="11">
        <f t="shared" si="11"/>
        <v>45184</v>
      </c>
      <c r="B169" t="str">
        <f t="shared" si="8"/>
        <v>Sep 2023</v>
      </c>
      <c r="C169" t="str">
        <f t="shared" si="9"/>
        <v>Q3</v>
      </c>
      <c r="D169" t="str">
        <f t="shared" si="10"/>
        <v>FY2023</v>
      </c>
    </row>
    <row r="170" spans="1:4">
      <c r="A170" s="11">
        <f t="shared" si="11"/>
        <v>45185</v>
      </c>
      <c r="B170" t="str">
        <f t="shared" si="8"/>
        <v>Sep 2023</v>
      </c>
      <c r="C170" t="str">
        <f t="shared" si="9"/>
        <v>Q3</v>
      </c>
      <c r="D170" t="str">
        <f t="shared" si="10"/>
        <v>FY2023</v>
      </c>
    </row>
    <row r="171" spans="1:4">
      <c r="A171" s="11">
        <f t="shared" si="11"/>
        <v>45186</v>
      </c>
      <c r="B171" t="str">
        <f t="shared" si="8"/>
        <v>Sep 2023</v>
      </c>
      <c r="C171" t="str">
        <f t="shared" si="9"/>
        <v>Q3</v>
      </c>
      <c r="D171" t="str">
        <f t="shared" si="10"/>
        <v>FY2023</v>
      </c>
    </row>
    <row r="172" spans="1:4">
      <c r="A172" s="11">
        <f t="shared" si="11"/>
        <v>45187</v>
      </c>
      <c r="B172" t="str">
        <f t="shared" si="8"/>
        <v>Sep 2023</v>
      </c>
      <c r="C172" t="str">
        <f t="shared" si="9"/>
        <v>Q3</v>
      </c>
      <c r="D172" t="str">
        <f t="shared" si="10"/>
        <v>FY2023</v>
      </c>
    </row>
    <row r="173" spans="1:4">
      <c r="A173" s="11">
        <f t="shared" si="11"/>
        <v>45188</v>
      </c>
      <c r="B173" t="str">
        <f t="shared" si="8"/>
        <v>Sep 2023</v>
      </c>
      <c r="C173" t="str">
        <f t="shared" si="9"/>
        <v>Q3</v>
      </c>
      <c r="D173" t="str">
        <f t="shared" si="10"/>
        <v>FY2023</v>
      </c>
    </row>
    <row r="174" spans="1:4">
      <c r="A174" s="11">
        <f t="shared" si="11"/>
        <v>45189</v>
      </c>
      <c r="B174" t="str">
        <f t="shared" si="8"/>
        <v>Sep 2023</v>
      </c>
      <c r="C174" t="str">
        <f t="shared" si="9"/>
        <v>Q3</v>
      </c>
      <c r="D174" t="str">
        <f t="shared" si="10"/>
        <v>FY2023</v>
      </c>
    </row>
    <row r="175" spans="1:4">
      <c r="A175" s="11">
        <f t="shared" si="11"/>
        <v>45190</v>
      </c>
      <c r="B175" t="str">
        <f t="shared" si="8"/>
        <v>Sep 2023</v>
      </c>
      <c r="C175" t="str">
        <f t="shared" si="9"/>
        <v>Q3</v>
      </c>
      <c r="D175" t="str">
        <f t="shared" si="10"/>
        <v>FY2023</v>
      </c>
    </row>
    <row r="176" spans="1:4">
      <c r="A176" s="11">
        <f t="shared" si="11"/>
        <v>45191</v>
      </c>
      <c r="B176" t="str">
        <f t="shared" si="8"/>
        <v>Sep 2023</v>
      </c>
      <c r="C176" t="str">
        <f t="shared" si="9"/>
        <v>Q3</v>
      </c>
      <c r="D176" t="str">
        <f t="shared" si="10"/>
        <v>FY2023</v>
      </c>
    </row>
    <row r="177" spans="1:4">
      <c r="A177" s="11">
        <f t="shared" si="11"/>
        <v>45192</v>
      </c>
      <c r="B177" t="str">
        <f t="shared" si="8"/>
        <v>Sep 2023</v>
      </c>
      <c r="C177" t="str">
        <f t="shared" si="9"/>
        <v>Q3</v>
      </c>
      <c r="D177" t="str">
        <f t="shared" si="10"/>
        <v>FY2023</v>
      </c>
    </row>
    <row r="178" spans="1:4">
      <c r="A178" s="11">
        <f t="shared" si="11"/>
        <v>45193</v>
      </c>
      <c r="B178" t="str">
        <f t="shared" si="8"/>
        <v>Sep 2023</v>
      </c>
      <c r="C178" t="str">
        <f t="shared" si="9"/>
        <v>Q3</v>
      </c>
      <c r="D178" t="str">
        <f t="shared" si="10"/>
        <v>FY2023</v>
      </c>
    </row>
    <row r="179" spans="1:4">
      <c r="A179" s="11">
        <f t="shared" si="11"/>
        <v>45194</v>
      </c>
      <c r="B179" t="str">
        <f t="shared" si="8"/>
        <v>Sep 2023</v>
      </c>
      <c r="C179" t="str">
        <f t="shared" si="9"/>
        <v>Q3</v>
      </c>
      <c r="D179" t="str">
        <f t="shared" si="10"/>
        <v>FY2023</v>
      </c>
    </row>
    <row r="180" spans="1:4">
      <c r="A180" s="11">
        <f t="shared" si="11"/>
        <v>45195</v>
      </c>
      <c r="B180" t="str">
        <f t="shared" si="8"/>
        <v>Sep 2023</v>
      </c>
      <c r="C180" t="str">
        <f t="shared" si="9"/>
        <v>Q3</v>
      </c>
      <c r="D180" t="str">
        <f t="shared" si="10"/>
        <v>FY2023</v>
      </c>
    </row>
    <row r="181" spans="1:4">
      <c r="A181" s="11">
        <f t="shared" si="11"/>
        <v>45196</v>
      </c>
      <c r="B181" t="str">
        <f t="shared" si="8"/>
        <v>Sep 2023</v>
      </c>
      <c r="C181" t="str">
        <f t="shared" si="9"/>
        <v>Q3</v>
      </c>
      <c r="D181" t="str">
        <f t="shared" si="10"/>
        <v>FY2023</v>
      </c>
    </row>
    <row r="182" spans="1:4">
      <c r="A182" s="11">
        <f t="shared" si="11"/>
        <v>45197</v>
      </c>
      <c r="B182" t="str">
        <f t="shared" si="8"/>
        <v>Sep 2023</v>
      </c>
      <c r="C182" t="str">
        <f t="shared" si="9"/>
        <v>Q3</v>
      </c>
      <c r="D182" t="str">
        <f t="shared" si="10"/>
        <v>FY2023</v>
      </c>
    </row>
    <row r="183" spans="1:4">
      <c r="A183" s="11">
        <f t="shared" si="11"/>
        <v>45198</v>
      </c>
      <c r="B183" t="str">
        <f t="shared" si="8"/>
        <v>Sep 2023</v>
      </c>
      <c r="C183" t="str">
        <f t="shared" si="9"/>
        <v>Q3</v>
      </c>
      <c r="D183" t="str">
        <f t="shared" si="10"/>
        <v>FY2023</v>
      </c>
    </row>
    <row r="184" spans="1:4">
      <c r="A184" s="11">
        <f t="shared" si="11"/>
        <v>45199</v>
      </c>
      <c r="B184" t="str">
        <f t="shared" si="8"/>
        <v>Sep 2023</v>
      </c>
      <c r="C184" t="str">
        <f t="shared" si="9"/>
        <v>Q3</v>
      </c>
      <c r="D184" t="str">
        <f t="shared" si="10"/>
        <v>FY2023</v>
      </c>
    </row>
    <row r="185" spans="1:4">
      <c r="A185" s="11">
        <f t="shared" si="11"/>
        <v>45200</v>
      </c>
      <c r="B185" t="str">
        <f t="shared" si="8"/>
        <v>Oct 2023</v>
      </c>
      <c r="C185" t="str">
        <f t="shared" si="9"/>
        <v>Q4</v>
      </c>
      <c r="D185" t="str">
        <f t="shared" si="10"/>
        <v>FY2023</v>
      </c>
    </row>
    <row r="186" spans="1:4">
      <c r="A186" s="11">
        <f t="shared" si="11"/>
        <v>45201</v>
      </c>
      <c r="B186" t="str">
        <f t="shared" si="8"/>
        <v>Oct 2023</v>
      </c>
      <c r="C186" t="str">
        <f t="shared" si="9"/>
        <v>Q4</v>
      </c>
      <c r="D186" t="str">
        <f t="shared" si="10"/>
        <v>FY2023</v>
      </c>
    </row>
    <row r="187" spans="1:4">
      <c r="A187" s="11">
        <f t="shared" si="11"/>
        <v>45202</v>
      </c>
      <c r="B187" t="str">
        <f t="shared" si="8"/>
        <v>Oct 2023</v>
      </c>
      <c r="C187" t="str">
        <f t="shared" si="9"/>
        <v>Q4</v>
      </c>
      <c r="D187" t="str">
        <f t="shared" si="10"/>
        <v>FY2023</v>
      </c>
    </row>
    <row r="188" spans="1:4">
      <c r="A188" s="11">
        <f t="shared" si="11"/>
        <v>45203</v>
      </c>
      <c r="B188" t="str">
        <f t="shared" si="8"/>
        <v>Oct 2023</v>
      </c>
      <c r="C188" t="str">
        <f t="shared" si="9"/>
        <v>Q4</v>
      </c>
      <c r="D188" t="str">
        <f t="shared" si="10"/>
        <v>FY2023</v>
      </c>
    </row>
    <row r="189" spans="1:4">
      <c r="A189" s="11">
        <f t="shared" si="11"/>
        <v>45204</v>
      </c>
      <c r="B189" t="str">
        <f t="shared" si="8"/>
        <v>Oct 2023</v>
      </c>
      <c r="C189" t="str">
        <f t="shared" si="9"/>
        <v>Q4</v>
      </c>
      <c r="D189" t="str">
        <f t="shared" si="10"/>
        <v>FY2023</v>
      </c>
    </row>
    <row r="190" spans="1:4">
      <c r="A190" s="11">
        <f t="shared" si="11"/>
        <v>45205</v>
      </c>
      <c r="B190" t="str">
        <f t="shared" si="8"/>
        <v>Oct 2023</v>
      </c>
      <c r="C190" t="str">
        <f t="shared" si="9"/>
        <v>Q4</v>
      </c>
      <c r="D190" t="str">
        <f t="shared" si="10"/>
        <v>FY2023</v>
      </c>
    </row>
    <row r="191" spans="1:4">
      <c r="A191" s="11">
        <f t="shared" si="11"/>
        <v>45206</v>
      </c>
      <c r="B191" t="str">
        <f t="shared" si="8"/>
        <v>Oct 2023</v>
      </c>
      <c r="C191" t="str">
        <f t="shared" si="9"/>
        <v>Q4</v>
      </c>
      <c r="D191" t="str">
        <f t="shared" si="10"/>
        <v>FY2023</v>
      </c>
    </row>
    <row r="192" spans="1:4">
      <c r="A192" s="11">
        <f t="shared" si="11"/>
        <v>45207</v>
      </c>
      <c r="B192" t="str">
        <f t="shared" si="8"/>
        <v>Oct 2023</v>
      </c>
      <c r="C192" t="str">
        <f t="shared" si="9"/>
        <v>Q4</v>
      </c>
      <c r="D192" t="str">
        <f t="shared" si="10"/>
        <v>FY2023</v>
      </c>
    </row>
    <row r="193" spans="1:4">
      <c r="A193" s="11">
        <f t="shared" si="11"/>
        <v>45208</v>
      </c>
      <c r="B193" t="str">
        <f t="shared" si="8"/>
        <v>Oct 2023</v>
      </c>
      <c r="C193" t="str">
        <f t="shared" si="9"/>
        <v>Q4</v>
      </c>
      <c r="D193" t="str">
        <f t="shared" si="10"/>
        <v>FY2023</v>
      </c>
    </row>
    <row r="194" spans="1:4">
      <c r="A194" s="11">
        <f t="shared" si="11"/>
        <v>45209</v>
      </c>
      <c r="B194" t="str">
        <f t="shared" si="8"/>
        <v>Oct 2023</v>
      </c>
      <c r="C194" t="str">
        <f t="shared" si="9"/>
        <v>Q4</v>
      </c>
      <c r="D194" t="str">
        <f t="shared" si="10"/>
        <v>FY2023</v>
      </c>
    </row>
    <row r="195" spans="1:4">
      <c r="A195" s="11">
        <f t="shared" si="11"/>
        <v>45210</v>
      </c>
      <c r="B195" t="str">
        <f t="shared" ref="B195:B258" si="12">TEXT(A195, "MMM_YYYY")</f>
        <v>Oct 2023</v>
      </c>
      <c r="C195" t="str">
        <f t="shared" ref="C195:C258" si="13">"Q" &amp; INT((MONTH(A195)-1)/3)+1</f>
        <v>Q4</v>
      </c>
      <c r="D195" t="str">
        <f t="shared" ref="D195:D258" si="14">"FY" &amp; IF(MONTH(A195)&gt;=4, YEAR(A195), YEAR(A195)-1)</f>
        <v>FY2023</v>
      </c>
    </row>
    <row r="196" spans="1:4">
      <c r="A196" s="11">
        <f t="shared" ref="A196:A259" si="15">A195+1</f>
        <v>45211</v>
      </c>
      <c r="B196" t="str">
        <f t="shared" si="12"/>
        <v>Oct 2023</v>
      </c>
      <c r="C196" t="str">
        <f t="shared" si="13"/>
        <v>Q4</v>
      </c>
      <c r="D196" t="str">
        <f t="shared" si="14"/>
        <v>FY2023</v>
      </c>
    </row>
    <row r="197" spans="1:4">
      <c r="A197" s="11">
        <f t="shared" si="15"/>
        <v>45212</v>
      </c>
      <c r="B197" t="str">
        <f t="shared" si="12"/>
        <v>Oct 2023</v>
      </c>
      <c r="C197" t="str">
        <f t="shared" si="13"/>
        <v>Q4</v>
      </c>
      <c r="D197" t="str">
        <f t="shared" si="14"/>
        <v>FY2023</v>
      </c>
    </row>
    <row r="198" spans="1:4">
      <c r="A198" s="11">
        <f t="shared" si="15"/>
        <v>45213</v>
      </c>
      <c r="B198" t="str">
        <f t="shared" si="12"/>
        <v>Oct 2023</v>
      </c>
      <c r="C198" t="str">
        <f t="shared" si="13"/>
        <v>Q4</v>
      </c>
      <c r="D198" t="str">
        <f t="shared" si="14"/>
        <v>FY2023</v>
      </c>
    </row>
    <row r="199" spans="1:4">
      <c r="A199" s="11">
        <f t="shared" si="15"/>
        <v>45214</v>
      </c>
      <c r="B199" t="str">
        <f t="shared" si="12"/>
        <v>Oct 2023</v>
      </c>
      <c r="C199" t="str">
        <f t="shared" si="13"/>
        <v>Q4</v>
      </c>
      <c r="D199" t="str">
        <f t="shared" si="14"/>
        <v>FY2023</v>
      </c>
    </row>
    <row r="200" spans="1:4">
      <c r="A200" s="11">
        <f t="shared" si="15"/>
        <v>45215</v>
      </c>
      <c r="B200" t="str">
        <f t="shared" si="12"/>
        <v>Oct 2023</v>
      </c>
      <c r="C200" t="str">
        <f t="shared" si="13"/>
        <v>Q4</v>
      </c>
      <c r="D200" t="str">
        <f t="shared" si="14"/>
        <v>FY2023</v>
      </c>
    </row>
    <row r="201" spans="1:4">
      <c r="A201" s="11">
        <f t="shared" si="15"/>
        <v>45216</v>
      </c>
      <c r="B201" t="str">
        <f t="shared" si="12"/>
        <v>Oct 2023</v>
      </c>
      <c r="C201" t="str">
        <f t="shared" si="13"/>
        <v>Q4</v>
      </c>
      <c r="D201" t="str">
        <f t="shared" si="14"/>
        <v>FY2023</v>
      </c>
    </row>
    <row r="202" spans="1:4">
      <c r="A202" s="11">
        <f t="shared" si="15"/>
        <v>45217</v>
      </c>
      <c r="B202" t="str">
        <f t="shared" si="12"/>
        <v>Oct 2023</v>
      </c>
      <c r="C202" t="str">
        <f t="shared" si="13"/>
        <v>Q4</v>
      </c>
      <c r="D202" t="str">
        <f t="shared" si="14"/>
        <v>FY2023</v>
      </c>
    </row>
    <row r="203" spans="1:4">
      <c r="A203" s="11">
        <f t="shared" si="15"/>
        <v>45218</v>
      </c>
      <c r="B203" t="str">
        <f t="shared" si="12"/>
        <v>Oct 2023</v>
      </c>
      <c r="C203" t="str">
        <f t="shared" si="13"/>
        <v>Q4</v>
      </c>
      <c r="D203" t="str">
        <f t="shared" si="14"/>
        <v>FY2023</v>
      </c>
    </row>
    <row r="204" spans="1:4">
      <c r="A204" s="11">
        <f t="shared" si="15"/>
        <v>45219</v>
      </c>
      <c r="B204" t="str">
        <f t="shared" si="12"/>
        <v>Oct 2023</v>
      </c>
      <c r="C204" t="str">
        <f t="shared" si="13"/>
        <v>Q4</v>
      </c>
      <c r="D204" t="str">
        <f t="shared" si="14"/>
        <v>FY2023</v>
      </c>
    </row>
    <row r="205" spans="1:4">
      <c r="A205" s="11">
        <f t="shared" si="15"/>
        <v>45220</v>
      </c>
      <c r="B205" t="str">
        <f t="shared" si="12"/>
        <v>Oct 2023</v>
      </c>
      <c r="C205" t="str">
        <f t="shared" si="13"/>
        <v>Q4</v>
      </c>
      <c r="D205" t="str">
        <f t="shared" si="14"/>
        <v>FY2023</v>
      </c>
    </row>
    <row r="206" spans="1:4">
      <c r="A206" s="11">
        <f t="shared" si="15"/>
        <v>45221</v>
      </c>
      <c r="B206" t="str">
        <f t="shared" si="12"/>
        <v>Oct 2023</v>
      </c>
      <c r="C206" t="str">
        <f t="shared" si="13"/>
        <v>Q4</v>
      </c>
      <c r="D206" t="str">
        <f t="shared" si="14"/>
        <v>FY2023</v>
      </c>
    </row>
    <row r="207" spans="1:4">
      <c r="A207" s="11">
        <f t="shared" si="15"/>
        <v>45222</v>
      </c>
      <c r="B207" t="str">
        <f t="shared" si="12"/>
        <v>Oct 2023</v>
      </c>
      <c r="C207" t="str">
        <f t="shared" si="13"/>
        <v>Q4</v>
      </c>
      <c r="D207" t="str">
        <f t="shared" si="14"/>
        <v>FY2023</v>
      </c>
    </row>
    <row r="208" spans="1:4">
      <c r="A208" s="11">
        <f t="shared" si="15"/>
        <v>45223</v>
      </c>
      <c r="B208" t="str">
        <f t="shared" si="12"/>
        <v>Oct 2023</v>
      </c>
      <c r="C208" t="str">
        <f t="shared" si="13"/>
        <v>Q4</v>
      </c>
      <c r="D208" t="str">
        <f t="shared" si="14"/>
        <v>FY2023</v>
      </c>
    </row>
    <row r="209" spans="1:4">
      <c r="A209" s="11">
        <f t="shared" si="15"/>
        <v>45224</v>
      </c>
      <c r="B209" t="str">
        <f t="shared" si="12"/>
        <v>Oct 2023</v>
      </c>
      <c r="C209" t="str">
        <f t="shared" si="13"/>
        <v>Q4</v>
      </c>
      <c r="D209" t="str">
        <f t="shared" si="14"/>
        <v>FY2023</v>
      </c>
    </row>
    <row r="210" spans="1:4">
      <c r="A210" s="11">
        <f t="shared" si="15"/>
        <v>45225</v>
      </c>
      <c r="B210" t="str">
        <f t="shared" si="12"/>
        <v>Oct 2023</v>
      </c>
      <c r="C210" t="str">
        <f t="shared" si="13"/>
        <v>Q4</v>
      </c>
      <c r="D210" t="str">
        <f t="shared" si="14"/>
        <v>FY2023</v>
      </c>
    </row>
    <row r="211" spans="1:4">
      <c r="A211" s="11">
        <f t="shared" si="15"/>
        <v>45226</v>
      </c>
      <c r="B211" t="str">
        <f t="shared" si="12"/>
        <v>Oct 2023</v>
      </c>
      <c r="C211" t="str">
        <f t="shared" si="13"/>
        <v>Q4</v>
      </c>
      <c r="D211" t="str">
        <f t="shared" si="14"/>
        <v>FY2023</v>
      </c>
    </row>
    <row r="212" spans="1:4">
      <c r="A212" s="11">
        <f t="shared" si="15"/>
        <v>45227</v>
      </c>
      <c r="B212" t="str">
        <f t="shared" si="12"/>
        <v>Oct 2023</v>
      </c>
      <c r="C212" t="str">
        <f t="shared" si="13"/>
        <v>Q4</v>
      </c>
      <c r="D212" t="str">
        <f t="shared" si="14"/>
        <v>FY2023</v>
      </c>
    </row>
    <row r="213" spans="1:4">
      <c r="A213" s="11">
        <f t="shared" si="15"/>
        <v>45228</v>
      </c>
      <c r="B213" t="str">
        <f t="shared" si="12"/>
        <v>Oct 2023</v>
      </c>
      <c r="C213" t="str">
        <f t="shared" si="13"/>
        <v>Q4</v>
      </c>
      <c r="D213" t="str">
        <f t="shared" si="14"/>
        <v>FY2023</v>
      </c>
    </row>
    <row r="214" spans="1:4">
      <c r="A214" s="11">
        <f t="shared" si="15"/>
        <v>45229</v>
      </c>
      <c r="B214" t="str">
        <f t="shared" si="12"/>
        <v>Oct 2023</v>
      </c>
      <c r="C214" t="str">
        <f t="shared" si="13"/>
        <v>Q4</v>
      </c>
      <c r="D214" t="str">
        <f t="shared" si="14"/>
        <v>FY2023</v>
      </c>
    </row>
    <row r="215" spans="1:4">
      <c r="A215" s="11">
        <f t="shared" si="15"/>
        <v>45230</v>
      </c>
      <c r="B215" t="str">
        <f t="shared" si="12"/>
        <v>Oct 2023</v>
      </c>
      <c r="C215" t="str">
        <f t="shared" si="13"/>
        <v>Q4</v>
      </c>
      <c r="D215" t="str">
        <f t="shared" si="14"/>
        <v>FY2023</v>
      </c>
    </row>
    <row r="216" spans="1:4">
      <c r="A216" s="11">
        <f t="shared" si="15"/>
        <v>45231</v>
      </c>
      <c r="B216" t="str">
        <f t="shared" si="12"/>
        <v>Nov 2023</v>
      </c>
      <c r="C216" t="str">
        <f t="shared" si="13"/>
        <v>Q4</v>
      </c>
      <c r="D216" t="str">
        <f t="shared" si="14"/>
        <v>FY2023</v>
      </c>
    </row>
    <row r="217" spans="1:4">
      <c r="A217" s="11">
        <f t="shared" si="15"/>
        <v>45232</v>
      </c>
      <c r="B217" t="str">
        <f t="shared" si="12"/>
        <v>Nov 2023</v>
      </c>
      <c r="C217" t="str">
        <f t="shared" si="13"/>
        <v>Q4</v>
      </c>
      <c r="D217" t="str">
        <f t="shared" si="14"/>
        <v>FY2023</v>
      </c>
    </row>
    <row r="218" spans="1:4">
      <c r="A218" s="11">
        <f t="shared" si="15"/>
        <v>45233</v>
      </c>
      <c r="B218" t="str">
        <f t="shared" si="12"/>
        <v>Nov 2023</v>
      </c>
      <c r="C218" t="str">
        <f t="shared" si="13"/>
        <v>Q4</v>
      </c>
      <c r="D218" t="str">
        <f t="shared" si="14"/>
        <v>FY2023</v>
      </c>
    </row>
    <row r="219" spans="1:4">
      <c r="A219" s="11">
        <f t="shared" si="15"/>
        <v>45234</v>
      </c>
      <c r="B219" t="str">
        <f t="shared" si="12"/>
        <v>Nov 2023</v>
      </c>
      <c r="C219" t="str">
        <f t="shared" si="13"/>
        <v>Q4</v>
      </c>
      <c r="D219" t="str">
        <f t="shared" si="14"/>
        <v>FY2023</v>
      </c>
    </row>
    <row r="220" spans="1:4">
      <c r="A220" s="11">
        <f t="shared" si="15"/>
        <v>45235</v>
      </c>
      <c r="B220" t="str">
        <f t="shared" si="12"/>
        <v>Nov 2023</v>
      </c>
      <c r="C220" t="str">
        <f t="shared" si="13"/>
        <v>Q4</v>
      </c>
      <c r="D220" t="str">
        <f t="shared" si="14"/>
        <v>FY2023</v>
      </c>
    </row>
    <row r="221" spans="1:4">
      <c r="A221" s="11">
        <f t="shared" si="15"/>
        <v>45236</v>
      </c>
      <c r="B221" t="str">
        <f t="shared" si="12"/>
        <v>Nov 2023</v>
      </c>
      <c r="C221" t="str">
        <f t="shared" si="13"/>
        <v>Q4</v>
      </c>
      <c r="D221" t="str">
        <f t="shared" si="14"/>
        <v>FY2023</v>
      </c>
    </row>
    <row r="222" spans="1:4">
      <c r="A222" s="11">
        <f t="shared" si="15"/>
        <v>45237</v>
      </c>
      <c r="B222" t="str">
        <f t="shared" si="12"/>
        <v>Nov 2023</v>
      </c>
      <c r="C222" t="str">
        <f t="shared" si="13"/>
        <v>Q4</v>
      </c>
      <c r="D222" t="str">
        <f t="shared" si="14"/>
        <v>FY2023</v>
      </c>
    </row>
    <row r="223" spans="1:4">
      <c r="A223" s="11">
        <f t="shared" si="15"/>
        <v>45238</v>
      </c>
      <c r="B223" t="str">
        <f t="shared" si="12"/>
        <v>Nov 2023</v>
      </c>
      <c r="C223" t="str">
        <f t="shared" si="13"/>
        <v>Q4</v>
      </c>
      <c r="D223" t="str">
        <f t="shared" si="14"/>
        <v>FY2023</v>
      </c>
    </row>
    <row r="224" spans="1:4">
      <c r="A224" s="11">
        <f t="shared" si="15"/>
        <v>45239</v>
      </c>
      <c r="B224" t="str">
        <f t="shared" si="12"/>
        <v>Nov 2023</v>
      </c>
      <c r="C224" t="str">
        <f t="shared" si="13"/>
        <v>Q4</v>
      </c>
      <c r="D224" t="str">
        <f t="shared" si="14"/>
        <v>FY2023</v>
      </c>
    </row>
    <row r="225" spans="1:4">
      <c r="A225" s="11">
        <f t="shared" si="15"/>
        <v>45240</v>
      </c>
      <c r="B225" t="str">
        <f t="shared" si="12"/>
        <v>Nov 2023</v>
      </c>
      <c r="C225" t="str">
        <f t="shared" si="13"/>
        <v>Q4</v>
      </c>
      <c r="D225" t="str">
        <f t="shared" si="14"/>
        <v>FY2023</v>
      </c>
    </row>
    <row r="226" spans="1:4">
      <c r="A226" s="11">
        <f t="shared" si="15"/>
        <v>45241</v>
      </c>
      <c r="B226" t="str">
        <f t="shared" si="12"/>
        <v>Nov 2023</v>
      </c>
      <c r="C226" t="str">
        <f t="shared" si="13"/>
        <v>Q4</v>
      </c>
      <c r="D226" t="str">
        <f t="shared" si="14"/>
        <v>FY2023</v>
      </c>
    </row>
    <row r="227" spans="1:4">
      <c r="A227" s="11">
        <f t="shared" si="15"/>
        <v>45242</v>
      </c>
      <c r="B227" t="str">
        <f t="shared" si="12"/>
        <v>Nov 2023</v>
      </c>
      <c r="C227" t="str">
        <f t="shared" si="13"/>
        <v>Q4</v>
      </c>
      <c r="D227" t="str">
        <f t="shared" si="14"/>
        <v>FY2023</v>
      </c>
    </row>
    <row r="228" spans="1:4">
      <c r="A228" s="11">
        <f t="shared" si="15"/>
        <v>45243</v>
      </c>
      <c r="B228" t="str">
        <f t="shared" si="12"/>
        <v>Nov 2023</v>
      </c>
      <c r="C228" t="str">
        <f t="shared" si="13"/>
        <v>Q4</v>
      </c>
      <c r="D228" t="str">
        <f t="shared" si="14"/>
        <v>FY2023</v>
      </c>
    </row>
    <row r="229" spans="1:4">
      <c r="A229" s="11">
        <f t="shared" si="15"/>
        <v>45244</v>
      </c>
      <c r="B229" t="str">
        <f t="shared" si="12"/>
        <v>Nov 2023</v>
      </c>
      <c r="C229" t="str">
        <f t="shared" si="13"/>
        <v>Q4</v>
      </c>
      <c r="D229" t="str">
        <f t="shared" si="14"/>
        <v>FY2023</v>
      </c>
    </row>
    <row r="230" spans="1:4">
      <c r="A230" s="11">
        <f t="shared" si="15"/>
        <v>45245</v>
      </c>
      <c r="B230" t="str">
        <f t="shared" si="12"/>
        <v>Nov 2023</v>
      </c>
      <c r="C230" t="str">
        <f t="shared" si="13"/>
        <v>Q4</v>
      </c>
      <c r="D230" t="str">
        <f t="shared" si="14"/>
        <v>FY2023</v>
      </c>
    </row>
    <row r="231" spans="1:4">
      <c r="A231" s="11">
        <f t="shared" si="15"/>
        <v>45246</v>
      </c>
      <c r="B231" t="str">
        <f t="shared" si="12"/>
        <v>Nov 2023</v>
      </c>
      <c r="C231" t="str">
        <f t="shared" si="13"/>
        <v>Q4</v>
      </c>
      <c r="D231" t="str">
        <f t="shared" si="14"/>
        <v>FY2023</v>
      </c>
    </row>
    <row r="232" spans="1:4">
      <c r="A232" s="11">
        <f t="shared" si="15"/>
        <v>45247</v>
      </c>
      <c r="B232" t="str">
        <f t="shared" si="12"/>
        <v>Nov 2023</v>
      </c>
      <c r="C232" t="str">
        <f t="shared" si="13"/>
        <v>Q4</v>
      </c>
      <c r="D232" t="str">
        <f t="shared" si="14"/>
        <v>FY2023</v>
      </c>
    </row>
    <row r="233" spans="1:4">
      <c r="A233" s="11">
        <f t="shared" si="15"/>
        <v>45248</v>
      </c>
      <c r="B233" t="str">
        <f t="shared" si="12"/>
        <v>Nov 2023</v>
      </c>
      <c r="C233" t="str">
        <f t="shared" si="13"/>
        <v>Q4</v>
      </c>
      <c r="D233" t="str">
        <f t="shared" si="14"/>
        <v>FY2023</v>
      </c>
    </row>
    <row r="234" spans="1:4">
      <c r="A234" s="11">
        <f t="shared" si="15"/>
        <v>45249</v>
      </c>
      <c r="B234" t="str">
        <f t="shared" si="12"/>
        <v>Nov 2023</v>
      </c>
      <c r="C234" t="str">
        <f t="shared" si="13"/>
        <v>Q4</v>
      </c>
      <c r="D234" t="str">
        <f t="shared" si="14"/>
        <v>FY2023</v>
      </c>
    </row>
    <row r="235" spans="1:4">
      <c r="A235" s="11">
        <f t="shared" si="15"/>
        <v>45250</v>
      </c>
      <c r="B235" t="str">
        <f t="shared" si="12"/>
        <v>Nov 2023</v>
      </c>
      <c r="C235" t="str">
        <f t="shared" si="13"/>
        <v>Q4</v>
      </c>
      <c r="D235" t="str">
        <f t="shared" si="14"/>
        <v>FY2023</v>
      </c>
    </row>
    <row r="236" spans="1:4">
      <c r="A236" s="11">
        <f t="shared" si="15"/>
        <v>45251</v>
      </c>
      <c r="B236" t="str">
        <f t="shared" si="12"/>
        <v>Nov 2023</v>
      </c>
      <c r="C236" t="str">
        <f t="shared" si="13"/>
        <v>Q4</v>
      </c>
      <c r="D236" t="str">
        <f t="shared" si="14"/>
        <v>FY2023</v>
      </c>
    </row>
    <row r="237" spans="1:4">
      <c r="A237" s="11">
        <f t="shared" si="15"/>
        <v>45252</v>
      </c>
      <c r="B237" t="str">
        <f t="shared" si="12"/>
        <v>Nov 2023</v>
      </c>
      <c r="C237" t="str">
        <f t="shared" si="13"/>
        <v>Q4</v>
      </c>
      <c r="D237" t="str">
        <f t="shared" si="14"/>
        <v>FY2023</v>
      </c>
    </row>
    <row r="238" spans="1:4">
      <c r="A238" s="11">
        <f t="shared" si="15"/>
        <v>45253</v>
      </c>
      <c r="B238" t="str">
        <f t="shared" si="12"/>
        <v>Nov 2023</v>
      </c>
      <c r="C238" t="str">
        <f t="shared" si="13"/>
        <v>Q4</v>
      </c>
      <c r="D238" t="str">
        <f t="shared" si="14"/>
        <v>FY2023</v>
      </c>
    </row>
    <row r="239" spans="1:4">
      <c r="A239" s="11">
        <f t="shared" si="15"/>
        <v>45254</v>
      </c>
      <c r="B239" t="str">
        <f t="shared" si="12"/>
        <v>Nov 2023</v>
      </c>
      <c r="C239" t="str">
        <f t="shared" si="13"/>
        <v>Q4</v>
      </c>
      <c r="D239" t="str">
        <f t="shared" si="14"/>
        <v>FY2023</v>
      </c>
    </row>
    <row r="240" spans="1:4">
      <c r="A240" s="11">
        <f t="shared" si="15"/>
        <v>45255</v>
      </c>
      <c r="B240" t="str">
        <f t="shared" si="12"/>
        <v>Nov 2023</v>
      </c>
      <c r="C240" t="str">
        <f t="shared" si="13"/>
        <v>Q4</v>
      </c>
      <c r="D240" t="str">
        <f t="shared" si="14"/>
        <v>FY2023</v>
      </c>
    </row>
    <row r="241" spans="1:4">
      <c r="A241" s="11">
        <f t="shared" si="15"/>
        <v>45256</v>
      </c>
      <c r="B241" t="str">
        <f t="shared" si="12"/>
        <v>Nov 2023</v>
      </c>
      <c r="C241" t="str">
        <f t="shared" si="13"/>
        <v>Q4</v>
      </c>
      <c r="D241" t="str">
        <f t="shared" si="14"/>
        <v>FY2023</v>
      </c>
    </row>
    <row r="242" spans="1:4">
      <c r="A242" s="11">
        <f t="shared" si="15"/>
        <v>45257</v>
      </c>
      <c r="B242" t="str">
        <f t="shared" si="12"/>
        <v>Nov 2023</v>
      </c>
      <c r="C242" t="str">
        <f t="shared" si="13"/>
        <v>Q4</v>
      </c>
      <c r="D242" t="str">
        <f t="shared" si="14"/>
        <v>FY2023</v>
      </c>
    </row>
    <row r="243" spans="1:4">
      <c r="A243" s="11">
        <f t="shared" si="15"/>
        <v>45258</v>
      </c>
      <c r="B243" t="str">
        <f t="shared" si="12"/>
        <v>Nov 2023</v>
      </c>
      <c r="C243" t="str">
        <f t="shared" si="13"/>
        <v>Q4</v>
      </c>
      <c r="D243" t="str">
        <f t="shared" si="14"/>
        <v>FY2023</v>
      </c>
    </row>
    <row r="244" spans="1:4">
      <c r="A244" s="11">
        <f t="shared" si="15"/>
        <v>45259</v>
      </c>
      <c r="B244" t="str">
        <f t="shared" si="12"/>
        <v>Nov 2023</v>
      </c>
      <c r="C244" t="str">
        <f t="shared" si="13"/>
        <v>Q4</v>
      </c>
      <c r="D244" t="str">
        <f t="shared" si="14"/>
        <v>FY2023</v>
      </c>
    </row>
    <row r="245" spans="1:4">
      <c r="A245" s="11">
        <f t="shared" si="15"/>
        <v>45260</v>
      </c>
      <c r="B245" t="str">
        <f t="shared" si="12"/>
        <v>Nov 2023</v>
      </c>
      <c r="C245" t="str">
        <f t="shared" si="13"/>
        <v>Q4</v>
      </c>
      <c r="D245" t="str">
        <f t="shared" si="14"/>
        <v>FY2023</v>
      </c>
    </row>
    <row r="246" spans="1:4">
      <c r="A246" s="11">
        <f t="shared" si="15"/>
        <v>45261</v>
      </c>
      <c r="B246" t="str">
        <f t="shared" si="12"/>
        <v>Dec 2023</v>
      </c>
      <c r="C246" t="str">
        <f t="shared" si="13"/>
        <v>Q4</v>
      </c>
      <c r="D246" t="str">
        <f t="shared" si="14"/>
        <v>FY2023</v>
      </c>
    </row>
    <row r="247" spans="1:4">
      <c r="A247" s="11">
        <f t="shared" si="15"/>
        <v>45262</v>
      </c>
      <c r="B247" t="str">
        <f t="shared" si="12"/>
        <v>Dec 2023</v>
      </c>
      <c r="C247" t="str">
        <f t="shared" si="13"/>
        <v>Q4</v>
      </c>
      <c r="D247" t="str">
        <f t="shared" si="14"/>
        <v>FY2023</v>
      </c>
    </row>
    <row r="248" spans="1:4">
      <c r="A248" s="11">
        <f t="shared" si="15"/>
        <v>45263</v>
      </c>
      <c r="B248" t="str">
        <f t="shared" si="12"/>
        <v>Dec 2023</v>
      </c>
      <c r="C248" t="str">
        <f t="shared" si="13"/>
        <v>Q4</v>
      </c>
      <c r="D248" t="str">
        <f t="shared" si="14"/>
        <v>FY2023</v>
      </c>
    </row>
    <row r="249" spans="1:4">
      <c r="A249" s="11">
        <f t="shared" si="15"/>
        <v>45264</v>
      </c>
      <c r="B249" t="str">
        <f t="shared" si="12"/>
        <v>Dec 2023</v>
      </c>
      <c r="C249" t="str">
        <f t="shared" si="13"/>
        <v>Q4</v>
      </c>
      <c r="D249" t="str">
        <f t="shared" si="14"/>
        <v>FY2023</v>
      </c>
    </row>
    <row r="250" spans="1:4">
      <c r="A250" s="11">
        <f t="shared" si="15"/>
        <v>45265</v>
      </c>
      <c r="B250" t="str">
        <f t="shared" si="12"/>
        <v>Dec 2023</v>
      </c>
      <c r="C250" t="str">
        <f t="shared" si="13"/>
        <v>Q4</v>
      </c>
      <c r="D250" t="str">
        <f t="shared" si="14"/>
        <v>FY2023</v>
      </c>
    </row>
    <row r="251" spans="1:4">
      <c r="A251" s="11">
        <f t="shared" si="15"/>
        <v>45266</v>
      </c>
      <c r="B251" t="str">
        <f t="shared" si="12"/>
        <v>Dec 2023</v>
      </c>
      <c r="C251" t="str">
        <f t="shared" si="13"/>
        <v>Q4</v>
      </c>
      <c r="D251" t="str">
        <f t="shared" si="14"/>
        <v>FY2023</v>
      </c>
    </row>
    <row r="252" spans="1:4">
      <c r="A252" s="11">
        <f t="shared" si="15"/>
        <v>45267</v>
      </c>
      <c r="B252" t="str">
        <f t="shared" si="12"/>
        <v>Dec 2023</v>
      </c>
      <c r="C252" t="str">
        <f t="shared" si="13"/>
        <v>Q4</v>
      </c>
      <c r="D252" t="str">
        <f t="shared" si="14"/>
        <v>FY2023</v>
      </c>
    </row>
    <row r="253" spans="1:4">
      <c r="A253" s="11">
        <f t="shared" si="15"/>
        <v>45268</v>
      </c>
      <c r="B253" t="str">
        <f t="shared" si="12"/>
        <v>Dec 2023</v>
      </c>
      <c r="C253" t="str">
        <f t="shared" si="13"/>
        <v>Q4</v>
      </c>
      <c r="D253" t="str">
        <f t="shared" si="14"/>
        <v>FY2023</v>
      </c>
    </row>
    <row r="254" spans="1:4">
      <c r="A254" s="11">
        <f t="shared" si="15"/>
        <v>45269</v>
      </c>
      <c r="B254" t="str">
        <f t="shared" si="12"/>
        <v>Dec 2023</v>
      </c>
      <c r="C254" t="str">
        <f t="shared" si="13"/>
        <v>Q4</v>
      </c>
      <c r="D254" t="str">
        <f t="shared" si="14"/>
        <v>FY2023</v>
      </c>
    </row>
    <row r="255" spans="1:4">
      <c r="A255" s="11">
        <f t="shared" si="15"/>
        <v>45270</v>
      </c>
      <c r="B255" t="str">
        <f t="shared" si="12"/>
        <v>Dec 2023</v>
      </c>
      <c r="C255" t="str">
        <f t="shared" si="13"/>
        <v>Q4</v>
      </c>
      <c r="D255" t="str">
        <f t="shared" si="14"/>
        <v>FY2023</v>
      </c>
    </row>
    <row r="256" spans="1:4">
      <c r="A256" s="11">
        <f t="shared" si="15"/>
        <v>45271</v>
      </c>
      <c r="B256" t="str">
        <f t="shared" si="12"/>
        <v>Dec 2023</v>
      </c>
      <c r="C256" t="str">
        <f t="shared" si="13"/>
        <v>Q4</v>
      </c>
      <c r="D256" t="str">
        <f t="shared" si="14"/>
        <v>FY2023</v>
      </c>
    </row>
    <row r="257" spans="1:4">
      <c r="A257" s="11">
        <f t="shared" si="15"/>
        <v>45272</v>
      </c>
      <c r="B257" t="str">
        <f t="shared" si="12"/>
        <v>Dec 2023</v>
      </c>
      <c r="C257" t="str">
        <f t="shared" si="13"/>
        <v>Q4</v>
      </c>
      <c r="D257" t="str">
        <f t="shared" si="14"/>
        <v>FY2023</v>
      </c>
    </row>
    <row r="258" spans="1:4">
      <c r="A258" s="11">
        <f t="shared" si="15"/>
        <v>45273</v>
      </c>
      <c r="B258" t="str">
        <f t="shared" si="12"/>
        <v>Dec 2023</v>
      </c>
      <c r="C258" t="str">
        <f t="shared" si="13"/>
        <v>Q4</v>
      </c>
      <c r="D258" t="str">
        <f t="shared" si="14"/>
        <v>FY2023</v>
      </c>
    </row>
    <row r="259" spans="1:4">
      <c r="A259" s="11">
        <f t="shared" si="15"/>
        <v>45274</v>
      </c>
      <c r="B259" t="str">
        <f t="shared" ref="B259:B322" si="16">TEXT(A259, "MMM_YYYY")</f>
        <v>Dec 2023</v>
      </c>
      <c r="C259" t="str">
        <f t="shared" ref="C259:C322" si="17">"Q" &amp; INT((MONTH(A259)-1)/3)+1</f>
        <v>Q4</v>
      </c>
      <c r="D259" t="str">
        <f t="shared" ref="D259:D322" si="18">"FY" &amp; IF(MONTH(A259)&gt;=4, YEAR(A259), YEAR(A259)-1)</f>
        <v>FY2023</v>
      </c>
    </row>
    <row r="260" spans="1:4">
      <c r="A260" s="11">
        <f t="shared" ref="A260:A323" si="19">A259+1</f>
        <v>45275</v>
      </c>
      <c r="B260" t="str">
        <f t="shared" si="16"/>
        <v>Dec 2023</v>
      </c>
      <c r="C260" t="str">
        <f t="shared" si="17"/>
        <v>Q4</v>
      </c>
      <c r="D260" t="str">
        <f t="shared" si="18"/>
        <v>FY2023</v>
      </c>
    </row>
    <row r="261" spans="1:4">
      <c r="A261" s="11">
        <f t="shared" si="19"/>
        <v>45276</v>
      </c>
      <c r="B261" t="str">
        <f t="shared" si="16"/>
        <v>Dec 2023</v>
      </c>
      <c r="C261" t="str">
        <f t="shared" si="17"/>
        <v>Q4</v>
      </c>
      <c r="D261" t="str">
        <f t="shared" si="18"/>
        <v>FY2023</v>
      </c>
    </row>
    <row r="262" spans="1:4">
      <c r="A262" s="11">
        <f t="shared" si="19"/>
        <v>45277</v>
      </c>
      <c r="B262" t="str">
        <f t="shared" si="16"/>
        <v>Dec 2023</v>
      </c>
      <c r="C262" t="str">
        <f t="shared" si="17"/>
        <v>Q4</v>
      </c>
      <c r="D262" t="str">
        <f t="shared" si="18"/>
        <v>FY2023</v>
      </c>
    </row>
    <row r="263" spans="1:4">
      <c r="A263" s="11">
        <f t="shared" si="19"/>
        <v>45278</v>
      </c>
      <c r="B263" t="str">
        <f t="shared" si="16"/>
        <v>Dec 2023</v>
      </c>
      <c r="C263" t="str">
        <f t="shared" si="17"/>
        <v>Q4</v>
      </c>
      <c r="D263" t="str">
        <f t="shared" si="18"/>
        <v>FY2023</v>
      </c>
    </row>
    <row r="264" spans="1:4">
      <c r="A264" s="11">
        <f t="shared" si="19"/>
        <v>45279</v>
      </c>
      <c r="B264" t="str">
        <f t="shared" si="16"/>
        <v>Dec 2023</v>
      </c>
      <c r="C264" t="str">
        <f t="shared" si="17"/>
        <v>Q4</v>
      </c>
      <c r="D264" t="str">
        <f t="shared" si="18"/>
        <v>FY2023</v>
      </c>
    </row>
    <row r="265" spans="1:4">
      <c r="A265" s="11">
        <f t="shared" si="19"/>
        <v>45280</v>
      </c>
      <c r="B265" t="str">
        <f t="shared" si="16"/>
        <v>Dec 2023</v>
      </c>
      <c r="C265" t="str">
        <f t="shared" si="17"/>
        <v>Q4</v>
      </c>
      <c r="D265" t="str">
        <f t="shared" si="18"/>
        <v>FY2023</v>
      </c>
    </row>
    <row r="266" spans="1:4">
      <c r="A266" s="11">
        <f t="shared" si="19"/>
        <v>45281</v>
      </c>
      <c r="B266" t="str">
        <f t="shared" si="16"/>
        <v>Dec 2023</v>
      </c>
      <c r="C266" t="str">
        <f t="shared" si="17"/>
        <v>Q4</v>
      </c>
      <c r="D266" t="str">
        <f t="shared" si="18"/>
        <v>FY2023</v>
      </c>
    </row>
    <row r="267" spans="1:4">
      <c r="A267" s="11">
        <f t="shared" si="19"/>
        <v>45282</v>
      </c>
      <c r="B267" t="str">
        <f t="shared" si="16"/>
        <v>Dec 2023</v>
      </c>
      <c r="C267" t="str">
        <f t="shared" si="17"/>
        <v>Q4</v>
      </c>
      <c r="D267" t="str">
        <f t="shared" si="18"/>
        <v>FY2023</v>
      </c>
    </row>
    <row r="268" spans="1:4">
      <c r="A268" s="11">
        <f t="shared" si="19"/>
        <v>45283</v>
      </c>
      <c r="B268" t="str">
        <f t="shared" si="16"/>
        <v>Dec 2023</v>
      </c>
      <c r="C268" t="str">
        <f t="shared" si="17"/>
        <v>Q4</v>
      </c>
      <c r="D268" t="str">
        <f t="shared" si="18"/>
        <v>FY2023</v>
      </c>
    </row>
    <row r="269" spans="1:4">
      <c r="A269" s="11">
        <f t="shared" si="19"/>
        <v>45284</v>
      </c>
      <c r="B269" t="str">
        <f t="shared" si="16"/>
        <v>Dec 2023</v>
      </c>
      <c r="C269" t="str">
        <f t="shared" si="17"/>
        <v>Q4</v>
      </c>
      <c r="D269" t="str">
        <f t="shared" si="18"/>
        <v>FY2023</v>
      </c>
    </row>
    <row r="270" spans="1:4">
      <c r="A270" s="11">
        <f t="shared" si="19"/>
        <v>45285</v>
      </c>
      <c r="B270" t="str">
        <f t="shared" si="16"/>
        <v>Dec 2023</v>
      </c>
      <c r="C270" t="str">
        <f t="shared" si="17"/>
        <v>Q4</v>
      </c>
      <c r="D270" t="str">
        <f t="shared" si="18"/>
        <v>FY2023</v>
      </c>
    </row>
    <row r="271" spans="1:4">
      <c r="A271" s="11">
        <f t="shared" si="19"/>
        <v>45286</v>
      </c>
      <c r="B271" t="str">
        <f t="shared" si="16"/>
        <v>Dec 2023</v>
      </c>
      <c r="C271" t="str">
        <f t="shared" si="17"/>
        <v>Q4</v>
      </c>
      <c r="D271" t="str">
        <f t="shared" si="18"/>
        <v>FY2023</v>
      </c>
    </row>
    <row r="272" spans="1:4">
      <c r="A272" s="11">
        <f t="shared" si="19"/>
        <v>45287</v>
      </c>
      <c r="B272" t="str">
        <f t="shared" si="16"/>
        <v>Dec 2023</v>
      </c>
      <c r="C272" t="str">
        <f t="shared" si="17"/>
        <v>Q4</v>
      </c>
      <c r="D272" t="str">
        <f t="shared" si="18"/>
        <v>FY2023</v>
      </c>
    </row>
    <row r="273" spans="1:4">
      <c r="A273" s="11">
        <f t="shared" si="19"/>
        <v>45288</v>
      </c>
      <c r="B273" t="str">
        <f t="shared" si="16"/>
        <v>Dec 2023</v>
      </c>
      <c r="C273" t="str">
        <f t="shared" si="17"/>
        <v>Q4</v>
      </c>
      <c r="D273" t="str">
        <f t="shared" si="18"/>
        <v>FY2023</v>
      </c>
    </row>
    <row r="274" spans="1:4">
      <c r="A274" s="11">
        <f t="shared" si="19"/>
        <v>45289</v>
      </c>
      <c r="B274" t="str">
        <f t="shared" si="16"/>
        <v>Dec 2023</v>
      </c>
      <c r="C274" t="str">
        <f t="shared" si="17"/>
        <v>Q4</v>
      </c>
      <c r="D274" t="str">
        <f t="shared" si="18"/>
        <v>FY2023</v>
      </c>
    </row>
    <row r="275" spans="1:4">
      <c r="A275" s="11">
        <f t="shared" si="19"/>
        <v>45290</v>
      </c>
      <c r="B275" t="str">
        <f t="shared" si="16"/>
        <v>Dec 2023</v>
      </c>
      <c r="C275" t="str">
        <f t="shared" si="17"/>
        <v>Q4</v>
      </c>
      <c r="D275" t="str">
        <f t="shared" si="18"/>
        <v>FY2023</v>
      </c>
    </row>
    <row r="276" spans="1:4">
      <c r="A276" s="11">
        <f t="shared" si="19"/>
        <v>45291</v>
      </c>
      <c r="B276" t="str">
        <f t="shared" si="16"/>
        <v>Dec 2023</v>
      </c>
      <c r="C276" t="str">
        <f t="shared" si="17"/>
        <v>Q4</v>
      </c>
      <c r="D276" t="str">
        <f t="shared" si="18"/>
        <v>FY2023</v>
      </c>
    </row>
    <row r="277" spans="1:4">
      <c r="A277" s="11">
        <f t="shared" si="19"/>
        <v>45292</v>
      </c>
      <c r="B277" t="str">
        <f t="shared" si="16"/>
        <v>Jan 2024</v>
      </c>
      <c r="C277" t="str">
        <f t="shared" si="17"/>
        <v>Q1</v>
      </c>
      <c r="D277" t="str">
        <f t="shared" si="18"/>
        <v>FY2023</v>
      </c>
    </row>
    <row r="278" spans="1:4">
      <c r="A278" s="11">
        <f t="shared" si="19"/>
        <v>45293</v>
      </c>
      <c r="B278" t="str">
        <f t="shared" si="16"/>
        <v>Jan 2024</v>
      </c>
      <c r="C278" t="str">
        <f t="shared" si="17"/>
        <v>Q1</v>
      </c>
      <c r="D278" t="str">
        <f t="shared" si="18"/>
        <v>FY2023</v>
      </c>
    </row>
    <row r="279" spans="1:4">
      <c r="A279" s="11">
        <f t="shared" si="19"/>
        <v>45294</v>
      </c>
      <c r="B279" t="str">
        <f t="shared" si="16"/>
        <v>Jan 2024</v>
      </c>
      <c r="C279" t="str">
        <f t="shared" si="17"/>
        <v>Q1</v>
      </c>
      <c r="D279" t="str">
        <f t="shared" si="18"/>
        <v>FY2023</v>
      </c>
    </row>
    <row r="280" spans="1:4">
      <c r="A280" s="11">
        <f t="shared" si="19"/>
        <v>45295</v>
      </c>
      <c r="B280" t="str">
        <f t="shared" si="16"/>
        <v>Jan 2024</v>
      </c>
      <c r="C280" t="str">
        <f t="shared" si="17"/>
        <v>Q1</v>
      </c>
      <c r="D280" t="str">
        <f t="shared" si="18"/>
        <v>FY2023</v>
      </c>
    </row>
    <row r="281" spans="1:4">
      <c r="A281" s="11">
        <f t="shared" si="19"/>
        <v>45296</v>
      </c>
      <c r="B281" t="str">
        <f t="shared" si="16"/>
        <v>Jan 2024</v>
      </c>
      <c r="C281" t="str">
        <f t="shared" si="17"/>
        <v>Q1</v>
      </c>
      <c r="D281" t="str">
        <f t="shared" si="18"/>
        <v>FY2023</v>
      </c>
    </row>
    <row r="282" spans="1:4">
      <c r="A282" s="11">
        <f t="shared" si="19"/>
        <v>45297</v>
      </c>
      <c r="B282" t="str">
        <f t="shared" si="16"/>
        <v>Jan 2024</v>
      </c>
      <c r="C282" t="str">
        <f t="shared" si="17"/>
        <v>Q1</v>
      </c>
      <c r="D282" t="str">
        <f t="shared" si="18"/>
        <v>FY2023</v>
      </c>
    </row>
    <row r="283" spans="1:4">
      <c r="A283" s="11">
        <f t="shared" si="19"/>
        <v>45298</v>
      </c>
      <c r="B283" t="str">
        <f t="shared" si="16"/>
        <v>Jan 2024</v>
      </c>
      <c r="C283" t="str">
        <f t="shared" si="17"/>
        <v>Q1</v>
      </c>
      <c r="D283" t="str">
        <f t="shared" si="18"/>
        <v>FY2023</v>
      </c>
    </row>
    <row r="284" spans="1:4">
      <c r="A284" s="11">
        <f t="shared" si="19"/>
        <v>45299</v>
      </c>
      <c r="B284" t="str">
        <f t="shared" si="16"/>
        <v>Jan 2024</v>
      </c>
      <c r="C284" t="str">
        <f t="shared" si="17"/>
        <v>Q1</v>
      </c>
      <c r="D284" t="str">
        <f t="shared" si="18"/>
        <v>FY2023</v>
      </c>
    </row>
    <row r="285" spans="1:4">
      <c r="A285" s="11">
        <f t="shared" si="19"/>
        <v>45300</v>
      </c>
      <c r="B285" t="str">
        <f t="shared" si="16"/>
        <v>Jan 2024</v>
      </c>
      <c r="C285" t="str">
        <f t="shared" si="17"/>
        <v>Q1</v>
      </c>
      <c r="D285" t="str">
        <f t="shared" si="18"/>
        <v>FY2023</v>
      </c>
    </row>
    <row r="286" spans="1:4">
      <c r="A286" s="11">
        <f t="shared" si="19"/>
        <v>45301</v>
      </c>
      <c r="B286" t="str">
        <f t="shared" si="16"/>
        <v>Jan 2024</v>
      </c>
      <c r="C286" t="str">
        <f t="shared" si="17"/>
        <v>Q1</v>
      </c>
      <c r="D286" t="str">
        <f t="shared" si="18"/>
        <v>FY2023</v>
      </c>
    </row>
    <row r="287" spans="1:4">
      <c r="A287" s="11">
        <f t="shared" si="19"/>
        <v>45302</v>
      </c>
      <c r="B287" t="str">
        <f t="shared" si="16"/>
        <v>Jan 2024</v>
      </c>
      <c r="C287" t="str">
        <f t="shared" si="17"/>
        <v>Q1</v>
      </c>
      <c r="D287" t="str">
        <f t="shared" si="18"/>
        <v>FY2023</v>
      </c>
    </row>
    <row r="288" spans="1:4">
      <c r="A288" s="11">
        <f t="shared" si="19"/>
        <v>45303</v>
      </c>
      <c r="B288" t="str">
        <f t="shared" si="16"/>
        <v>Jan 2024</v>
      </c>
      <c r="C288" t="str">
        <f t="shared" si="17"/>
        <v>Q1</v>
      </c>
      <c r="D288" t="str">
        <f t="shared" si="18"/>
        <v>FY2023</v>
      </c>
    </row>
    <row r="289" spans="1:4">
      <c r="A289" s="11">
        <f t="shared" si="19"/>
        <v>45304</v>
      </c>
      <c r="B289" t="str">
        <f t="shared" si="16"/>
        <v>Jan 2024</v>
      </c>
      <c r="C289" t="str">
        <f t="shared" si="17"/>
        <v>Q1</v>
      </c>
      <c r="D289" t="str">
        <f t="shared" si="18"/>
        <v>FY2023</v>
      </c>
    </row>
    <row r="290" spans="1:4">
      <c r="A290" s="11">
        <f t="shared" si="19"/>
        <v>45305</v>
      </c>
      <c r="B290" t="str">
        <f t="shared" si="16"/>
        <v>Jan 2024</v>
      </c>
      <c r="C290" t="str">
        <f t="shared" si="17"/>
        <v>Q1</v>
      </c>
      <c r="D290" t="str">
        <f t="shared" si="18"/>
        <v>FY2023</v>
      </c>
    </row>
    <row r="291" spans="1:4">
      <c r="A291" s="11">
        <f t="shared" si="19"/>
        <v>45306</v>
      </c>
      <c r="B291" t="str">
        <f t="shared" si="16"/>
        <v>Jan 2024</v>
      </c>
      <c r="C291" t="str">
        <f t="shared" si="17"/>
        <v>Q1</v>
      </c>
      <c r="D291" t="str">
        <f t="shared" si="18"/>
        <v>FY2023</v>
      </c>
    </row>
    <row r="292" spans="1:4">
      <c r="A292" s="11">
        <f t="shared" si="19"/>
        <v>45307</v>
      </c>
      <c r="B292" t="str">
        <f t="shared" si="16"/>
        <v>Jan 2024</v>
      </c>
      <c r="C292" t="str">
        <f t="shared" si="17"/>
        <v>Q1</v>
      </c>
      <c r="D292" t="str">
        <f t="shared" si="18"/>
        <v>FY2023</v>
      </c>
    </row>
    <row r="293" spans="1:4">
      <c r="A293" s="11">
        <f t="shared" si="19"/>
        <v>45308</v>
      </c>
      <c r="B293" t="str">
        <f t="shared" si="16"/>
        <v>Jan 2024</v>
      </c>
      <c r="C293" t="str">
        <f t="shared" si="17"/>
        <v>Q1</v>
      </c>
      <c r="D293" t="str">
        <f t="shared" si="18"/>
        <v>FY2023</v>
      </c>
    </row>
    <row r="294" spans="1:4">
      <c r="A294" s="11">
        <f t="shared" si="19"/>
        <v>45309</v>
      </c>
      <c r="B294" t="str">
        <f t="shared" si="16"/>
        <v>Jan 2024</v>
      </c>
      <c r="C294" t="str">
        <f t="shared" si="17"/>
        <v>Q1</v>
      </c>
      <c r="D294" t="str">
        <f t="shared" si="18"/>
        <v>FY2023</v>
      </c>
    </row>
    <row r="295" spans="1:4">
      <c r="A295" s="11">
        <f t="shared" si="19"/>
        <v>45310</v>
      </c>
      <c r="B295" t="str">
        <f t="shared" si="16"/>
        <v>Jan 2024</v>
      </c>
      <c r="C295" t="str">
        <f t="shared" si="17"/>
        <v>Q1</v>
      </c>
      <c r="D295" t="str">
        <f t="shared" si="18"/>
        <v>FY2023</v>
      </c>
    </row>
    <row r="296" spans="1:4">
      <c r="A296" s="11">
        <f t="shared" si="19"/>
        <v>45311</v>
      </c>
      <c r="B296" t="str">
        <f t="shared" si="16"/>
        <v>Jan 2024</v>
      </c>
      <c r="C296" t="str">
        <f t="shared" si="17"/>
        <v>Q1</v>
      </c>
      <c r="D296" t="str">
        <f t="shared" si="18"/>
        <v>FY2023</v>
      </c>
    </row>
    <row r="297" spans="1:4">
      <c r="A297" s="11">
        <f t="shared" si="19"/>
        <v>45312</v>
      </c>
      <c r="B297" t="str">
        <f t="shared" si="16"/>
        <v>Jan 2024</v>
      </c>
      <c r="C297" t="str">
        <f t="shared" si="17"/>
        <v>Q1</v>
      </c>
      <c r="D297" t="str">
        <f t="shared" si="18"/>
        <v>FY2023</v>
      </c>
    </row>
    <row r="298" spans="1:4">
      <c r="A298" s="11">
        <f t="shared" si="19"/>
        <v>45313</v>
      </c>
      <c r="B298" t="str">
        <f t="shared" si="16"/>
        <v>Jan 2024</v>
      </c>
      <c r="C298" t="str">
        <f t="shared" si="17"/>
        <v>Q1</v>
      </c>
      <c r="D298" t="str">
        <f t="shared" si="18"/>
        <v>FY2023</v>
      </c>
    </row>
    <row r="299" spans="1:4">
      <c r="A299" s="11">
        <f t="shared" si="19"/>
        <v>45314</v>
      </c>
      <c r="B299" t="str">
        <f t="shared" si="16"/>
        <v>Jan 2024</v>
      </c>
      <c r="C299" t="str">
        <f t="shared" si="17"/>
        <v>Q1</v>
      </c>
      <c r="D299" t="str">
        <f t="shared" si="18"/>
        <v>FY2023</v>
      </c>
    </row>
    <row r="300" spans="1:4">
      <c r="A300" s="11">
        <f t="shared" si="19"/>
        <v>45315</v>
      </c>
      <c r="B300" t="str">
        <f t="shared" si="16"/>
        <v>Jan 2024</v>
      </c>
      <c r="C300" t="str">
        <f t="shared" si="17"/>
        <v>Q1</v>
      </c>
      <c r="D300" t="str">
        <f t="shared" si="18"/>
        <v>FY2023</v>
      </c>
    </row>
    <row r="301" spans="1:4">
      <c r="A301" s="11">
        <f t="shared" si="19"/>
        <v>45316</v>
      </c>
      <c r="B301" t="str">
        <f t="shared" si="16"/>
        <v>Jan 2024</v>
      </c>
      <c r="C301" t="str">
        <f t="shared" si="17"/>
        <v>Q1</v>
      </c>
      <c r="D301" t="str">
        <f t="shared" si="18"/>
        <v>FY2023</v>
      </c>
    </row>
    <row r="302" spans="1:4">
      <c r="A302" s="11">
        <f t="shared" si="19"/>
        <v>45317</v>
      </c>
      <c r="B302" t="str">
        <f t="shared" si="16"/>
        <v>Jan 2024</v>
      </c>
      <c r="C302" t="str">
        <f t="shared" si="17"/>
        <v>Q1</v>
      </c>
      <c r="D302" t="str">
        <f t="shared" si="18"/>
        <v>FY2023</v>
      </c>
    </row>
    <row r="303" spans="1:4">
      <c r="A303" s="11">
        <f t="shared" si="19"/>
        <v>45318</v>
      </c>
      <c r="B303" t="str">
        <f t="shared" si="16"/>
        <v>Jan 2024</v>
      </c>
      <c r="C303" t="str">
        <f t="shared" si="17"/>
        <v>Q1</v>
      </c>
      <c r="D303" t="str">
        <f t="shared" si="18"/>
        <v>FY2023</v>
      </c>
    </row>
    <row r="304" spans="1:4">
      <c r="A304" s="11">
        <f t="shared" si="19"/>
        <v>45319</v>
      </c>
      <c r="B304" t="str">
        <f t="shared" si="16"/>
        <v>Jan 2024</v>
      </c>
      <c r="C304" t="str">
        <f t="shared" si="17"/>
        <v>Q1</v>
      </c>
      <c r="D304" t="str">
        <f t="shared" si="18"/>
        <v>FY2023</v>
      </c>
    </row>
    <row r="305" spans="1:4">
      <c r="A305" s="11">
        <f t="shared" si="19"/>
        <v>45320</v>
      </c>
      <c r="B305" t="str">
        <f t="shared" si="16"/>
        <v>Jan 2024</v>
      </c>
      <c r="C305" t="str">
        <f t="shared" si="17"/>
        <v>Q1</v>
      </c>
      <c r="D305" t="str">
        <f t="shared" si="18"/>
        <v>FY2023</v>
      </c>
    </row>
    <row r="306" spans="1:4">
      <c r="A306" s="11">
        <f t="shared" si="19"/>
        <v>45321</v>
      </c>
      <c r="B306" t="str">
        <f t="shared" si="16"/>
        <v>Jan 2024</v>
      </c>
      <c r="C306" t="str">
        <f t="shared" si="17"/>
        <v>Q1</v>
      </c>
      <c r="D306" t="str">
        <f t="shared" si="18"/>
        <v>FY2023</v>
      </c>
    </row>
    <row r="307" spans="1:4">
      <c r="A307" s="11">
        <f t="shared" si="19"/>
        <v>45322</v>
      </c>
      <c r="B307" t="str">
        <f t="shared" si="16"/>
        <v>Jan 2024</v>
      </c>
      <c r="C307" t="str">
        <f t="shared" si="17"/>
        <v>Q1</v>
      </c>
      <c r="D307" t="str">
        <f t="shared" si="18"/>
        <v>FY2023</v>
      </c>
    </row>
    <row r="308" spans="1:4">
      <c r="A308" s="11">
        <f t="shared" si="19"/>
        <v>45323</v>
      </c>
      <c r="B308" t="str">
        <f t="shared" si="16"/>
        <v>Feb 2024</v>
      </c>
      <c r="C308" t="str">
        <f t="shared" si="17"/>
        <v>Q1</v>
      </c>
      <c r="D308" t="str">
        <f t="shared" si="18"/>
        <v>FY2023</v>
      </c>
    </row>
    <row r="309" spans="1:4">
      <c r="A309" s="11">
        <f t="shared" si="19"/>
        <v>45324</v>
      </c>
      <c r="B309" t="str">
        <f t="shared" si="16"/>
        <v>Feb 2024</v>
      </c>
      <c r="C309" t="str">
        <f t="shared" si="17"/>
        <v>Q1</v>
      </c>
      <c r="D309" t="str">
        <f t="shared" si="18"/>
        <v>FY2023</v>
      </c>
    </row>
    <row r="310" spans="1:4">
      <c r="A310" s="11">
        <f t="shared" si="19"/>
        <v>45325</v>
      </c>
      <c r="B310" t="str">
        <f t="shared" si="16"/>
        <v>Feb 2024</v>
      </c>
      <c r="C310" t="str">
        <f t="shared" si="17"/>
        <v>Q1</v>
      </c>
      <c r="D310" t="str">
        <f t="shared" si="18"/>
        <v>FY2023</v>
      </c>
    </row>
    <row r="311" spans="1:4">
      <c r="A311" s="11">
        <f t="shared" si="19"/>
        <v>45326</v>
      </c>
      <c r="B311" t="str">
        <f t="shared" si="16"/>
        <v>Feb 2024</v>
      </c>
      <c r="C311" t="str">
        <f t="shared" si="17"/>
        <v>Q1</v>
      </c>
      <c r="D311" t="str">
        <f t="shared" si="18"/>
        <v>FY2023</v>
      </c>
    </row>
    <row r="312" spans="1:4">
      <c r="A312" s="11">
        <f t="shared" si="19"/>
        <v>45327</v>
      </c>
      <c r="B312" t="str">
        <f t="shared" si="16"/>
        <v>Feb 2024</v>
      </c>
      <c r="C312" t="str">
        <f t="shared" si="17"/>
        <v>Q1</v>
      </c>
      <c r="D312" t="str">
        <f t="shared" si="18"/>
        <v>FY2023</v>
      </c>
    </row>
    <row r="313" spans="1:4">
      <c r="A313" s="11">
        <f t="shared" si="19"/>
        <v>45328</v>
      </c>
      <c r="B313" t="str">
        <f t="shared" si="16"/>
        <v>Feb 2024</v>
      </c>
      <c r="C313" t="str">
        <f t="shared" si="17"/>
        <v>Q1</v>
      </c>
      <c r="D313" t="str">
        <f t="shared" si="18"/>
        <v>FY2023</v>
      </c>
    </row>
    <row r="314" spans="1:4">
      <c r="A314" s="11">
        <f t="shared" si="19"/>
        <v>45329</v>
      </c>
      <c r="B314" t="str">
        <f t="shared" si="16"/>
        <v>Feb 2024</v>
      </c>
      <c r="C314" t="str">
        <f t="shared" si="17"/>
        <v>Q1</v>
      </c>
      <c r="D314" t="str">
        <f t="shared" si="18"/>
        <v>FY2023</v>
      </c>
    </row>
    <row r="315" spans="1:4">
      <c r="A315" s="11">
        <f t="shared" si="19"/>
        <v>45330</v>
      </c>
      <c r="B315" t="str">
        <f t="shared" si="16"/>
        <v>Feb 2024</v>
      </c>
      <c r="C315" t="str">
        <f t="shared" si="17"/>
        <v>Q1</v>
      </c>
      <c r="D315" t="str">
        <f t="shared" si="18"/>
        <v>FY2023</v>
      </c>
    </row>
    <row r="316" spans="1:4">
      <c r="A316" s="11">
        <f t="shared" si="19"/>
        <v>45331</v>
      </c>
      <c r="B316" t="str">
        <f t="shared" si="16"/>
        <v>Feb 2024</v>
      </c>
      <c r="C316" t="str">
        <f t="shared" si="17"/>
        <v>Q1</v>
      </c>
      <c r="D316" t="str">
        <f t="shared" si="18"/>
        <v>FY2023</v>
      </c>
    </row>
    <row r="317" spans="1:4">
      <c r="A317" s="11">
        <f t="shared" si="19"/>
        <v>45332</v>
      </c>
      <c r="B317" t="str">
        <f t="shared" si="16"/>
        <v>Feb 2024</v>
      </c>
      <c r="C317" t="str">
        <f t="shared" si="17"/>
        <v>Q1</v>
      </c>
      <c r="D317" t="str">
        <f t="shared" si="18"/>
        <v>FY2023</v>
      </c>
    </row>
    <row r="318" spans="1:4">
      <c r="A318" s="11">
        <f t="shared" si="19"/>
        <v>45333</v>
      </c>
      <c r="B318" t="str">
        <f t="shared" si="16"/>
        <v>Feb 2024</v>
      </c>
      <c r="C318" t="str">
        <f t="shared" si="17"/>
        <v>Q1</v>
      </c>
      <c r="D318" t="str">
        <f t="shared" si="18"/>
        <v>FY2023</v>
      </c>
    </row>
    <row r="319" spans="1:4">
      <c r="A319" s="11">
        <f t="shared" si="19"/>
        <v>45334</v>
      </c>
      <c r="B319" t="str">
        <f t="shared" si="16"/>
        <v>Feb 2024</v>
      </c>
      <c r="C319" t="str">
        <f t="shared" si="17"/>
        <v>Q1</v>
      </c>
      <c r="D319" t="str">
        <f t="shared" si="18"/>
        <v>FY2023</v>
      </c>
    </row>
    <row r="320" spans="1:4">
      <c r="A320" s="11">
        <f t="shared" si="19"/>
        <v>45335</v>
      </c>
      <c r="B320" t="str">
        <f t="shared" si="16"/>
        <v>Feb 2024</v>
      </c>
      <c r="C320" t="str">
        <f t="shared" si="17"/>
        <v>Q1</v>
      </c>
      <c r="D320" t="str">
        <f t="shared" si="18"/>
        <v>FY2023</v>
      </c>
    </row>
    <row r="321" spans="1:4">
      <c r="A321" s="11">
        <f t="shared" si="19"/>
        <v>45336</v>
      </c>
      <c r="B321" t="str">
        <f t="shared" si="16"/>
        <v>Feb 2024</v>
      </c>
      <c r="C321" t="str">
        <f t="shared" si="17"/>
        <v>Q1</v>
      </c>
      <c r="D321" t="str">
        <f t="shared" si="18"/>
        <v>FY2023</v>
      </c>
    </row>
    <row r="322" spans="1:4">
      <c r="A322" s="11">
        <f t="shared" si="19"/>
        <v>45337</v>
      </c>
      <c r="B322" t="str">
        <f t="shared" si="16"/>
        <v>Feb 2024</v>
      </c>
      <c r="C322" t="str">
        <f t="shared" si="17"/>
        <v>Q1</v>
      </c>
      <c r="D322" t="str">
        <f t="shared" si="18"/>
        <v>FY2023</v>
      </c>
    </row>
    <row r="323" spans="1:4">
      <c r="A323" s="11">
        <f t="shared" si="19"/>
        <v>45338</v>
      </c>
      <c r="B323" t="str">
        <f t="shared" ref="B323:B386" si="20">TEXT(A323, "MMM_YYYY")</f>
        <v>Feb 2024</v>
      </c>
      <c r="C323" t="str">
        <f t="shared" ref="C323:C386" si="21">"Q" &amp; INT((MONTH(A323)-1)/3)+1</f>
        <v>Q1</v>
      </c>
      <c r="D323" t="str">
        <f t="shared" ref="D323:D386" si="22">"FY" &amp; IF(MONTH(A323)&gt;=4, YEAR(A323), YEAR(A323)-1)</f>
        <v>FY2023</v>
      </c>
    </row>
    <row r="324" spans="1:4">
      <c r="A324" s="11">
        <f t="shared" ref="A324:A387" si="23">A323+1</f>
        <v>45339</v>
      </c>
      <c r="B324" t="str">
        <f t="shared" si="20"/>
        <v>Feb 2024</v>
      </c>
      <c r="C324" t="str">
        <f t="shared" si="21"/>
        <v>Q1</v>
      </c>
      <c r="D324" t="str">
        <f t="shared" si="22"/>
        <v>FY2023</v>
      </c>
    </row>
    <row r="325" spans="1:4">
      <c r="A325" s="11">
        <f t="shared" si="23"/>
        <v>45340</v>
      </c>
      <c r="B325" t="str">
        <f t="shared" si="20"/>
        <v>Feb 2024</v>
      </c>
      <c r="C325" t="str">
        <f t="shared" si="21"/>
        <v>Q1</v>
      </c>
      <c r="D325" t="str">
        <f t="shared" si="22"/>
        <v>FY2023</v>
      </c>
    </row>
    <row r="326" spans="1:4">
      <c r="A326" s="11">
        <f t="shared" si="23"/>
        <v>45341</v>
      </c>
      <c r="B326" t="str">
        <f t="shared" si="20"/>
        <v>Feb 2024</v>
      </c>
      <c r="C326" t="str">
        <f t="shared" si="21"/>
        <v>Q1</v>
      </c>
      <c r="D326" t="str">
        <f t="shared" si="22"/>
        <v>FY2023</v>
      </c>
    </row>
    <row r="327" spans="1:4">
      <c r="A327" s="11">
        <f t="shared" si="23"/>
        <v>45342</v>
      </c>
      <c r="B327" t="str">
        <f t="shared" si="20"/>
        <v>Feb 2024</v>
      </c>
      <c r="C327" t="str">
        <f t="shared" si="21"/>
        <v>Q1</v>
      </c>
      <c r="D327" t="str">
        <f t="shared" si="22"/>
        <v>FY2023</v>
      </c>
    </row>
    <row r="328" spans="1:4">
      <c r="A328" s="11">
        <f t="shared" si="23"/>
        <v>45343</v>
      </c>
      <c r="B328" t="str">
        <f t="shared" si="20"/>
        <v>Feb 2024</v>
      </c>
      <c r="C328" t="str">
        <f t="shared" si="21"/>
        <v>Q1</v>
      </c>
      <c r="D328" t="str">
        <f t="shared" si="22"/>
        <v>FY2023</v>
      </c>
    </row>
    <row r="329" spans="1:4">
      <c r="A329" s="11">
        <f t="shared" si="23"/>
        <v>45344</v>
      </c>
      <c r="B329" t="str">
        <f t="shared" si="20"/>
        <v>Feb 2024</v>
      </c>
      <c r="C329" t="str">
        <f t="shared" si="21"/>
        <v>Q1</v>
      </c>
      <c r="D329" t="str">
        <f t="shared" si="22"/>
        <v>FY2023</v>
      </c>
    </row>
    <row r="330" spans="1:4">
      <c r="A330" s="11">
        <f t="shared" si="23"/>
        <v>45345</v>
      </c>
      <c r="B330" t="str">
        <f t="shared" si="20"/>
        <v>Feb 2024</v>
      </c>
      <c r="C330" t="str">
        <f t="shared" si="21"/>
        <v>Q1</v>
      </c>
      <c r="D330" t="str">
        <f t="shared" si="22"/>
        <v>FY2023</v>
      </c>
    </row>
    <row r="331" spans="1:4">
      <c r="A331" s="11">
        <f t="shared" si="23"/>
        <v>45346</v>
      </c>
      <c r="B331" t="str">
        <f t="shared" si="20"/>
        <v>Feb 2024</v>
      </c>
      <c r="C331" t="str">
        <f t="shared" si="21"/>
        <v>Q1</v>
      </c>
      <c r="D331" t="str">
        <f t="shared" si="22"/>
        <v>FY2023</v>
      </c>
    </row>
    <row r="332" spans="1:4">
      <c r="A332" s="11">
        <f t="shared" si="23"/>
        <v>45347</v>
      </c>
      <c r="B332" t="str">
        <f t="shared" si="20"/>
        <v>Feb 2024</v>
      </c>
      <c r="C332" t="str">
        <f t="shared" si="21"/>
        <v>Q1</v>
      </c>
      <c r="D332" t="str">
        <f t="shared" si="22"/>
        <v>FY2023</v>
      </c>
    </row>
    <row r="333" spans="1:4">
      <c r="A333" s="11">
        <f t="shared" si="23"/>
        <v>45348</v>
      </c>
      <c r="B333" t="str">
        <f t="shared" si="20"/>
        <v>Feb 2024</v>
      </c>
      <c r="C333" t="str">
        <f t="shared" si="21"/>
        <v>Q1</v>
      </c>
      <c r="D333" t="str">
        <f t="shared" si="22"/>
        <v>FY2023</v>
      </c>
    </row>
    <row r="334" spans="1:4">
      <c r="A334" s="11">
        <f t="shared" si="23"/>
        <v>45349</v>
      </c>
      <c r="B334" t="str">
        <f t="shared" si="20"/>
        <v>Feb 2024</v>
      </c>
      <c r="C334" t="str">
        <f t="shared" si="21"/>
        <v>Q1</v>
      </c>
      <c r="D334" t="str">
        <f t="shared" si="22"/>
        <v>FY2023</v>
      </c>
    </row>
    <row r="335" spans="1:4">
      <c r="A335" s="11">
        <f t="shared" si="23"/>
        <v>45350</v>
      </c>
      <c r="B335" t="str">
        <f t="shared" si="20"/>
        <v>Feb 2024</v>
      </c>
      <c r="C335" t="str">
        <f t="shared" si="21"/>
        <v>Q1</v>
      </c>
      <c r="D335" t="str">
        <f t="shared" si="22"/>
        <v>FY2023</v>
      </c>
    </row>
    <row r="336" spans="1:4">
      <c r="A336" s="11">
        <f t="shared" si="23"/>
        <v>45351</v>
      </c>
      <c r="B336" t="str">
        <f t="shared" si="20"/>
        <v>Feb 2024</v>
      </c>
      <c r="C336" t="str">
        <f t="shared" si="21"/>
        <v>Q1</v>
      </c>
      <c r="D336" t="str">
        <f t="shared" si="22"/>
        <v>FY2023</v>
      </c>
    </row>
    <row r="337" spans="1:4">
      <c r="A337" s="11">
        <f t="shared" si="23"/>
        <v>45352</v>
      </c>
      <c r="B337" t="str">
        <f t="shared" si="20"/>
        <v>Mar 2024</v>
      </c>
      <c r="C337" t="str">
        <f t="shared" si="21"/>
        <v>Q1</v>
      </c>
      <c r="D337" t="str">
        <f t="shared" si="22"/>
        <v>FY2023</v>
      </c>
    </row>
    <row r="338" spans="1:4">
      <c r="A338" s="11">
        <f t="shared" si="23"/>
        <v>45353</v>
      </c>
      <c r="B338" t="str">
        <f t="shared" si="20"/>
        <v>Mar 2024</v>
      </c>
      <c r="C338" t="str">
        <f t="shared" si="21"/>
        <v>Q1</v>
      </c>
      <c r="D338" t="str">
        <f t="shared" si="22"/>
        <v>FY2023</v>
      </c>
    </row>
    <row r="339" spans="1:4">
      <c r="A339" s="11">
        <f t="shared" si="23"/>
        <v>45354</v>
      </c>
      <c r="B339" t="str">
        <f t="shared" si="20"/>
        <v>Mar 2024</v>
      </c>
      <c r="C339" t="str">
        <f t="shared" si="21"/>
        <v>Q1</v>
      </c>
      <c r="D339" t="str">
        <f t="shared" si="22"/>
        <v>FY2023</v>
      </c>
    </row>
    <row r="340" spans="1:4">
      <c r="A340" s="11">
        <f t="shared" si="23"/>
        <v>45355</v>
      </c>
      <c r="B340" t="str">
        <f t="shared" si="20"/>
        <v>Mar 2024</v>
      </c>
      <c r="C340" t="str">
        <f t="shared" si="21"/>
        <v>Q1</v>
      </c>
      <c r="D340" t="str">
        <f t="shared" si="22"/>
        <v>FY2023</v>
      </c>
    </row>
    <row r="341" spans="1:4">
      <c r="A341" s="11">
        <f t="shared" si="23"/>
        <v>45356</v>
      </c>
      <c r="B341" t="str">
        <f t="shared" si="20"/>
        <v>Mar 2024</v>
      </c>
      <c r="C341" t="str">
        <f t="shared" si="21"/>
        <v>Q1</v>
      </c>
      <c r="D341" t="str">
        <f t="shared" si="22"/>
        <v>FY2023</v>
      </c>
    </row>
    <row r="342" spans="1:4">
      <c r="A342" s="11">
        <f t="shared" si="23"/>
        <v>45357</v>
      </c>
      <c r="B342" t="str">
        <f t="shared" si="20"/>
        <v>Mar 2024</v>
      </c>
      <c r="C342" t="str">
        <f t="shared" si="21"/>
        <v>Q1</v>
      </c>
      <c r="D342" t="str">
        <f t="shared" si="22"/>
        <v>FY2023</v>
      </c>
    </row>
    <row r="343" spans="1:4">
      <c r="A343" s="11">
        <f t="shared" si="23"/>
        <v>45358</v>
      </c>
      <c r="B343" t="str">
        <f t="shared" si="20"/>
        <v>Mar 2024</v>
      </c>
      <c r="C343" t="str">
        <f t="shared" si="21"/>
        <v>Q1</v>
      </c>
      <c r="D343" t="str">
        <f t="shared" si="22"/>
        <v>FY2023</v>
      </c>
    </row>
    <row r="344" spans="1:4">
      <c r="A344" s="11">
        <f t="shared" si="23"/>
        <v>45359</v>
      </c>
      <c r="B344" t="str">
        <f t="shared" si="20"/>
        <v>Mar 2024</v>
      </c>
      <c r="C344" t="str">
        <f t="shared" si="21"/>
        <v>Q1</v>
      </c>
      <c r="D344" t="str">
        <f t="shared" si="22"/>
        <v>FY2023</v>
      </c>
    </row>
    <row r="345" spans="1:4">
      <c r="A345" s="11">
        <f t="shared" si="23"/>
        <v>45360</v>
      </c>
      <c r="B345" t="str">
        <f t="shared" si="20"/>
        <v>Mar 2024</v>
      </c>
      <c r="C345" t="str">
        <f t="shared" si="21"/>
        <v>Q1</v>
      </c>
      <c r="D345" t="str">
        <f t="shared" si="22"/>
        <v>FY2023</v>
      </c>
    </row>
    <row r="346" spans="1:4">
      <c r="A346" s="11">
        <f t="shared" si="23"/>
        <v>45361</v>
      </c>
      <c r="B346" t="str">
        <f t="shared" si="20"/>
        <v>Mar 2024</v>
      </c>
      <c r="C346" t="str">
        <f t="shared" si="21"/>
        <v>Q1</v>
      </c>
      <c r="D346" t="str">
        <f t="shared" si="22"/>
        <v>FY2023</v>
      </c>
    </row>
    <row r="347" spans="1:4">
      <c r="A347" s="11">
        <f t="shared" si="23"/>
        <v>45362</v>
      </c>
      <c r="B347" t="str">
        <f t="shared" si="20"/>
        <v>Mar 2024</v>
      </c>
      <c r="C347" t="str">
        <f t="shared" si="21"/>
        <v>Q1</v>
      </c>
      <c r="D347" t="str">
        <f t="shared" si="22"/>
        <v>FY2023</v>
      </c>
    </row>
    <row r="348" spans="1:4">
      <c r="A348" s="11">
        <f t="shared" si="23"/>
        <v>45363</v>
      </c>
      <c r="B348" t="str">
        <f t="shared" si="20"/>
        <v>Mar 2024</v>
      </c>
      <c r="C348" t="str">
        <f t="shared" si="21"/>
        <v>Q1</v>
      </c>
      <c r="D348" t="str">
        <f t="shared" si="22"/>
        <v>FY2023</v>
      </c>
    </row>
    <row r="349" spans="1:4">
      <c r="A349" s="11">
        <f t="shared" si="23"/>
        <v>45364</v>
      </c>
      <c r="B349" t="str">
        <f t="shared" si="20"/>
        <v>Mar 2024</v>
      </c>
      <c r="C349" t="str">
        <f t="shared" si="21"/>
        <v>Q1</v>
      </c>
      <c r="D349" t="str">
        <f t="shared" si="22"/>
        <v>FY2023</v>
      </c>
    </row>
    <row r="350" spans="1:4">
      <c r="A350" s="11">
        <f t="shared" si="23"/>
        <v>45365</v>
      </c>
      <c r="B350" t="str">
        <f t="shared" si="20"/>
        <v>Mar 2024</v>
      </c>
      <c r="C350" t="str">
        <f t="shared" si="21"/>
        <v>Q1</v>
      </c>
      <c r="D350" t="str">
        <f t="shared" si="22"/>
        <v>FY2023</v>
      </c>
    </row>
    <row r="351" spans="1:4">
      <c r="A351" s="11">
        <f t="shared" si="23"/>
        <v>45366</v>
      </c>
      <c r="B351" t="str">
        <f t="shared" si="20"/>
        <v>Mar 2024</v>
      </c>
      <c r="C351" t="str">
        <f t="shared" si="21"/>
        <v>Q1</v>
      </c>
      <c r="D351" t="str">
        <f t="shared" si="22"/>
        <v>FY2023</v>
      </c>
    </row>
    <row r="352" spans="1:4">
      <c r="A352" s="11">
        <f t="shared" si="23"/>
        <v>45367</v>
      </c>
      <c r="B352" t="str">
        <f t="shared" si="20"/>
        <v>Mar 2024</v>
      </c>
      <c r="C352" t="str">
        <f t="shared" si="21"/>
        <v>Q1</v>
      </c>
      <c r="D352" t="str">
        <f t="shared" si="22"/>
        <v>FY2023</v>
      </c>
    </row>
    <row r="353" spans="1:4">
      <c r="A353" s="11">
        <f t="shared" si="23"/>
        <v>45368</v>
      </c>
      <c r="B353" t="str">
        <f t="shared" si="20"/>
        <v>Mar 2024</v>
      </c>
      <c r="C353" t="str">
        <f t="shared" si="21"/>
        <v>Q1</v>
      </c>
      <c r="D353" t="str">
        <f t="shared" si="22"/>
        <v>FY2023</v>
      </c>
    </row>
    <row r="354" spans="1:4">
      <c r="A354" s="11">
        <f t="shared" si="23"/>
        <v>45369</v>
      </c>
      <c r="B354" t="str">
        <f t="shared" si="20"/>
        <v>Mar 2024</v>
      </c>
      <c r="C354" t="str">
        <f t="shared" si="21"/>
        <v>Q1</v>
      </c>
      <c r="D354" t="str">
        <f t="shared" si="22"/>
        <v>FY2023</v>
      </c>
    </row>
    <row r="355" spans="1:4">
      <c r="A355" s="11">
        <f t="shared" si="23"/>
        <v>45370</v>
      </c>
      <c r="B355" t="str">
        <f t="shared" si="20"/>
        <v>Mar 2024</v>
      </c>
      <c r="C355" t="str">
        <f t="shared" si="21"/>
        <v>Q1</v>
      </c>
      <c r="D355" t="str">
        <f t="shared" si="22"/>
        <v>FY2023</v>
      </c>
    </row>
    <row r="356" spans="1:4">
      <c r="A356" s="11">
        <f t="shared" si="23"/>
        <v>45371</v>
      </c>
      <c r="B356" t="str">
        <f t="shared" si="20"/>
        <v>Mar 2024</v>
      </c>
      <c r="C356" t="str">
        <f t="shared" si="21"/>
        <v>Q1</v>
      </c>
      <c r="D356" t="str">
        <f t="shared" si="22"/>
        <v>FY2023</v>
      </c>
    </row>
    <row r="357" spans="1:4">
      <c r="A357" s="11">
        <f t="shared" si="23"/>
        <v>45372</v>
      </c>
      <c r="B357" t="str">
        <f t="shared" si="20"/>
        <v>Mar 2024</v>
      </c>
      <c r="C357" t="str">
        <f t="shared" si="21"/>
        <v>Q1</v>
      </c>
      <c r="D357" t="str">
        <f t="shared" si="22"/>
        <v>FY2023</v>
      </c>
    </row>
    <row r="358" spans="1:4">
      <c r="A358" s="11">
        <f t="shared" si="23"/>
        <v>45373</v>
      </c>
      <c r="B358" t="str">
        <f t="shared" si="20"/>
        <v>Mar 2024</v>
      </c>
      <c r="C358" t="str">
        <f t="shared" si="21"/>
        <v>Q1</v>
      </c>
      <c r="D358" t="str">
        <f t="shared" si="22"/>
        <v>FY2023</v>
      </c>
    </row>
    <row r="359" spans="1:4">
      <c r="A359" s="11">
        <f t="shared" si="23"/>
        <v>45374</v>
      </c>
      <c r="B359" t="str">
        <f t="shared" si="20"/>
        <v>Mar 2024</v>
      </c>
      <c r="C359" t="str">
        <f t="shared" si="21"/>
        <v>Q1</v>
      </c>
      <c r="D359" t="str">
        <f t="shared" si="22"/>
        <v>FY2023</v>
      </c>
    </row>
    <row r="360" spans="1:4">
      <c r="A360" s="11">
        <f t="shared" si="23"/>
        <v>45375</v>
      </c>
      <c r="B360" t="str">
        <f t="shared" si="20"/>
        <v>Mar 2024</v>
      </c>
      <c r="C360" t="str">
        <f t="shared" si="21"/>
        <v>Q1</v>
      </c>
      <c r="D360" t="str">
        <f t="shared" si="22"/>
        <v>FY2023</v>
      </c>
    </row>
    <row r="361" spans="1:4">
      <c r="A361" s="11">
        <f t="shared" si="23"/>
        <v>45376</v>
      </c>
      <c r="B361" t="str">
        <f t="shared" si="20"/>
        <v>Mar 2024</v>
      </c>
      <c r="C361" t="str">
        <f t="shared" si="21"/>
        <v>Q1</v>
      </c>
      <c r="D361" t="str">
        <f t="shared" si="22"/>
        <v>FY2023</v>
      </c>
    </row>
    <row r="362" spans="1:4">
      <c r="A362" s="11">
        <f t="shared" si="23"/>
        <v>45377</v>
      </c>
      <c r="B362" t="str">
        <f t="shared" si="20"/>
        <v>Mar 2024</v>
      </c>
      <c r="C362" t="str">
        <f t="shared" si="21"/>
        <v>Q1</v>
      </c>
      <c r="D362" t="str">
        <f t="shared" si="22"/>
        <v>FY2023</v>
      </c>
    </row>
    <row r="363" spans="1:4">
      <c r="A363" s="11">
        <f t="shared" si="23"/>
        <v>45378</v>
      </c>
      <c r="B363" t="str">
        <f t="shared" si="20"/>
        <v>Mar 2024</v>
      </c>
      <c r="C363" t="str">
        <f t="shared" si="21"/>
        <v>Q1</v>
      </c>
      <c r="D363" t="str">
        <f t="shared" si="22"/>
        <v>FY2023</v>
      </c>
    </row>
    <row r="364" spans="1:4">
      <c r="A364" s="11">
        <f t="shared" si="23"/>
        <v>45379</v>
      </c>
      <c r="B364" t="str">
        <f t="shared" si="20"/>
        <v>Mar 2024</v>
      </c>
      <c r="C364" t="str">
        <f t="shared" si="21"/>
        <v>Q1</v>
      </c>
      <c r="D364" t="str">
        <f t="shared" si="22"/>
        <v>FY2023</v>
      </c>
    </row>
    <row r="365" spans="1:4">
      <c r="A365" s="11">
        <f t="shared" si="23"/>
        <v>45380</v>
      </c>
      <c r="B365" t="str">
        <f t="shared" si="20"/>
        <v>Mar 2024</v>
      </c>
      <c r="C365" t="str">
        <f t="shared" si="21"/>
        <v>Q1</v>
      </c>
      <c r="D365" t="str">
        <f t="shared" si="22"/>
        <v>FY2023</v>
      </c>
    </row>
    <row r="366" spans="1:4">
      <c r="A366" s="11">
        <f t="shared" si="23"/>
        <v>45381</v>
      </c>
      <c r="B366" t="str">
        <f t="shared" si="20"/>
        <v>Mar 2024</v>
      </c>
      <c r="C366" t="str">
        <f t="shared" si="21"/>
        <v>Q1</v>
      </c>
      <c r="D366" t="str">
        <f t="shared" si="22"/>
        <v>FY2023</v>
      </c>
    </row>
    <row r="367" spans="1:4">
      <c r="A367" s="11">
        <f t="shared" si="23"/>
        <v>45382</v>
      </c>
      <c r="B367" t="str">
        <f t="shared" si="20"/>
        <v>Mar 2024</v>
      </c>
      <c r="C367" t="str">
        <f t="shared" si="21"/>
        <v>Q1</v>
      </c>
      <c r="D367" t="str">
        <f t="shared" si="22"/>
        <v>FY2023</v>
      </c>
    </row>
    <row r="368" spans="1:4">
      <c r="A368" s="11">
        <f t="shared" si="23"/>
        <v>45383</v>
      </c>
      <c r="B368" t="str">
        <f t="shared" si="20"/>
        <v>Apr 2024</v>
      </c>
      <c r="C368" t="str">
        <f t="shared" si="21"/>
        <v>Q2</v>
      </c>
      <c r="D368" t="str">
        <f t="shared" si="22"/>
        <v>FY2024</v>
      </c>
    </row>
    <row r="369" spans="1:4">
      <c r="A369" s="11">
        <f t="shared" si="23"/>
        <v>45384</v>
      </c>
      <c r="B369" t="str">
        <f t="shared" si="20"/>
        <v>Apr 2024</v>
      </c>
      <c r="C369" t="str">
        <f t="shared" si="21"/>
        <v>Q2</v>
      </c>
      <c r="D369" t="str">
        <f t="shared" si="22"/>
        <v>FY2024</v>
      </c>
    </row>
    <row r="370" spans="1:4">
      <c r="A370" s="11">
        <f t="shared" si="23"/>
        <v>45385</v>
      </c>
      <c r="B370" t="str">
        <f t="shared" si="20"/>
        <v>Apr 2024</v>
      </c>
      <c r="C370" t="str">
        <f t="shared" si="21"/>
        <v>Q2</v>
      </c>
      <c r="D370" t="str">
        <f t="shared" si="22"/>
        <v>FY2024</v>
      </c>
    </row>
    <row r="371" spans="1:4">
      <c r="A371" s="11">
        <f t="shared" si="23"/>
        <v>45386</v>
      </c>
      <c r="B371" t="str">
        <f t="shared" si="20"/>
        <v>Apr 2024</v>
      </c>
      <c r="C371" t="str">
        <f t="shared" si="21"/>
        <v>Q2</v>
      </c>
      <c r="D371" t="str">
        <f t="shared" si="22"/>
        <v>FY2024</v>
      </c>
    </row>
    <row r="372" spans="1:4">
      <c r="A372" s="11">
        <f t="shared" si="23"/>
        <v>45387</v>
      </c>
      <c r="B372" t="str">
        <f t="shared" si="20"/>
        <v>Apr 2024</v>
      </c>
      <c r="C372" t="str">
        <f t="shared" si="21"/>
        <v>Q2</v>
      </c>
      <c r="D372" t="str">
        <f t="shared" si="22"/>
        <v>FY2024</v>
      </c>
    </row>
    <row r="373" spans="1:4">
      <c r="A373" s="11">
        <f t="shared" si="23"/>
        <v>45388</v>
      </c>
      <c r="B373" t="str">
        <f t="shared" si="20"/>
        <v>Apr 2024</v>
      </c>
      <c r="C373" t="str">
        <f t="shared" si="21"/>
        <v>Q2</v>
      </c>
      <c r="D373" t="str">
        <f t="shared" si="22"/>
        <v>FY2024</v>
      </c>
    </row>
    <row r="374" spans="1:4">
      <c r="A374" s="11">
        <f t="shared" si="23"/>
        <v>45389</v>
      </c>
      <c r="B374" t="str">
        <f t="shared" si="20"/>
        <v>Apr 2024</v>
      </c>
      <c r="C374" t="str">
        <f t="shared" si="21"/>
        <v>Q2</v>
      </c>
      <c r="D374" t="str">
        <f t="shared" si="22"/>
        <v>FY2024</v>
      </c>
    </row>
    <row r="375" spans="1:4">
      <c r="A375" s="11">
        <f t="shared" si="23"/>
        <v>45390</v>
      </c>
      <c r="B375" t="str">
        <f t="shared" si="20"/>
        <v>Apr 2024</v>
      </c>
      <c r="C375" t="str">
        <f t="shared" si="21"/>
        <v>Q2</v>
      </c>
      <c r="D375" t="str">
        <f t="shared" si="22"/>
        <v>FY2024</v>
      </c>
    </row>
    <row r="376" spans="1:4">
      <c r="A376" s="11">
        <f t="shared" si="23"/>
        <v>45391</v>
      </c>
      <c r="B376" t="str">
        <f t="shared" si="20"/>
        <v>Apr 2024</v>
      </c>
      <c r="C376" t="str">
        <f t="shared" si="21"/>
        <v>Q2</v>
      </c>
      <c r="D376" t="str">
        <f t="shared" si="22"/>
        <v>FY2024</v>
      </c>
    </row>
    <row r="377" spans="1:4">
      <c r="A377" s="11">
        <f t="shared" si="23"/>
        <v>45392</v>
      </c>
      <c r="B377" t="str">
        <f t="shared" si="20"/>
        <v>Apr 2024</v>
      </c>
      <c r="C377" t="str">
        <f t="shared" si="21"/>
        <v>Q2</v>
      </c>
      <c r="D377" t="str">
        <f t="shared" si="22"/>
        <v>FY2024</v>
      </c>
    </row>
    <row r="378" spans="1:4">
      <c r="A378" s="11">
        <f t="shared" si="23"/>
        <v>45393</v>
      </c>
      <c r="B378" t="str">
        <f t="shared" si="20"/>
        <v>Apr 2024</v>
      </c>
      <c r="C378" t="str">
        <f t="shared" si="21"/>
        <v>Q2</v>
      </c>
      <c r="D378" t="str">
        <f t="shared" si="22"/>
        <v>FY2024</v>
      </c>
    </row>
    <row r="379" spans="1:4">
      <c r="A379" s="11">
        <f t="shared" si="23"/>
        <v>45394</v>
      </c>
      <c r="B379" t="str">
        <f t="shared" si="20"/>
        <v>Apr 2024</v>
      </c>
      <c r="C379" t="str">
        <f t="shared" si="21"/>
        <v>Q2</v>
      </c>
      <c r="D379" t="str">
        <f t="shared" si="22"/>
        <v>FY2024</v>
      </c>
    </row>
    <row r="380" spans="1:4">
      <c r="A380" s="11">
        <f t="shared" si="23"/>
        <v>45395</v>
      </c>
      <c r="B380" t="str">
        <f t="shared" si="20"/>
        <v>Apr 2024</v>
      </c>
      <c r="C380" t="str">
        <f t="shared" si="21"/>
        <v>Q2</v>
      </c>
      <c r="D380" t="str">
        <f t="shared" si="22"/>
        <v>FY2024</v>
      </c>
    </row>
    <row r="381" spans="1:4">
      <c r="A381" s="11">
        <f t="shared" si="23"/>
        <v>45396</v>
      </c>
      <c r="B381" t="str">
        <f t="shared" si="20"/>
        <v>Apr 2024</v>
      </c>
      <c r="C381" t="str">
        <f t="shared" si="21"/>
        <v>Q2</v>
      </c>
      <c r="D381" t="str">
        <f t="shared" si="22"/>
        <v>FY2024</v>
      </c>
    </row>
    <row r="382" spans="1:4">
      <c r="A382" s="11">
        <f t="shared" si="23"/>
        <v>45397</v>
      </c>
      <c r="B382" t="str">
        <f t="shared" si="20"/>
        <v>Apr 2024</v>
      </c>
      <c r="C382" t="str">
        <f t="shared" si="21"/>
        <v>Q2</v>
      </c>
      <c r="D382" t="str">
        <f t="shared" si="22"/>
        <v>FY2024</v>
      </c>
    </row>
    <row r="383" spans="1:4">
      <c r="A383" s="11">
        <f t="shared" si="23"/>
        <v>45398</v>
      </c>
      <c r="B383" t="str">
        <f t="shared" si="20"/>
        <v>Apr 2024</v>
      </c>
      <c r="C383" t="str">
        <f t="shared" si="21"/>
        <v>Q2</v>
      </c>
      <c r="D383" t="str">
        <f t="shared" si="22"/>
        <v>FY2024</v>
      </c>
    </row>
    <row r="384" spans="1:4">
      <c r="A384" s="11">
        <f t="shared" si="23"/>
        <v>45399</v>
      </c>
      <c r="B384" t="str">
        <f t="shared" si="20"/>
        <v>Apr 2024</v>
      </c>
      <c r="C384" t="str">
        <f t="shared" si="21"/>
        <v>Q2</v>
      </c>
      <c r="D384" t="str">
        <f t="shared" si="22"/>
        <v>FY2024</v>
      </c>
    </row>
    <row r="385" spans="1:4">
      <c r="A385" s="11">
        <f t="shared" si="23"/>
        <v>45400</v>
      </c>
      <c r="B385" t="str">
        <f t="shared" si="20"/>
        <v>Apr 2024</v>
      </c>
      <c r="C385" t="str">
        <f t="shared" si="21"/>
        <v>Q2</v>
      </c>
      <c r="D385" t="str">
        <f t="shared" si="22"/>
        <v>FY2024</v>
      </c>
    </row>
    <row r="386" spans="1:4">
      <c r="A386" s="11">
        <f t="shared" si="23"/>
        <v>45401</v>
      </c>
      <c r="B386" t="str">
        <f t="shared" si="20"/>
        <v>Apr 2024</v>
      </c>
      <c r="C386" t="str">
        <f t="shared" si="21"/>
        <v>Q2</v>
      </c>
      <c r="D386" t="str">
        <f t="shared" si="22"/>
        <v>FY2024</v>
      </c>
    </row>
    <row r="387" spans="1:4">
      <c r="A387" s="11">
        <f t="shared" si="23"/>
        <v>45402</v>
      </c>
      <c r="B387" t="str">
        <f t="shared" ref="B387:B450" si="24">TEXT(A387, "MMM_YYYY")</f>
        <v>Apr 2024</v>
      </c>
      <c r="C387" t="str">
        <f t="shared" ref="C387:C450" si="25">"Q" &amp; INT((MONTH(A387)-1)/3)+1</f>
        <v>Q2</v>
      </c>
      <c r="D387" t="str">
        <f t="shared" ref="D387:D450" si="26">"FY" &amp; IF(MONTH(A387)&gt;=4, YEAR(A387), YEAR(A387)-1)</f>
        <v>FY2024</v>
      </c>
    </row>
    <row r="388" spans="1:4">
      <c r="A388" s="11">
        <f t="shared" ref="A388:A451" si="27">A387+1</f>
        <v>45403</v>
      </c>
      <c r="B388" t="str">
        <f t="shared" si="24"/>
        <v>Apr 2024</v>
      </c>
      <c r="C388" t="str">
        <f t="shared" si="25"/>
        <v>Q2</v>
      </c>
      <c r="D388" t="str">
        <f t="shared" si="26"/>
        <v>FY2024</v>
      </c>
    </row>
    <row r="389" spans="1:4">
      <c r="A389" s="11">
        <f t="shared" si="27"/>
        <v>45404</v>
      </c>
      <c r="B389" t="str">
        <f t="shared" si="24"/>
        <v>Apr 2024</v>
      </c>
      <c r="C389" t="str">
        <f t="shared" si="25"/>
        <v>Q2</v>
      </c>
      <c r="D389" t="str">
        <f t="shared" si="26"/>
        <v>FY2024</v>
      </c>
    </row>
    <row r="390" spans="1:4">
      <c r="A390" s="11">
        <f t="shared" si="27"/>
        <v>45405</v>
      </c>
      <c r="B390" t="str">
        <f t="shared" si="24"/>
        <v>Apr 2024</v>
      </c>
      <c r="C390" t="str">
        <f t="shared" si="25"/>
        <v>Q2</v>
      </c>
      <c r="D390" t="str">
        <f t="shared" si="26"/>
        <v>FY2024</v>
      </c>
    </row>
    <row r="391" spans="1:4">
      <c r="A391" s="11">
        <f t="shared" si="27"/>
        <v>45406</v>
      </c>
      <c r="B391" t="str">
        <f t="shared" si="24"/>
        <v>Apr 2024</v>
      </c>
      <c r="C391" t="str">
        <f t="shared" si="25"/>
        <v>Q2</v>
      </c>
      <c r="D391" t="str">
        <f t="shared" si="26"/>
        <v>FY2024</v>
      </c>
    </row>
    <row r="392" spans="1:4">
      <c r="A392" s="11">
        <f t="shared" si="27"/>
        <v>45407</v>
      </c>
      <c r="B392" t="str">
        <f t="shared" si="24"/>
        <v>Apr 2024</v>
      </c>
      <c r="C392" t="str">
        <f t="shared" si="25"/>
        <v>Q2</v>
      </c>
      <c r="D392" t="str">
        <f t="shared" si="26"/>
        <v>FY2024</v>
      </c>
    </row>
    <row r="393" spans="1:4">
      <c r="A393" s="11">
        <f t="shared" si="27"/>
        <v>45408</v>
      </c>
      <c r="B393" t="str">
        <f t="shared" si="24"/>
        <v>Apr 2024</v>
      </c>
      <c r="C393" t="str">
        <f t="shared" si="25"/>
        <v>Q2</v>
      </c>
      <c r="D393" t="str">
        <f t="shared" si="26"/>
        <v>FY2024</v>
      </c>
    </row>
    <row r="394" spans="1:4">
      <c r="A394" s="11">
        <f t="shared" si="27"/>
        <v>45409</v>
      </c>
      <c r="B394" t="str">
        <f t="shared" si="24"/>
        <v>Apr 2024</v>
      </c>
      <c r="C394" t="str">
        <f t="shared" si="25"/>
        <v>Q2</v>
      </c>
      <c r="D394" t="str">
        <f t="shared" si="26"/>
        <v>FY2024</v>
      </c>
    </row>
    <row r="395" spans="1:4">
      <c r="A395" s="11">
        <f t="shared" si="27"/>
        <v>45410</v>
      </c>
      <c r="B395" t="str">
        <f t="shared" si="24"/>
        <v>Apr 2024</v>
      </c>
      <c r="C395" t="str">
        <f t="shared" si="25"/>
        <v>Q2</v>
      </c>
      <c r="D395" t="str">
        <f t="shared" si="26"/>
        <v>FY2024</v>
      </c>
    </row>
    <row r="396" spans="1:4">
      <c r="A396" s="11">
        <f t="shared" si="27"/>
        <v>45411</v>
      </c>
      <c r="B396" t="str">
        <f t="shared" si="24"/>
        <v>Apr 2024</v>
      </c>
      <c r="C396" t="str">
        <f t="shared" si="25"/>
        <v>Q2</v>
      </c>
      <c r="D396" t="str">
        <f t="shared" si="26"/>
        <v>FY2024</v>
      </c>
    </row>
    <row r="397" spans="1:4">
      <c r="A397" s="11">
        <f t="shared" si="27"/>
        <v>45412</v>
      </c>
      <c r="B397" t="str">
        <f t="shared" si="24"/>
        <v>Apr 2024</v>
      </c>
      <c r="C397" t="str">
        <f t="shared" si="25"/>
        <v>Q2</v>
      </c>
      <c r="D397" t="str">
        <f t="shared" si="26"/>
        <v>FY2024</v>
      </c>
    </row>
    <row r="398" spans="1:4">
      <c r="A398" s="11">
        <f t="shared" si="27"/>
        <v>45413</v>
      </c>
      <c r="B398" t="str">
        <f t="shared" si="24"/>
        <v>May 2024</v>
      </c>
      <c r="C398" t="str">
        <f t="shared" si="25"/>
        <v>Q2</v>
      </c>
      <c r="D398" t="str">
        <f t="shared" si="26"/>
        <v>FY2024</v>
      </c>
    </row>
    <row r="399" spans="1:4">
      <c r="A399" s="11">
        <f t="shared" si="27"/>
        <v>45414</v>
      </c>
      <c r="B399" t="str">
        <f t="shared" si="24"/>
        <v>May 2024</v>
      </c>
      <c r="C399" t="str">
        <f t="shared" si="25"/>
        <v>Q2</v>
      </c>
      <c r="D399" t="str">
        <f t="shared" si="26"/>
        <v>FY2024</v>
      </c>
    </row>
    <row r="400" spans="1:4">
      <c r="A400" s="11">
        <f t="shared" si="27"/>
        <v>45415</v>
      </c>
      <c r="B400" t="str">
        <f t="shared" si="24"/>
        <v>May 2024</v>
      </c>
      <c r="C400" t="str">
        <f t="shared" si="25"/>
        <v>Q2</v>
      </c>
      <c r="D400" t="str">
        <f t="shared" si="26"/>
        <v>FY2024</v>
      </c>
    </row>
    <row r="401" spans="1:4">
      <c r="A401" s="11">
        <f t="shared" si="27"/>
        <v>45416</v>
      </c>
      <c r="B401" t="str">
        <f t="shared" si="24"/>
        <v>May 2024</v>
      </c>
      <c r="C401" t="str">
        <f t="shared" si="25"/>
        <v>Q2</v>
      </c>
      <c r="D401" t="str">
        <f t="shared" si="26"/>
        <v>FY2024</v>
      </c>
    </row>
    <row r="402" spans="1:4">
      <c r="A402" s="11">
        <f t="shared" si="27"/>
        <v>45417</v>
      </c>
      <c r="B402" t="str">
        <f t="shared" si="24"/>
        <v>May 2024</v>
      </c>
      <c r="C402" t="str">
        <f t="shared" si="25"/>
        <v>Q2</v>
      </c>
      <c r="D402" t="str">
        <f t="shared" si="26"/>
        <v>FY2024</v>
      </c>
    </row>
    <row r="403" spans="1:4">
      <c r="A403" s="11">
        <f t="shared" si="27"/>
        <v>45418</v>
      </c>
      <c r="B403" t="str">
        <f t="shared" si="24"/>
        <v>May 2024</v>
      </c>
      <c r="C403" t="str">
        <f t="shared" si="25"/>
        <v>Q2</v>
      </c>
      <c r="D403" t="str">
        <f t="shared" si="26"/>
        <v>FY2024</v>
      </c>
    </row>
    <row r="404" spans="1:4">
      <c r="A404" s="11">
        <f t="shared" si="27"/>
        <v>45419</v>
      </c>
      <c r="B404" t="str">
        <f t="shared" si="24"/>
        <v>May 2024</v>
      </c>
      <c r="C404" t="str">
        <f t="shared" si="25"/>
        <v>Q2</v>
      </c>
      <c r="D404" t="str">
        <f t="shared" si="26"/>
        <v>FY2024</v>
      </c>
    </row>
    <row r="405" spans="1:4">
      <c r="A405" s="11">
        <f t="shared" si="27"/>
        <v>45420</v>
      </c>
      <c r="B405" t="str">
        <f t="shared" si="24"/>
        <v>May 2024</v>
      </c>
      <c r="C405" t="str">
        <f t="shared" si="25"/>
        <v>Q2</v>
      </c>
      <c r="D405" t="str">
        <f t="shared" si="26"/>
        <v>FY2024</v>
      </c>
    </row>
    <row r="406" spans="1:4">
      <c r="A406" s="11">
        <f t="shared" si="27"/>
        <v>45421</v>
      </c>
      <c r="B406" t="str">
        <f t="shared" si="24"/>
        <v>May 2024</v>
      </c>
      <c r="C406" t="str">
        <f t="shared" si="25"/>
        <v>Q2</v>
      </c>
      <c r="D406" t="str">
        <f t="shared" si="26"/>
        <v>FY2024</v>
      </c>
    </row>
    <row r="407" spans="1:4">
      <c r="A407" s="11">
        <f t="shared" si="27"/>
        <v>45422</v>
      </c>
      <c r="B407" t="str">
        <f t="shared" si="24"/>
        <v>May 2024</v>
      </c>
      <c r="C407" t="str">
        <f t="shared" si="25"/>
        <v>Q2</v>
      </c>
      <c r="D407" t="str">
        <f t="shared" si="26"/>
        <v>FY2024</v>
      </c>
    </row>
    <row r="408" spans="1:4">
      <c r="A408" s="11">
        <f t="shared" si="27"/>
        <v>45423</v>
      </c>
      <c r="B408" t="str">
        <f t="shared" si="24"/>
        <v>May 2024</v>
      </c>
      <c r="C408" t="str">
        <f t="shared" si="25"/>
        <v>Q2</v>
      </c>
      <c r="D408" t="str">
        <f t="shared" si="26"/>
        <v>FY2024</v>
      </c>
    </row>
    <row r="409" spans="1:4">
      <c r="A409" s="11">
        <f t="shared" si="27"/>
        <v>45424</v>
      </c>
      <c r="B409" t="str">
        <f t="shared" si="24"/>
        <v>May 2024</v>
      </c>
      <c r="C409" t="str">
        <f t="shared" si="25"/>
        <v>Q2</v>
      </c>
      <c r="D409" t="str">
        <f t="shared" si="26"/>
        <v>FY2024</v>
      </c>
    </row>
    <row r="410" spans="1:4">
      <c r="A410" s="11">
        <f t="shared" si="27"/>
        <v>45425</v>
      </c>
      <c r="B410" t="str">
        <f t="shared" si="24"/>
        <v>May 2024</v>
      </c>
      <c r="C410" t="str">
        <f t="shared" si="25"/>
        <v>Q2</v>
      </c>
      <c r="D410" t="str">
        <f t="shared" si="26"/>
        <v>FY2024</v>
      </c>
    </row>
    <row r="411" spans="1:4">
      <c r="A411" s="11">
        <f t="shared" si="27"/>
        <v>45426</v>
      </c>
      <c r="B411" t="str">
        <f t="shared" si="24"/>
        <v>May 2024</v>
      </c>
      <c r="C411" t="str">
        <f t="shared" si="25"/>
        <v>Q2</v>
      </c>
      <c r="D411" t="str">
        <f t="shared" si="26"/>
        <v>FY2024</v>
      </c>
    </row>
    <row r="412" spans="1:4">
      <c r="A412" s="11">
        <f t="shared" si="27"/>
        <v>45427</v>
      </c>
      <c r="B412" t="str">
        <f t="shared" si="24"/>
        <v>May 2024</v>
      </c>
      <c r="C412" t="str">
        <f t="shared" si="25"/>
        <v>Q2</v>
      </c>
      <c r="D412" t="str">
        <f t="shared" si="26"/>
        <v>FY2024</v>
      </c>
    </row>
    <row r="413" spans="1:4">
      <c r="A413" s="11">
        <f t="shared" si="27"/>
        <v>45428</v>
      </c>
      <c r="B413" t="str">
        <f t="shared" si="24"/>
        <v>May 2024</v>
      </c>
      <c r="C413" t="str">
        <f t="shared" si="25"/>
        <v>Q2</v>
      </c>
      <c r="D413" t="str">
        <f t="shared" si="26"/>
        <v>FY2024</v>
      </c>
    </row>
    <row r="414" spans="1:4">
      <c r="A414" s="11">
        <f t="shared" si="27"/>
        <v>45429</v>
      </c>
      <c r="B414" t="str">
        <f t="shared" si="24"/>
        <v>May 2024</v>
      </c>
      <c r="C414" t="str">
        <f t="shared" si="25"/>
        <v>Q2</v>
      </c>
      <c r="D414" t="str">
        <f t="shared" si="26"/>
        <v>FY2024</v>
      </c>
    </row>
    <row r="415" spans="1:4">
      <c r="A415" s="11">
        <f t="shared" si="27"/>
        <v>45430</v>
      </c>
      <c r="B415" t="str">
        <f t="shared" si="24"/>
        <v>May 2024</v>
      </c>
      <c r="C415" t="str">
        <f t="shared" si="25"/>
        <v>Q2</v>
      </c>
      <c r="D415" t="str">
        <f t="shared" si="26"/>
        <v>FY2024</v>
      </c>
    </row>
    <row r="416" spans="1:4">
      <c r="A416" s="11">
        <f t="shared" si="27"/>
        <v>45431</v>
      </c>
      <c r="B416" t="str">
        <f t="shared" si="24"/>
        <v>May 2024</v>
      </c>
      <c r="C416" t="str">
        <f t="shared" si="25"/>
        <v>Q2</v>
      </c>
      <c r="D416" t="str">
        <f t="shared" si="26"/>
        <v>FY2024</v>
      </c>
    </row>
    <row r="417" spans="1:4">
      <c r="A417" s="11">
        <f t="shared" si="27"/>
        <v>45432</v>
      </c>
      <c r="B417" t="str">
        <f t="shared" si="24"/>
        <v>May 2024</v>
      </c>
      <c r="C417" t="str">
        <f t="shared" si="25"/>
        <v>Q2</v>
      </c>
      <c r="D417" t="str">
        <f t="shared" si="26"/>
        <v>FY2024</v>
      </c>
    </row>
    <row r="418" spans="1:4">
      <c r="A418" s="11">
        <f t="shared" si="27"/>
        <v>45433</v>
      </c>
      <c r="B418" t="str">
        <f t="shared" si="24"/>
        <v>May 2024</v>
      </c>
      <c r="C418" t="str">
        <f t="shared" si="25"/>
        <v>Q2</v>
      </c>
      <c r="D418" t="str">
        <f t="shared" si="26"/>
        <v>FY2024</v>
      </c>
    </row>
    <row r="419" spans="1:4">
      <c r="A419" s="11">
        <f t="shared" si="27"/>
        <v>45434</v>
      </c>
      <c r="B419" t="str">
        <f t="shared" si="24"/>
        <v>May 2024</v>
      </c>
      <c r="C419" t="str">
        <f t="shared" si="25"/>
        <v>Q2</v>
      </c>
      <c r="D419" t="str">
        <f t="shared" si="26"/>
        <v>FY2024</v>
      </c>
    </row>
    <row r="420" spans="1:4">
      <c r="A420" s="11">
        <f t="shared" si="27"/>
        <v>45435</v>
      </c>
      <c r="B420" t="str">
        <f t="shared" si="24"/>
        <v>May 2024</v>
      </c>
      <c r="C420" t="str">
        <f t="shared" si="25"/>
        <v>Q2</v>
      </c>
      <c r="D420" t="str">
        <f t="shared" si="26"/>
        <v>FY2024</v>
      </c>
    </row>
    <row r="421" spans="1:4">
      <c r="A421" s="11">
        <f t="shared" si="27"/>
        <v>45436</v>
      </c>
      <c r="B421" t="str">
        <f t="shared" si="24"/>
        <v>May 2024</v>
      </c>
      <c r="C421" t="str">
        <f t="shared" si="25"/>
        <v>Q2</v>
      </c>
      <c r="D421" t="str">
        <f t="shared" si="26"/>
        <v>FY2024</v>
      </c>
    </row>
    <row r="422" spans="1:4">
      <c r="A422" s="11">
        <f t="shared" si="27"/>
        <v>45437</v>
      </c>
      <c r="B422" t="str">
        <f t="shared" si="24"/>
        <v>May 2024</v>
      </c>
      <c r="C422" t="str">
        <f t="shared" si="25"/>
        <v>Q2</v>
      </c>
      <c r="D422" t="str">
        <f t="shared" si="26"/>
        <v>FY2024</v>
      </c>
    </row>
    <row r="423" spans="1:4">
      <c r="A423" s="11">
        <f t="shared" si="27"/>
        <v>45438</v>
      </c>
      <c r="B423" t="str">
        <f t="shared" si="24"/>
        <v>May 2024</v>
      </c>
      <c r="C423" t="str">
        <f t="shared" si="25"/>
        <v>Q2</v>
      </c>
      <c r="D423" t="str">
        <f t="shared" si="26"/>
        <v>FY2024</v>
      </c>
    </row>
    <row r="424" spans="1:4">
      <c r="A424" s="11">
        <f t="shared" si="27"/>
        <v>45439</v>
      </c>
      <c r="B424" t="str">
        <f t="shared" si="24"/>
        <v>May 2024</v>
      </c>
      <c r="C424" t="str">
        <f t="shared" si="25"/>
        <v>Q2</v>
      </c>
      <c r="D424" t="str">
        <f t="shared" si="26"/>
        <v>FY2024</v>
      </c>
    </row>
    <row r="425" spans="1:4">
      <c r="A425" s="11">
        <f t="shared" si="27"/>
        <v>45440</v>
      </c>
      <c r="B425" t="str">
        <f t="shared" si="24"/>
        <v>May 2024</v>
      </c>
      <c r="C425" t="str">
        <f t="shared" si="25"/>
        <v>Q2</v>
      </c>
      <c r="D425" t="str">
        <f t="shared" si="26"/>
        <v>FY2024</v>
      </c>
    </row>
    <row r="426" spans="1:4">
      <c r="A426" s="11">
        <f t="shared" si="27"/>
        <v>45441</v>
      </c>
      <c r="B426" t="str">
        <f t="shared" si="24"/>
        <v>May 2024</v>
      </c>
      <c r="C426" t="str">
        <f t="shared" si="25"/>
        <v>Q2</v>
      </c>
      <c r="D426" t="str">
        <f t="shared" si="26"/>
        <v>FY2024</v>
      </c>
    </row>
    <row r="427" spans="1:4">
      <c r="A427" s="11">
        <f t="shared" si="27"/>
        <v>45442</v>
      </c>
      <c r="B427" t="str">
        <f t="shared" si="24"/>
        <v>May 2024</v>
      </c>
      <c r="C427" t="str">
        <f t="shared" si="25"/>
        <v>Q2</v>
      </c>
      <c r="D427" t="str">
        <f t="shared" si="26"/>
        <v>FY2024</v>
      </c>
    </row>
    <row r="428" spans="1:4">
      <c r="A428" s="11">
        <f t="shared" si="27"/>
        <v>45443</v>
      </c>
      <c r="B428" t="str">
        <f t="shared" si="24"/>
        <v>May 2024</v>
      </c>
      <c r="C428" t="str">
        <f t="shared" si="25"/>
        <v>Q2</v>
      </c>
      <c r="D428" t="str">
        <f t="shared" si="26"/>
        <v>FY2024</v>
      </c>
    </row>
    <row r="429" spans="1:4">
      <c r="A429" s="11">
        <f t="shared" si="27"/>
        <v>45444</v>
      </c>
      <c r="B429" t="str">
        <f t="shared" si="24"/>
        <v>Jun 2024</v>
      </c>
      <c r="C429" t="str">
        <f t="shared" si="25"/>
        <v>Q2</v>
      </c>
      <c r="D429" t="str">
        <f t="shared" si="26"/>
        <v>FY2024</v>
      </c>
    </row>
    <row r="430" spans="1:4">
      <c r="A430" s="11">
        <f t="shared" si="27"/>
        <v>45445</v>
      </c>
      <c r="B430" t="str">
        <f t="shared" si="24"/>
        <v>Jun 2024</v>
      </c>
      <c r="C430" t="str">
        <f t="shared" si="25"/>
        <v>Q2</v>
      </c>
      <c r="D430" t="str">
        <f t="shared" si="26"/>
        <v>FY2024</v>
      </c>
    </row>
    <row r="431" spans="1:4">
      <c r="A431" s="11">
        <f t="shared" si="27"/>
        <v>45446</v>
      </c>
      <c r="B431" t="str">
        <f t="shared" si="24"/>
        <v>Jun 2024</v>
      </c>
      <c r="C431" t="str">
        <f t="shared" si="25"/>
        <v>Q2</v>
      </c>
      <c r="D431" t="str">
        <f t="shared" si="26"/>
        <v>FY2024</v>
      </c>
    </row>
    <row r="432" spans="1:4">
      <c r="A432" s="11">
        <f t="shared" si="27"/>
        <v>45447</v>
      </c>
      <c r="B432" t="str">
        <f t="shared" si="24"/>
        <v>Jun 2024</v>
      </c>
      <c r="C432" t="str">
        <f t="shared" si="25"/>
        <v>Q2</v>
      </c>
      <c r="D432" t="str">
        <f t="shared" si="26"/>
        <v>FY2024</v>
      </c>
    </row>
    <row r="433" spans="1:4">
      <c r="A433" s="11">
        <f t="shared" si="27"/>
        <v>45448</v>
      </c>
      <c r="B433" t="str">
        <f t="shared" si="24"/>
        <v>Jun 2024</v>
      </c>
      <c r="C433" t="str">
        <f t="shared" si="25"/>
        <v>Q2</v>
      </c>
      <c r="D433" t="str">
        <f t="shared" si="26"/>
        <v>FY2024</v>
      </c>
    </row>
    <row r="434" spans="1:4">
      <c r="A434" s="11">
        <f t="shared" si="27"/>
        <v>45449</v>
      </c>
      <c r="B434" t="str">
        <f t="shared" si="24"/>
        <v>Jun 2024</v>
      </c>
      <c r="C434" t="str">
        <f t="shared" si="25"/>
        <v>Q2</v>
      </c>
      <c r="D434" t="str">
        <f t="shared" si="26"/>
        <v>FY2024</v>
      </c>
    </row>
    <row r="435" spans="1:4">
      <c r="A435" s="11">
        <f t="shared" si="27"/>
        <v>45450</v>
      </c>
      <c r="B435" t="str">
        <f t="shared" si="24"/>
        <v>Jun 2024</v>
      </c>
      <c r="C435" t="str">
        <f t="shared" si="25"/>
        <v>Q2</v>
      </c>
      <c r="D435" t="str">
        <f t="shared" si="26"/>
        <v>FY2024</v>
      </c>
    </row>
    <row r="436" spans="1:4">
      <c r="A436" s="11">
        <f t="shared" si="27"/>
        <v>45451</v>
      </c>
      <c r="B436" t="str">
        <f t="shared" si="24"/>
        <v>Jun 2024</v>
      </c>
      <c r="C436" t="str">
        <f t="shared" si="25"/>
        <v>Q2</v>
      </c>
      <c r="D436" t="str">
        <f t="shared" si="26"/>
        <v>FY2024</v>
      </c>
    </row>
    <row r="437" spans="1:4">
      <c r="A437" s="11">
        <f t="shared" si="27"/>
        <v>45452</v>
      </c>
      <c r="B437" t="str">
        <f t="shared" si="24"/>
        <v>Jun 2024</v>
      </c>
      <c r="C437" t="str">
        <f t="shared" si="25"/>
        <v>Q2</v>
      </c>
      <c r="D437" t="str">
        <f t="shared" si="26"/>
        <v>FY2024</v>
      </c>
    </row>
    <row r="438" spans="1:4">
      <c r="A438" s="11">
        <f t="shared" si="27"/>
        <v>45453</v>
      </c>
      <c r="B438" t="str">
        <f t="shared" si="24"/>
        <v>Jun 2024</v>
      </c>
      <c r="C438" t="str">
        <f t="shared" si="25"/>
        <v>Q2</v>
      </c>
      <c r="D438" t="str">
        <f t="shared" si="26"/>
        <v>FY2024</v>
      </c>
    </row>
    <row r="439" spans="1:4">
      <c r="A439" s="11">
        <f t="shared" si="27"/>
        <v>45454</v>
      </c>
      <c r="B439" t="str">
        <f t="shared" si="24"/>
        <v>Jun 2024</v>
      </c>
      <c r="C439" t="str">
        <f t="shared" si="25"/>
        <v>Q2</v>
      </c>
      <c r="D439" t="str">
        <f t="shared" si="26"/>
        <v>FY2024</v>
      </c>
    </row>
    <row r="440" spans="1:4">
      <c r="A440" s="11">
        <f t="shared" si="27"/>
        <v>45455</v>
      </c>
      <c r="B440" t="str">
        <f t="shared" si="24"/>
        <v>Jun 2024</v>
      </c>
      <c r="C440" t="str">
        <f t="shared" si="25"/>
        <v>Q2</v>
      </c>
      <c r="D440" t="str">
        <f t="shared" si="26"/>
        <v>FY2024</v>
      </c>
    </row>
    <row r="441" spans="1:4">
      <c r="A441" s="11">
        <f t="shared" si="27"/>
        <v>45456</v>
      </c>
      <c r="B441" t="str">
        <f t="shared" si="24"/>
        <v>Jun 2024</v>
      </c>
      <c r="C441" t="str">
        <f t="shared" si="25"/>
        <v>Q2</v>
      </c>
      <c r="D441" t="str">
        <f t="shared" si="26"/>
        <v>FY2024</v>
      </c>
    </row>
    <row r="442" spans="1:4">
      <c r="A442" s="11">
        <f t="shared" si="27"/>
        <v>45457</v>
      </c>
      <c r="B442" t="str">
        <f t="shared" si="24"/>
        <v>Jun 2024</v>
      </c>
      <c r="C442" t="str">
        <f t="shared" si="25"/>
        <v>Q2</v>
      </c>
      <c r="D442" t="str">
        <f t="shared" si="26"/>
        <v>FY2024</v>
      </c>
    </row>
    <row r="443" spans="1:4">
      <c r="A443" s="11">
        <f t="shared" si="27"/>
        <v>45458</v>
      </c>
      <c r="B443" t="str">
        <f t="shared" si="24"/>
        <v>Jun 2024</v>
      </c>
      <c r="C443" t="str">
        <f t="shared" si="25"/>
        <v>Q2</v>
      </c>
      <c r="D443" t="str">
        <f t="shared" si="26"/>
        <v>FY2024</v>
      </c>
    </row>
    <row r="444" spans="1:4">
      <c r="A444" s="11">
        <f t="shared" si="27"/>
        <v>45459</v>
      </c>
      <c r="B444" t="str">
        <f t="shared" si="24"/>
        <v>Jun 2024</v>
      </c>
      <c r="C444" t="str">
        <f t="shared" si="25"/>
        <v>Q2</v>
      </c>
      <c r="D444" t="str">
        <f t="shared" si="26"/>
        <v>FY2024</v>
      </c>
    </row>
    <row r="445" spans="1:4">
      <c r="A445" s="11">
        <f t="shared" si="27"/>
        <v>45460</v>
      </c>
      <c r="B445" t="str">
        <f t="shared" si="24"/>
        <v>Jun 2024</v>
      </c>
      <c r="C445" t="str">
        <f t="shared" si="25"/>
        <v>Q2</v>
      </c>
      <c r="D445" t="str">
        <f t="shared" si="26"/>
        <v>FY2024</v>
      </c>
    </row>
    <row r="446" spans="1:4">
      <c r="A446" s="11">
        <f t="shared" si="27"/>
        <v>45461</v>
      </c>
      <c r="B446" t="str">
        <f t="shared" si="24"/>
        <v>Jun 2024</v>
      </c>
      <c r="C446" t="str">
        <f t="shared" si="25"/>
        <v>Q2</v>
      </c>
      <c r="D446" t="str">
        <f t="shared" si="26"/>
        <v>FY2024</v>
      </c>
    </row>
    <row r="447" spans="1:4">
      <c r="A447" s="11">
        <f t="shared" si="27"/>
        <v>45462</v>
      </c>
      <c r="B447" t="str">
        <f t="shared" si="24"/>
        <v>Jun 2024</v>
      </c>
      <c r="C447" t="str">
        <f t="shared" si="25"/>
        <v>Q2</v>
      </c>
      <c r="D447" t="str">
        <f t="shared" si="26"/>
        <v>FY2024</v>
      </c>
    </row>
    <row r="448" spans="1:4">
      <c r="A448" s="11">
        <f t="shared" si="27"/>
        <v>45463</v>
      </c>
      <c r="B448" t="str">
        <f t="shared" si="24"/>
        <v>Jun 2024</v>
      </c>
      <c r="C448" t="str">
        <f t="shared" si="25"/>
        <v>Q2</v>
      </c>
      <c r="D448" t="str">
        <f t="shared" si="26"/>
        <v>FY2024</v>
      </c>
    </row>
    <row r="449" spans="1:4">
      <c r="A449" s="11">
        <f t="shared" si="27"/>
        <v>45464</v>
      </c>
      <c r="B449" t="str">
        <f t="shared" si="24"/>
        <v>Jun 2024</v>
      </c>
      <c r="C449" t="str">
        <f t="shared" si="25"/>
        <v>Q2</v>
      </c>
      <c r="D449" t="str">
        <f t="shared" si="26"/>
        <v>FY2024</v>
      </c>
    </row>
    <row r="450" spans="1:4">
      <c r="A450" s="11">
        <f t="shared" si="27"/>
        <v>45465</v>
      </c>
      <c r="B450" t="str">
        <f t="shared" si="24"/>
        <v>Jun 2024</v>
      </c>
      <c r="C450" t="str">
        <f t="shared" si="25"/>
        <v>Q2</v>
      </c>
      <c r="D450" t="str">
        <f t="shared" si="26"/>
        <v>FY2024</v>
      </c>
    </row>
    <row r="451" spans="1:4">
      <c r="A451" s="11">
        <f t="shared" si="27"/>
        <v>45466</v>
      </c>
      <c r="B451" t="str">
        <f t="shared" ref="B451:B514" si="28">TEXT(A451, "MMM_YYYY")</f>
        <v>Jun 2024</v>
      </c>
      <c r="C451" t="str">
        <f t="shared" ref="C451:C514" si="29">"Q" &amp; INT((MONTH(A451)-1)/3)+1</f>
        <v>Q2</v>
      </c>
      <c r="D451" t="str">
        <f t="shared" ref="D451:D514" si="30">"FY" &amp; IF(MONTH(A451)&gt;=4, YEAR(A451), YEAR(A451)-1)</f>
        <v>FY2024</v>
      </c>
    </row>
    <row r="452" spans="1:4">
      <c r="A452" s="11">
        <f t="shared" ref="A452:A515" si="31">A451+1</f>
        <v>45467</v>
      </c>
      <c r="B452" t="str">
        <f t="shared" si="28"/>
        <v>Jun 2024</v>
      </c>
      <c r="C452" t="str">
        <f t="shared" si="29"/>
        <v>Q2</v>
      </c>
      <c r="D452" t="str">
        <f t="shared" si="30"/>
        <v>FY2024</v>
      </c>
    </row>
    <row r="453" spans="1:4">
      <c r="A453" s="11">
        <f t="shared" si="31"/>
        <v>45468</v>
      </c>
      <c r="B453" t="str">
        <f t="shared" si="28"/>
        <v>Jun 2024</v>
      </c>
      <c r="C453" t="str">
        <f t="shared" si="29"/>
        <v>Q2</v>
      </c>
      <c r="D453" t="str">
        <f t="shared" si="30"/>
        <v>FY2024</v>
      </c>
    </row>
    <row r="454" spans="1:4">
      <c r="A454" s="11">
        <f t="shared" si="31"/>
        <v>45469</v>
      </c>
      <c r="B454" t="str">
        <f t="shared" si="28"/>
        <v>Jun 2024</v>
      </c>
      <c r="C454" t="str">
        <f t="shared" si="29"/>
        <v>Q2</v>
      </c>
      <c r="D454" t="str">
        <f t="shared" si="30"/>
        <v>FY2024</v>
      </c>
    </row>
    <row r="455" spans="1:4">
      <c r="A455" s="11">
        <f t="shared" si="31"/>
        <v>45470</v>
      </c>
      <c r="B455" t="str">
        <f t="shared" si="28"/>
        <v>Jun 2024</v>
      </c>
      <c r="C455" t="str">
        <f t="shared" si="29"/>
        <v>Q2</v>
      </c>
      <c r="D455" t="str">
        <f t="shared" si="30"/>
        <v>FY2024</v>
      </c>
    </row>
    <row r="456" spans="1:4">
      <c r="A456" s="11">
        <f t="shared" si="31"/>
        <v>45471</v>
      </c>
      <c r="B456" t="str">
        <f t="shared" si="28"/>
        <v>Jun 2024</v>
      </c>
      <c r="C456" t="str">
        <f t="shared" si="29"/>
        <v>Q2</v>
      </c>
      <c r="D456" t="str">
        <f t="shared" si="30"/>
        <v>FY2024</v>
      </c>
    </row>
    <row r="457" spans="1:4">
      <c r="A457" s="11">
        <f t="shared" si="31"/>
        <v>45472</v>
      </c>
      <c r="B457" t="str">
        <f t="shared" si="28"/>
        <v>Jun 2024</v>
      </c>
      <c r="C457" t="str">
        <f t="shared" si="29"/>
        <v>Q2</v>
      </c>
      <c r="D457" t="str">
        <f t="shared" si="30"/>
        <v>FY2024</v>
      </c>
    </row>
    <row r="458" spans="1:4">
      <c r="A458" s="11">
        <f t="shared" si="31"/>
        <v>45473</v>
      </c>
      <c r="B458" t="str">
        <f t="shared" si="28"/>
        <v>Jun 2024</v>
      </c>
      <c r="C458" t="str">
        <f t="shared" si="29"/>
        <v>Q2</v>
      </c>
      <c r="D458" t="str">
        <f t="shared" si="30"/>
        <v>FY2024</v>
      </c>
    </row>
    <row r="459" spans="1:4">
      <c r="A459" s="11">
        <f t="shared" si="31"/>
        <v>45474</v>
      </c>
      <c r="B459" t="str">
        <f t="shared" si="28"/>
        <v>Jul 2024</v>
      </c>
      <c r="C459" t="str">
        <f t="shared" si="29"/>
        <v>Q3</v>
      </c>
      <c r="D459" t="str">
        <f t="shared" si="30"/>
        <v>FY2024</v>
      </c>
    </row>
    <row r="460" spans="1:4">
      <c r="A460" s="11">
        <f t="shared" si="31"/>
        <v>45475</v>
      </c>
      <c r="B460" t="str">
        <f t="shared" si="28"/>
        <v>Jul 2024</v>
      </c>
      <c r="C460" t="str">
        <f t="shared" si="29"/>
        <v>Q3</v>
      </c>
      <c r="D460" t="str">
        <f t="shared" si="30"/>
        <v>FY2024</v>
      </c>
    </row>
    <row r="461" spans="1:4">
      <c r="A461" s="11">
        <f t="shared" si="31"/>
        <v>45476</v>
      </c>
      <c r="B461" t="str">
        <f t="shared" si="28"/>
        <v>Jul 2024</v>
      </c>
      <c r="C461" t="str">
        <f t="shared" si="29"/>
        <v>Q3</v>
      </c>
      <c r="D461" t="str">
        <f t="shared" si="30"/>
        <v>FY2024</v>
      </c>
    </row>
    <row r="462" spans="1:4">
      <c r="A462" s="11">
        <f t="shared" si="31"/>
        <v>45477</v>
      </c>
      <c r="B462" t="str">
        <f t="shared" si="28"/>
        <v>Jul 2024</v>
      </c>
      <c r="C462" t="str">
        <f t="shared" si="29"/>
        <v>Q3</v>
      </c>
      <c r="D462" t="str">
        <f t="shared" si="30"/>
        <v>FY2024</v>
      </c>
    </row>
    <row r="463" spans="1:4">
      <c r="A463" s="11">
        <f t="shared" si="31"/>
        <v>45478</v>
      </c>
      <c r="B463" t="str">
        <f t="shared" si="28"/>
        <v>Jul 2024</v>
      </c>
      <c r="C463" t="str">
        <f t="shared" si="29"/>
        <v>Q3</v>
      </c>
      <c r="D463" t="str">
        <f t="shared" si="30"/>
        <v>FY2024</v>
      </c>
    </row>
    <row r="464" spans="1:4">
      <c r="A464" s="11">
        <f t="shared" si="31"/>
        <v>45479</v>
      </c>
      <c r="B464" t="str">
        <f t="shared" si="28"/>
        <v>Jul 2024</v>
      </c>
      <c r="C464" t="str">
        <f t="shared" si="29"/>
        <v>Q3</v>
      </c>
      <c r="D464" t="str">
        <f t="shared" si="30"/>
        <v>FY2024</v>
      </c>
    </row>
    <row r="465" spans="1:4">
      <c r="A465" s="11">
        <f t="shared" si="31"/>
        <v>45480</v>
      </c>
      <c r="B465" t="str">
        <f t="shared" si="28"/>
        <v>Jul 2024</v>
      </c>
      <c r="C465" t="str">
        <f t="shared" si="29"/>
        <v>Q3</v>
      </c>
      <c r="D465" t="str">
        <f t="shared" si="30"/>
        <v>FY2024</v>
      </c>
    </row>
    <row r="466" spans="1:4">
      <c r="A466" s="11">
        <f t="shared" si="31"/>
        <v>45481</v>
      </c>
      <c r="B466" t="str">
        <f t="shared" si="28"/>
        <v>Jul 2024</v>
      </c>
      <c r="C466" t="str">
        <f t="shared" si="29"/>
        <v>Q3</v>
      </c>
      <c r="D466" t="str">
        <f t="shared" si="30"/>
        <v>FY2024</v>
      </c>
    </row>
    <row r="467" spans="1:4">
      <c r="A467" s="11">
        <f t="shared" si="31"/>
        <v>45482</v>
      </c>
      <c r="B467" t="str">
        <f t="shared" si="28"/>
        <v>Jul 2024</v>
      </c>
      <c r="C467" t="str">
        <f t="shared" si="29"/>
        <v>Q3</v>
      </c>
      <c r="D467" t="str">
        <f t="shared" si="30"/>
        <v>FY2024</v>
      </c>
    </row>
    <row r="468" spans="1:4">
      <c r="A468" s="11">
        <f t="shared" si="31"/>
        <v>45483</v>
      </c>
      <c r="B468" t="str">
        <f t="shared" si="28"/>
        <v>Jul 2024</v>
      </c>
      <c r="C468" t="str">
        <f t="shared" si="29"/>
        <v>Q3</v>
      </c>
      <c r="D468" t="str">
        <f t="shared" si="30"/>
        <v>FY2024</v>
      </c>
    </row>
    <row r="469" spans="1:4">
      <c r="A469" s="11">
        <f t="shared" si="31"/>
        <v>45484</v>
      </c>
      <c r="B469" t="str">
        <f t="shared" si="28"/>
        <v>Jul 2024</v>
      </c>
      <c r="C469" t="str">
        <f t="shared" si="29"/>
        <v>Q3</v>
      </c>
      <c r="D469" t="str">
        <f t="shared" si="30"/>
        <v>FY2024</v>
      </c>
    </row>
    <row r="470" spans="1:4">
      <c r="A470" s="11">
        <f t="shared" si="31"/>
        <v>45485</v>
      </c>
      <c r="B470" t="str">
        <f t="shared" si="28"/>
        <v>Jul 2024</v>
      </c>
      <c r="C470" t="str">
        <f t="shared" si="29"/>
        <v>Q3</v>
      </c>
      <c r="D470" t="str">
        <f t="shared" si="30"/>
        <v>FY2024</v>
      </c>
    </row>
    <row r="471" spans="1:4">
      <c r="A471" s="11">
        <f t="shared" si="31"/>
        <v>45486</v>
      </c>
      <c r="B471" t="str">
        <f t="shared" si="28"/>
        <v>Jul 2024</v>
      </c>
      <c r="C471" t="str">
        <f t="shared" si="29"/>
        <v>Q3</v>
      </c>
      <c r="D471" t="str">
        <f t="shared" si="30"/>
        <v>FY2024</v>
      </c>
    </row>
    <row r="472" spans="1:4">
      <c r="A472" s="11">
        <f t="shared" si="31"/>
        <v>45487</v>
      </c>
      <c r="B472" t="str">
        <f t="shared" si="28"/>
        <v>Jul 2024</v>
      </c>
      <c r="C472" t="str">
        <f t="shared" si="29"/>
        <v>Q3</v>
      </c>
      <c r="D472" t="str">
        <f t="shared" si="30"/>
        <v>FY2024</v>
      </c>
    </row>
    <row r="473" spans="1:4">
      <c r="A473" s="11">
        <f t="shared" si="31"/>
        <v>45488</v>
      </c>
      <c r="B473" t="str">
        <f t="shared" si="28"/>
        <v>Jul 2024</v>
      </c>
      <c r="C473" t="str">
        <f t="shared" si="29"/>
        <v>Q3</v>
      </c>
      <c r="D473" t="str">
        <f t="shared" si="30"/>
        <v>FY2024</v>
      </c>
    </row>
    <row r="474" spans="1:4">
      <c r="A474" s="11">
        <f t="shared" si="31"/>
        <v>45489</v>
      </c>
      <c r="B474" t="str">
        <f t="shared" si="28"/>
        <v>Jul 2024</v>
      </c>
      <c r="C474" t="str">
        <f t="shared" si="29"/>
        <v>Q3</v>
      </c>
      <c r="D474" t="str">
        <f t="shared" si="30"/>
        <v>FY2024</v>
      </c>
    </row>
    <row r="475" spans="1:4">
      <c r="A475" s="11">
        <f t="shared" si="31"/>
        <v>45490</v>
      </c>
      <c r="B475" t="str">
        <f t="shared" si="28"/>
        <v>Jul 2024</v>
      </c>
      <c r="C475" t="str">
        <f t="shared" si="29"/>
        <v>Q3</v>
      </c>
      <c r="D475" t="str">
        <f t="shared" si="30"/>
        <v>FY2024</v>
      </c>
    </row>
    <row r="476" spans="1:4">
      <c r="A476" s="11">
        <f t="shared" si="31"/>
        <v>45491</v>
      </c>
      <c r="B476" t="str">
        <f t="shared" si="28"/>
        <v>Jul 2024</v>
      </c>
      <c r="C476" t="str">
        <f t="shared" si="29"/>
        <v>Q3</v>
      </c>
      <c r="D476" t="str">
        <f t="shared" si="30"/>
        <v>FY2024</v>
      </c>
    </row>
    <row r="477" spans="1:4">
      <c r="A477" s="11">
        <f t="shared" si="31"/>
        <v>45492</v>
      </c>
      <c r="B477" t="str">
        <f t="shared" si="28"/>
        <v>Jul 2024</v>
      </c>
      <c r="C477" t="str">
        <f t="shared" si="29"/>
        <v>Q3</v>
      </c>
      <c r="D477" t="str">
        <f t="shared" si="30"/>
        <v>FY2024</v>
      </c>
    </row>
    <row r="478" spans="1:4">
      <c r="A478" s="11">
        <f t="shared" si="31"/>
        <v>45493</v>
      </c>
      <c r="B478" t="str">
        <f t="shared" si="28"/>
        <v>Jul 2024</v>
      </c>
      <c r="C478" t="str">
        <f t="shared" si="29"/>
        <v>Q3</v>
      </c>
      <c r="D478" t="str">
        <f t="shared" si="30"/>
        <v>FY2024</v>
      </c>
    </row>
    <row r="479" spans="1:4">
      <c r="A479" s="11">
        <f t="shared" si="31"/>
        <v>45494</v>
      </c>
      <c r="B479" t="str">
        <f t="shared" si="28"/>
        <v>Jul 2024</v>
      </c>
      <c r="C479" t="str">
        <f t="shared" si="29"/>
        <v>Q3</v>
      </c>
      <c r="D479" t="str">
        <f t="shared" si="30"/>
        <v>FY2024</v>
      </c>
    </row>
    <row r="480" spans="1:4">
      <c r="A480" s="11">
        <f t="shared" si="31"/>
        <v>45495</v>
      </c>
      <c r="B480" t="str">
        <f t="shared" si="28"/>
        <v>Jul 2024</v>
      </c>
      <c r="C480" t="str">
        <f t="shared" si="29"/>
        <v>Q3</v>
      </c>
      <c r="D480" t="str">
        <f t="shared" si="30"/>
        <v>FY2024</v>
      </c>
    </row>
    <row r="481" spans="1:4">
      <c r="A481" s="11">
        <f t="shared" si="31"/>
        <v>45496</v>
      </c>
      <c r="B481" t="str">
        <f t="shared" si="28"/>
        <v>Jul 2024</v>
      </c>
      <c r="C481" t="str">
        <f t="shared" si="29"/>
        <v>Q3</v>
      </c>
      <c r="D481" t="str">
        <f t="shared" si="30"/>
        <v>FY2024</v>
      </c>
    </row>
    <row r="482" spans="1:4">
      <c r="A482" s="11">
        <f t="shared" si="31"/>
        <v>45497</v>
      </c>
      <c r="B482" t="str">
        <f t="shared" si="28"/>
        <v>Jul 2024</v>
      </c>
      <c r="C482" t="str">
        <f t="shared" si="29"/>
        <v>Q3</v>
      </c>
      <c r="D482" t="str">
        <f t="shared" si="30"/>
        <v>FY2024</v>
      </c>
    </row>
    <row r="483" spans="1:4">
      <c r="A483" s="11">
        <f t="shared" si="31"/>
        <v>45498</v>
      </c>
      <c r="B483" t="str">
        <f t="shared" si="28"/>
        <v>Jul 2024</v>
      </c>
      <c r="C483" t="str">
        <f t="shared" si="29"/>
        <v>Q3</v>
      </c>
      <c r="D483" t="str">
        <f t="shared" si="30"/>
        <v>FY2024</v>
      </c>
    </row>
    <row r="484" spans="1:4">
      <c r="A484" s="11">
        <f t="shared" si="31"/>
        <v>45499</v>
      </c>
      <c r="B484" t="str">
        <f t="shared" si="28"/>
        <v>Jul 2024</v>
      </c>
      <c r="C484" t="str">
        <f t="shared" si="29"/>
        <v>Q3</v>
      </c>
      <c r="D484" t="str">
        <f t="shared" si="30"/>
        <v>FY2024</v>
      </c>
    </row>
    <row r="485" spans="1:4">
      <c r="A485" s="11">
        <f t="shared" si="31"/>
        <v>45500</v>
      </c>
      <c r="B485" t="str">
        <f t="shared" si="28"/>
        <v>Jul 2024</v>
      </c>
      <c r="C485" t="str">
        <f t="shared" si="29"/>
        <v>Q3</v>
      </c>
      <c r="D485" t="str">
        <f t="shared" si="30"/>
        <v>FY2024</v>
      </c>
    </row>
    <row r="486" spans="1:4">
      <c r="A486" s="11">
        <f t="shared" si="31"/>
        <v>45501</v>
      </c>
      <c r="B486" t="str">
        <f t="shared" si="28"/>
        <v>Jul 2024</v>
      </c>
      <c r="C486" t="str">
        <f t="shared" si="29"/>
        <v>Q3</v>
      </c>
      <c r="D486" t="str">
        <f t="shared" si="30"/>
        <v>FY2024</v>
      </c>
    </row>
    <row r="487" spans="1:4">
      <c r="A487" s="11">
        <f t="shared" si="31"/>
        <v>45502</v>
      </c>
      <c r="B487" t="str">
        <f t="shared" si="28"/>
        <v>Jul 2024</v>
      </c>
      <c r="C487" t="str">
        <f t="shared" si="29"/>
        <v>Q3</v>
      </c>
      <c r="D487" t="str">
        <f t="shared" si="30"/>
        <v>FY2024</v>
      </c>
    </row>
    <row r="488" spans="1:4">
      <c r="A488" s="11">
        <f t="shared" si="31"/>
        <v>45503</v>
      </c>
      <c r="B488" t="str">
        <f t="shared" si="28"/>
        <v>Jul 2024</v>
      </c>
      <c r="C488" t="str">
        <f t="shared" si="29"/>
        <v>Q3</v>
      </c>
      <c r="D488" t="str">
        <f t="shared" si="30"/>
        <v>FY2024</v>
      </c>
    </row>
    <row r="489" spans="1:4">
      <c r="A489" s="11">
        <f t="shared" si="31"/>
        <v>45504</v>
      </c>
      <c r="B489" t="str">
        <f t="shared" si="28"/>
        <v>Jul 2024</v>
      </c>
      <c r="C489" t="str">
        <f t="shared" si="29"/>
        <v>Q3</v>
      </c>
      <c r="D489" t="str">
        <f t="shared" si="30"/>
        <v>FY2024</v>
      </c>
    </row>
    <row r="490" spans="1:4">
      <c r="A490" s="11">
        <f t="shared" si="31"/>
        <v>45505</v>
      </c>
      <c r="B490" t="str">
        <f t="shared" si="28"/>
        <v>Aug 2024</v>
      </c>
      <c r="C490" t="str">
        <f t="shared" si="29"/>
        <v>Q3</v>
      </c>
      <c r="D490" t="str">
        <f t="shared" si="30"/>
        <v>FY2024</v>
      </c>
    </row>
    <row r="491" spans="1:4">
      <c r="A491" s="11">
        <f t="shared" si="31"/>
        <v>45506</v>
      </c>
      <c r="B491" t="str">
        <f t="shared" si="28"/>
        <v>Aug 2024</v>
      </c>
      <c r="C491" t="str">
        <f t="shared" si="29"/>
        <v>Q3</v>
      </c>
      <c r="D491" t="str">
        <f t="shared" si="30"/>
        <v>FY2024</v>
      </c>
    </row>
    <row r="492" spans="1:4">
      <c r="A492" s="11">
        <f t="shared" si="31"/>
        <v>45507</v>
      </c>
      <c r="B492" t="str">
        <f t="shared" si="28"/>
        <v>Aug 2024</v>
      </c>
      <c r="C492" t="str">
        <f t="shared" si="29"/>
        <v>Q3</v>
      </c>
      <c r="D492" t="str">
        <f t="shared" si="30"/>
        <v>FY2024</v>
      </c>
    </row>
    <row r="493" spans="1:4">
      <c r="A493" s="11">
        <f t="shared" si="31"/>
        <v>45508</v>
      </c>
      <c r="B493" t="str">
        <f t="shared" si="28"/>
        <v>Aug 2024</v>
      </c>
      <c r="C493" t="str">
        <f t="shared" si="29"/>
        <v>Q3</v>
      </c>
      <c r="D493" t="str">
        <f t="shared" si="30"/>
        <v>FY2024</v>
      </c>
    </row>
    <row r="494" spans="1:4">
      <c r="A494" s="11">
        <f t="shared" si="31"/>
        <v>45509</v>
      </c>
      <c r="B494" t="str">
        <f t="shared" si="28"/>
        <v>Aug 2024</v>
      </c>
      <c r="C494" t="str">
        <f t="shared" si="29"/>
        <v>Q3</v>
      </c>
      <c r="D494" t="str">
        <f t="shared" si="30"/>
        <v>FY2024</v>
      </c>
    </row>
    <row r="495" spans="1:4">
      <c r="A495" s="11">
        <f t="shared" si="31"/>
        <v>45510</v>
      </c>
      <c r="B495" t="str">
        <f t="shared" si="28"/>
        <v>Aug 2024</v>
      </c>
      <c r="C495" t="str">
        <f t="shared" si="29"/>
        <v>Q3</v>
      </c>
      <c r="D495" t="str">
        <f t="shared" si="30"/>
        <v>FY2024</v>
      </c>
    </row>
    <row r="496" spans="1:4">
      <c r="A496" s="11">
        <f t="shared" si="31"/>
        <v>45511</v>
      </c>
      <c r="B496" t="str">
        <f t="shared" si="28"/>
        <v>Aug 2024</v>
      </c>
      <c r="C496" t="str">
        <f t="shared" si="29"/>
        <v>Q3</v>
      </c>
      <c r="D496" t="str">
        <f t="shared" si="30"/>
        <v>FY2024</v>
      </c>
    </row>
    <row r="497" spans="1:4">
      <c r="A497" s="11">
        <f t="shared" si="31"/>
        <v>45512</v>
      </c>
      <c r="B497" t="str">
        <f t="shared" si="28"/>
        <v>Aug 2024</v>
      </c>
      <c r="C497" t="str">
        <f t="shared" si="29"/>
        <v>Q3</v>
      </c>
      <c r="D497" t="str">
        <f t="shared" si="30"/>
        <v>FY2024</v>
      </c>
    </row>
    <row r="498" spans="1:4">
      <c r="A498" s="11">
        <f t="shared" si="31"/>
        <v>45513</v>
      </c>
      <c r="B498" t="str">
        <f t="shared" si="28"/>
        <v>Aug 2024</v>
      </c>
      <c r="C498" t="str">
        <f t="shared" si="29"/>
        <v>Q3</v>
      </c>
      <c r="D498" t="str">
        <f t="shared" si="30"/>
        <v>FY2024</v>
      </c>
    </row>
    <row r="499" spans="1:4">
      <c r="A499" s="11">
        <f t="shared" si="31"/>
        <v>45514</v>
      </c>
      <c r="B499" t="str">
        <f t="shared" si="28"/>
        <v>Aug 2024</v>
      </c>
      <c r="C499" t="str">
        <f t="shared" si="29"/>
        <v>Q3</v>
      </c>
      <c r="D499" t="str">
        <f t="shared" si="30"/>
        <v>FY2024</v>
      </c>
    </row>
    <row r="500" spans="1:4">
      <c r="A500" s="11">
        <f t="shared" si="31"/>
        <v>45515</v>
      </c>
      <c r="B500" t="str">
        <f t="shared" si="28"/>
        <v>Aug 2024</v>
      </c>
      <c r="C500" t="str">
        <f t="shared" si="29"/>
        <v>Q3</v>
      </c>
      <c r="D500" t="str">
        <f t="shared" si="30"/>
        <v>FY2024</v>
      </c>
    </row>
    <row r="501" spans="1:4">
      <c r="A501" s="11">
        <f t="shared" si="31"/>
        <v>45516</v>
      </c>
      <c r="B501" t="str">
        <f t="shared" si="28"/>
        <v>Aug 2024</v>
      </c>
      <c r="C501" t="str">
        <f t="shared" si="29"/>
        <v>Q3</v>
      </c>
      <c r="D501" t="str">
        <f t="shared" si="30"/>
        <v>FY2024</v>
      </c>
    </row>
    <row r="502" spans="1:4">
      <c r="A502" s="11">
        <f t="shared" si="31"/>
        <v>45517</v>
      </c>
      <c r="B502" t="str">
        <f t="shared" si="28"/>
        <v>Aug 2024</v>
      </c>
      <c r="C502" t="str">
        <f t="shared" si="29"/>
        <v>Q3</v>
      </c>
      <c r="D502" t="str">
        <f t="shared" si="30"/>
        <v>FY2024</v>
      </c>
    </row>
    <row r="503" spans="1:4">
      <c r="A503" s="11">
        <f t="shared" si="31"/>
        <v>45518</v>
      </c>
      <c r="B503" t="str">
        <f t="shared" si="28"/>
        <v>Aug 2024</v>
      </c>
      <c r="C503" t="str">
        <f t="shared" si="29"/>
        <v>Q3</v>
      </c>
      <c r="D503" t="str">
        <f t="shared" si="30"/>
        <v>FY2024</v>
      </c>
    </row>
    <row r="504" spans="1:4">
      <c r="A504" s="11">
        <f t="shared" si="31"/>
        <v>45519</v>
      </c>
      <c r="B504" t="str">
        <f t="shared" si="28"/>
        <v>Aug 2024</v>
      </c>
      <c r="C504" t="str">
        <f t="shared" si="29"/>
        <v>Q3</v>
      </c>
      <c r="D504" t="str">
        <f t="shared" si="30"/>
        <v>FY2024</v>
      </c>
    </row>
    <row r="505" spans="1:4">
      <c r="A505" s="11">
        <f t="shared" si="31"/>
        <v>45520</v>
      </c>
      <c r="B505" t="str">
        <f t="shared" si="28"/>
        <v>Aug 2024</v>
      </c>
      <c r="C505" t="str">
        <f t="shared" si="29"/>
        <v>Q3</v>
      </c>
      <c r="D505" t="str">
        <f t="shared" si="30"/>
        <v>FY2024</v>
      </c>
    </row>
    <row r="506" spans="1:4">
      <c r="A506" s="11">
        <f t="shared" si="31"/>
        <v>45521</v>
      </c>
      <c r="B506" t="str">
        <f t="shared" si="28"/>
        <v>Aug 2024</v>
      </c>
      <c r="C506" t="str">
        <f t="shared" si="29"/>
        <v>Q3</v>
      </c>
      <c r="D506" t="str">
        <f t="shared" si="30"/>
        <v>FY2024</v>
      </c>
    </row>
    <row r="507" spans="1:4">
      <c r="A507" s="11">
        <f t="shared" si="31"/>
        <v>45522</v>
      </c>
      <c r="B507" t="str">
        <f t="shared" si="28"/>
        <v>Aug 2024</v>
      </c>
      <c r="C507" t="str">
        <f t="shared" si="29"/>
        <v>Q3</v>
      </c>
      <c r="D507" t="str">
        <f t="shared" si="30"/>
        <v>FY2024</v>
      </c>
    </row>
    <row r="508" spans="1:4">
      <c r="A508" s="11">
        <f t="shared" si="31"/>
        <v>45523</v>
      </c>
      <c r="B508" t="str">
        <f t="shared" si="28"/>
        <v>Aug 2024</v>
      </c>
      <c r="C508" t="str">
        <f t="shared" si="29"/>
        <v>Q3</v>
      </c>
      <c r="D508" t="str">
        <f t="shared" si="30"/>
        <v>FY2024</v>
      </c>
    </row>
    <row r="509" spans="1:4">
      <c r="A509" s="11">
        <f t="shared" si="31"/>
        <v>45524</v>
      </c>
      <c r="B509" t="str">
        <f t="shared" si="28"/>
        <v>Aug 2024</v>
      </c>
      <c r="C509" t="str">
        <f t="shared" si="29"/>
        <v>Q3</v>
      </c>
      <c r="D509" t="str">
        <f t="shared" si="30"/>
        <v>FY2024</v>
      </c>
    </row>
    <row r="510" spans="1:4">
      <c r="A510" s="11">
        <f t="shared" si="31"/>
        <v>45525</v>
      </c>
      <c r="B510" t="str">
        <f t="shared" si="28"/>
        <v>Aug 2024</v>
      </c>
      <c r="C510" t="str">
        <f t="shared" si="29"/>
        <v>Q3</v>
      </c>
      <c r="D510" t="str">
        <f t="shared" si="30"/>
        <v>FY2024</v>
      </c>
    </row>
    <row r="511" spans="1:4">
      <c r="A511" s="11">
        <f t="shared" si="31"/>
        <v>45526</v>
      </c>
      <c r="B511" t="str">
        <f t="shared" si="28"/>
        <v>Aug 2024</v>
      </c>
      <c r="C511" t="str">
        <f t="shared" si="29"/>
        <v>Q3</v>
      </c>
      <c r="D511" t="str">
        <f t="shared" si="30"/>
        <v>FY2024</v>
      </c>
    </row>
    <row r="512" spans="1:4">
      <c r="A512" s="11">
        <f t="shared" si="31"/>
        <v>45527</v>
      </c>
      <c r="B512" t="str">
        <f t="shared" si="28"/>
        <v>Aug 2024</v>
      </c>
      <c r="C512" t="str">
        <f t="shared" si="29"/>
        <v>Q3</v>
      </c>
      <c r="D512" t="str">
        <f t="shared" si="30"/>
        <v>FY2024</v>
      </c>
    </row>
    <row r="513" spans="1:4">
      <c r="A513" s="11">
        <f t="shared" si="31"/>
        <v>45528</v>
      </c>
      <c r="B513" t="str">
        <f t="shared" si="28"/>
        <v>Aug 2024</v>
      </c>
      <c r="C513" t="str">
        <f t="shared" si="29"/>
        <v>Q3</v>
      </c>
      <c r="D513" t="str">
        <f t="shared" si="30"/>
        <v>FY2024</v>
      </c>
    </row>
    <row r="514" spans="1:4">
      <c r="A514" s="11">
        <f t="shared" si="31"/>
        <v>45529</v>
      </c>
      <c r="B514" t="str">
        <f t="shared" si="28"/>
        <v>Aug 2024</v>
      </c>
      <c r="C514" t="str">
        <f t="shared" si="29"/>
        <v>Q3</v>
      </c>
      <c r="D514" t="str">
        <f t="shared" si="30"/>
        <v>FY2024</v>
      </c>
    </row>
    <row r="515" spans="1:4">
      <c r="A515" s="11">
        <f t="shared" si="31"/>
        <v>45530</v>
      </c>
      <c r="B515" t="str">
        <f t="shared" ref="B515:B578" si="32">TEXT(A515, "MMM_YYYY")</f>
        <v>Aug 2024</v>
      </c>
      <c r="C515" t="str">
        <f t="shared" ref="C515:C578" si="33">"Q" &amp; INT((MONTH(A515)-1)/3)+1</f>
        <v>Q3</v>
      </c>
      <c r="D515" t="str">
        <f t="shared" ref="D515:D578" si="34">"FY" &amp; IF(MONTH(A515)&gt;=4, YEAR(A515), YEAR(A515)-1)</f>
        <v>FY2024</v>
      </c>
    </row>
    <row r="516" spans="1:4">
      <c r="A516" s="11">
        <f t="shared" ref="A516:A579" si="35">A515+1</f>
        <v>45531</v>
      </c>
      <c r="B516" t="str">
        <f t="shared" si="32"/>
        <v>Aug 2024</v>
      </c>
      <c r="C516" t="str">
        <f t="shared" si="33"/>
        <v>Q3</v>
      </c>
      <c r="D516" t="str">
        <f t="shared" si="34"/>
        <v>FY2024</v>
      </c>
    </row>
    <row r="517" spans="1:4">
      <c r="A517" s="11">
        <f t="shared" si="35"/>
        <v>45532</v>
      </c>
      <c r="B517" t="str">
        <f t="shared" si="32"/>
        <v>Aug 2024</v>
      </c>
      <c r="C517" t="str">
        <f t="shared" si="33"/>
        <v>Q3</v>
      </c>
      <c r="D517" t="str">
        <f t="shared" si="34"/>
        <v>FY2024</v>
      </c>
    </row>
    <row r="518" spans="1:4">
      <c r="A518" s="11">
        <f t="shared" si="35"/>
        <v>45533</v>
      </c>
      <c r="B518" t="str">
        <f t="shared" si="32"/>
        <v>Aug 2024</v>
      </c>
      <c r="C518" t="str">
        <f t="shared" si="33"/>
        <v>Q3</v>
      </c>
      <c r="D518" t="str">
        <f t="shared" si="34"/>
        <v>FY2024</v>
      </c>
    </row>
    <row r="519" spans="1:4">
      <c r="A519" s="11">
        <f t="shared" si="35"/>
        <v>45534</v>
      </c>
      <c r="B519" t="str">
        <f t="shared" si="32"/>
        <v>Aug 2024</v>
      </c>
      <c r="C519" t="str">
        <f t="shared" si="33"/>
        <v>Q3</v>
      </c>
      <c r="D519" t="str">
        <f t="shared" si="34"/>
        <v>FY2024</v>
      </c>
    </row>
    <row r="520" spans="1:4">
      <c r="A520" s="11">
        <f t="shared" si="35"/>
        <v>45535</v>
      </c>
      <c r="B520" t="str">
        <f t="shared" si="32"/>
        <v>Aug 2024</v>
      </c>
      <c r="C520" t="str">
        <f t="shared" si="33"/>
        <v>Q3</v>
      </c>
      <c r="D520" t="str">
        <f t="shared" si="34"/>
        <v>FY2024</v>
      </c>
    </row>
    <row r="521" spans="1:4">
      <c r="A521" s="11">
        <f t="shared" si="35"/>
        <v>45536</v>
      </c>
      <c r="B521" t="str">
        <f t="shared" si="32"/>
        <v>Sep 2024</v>
      </c>
      <c r="C521" t="str">
        <f t="shared" si="33"/>
        <v>Q3</v>
      </c>
      <c r="D521" t="str">
        <f t="shared" si="34"/>
        <v>FY2024</v>
      </c>
    </row>
    <row r="522" spans="1:4">
      <c r="A522" s="11">
        <f t="shared" si="35"/>
        <v>45537</v>
      </c>
      <c r="B522" t="str">
        <f t="shared" si="32"/>
        <v>Sep 2024</v>
      </c>
      <c r="C522" t="str">
        <f t="shared" si="33"/>
        <v>Q3</v>
      </c>
      <c r="D522" t="str">
        <f t="shared" si="34"/>
        <v>FY2024</v>
      </c>
    </row>
    <row r="523" spans="1:4">
      <c r="A523" s="11">
        <f t="shared" si="35"/>
        <v>45538</v>
      </c>
      <c r="B523" t="str">
        <f t="shared" si="32"/>
        <v>Sep 2024</v>
      </c>
      <c r="C523" t="str">
        <f t="shared" si="33"/>
        <v>Q3</v>
      </c>
      <c r="D523" t="str">
        <f t="shared" si="34"/>
        <v>FY2024</v>
      </c>
    </row>
    <row r="524" spans="1:4">
      <c r="A524" s="11">
        <f t="shared" si="35"/>
        <v>45539</v>
      </c>
      <c r="B524" t="str">
        <f t="shared" si="32"/>
        <v>Sep 2024</v>
      </c>
      <c r="C524" t="str">
        <f t="shared" si="33"/>
        <v>Q3</v>
      </c>
      <c r="D524" t="str">
        <f t="shared" si="34"/>
        <v>FY2024</v>
      </c>
    </row>
    <row r="525" spans="1:4">
      <c r="A525" s="11">
        <f t="shared" si="35"/>
        <v>45540</v>
      </c>
      <c r="B525" t="str">
        <f t="shared" si="32"/>
        <v>Sep 2024</v>
      </c>
      <c r="C525" t="str">
        <f t="shared" si="33"/>
        <v>Q3</v>
      </c>
      <c r="D525" t="str">
        <f t="shared" si="34"/>
        <v>FY2024</v>
      </c>
    </row>
    <row r="526" spans="1:4">
      <c r="A526" s="11">
        <f t="shared" si="35"/>
        <v>45541</v>
      </c>
      <c r="B526" t="str">
        <f t="shared" si="32"/>
        <v>Sep 2024</v>
      </c>
      <c r="C526" t="str">
        <f t="shared" si="33"/>
        <v>Q3</v>
      </c>
      <c r="D526" t="str">
        <f t="shared" si="34"/>
        <v>FY2024</v>
      </c>
    </row>
    <row r="527" spans="1:4">
      <c r="A527" s="11">
        <f t="shared" si="35"/>
        <v>45542</v>
      </c>
      <c r="B527" t="str">
        <f t="shared" si="32"/>
        <v>Sep 2024</v>
      </c>
      <c r="C527" t="str">
        <f t="shared" si="33"/>
        <v>Q3</v>
      </c>
      <c r="D527" t="str">
        <f t="shared" si="34"/>
        <v>FY2024</v>
      </c>
    </row>
    <row r="528" spans="1:4">
      <c r="A528" s="11">
        <f t="shared" si="35"/>
        <v>45543</v>
      </c>
      <c r="B528" t="str">
        <f t="shared" si="32"/>
        <v>Sep 2024</v>
      </c>
      <c r="C528" t="str">
        <f t="shared" si="33"/>
        <v>Q3</v>
      </c>
      <c r="D528" t="str">
        <f t="shared" si="34"/>
        <v>FY2024</v>
      </c>
    </row>
    <row r="529" spans="1:4">
      <c r="A529" s="11">
        <f t="shared" si="35"/>
        <v>45544</v>
      </c>
      <c r="B529" t="str">
        <f t="shared" si="32"/>
        <v>Sep 2024</v>
      </c>
      <c r="C529" t="str">
        <f t="shared" si="33"/>
        <v>Q3</v>
      </c>
      <c r="D529" t="str">
        <f t="shared" si="34"/>
        <v>FY2024</v>
      </c>
    </row>
    <row r="530" spans="1:4">
      <c r="A530" s="11">
        <f t="shared" si="35"/>
        <v>45545</v>
      </c>
      <c r="B530" t="str">
        <f t="shared" si="32"/>
        <v>Sep 2024</v>
      </c>
      <c r="C530" t="str">
        <f t="shared" si="33"/>
        <v>Q3</v>
      </c>
      <c r="D530" t="str">
        <f t="shared" si="34"/>
        <v>FY2024</v>
      </c>
    </row>
    <row r="531" spans="1:4">
      <c r="A531" s="11">
        <f t="shared" si="35"/>
        <v>45546</v>
      </c>
      <c r="B531" t="str">
        <f t="shared" si="32"/>
        <v>Sep 2024</v>
      </c>
      <c r="C531" t="str">
        <f t="shared" si="33"/>
        <v>Q3</v>
      </c>
      <c r="D531" t="str">
        <f t="shared" si="34"/>
        <v>FY2024</v>
      </c>
    </row>
    <row r="532" spans="1:4">
      <c r="A532" s="11">
        <f t="shared" si="35"/>
        <v>45547</v>
      </c>
      <c r="B532" t="str">
        <f t="shared" si="32"/>
        <v>Sep 2024</v>
      </c>
      <c r="C532" t="str">
        <f t="shared" si="33"/>
        <v>Q3</v>
      </c>
      <c r="D532" t="str">
        <f t="shared" si="34"/>
        <v>FY2024</v>
      </c>
    </row>
    <row r="533" spans="1:4">
      <c r="A533" s="11">
        <f t="shared" si="35"/>
        <v>45548</v>
      </c>
      <c r="B533" t="str">
        <f t="shared" si="32"/>
        <v>Sep 2024</v>
      </c>
      <c r="C533" t="str">
        <f t="shared" si="33"/>
        <v>Q3</v>
      </c>
      <c r="D533" t="str">
        <f t="shared" si="34"/>
        <v>FY2024</v>
      </c>
    </row>
    <row r="534" spans="1:4">
      <c r="A534" s="11">
        <f t="shared" si="35"/>
        <v>45549</v>
      </c>
      <c r="B534" t="str">
        <f t="shared" si="32"/>
        <v>Sep 2024</v>
      </c>
      <c r="C534" t="str">
        <f t="shared" si="33"/>
        <v>Q3</v>
      </c>
      <c r="D534" t="str">
        <f t="shared" si="34"/>
        <v>FY2024</v>
      </c>
    </row>
    <row r="535" spans="1:4">
      <c r="A535" s="11">
        <f t="shared" si="35"/>
        <v>45550</v>
      </c>
      <c r="B535" t="str">
        <f t="shared" si="32"/>
        <v>Sep 2024</v>
      </c>
      <c r="C535" t="str">
        <f t="shared" si="33"/>
        <v>Q3</v>
      </c>
      <c r="D535" t="str">
        <f t="shared" si="34"/>
        <v>FY2024</v>
      </c>
    </row>
    <row r="536" spans="1:4">
      <c r="A536" s="11">
        <f t="shared" si="35"/>
        <v>45551</v>
      </c>
      <c r="B536" t="str">
        <f t="shared" si="32"/>
        <v>Sep 2024</v>
      </c>
      <c r="C536" t="str">
        <f t="shared" si="33"/>
        <v>Q3</v>
      </c>
      <c r="D536" t="str">
        <f t="shared" si="34"/>
        <v>FY2024</v>
      </c>
    </row>
    <row r="537" spans="1:4">
      <c r="A537" s="11">
        <f t="shared" si="35"/>
        <v>45552</v>
      </c>
      <c r="B537" t="str">
        <f t="shared" si="32"/>
        <v>Sep 2024</v>
      </c>
      <c r="C537" t="str">
        <f t="shared" si="33"/>
        <v>Q3</v>
      </c>
      <c r="D537" t="str">
        <f t="shared" si="34"/>
        <v>FY2024</v>
      </c>
    </row>
    <row r="538" spans="1:4">
      <c r="A538" s="11">
        <f t="shared" si="35"/>
        <v>45553</v>
      </c>
      <c r="B538" t="str">
        <f t="shared" si="32"/>
        <v>Sep 2024</v>
      </c>
      <c r="C538" t="str">
        <f t="shared" si="33"/>
        <v>Q3</v>
      </c>
      <c r="D538" t="str">
        <f t="shared" si="34"/>
        <v>FY2024</v>
      </c>
    </row>
    <row r="539" spans="1:4">
      <c r="A539" s="11">
        <f t="shared" si="35"/>
        <v>45554</v>
      </c>
      <c r="B539" t="str">
        <f t="shared" si="32"/>
        <v>Sep 2024</v>
      </c>
      <c r="C539" t="str">
        <f t="shared" si="33"/>
        <v>Q3</v>
      </c>
      <c r="D539" t="str">
        <f t="shared" si="34"/>
        <v>FY2024</v>
      </c>
    </row>
    <row r="540" spans="1:4">
      <c r="A540" s="11">
        <f t="shared" si="35"/>
        <v>45555</v>
      </c>
      <c r="B540" t="str">
        <f t="shared" si="32"/>
        <v>Sep 2024</v>
      </c>
      <c r="C540" t="str">
        <f t="shared" si="33"/>
        <v>Q3</v>
      </c>
      <c r="D540" t="str">
        <f t="shared" si="34"/>
        <v>FY2024</v>
      </c>
    </row>
    <row r="541" spans="1:4">
      <c r="A541" s="11">
        <f t="shared" si="35"/>
        <v>45556</v>
      </c>
      <c r="B541" t="str">
        <f t="shared" si="32"/>
        <v>Sep 2024</v>
      </c>
      <c r="C541" t="str">
        <f t="shared" si="33"/>
        <v>Q3</v>
      </c>
      <c r="D541" t="str">
        <f t="shared" si="34"/>
        <v>FY2024</v>
      </c>
    </row>
    <row r="542" spans="1:4">
      <c r="A542" s="11">
        <f t="shared" si="35"/>
        <v>45557</v>
      </c>
      <c r="B542" t="str">
        <f t="shared" si="32"/>
        <v>Sep 2024</v>
      </c>
      <c r="C542" t="str">
        <f t="shared" si="33"/>
        <v>Q3</v>
      </c>
      <c r="D542" t="str">
        <f t="shared" si="34"/>
        <v>FY2024</v>
      </c>
    </row>
    <row r="543" spans="1:4">
      <c r="A543" s="11">
        <f t="shared" si="35"/>
        <v>45558</v>
      </c>
      <c r="B543" t="str">
        <f t="shared" si="32"/>
        <v>Sep 2024</v>
      </c>
      <c r="C543" t="str">
        <f t="shared" si="33"/>
        <v>Q3</v>
      </c>
      <c r="D543" t="str">
        <f t="shared" si="34"/>
        <v>FY2024</v>
      </c>
    </row>
    <row r="544" spans="1:4">
      <c r="A544" s="11">
        <f t="shared" si="35"/>
        <v>45559</v>
      </c>
      <c r="B544" t="str">
        <f t="shared" si="32"/>
        <v>Sep 2024</v>
      </c>
      <c r="C544" t="str">
        <f t="shared" si="33"/>
        <v>Q3</v>
      </c>
      <c r="D544" t="str">
        <f t="shared" si="34"/>
        <v>FY2024</v>
      </c>
    </row>
    <row r="545" spans="1:4">
      <c r="A545" s="11">
        <f t="shared" si="35"/>
        <v>45560</v>
      </c>
      <c r="B545" t="str">
        <f t="shared" si="32"/>
        <v>Sep 2024</v>
      </c>
      <c r="C545" t="str">
        <f t="shared" si="33"/>
        <v>Q3</v>
      </c>
      <c r="D545" t="str">
        <f t="shared" si="34"/>
        <v>FY2024</v>
      </c>
    </row>
    <row r="546" spans="1:4">
      <c r="A546" s="11">
        <f t="shared" si="35"/>
        <v>45561</v>
      </c>
      <c r="B546" t="str">
        <f t="shared" si="32"/>
        <v>Sep 2024</v>
      </c>
      <c r="C546" t="str">
        <f t="shared" si="33"/>
        <v>Q3</v>
      </c>
      <c r="D546" t="str">
        <f t="shared" si="34"/>
        <v>FY2024</v>
      </c>
    </row>
    <row r="547" spans="1:4">
      <c r="A547" s="11">
        <f t="shared" si="35"/>
        <v>45562</v>
      </c>
      <c r="B547" t="str">
        <f t="shared" si="32"/>
        <v>Sep 2024</v>
      </c>
      <c r="C547" t="str">
        <f t="shared" si="33"/>
        <v>Q3</v>
      </c>
      <c r="D547" t="str">
        <f t="shared" si="34"/>
        <v>FY2024</v>
      </c>
    </row>
    <row r="548" spans="1:4">
      <c r="A548" s="11">
        <f t="shared" si="35"/>
        <v>45563</v>
      </c>
      <c r="B548" t="str">
        <f t="shared" si="32"/>
        <v>Sep 2024</v>
      </c>
      <c r="C548" t="str">
        <f t="shared" si="33"/>
        <v>Q3</v>
      </c>
      <c r="D548" t="str">
        <f t="shared" si="34"/>
        <v>FY2024</v>
      </c>
    </row>
    <row r="549" spans="1:4">
      <c r="A549" s="11">
        <f t="shared" si="35"/>
        <v>45564</v>
      </c>
      <c r="B549" t="str">
        <f t="shared" si="32"/>
        <v>Sep 2024</v>
      </c>
      <c r="C549" t="str">
        <f t="shared" si="33"/>
        <v>Q3</v>
      </c>
      <c r="D549" t="str">
        <f t="shared" si="34"/>
        <v>FY2024</v>
      </c>
    </row>
    <row r="550" spans="1:4">
      <c r="A550" s="11">
        <f t="shared" si="35"/>
        <v>45565</v>
      </c>
      <c r="B550" t="str">
        <f t="shared" si="32"/>
        <v>Sep 2024</v>
      </c>
      <c r="C550" t="str">
        <f t="shared" si="33"/>
        <v>Q3</v>
      </c>
      <c r="D550" t="str">
        <f t="shared" si="34"/>
        <v>FY2024</v>
      </c>
    </row>
    <row r="551" spans="1:4">
      <c r="A551" s="11">
        <f t="shared" si="35"/>
        <v>45566</v>
      </c>
      <c r="B551" t="str">
        <f t="shared" si="32"/>
        <v>Oct 2024</v>
      </c>
      <c r="C551" t="str">
        <f t="shared" si="33"/>
        <v>Q4</v>
      </c>
      <c r="D551" t="str">
        <f t="shared" si="34"/>
        <v>FY2024</v>
      </c>
    </row>
    <row r="552" spans="1:4">
      <c r="A552" s="11">
        <f t="shared" si="35"/>
        <v>45567</v>
      </c>
      <c r="B552" t="str">
        <f t="shared" si="32"/>
        <v>Oct 2024</v>
      </c>
      <c r="C552" t="str">
        <f t="shared" si="33"/>
        <v>Q4</v>
      </c>
      <c r="D552" t="str">
        <f t="shared" si="34"/>
        <v>FY2024</v>
      </c>
    </row>
    <row r="553" spans="1:4">
      <c r="A553" s="11">
        <f t="shared" si="35"/>
        <v>45568</v>
      </c>
      <c r="B553" t="str">
        <f t="shared" si="32"/>
        <v>Oct 2024</v>
      </c>
      <c r="C553" t="str">
        <f t="shared" si="33"/>
        <v>Q4</v>
      </c>
      <c r="D553" t="str">
        <f t="shared" si="34"/>
        <v>FY2024</v>
      </c>
    </row>
    <row r="554" spans="1:4">
      <c r="A554" s="11">
        <f t="shared" si="35"/>
        <v>45569</v>
      </c>
      <c r="B554" t="str">
        <f t="shared" si="32"/>
        <v>Oct 2024</v>
      </c>
      <c r="C554" t="str">
        <f t="shared" si="33"/>
        <v>Q4</v>
      </c>
      <c r="D554" t="str">
        <f t="shared" si="34"/>
        <v>FY2024</v>
      </c>
    </row>
    <row r="555" spans="1:4">
      <c r="A555" s="11">
        <f t="shared" si="35"/>
        <v>45570</v>
      </c>
      <c r="B555" t="str">
        <f t="shared" si="32"/>
        <v>Oct 2024</v>
      </c>
      <c r="C555" t="str">
        <f t="shared" si="33"/>
        <v>Q4</v>
      </c>
      <c r="D555" t="str">
        <f t="shared" si="34"/>
        <v>FY2024</v>
      </c>
    </row>
    <row r="556" spans="1:4">
      <c r="A556" s="11">
        <f t="shared" si="35"/>
        <v>45571</v>
      </c>
      <c r="B556" t="str">
        <f t="shared" si="32"/>
        <v>Oct 2024</v>
      </c>
      <c r="C556" t="str">
        <f t="shared" si="33"/>
        <v>Q4</v>
      </c>
      <c r="D556" t="str">
        <f t="shared" si="34"/>
        <v>FY2024</v>
      </c>
    </row>
    <row r="557" spans="1:4">
      <c r="A557" s="11">
        <f t="shared" si="35"/>
        <v>45572</v>
      </c>
      <c r="B557" t="str">
        <f t="shared" si="32"/>
        <v>Oct 2024</v>
      </c>
      <c r="C557" t="str">
        <f t="shared" si="33"/>
        <v>Q4</v>
      </c>
      <c r="D557" t="str">
        <f t="shared" si="34"/>
        <v>FY2024</v>
      </c>
    </row>
    <row r="558" spans="1:4">
      <c r="A558" s="11">
        <f t="shared" si="35"/>
        <v>45573</v>
      </c>
      <c r="B558" t="str">
        <f t="shared" si="32"/>
        <v>Oct 2024</v>
      </c>
      <c r="C558" t="str">
        <f t="shared" si="33"/>
        <v>Q4</v>
      </c>
      <c r="D558" t="str">
        <f t="shared" si="34"/>
        <v>FY2024</v>
      </c>
    </row>
    <row r="559" spans="1:4">
      <c r="A559" s="11">
        <f t="shared" si="35"/>
        <v>45574</v>
      </c>
      <c r="B559" t="str">
        <f t="shared" si="32"/>
        <v>Oct 2024</v>
      </c>
      <c r="C559" t="str">
        <f t="shared" si="33"/>
        <v>Q4</v>
      </c>
      <c r="D559" t="str">
        <f t="shared" si="34"/>
        <v>FY2024</v>
      </c>
    </row>
    <row r="560" spans="1:4">
      <c r="A560" s="11">
        <f t="shared" si="35"/>
        <v>45575</v>
      </c>
      <c r="B560" t="str">
        <f t="shared" si="32"/>
        <v>Oct 2024</v>
      </c>
      <c r="C560" t="str">
        <f t="shared" si="33"/>
        <v>Q4</v>
      </c>
      <c r="D560" t="str">
        <f t="shared" si="34"/>
        <v>FY2024</v>
      </c>
    </row>
    <row r="561" spans="1:4">
      <c r="A561" s="11">
        <f t="shared" si="35"/>
        <v>45576</v>
      </c>
      <c r="B561" t="str">
        <f t="shared" si="32"/>
        <v>Oct 2024</v>
      </c>
      <c r="C561" t="str">
        <f t="shared" si="33"/>
        <v>Q4</v>
      </c>
      <c r="D561" t="str">
        <f t="shared" si="34"/>
        <v>FY2024</v>
      </c>
    </row>
    <row r="562" spans="1:4">
      <c r="A562" s="11">
        <f t="shared" si="35"/>
        <v>45577</v>
      </c>
      <c r="B562" t="str">
        <f t="shared" si="32"/>
        <v>Oct 2024</v>
      </c>
      <c r="C562" t="str">
        <f t="shared" si="33"/>
        <v>Q4</v>
      </c>
      <c r="D562" t="str">
        <f t="shared" si="34"/>
        <v>FY2024</v>
      </c>
    </row>
    <row r="563" spans="1:4">
      <c r="A563" s="11">
        <f t="shared" si="35"/>
        <v>45578</v>
      </c>
      <c r="B563" t="str">
        <f t="shared" si="32"/>
        <v>Oct 2024</v>
      </c>
      <c r="C563" t="str">
        <f t="shared" si="33"/>
        <v>Q4</v>
      </c>
      <c r="D563" t="str">
        <f t="shared" si="34"/>
        <v>FY2024</v>
      </c>
    </row>
    <row r="564" spans="1:4">
      <c r="A564" s="11">
        <f t="shared" si="35"/>
        <v>45579</v>
      </c>
      <c r="B564" t="str">
        <f t="shared" si="32"/>
        <v>Oct 2024</v>
      </c>
      <c r="C564" t="str">
        <f t="shared" si="33"/>
        <v>Q4</v>
      </c>
      <c r="D564" t="str">
        <f t="shared" si="34"/>
        <v>FY2024</v>
      </c>
    </row>
    <row r="565" spans="1:4">
      <c r="A565" s="11">
        <f t="shared" si="35"/>
        <v>45580</v>
      </c>
      <c r="B565" t="str">
        <f t="shared" si="32"/>
        <v>Oct 2024</v>
      </c>
      <c r="C565" t="str">
        <f t="shared" si="33"/>
        <v>Q4</v>
      </c>
      <c r="D565" t="str">
        <f t="shared" si="34"/>
        <v>FY2024</v>
      </c>
    </row>
    <row r="566" spans="1:4">
      <c r="A566" s="11">
        <f t="shared" si="35"/>
        <v>45581</v>
      </c>
      <c r="B566" t="str">
        <f t="shared" si="32"/>
        <v>Oct 2024</v>
      </c>
      <c r="C566" t="str">
        <f t="shared" si="33"/>
        <v>Q4</v>
      </c>
      <c r="D566" t="str">
        <f t="shared" si="34"/>
        <v>FY2024</v>
      </c>
    </row>
    <row r="567" spans="1:4">
      <c r="A567" s="11">
        <f t="shared" si="35"/>
        <v>45582</v>
      </c>
      <c r="B567" t="str">
        <f t="shared" si="32"/>
        <v>Oct 2024</v>
      </c>
      <c r="C567" t="str">
        <f t="shared" si="33"/>
        <v>Q4</v>
      </c>
      <c r="D567" t="str">
        <f t="shared" si="34"/>
        <v>FY2024</v>
      </c>
    </row>
    <row r="568" spans="1:4">
      <c r="A568" s="11">
        <f t="shared" si="35"/>
        <v>45583</v>
      </c>
      <c r="B568" t="str">
        <f t="shared" si="32"/>
        <v>Oct 2024</v>
      </c>
      <c r="C568" t="str">
        <f t="shared" si="33"/>
        <v>Q4</v>
      </c>
      <c r="D568" t="str">
        <f t="shared" si="34"/>
        <v>FY2024</v>
      </c>
    </row>
    <row r="569" spans="1:4">
      <c r="A569" s="11">
        <f t="shared" si="35"/>
        <v>45584</v>
      </c>
      <c r="B569" t="str">
        <f t="shared" si="32"/>
        <v>Oct 2024</v>
      </c>
      <c r="C569" t="str">
        <f t="shared" si="33"/>
        <v>Q4</v>
      </c>
      <c r="D569" t="str">
        <f t="shared" si="34"/>
        <v>FY2024</v>
      </c>
    </row>
    <row r="570" spans="1:4">
      <c r="A570" s="11">
        <f t="shared" si="35"/>
        <v>45585</v>
      </c>
      <c r="B570" t="str">
        <f t="shared" si="32"/>
        <v>Oct 2024</v>
      </c>
      <c r="C570" t="str">
        <f t="shared" si="33"/>
        <v>Q4</v>
      </c>
      <c r="D570" t="str">
        <f t="shared" si="34"/>
        <v>FY2024</v>
      </c>
    </row>
    <row r="571" spans="1:4">
      <c r="A571" s="11">
        <f t="shared" si="35"/>
        <v>45586</v>
      </c>
      <c r="B571" t="str">
        <f t="shared" si="32"/>
        <v>Oct 2024</v>
      </c>
      <c r="C571" t="str">
        <f t="shared" si="33"/>
        <v>Q4</v>
      </c>
      <c r="D571" t="str">
        <f t="shared" si="34"/>
        <v>FY2024</v>
      </c>
    </row>
    <row r="572" spans="1:4">
      <c r="A572" s="11">
        <f t="shared" si="35"/>
        <v>45587</v>
      </c>
      <c r="B572" t="str">
        <f t="shared" si="32"/>
        <v>Oct 2024</v>
      </c>
      <c r="C572" t="str">
        <f t="shared" si="33"/>
        <v>Q4</v>
      </c>
      <c r="D572" t="str">
        <f t="shared" si="34"/>
        <v>FY2024</v>
      </c>
    </row>
    <row r="573" spans="1:4">
      <c r="A573" s="11">
        <f t="shared" si="35"/>
        <v>45588</v>
      </c>
      <c r="B573" t="str">
        <f t="shared" si="32"/>
        <v>Oct 2024</v>
      </c>
      <c r="C573" t="str">
        <f t="shared" si="33"/>
        <v>Q4</v>
      </c>
      <c r="D573" t="str">
        <f t="shared" si="34"/>
        <v>FY2024</v>
      </c>
    </row>
    <row r="574" spans="1:4">
      <c r="A574" s="11">
        <f t="shared" si="35"/>
        <v>45589</v>
      </c>
      <c r="B574" t="str">
        <f t="shared" si="32"/>
        <v>Oct 2024</v>
      </c>
      <c r="C574" t="str">
        <f t="shared" si="33"/>
        <v>Q4</v>
      </c>
      <c r="D574" t="str">
        <f t="shared" si="34"/>
        <v>FY2024</v>
      </c>
    </row>
    <row r="575" spans="1:4">
      <c r="A575" s="11">
        <f t="shared" si="35"/>
        <v>45590</v>
      </c>
      <c r="B575" t="str">
        <f t="shared" si="32"/>
        <v>Oct 2024</v>
      </c>
      <c r="C575" t="str">
        <f t="shared" si="33"/>
        <v>Q4</v>
      </c>
      <c r="D575" t="str">
        <f t="shared" si="34"/>
        <v>FY2024</v>
      </c>
    </row>
    <row r="576" spans="1:4">
      <c r="A576" s="11">
        <f t="shared" si="35"/>
        <v>45591</v>
      </c>
      <c r="B576" t="str">
        <f t="shared" si="32"/>
        <v>Oct 2024</v>
      </c>
      <c r="C576" t="str">
        <f t="shared" si="33"/>
        <v>Q4</v>
      </c>
      <c r="D576" t="str">
        <f t="shared" si="34"/>
        <v>FY2024</v>
      </c>
    </row>
    <row r="577" spans="1:4">
      <c r="A577" s="11">
        <f t="shared" si="35"/>
        <v>45592</v>
      </c>
      <c r="B577" t="str">
        <f t="shared" si="32"/>
        <v>Oct 2024</v>
      </c>
      <c r="C577" t="str">
        <f t="shared" si="33"/>
        <v>Q4</v>
      </c>
      <c r="D577" t="str">
        <f t="shared" si="34"/>
        <v>FY2024</v>
      </c>
    </row>
    <row r="578" spans="1:4">
      <c r="A578" s="11">
        <f t="shared" si="35"/>
        <v>45593</v>
      </c>
      <c r="B578" t="str">
        <f t="shared" si="32"/>
        <v>Oct 2024</v>
      </c>
      <c r="C578" t="str">
        <f t="shared" si="33"/>
        <v>Q4</v>
      </c>
      <c r="D578" t="str">
        <f t="shared" si="34"/>
        <v>FY2024</v>
      </c>
    </row>
    <row r="579" spans="1:4">
      <c r="A579" s="11">
        <f t="shared" si="35"/>
        <v>45594</v>
      </c>
      <c r="B579" t="str">
        <f t="shared" ref="B579:B642" si="36">TEXT(A579, "MMM_YYYY")</f>
        <v>Oct 2024</v>
      </c>
      <c r="C579" t="str">
        <f t="shared" ref="C579:C642" si="37">"Q" &amp; INT((MONTH(A579)-1)/3)+1</f>
        <v>Q4</v>
      </c>
      <c r="D579" t="str">
        <f t="shared" ref="D579:D642" si="38">"FY" &amp; IF(MONTH(A579)&gt;=4, YEAR(A579), YEAR(A579)-1)</f>
        <v>FY2024</v>
      </c>
    </row>
    <row r="580" spans="1:4">
      <c r="A580" s="11">
        <f t="shared" ref="A580:A643" si="39">A579+1</f>
        <v>45595</v>
      </c>
      <c r="B580" t="str">
        <f t="shared" si="36"/>
        <v>Oct 2024</v>
      </c>
      <c r="C580" t="str">
        <f t="shared" si="37"/>
        <v>Q4</v>
      </c>
      <c r="D580" t="str">
        <f t="shared" si="38"/>
        <v>FY2024</v>
      </c>
    </row>
    <row r="581" spans="1:4">
      <c r="A581" s="11">
        <f t="shared" si="39"/>
        <v>45596</v>
      </c>
      <c r="B581" t="str">
        <f t="shared" si="36"/>
        <v>Oct 2024</v>
      </c>
      <c r="C581" t="str">
        <f t="shared" si="37"/>
        <v>Q4</v>
      </c>
      <c r="D581" t="str">
        <f t="shared" si="38"/>
        <v>FY2024</v>
      </c>
    </row>
    <row r="582" spans="1:4">
      <c r="A582" s="11">
        <f t="shared" si="39"/>
        <v>45597</v>
      </c>
      <c r="B582" t="str">
        <f t="shared" si="36"/>
        <v>Nov 2024</v>
      </c>
      <c r="C582" t="str">
        <f t="shared" si="37"/>
        <v>Q4</v>
      </c>
      <c r="D582" t="str">
        <f t="shared" si="38"/>
        <v>FY2024</v>
      </c>
    </row>
    <row r="583" spans="1:4">
      <c r="A583" s="11">
        <f t="shared" si="39"/>
        <v>45598</v>
      </c>
      <c r="B583" t="str">
        <f t="shared" si="36"/>
        <v>Nov 2024</v>
      </c>
      <c r="C583" t="str">
        <f t="shared" si="37"/>
        <v>Q4</v>
      </c>
      <c r="D583" t="str">
        <f t="shared" si="38"/>
        <v>FY2024</v>
      </c>
    </row>
    <row r="584" spans="1:4">
      <c r="A584" s="11">
        <f t="shared" si="39"/>
        <v>45599</v>
      </c>
      <c r="B584" t="str">
        <f t="shared" si="36"/>
        <v>Nov 2024</v>
      </c>
      <c r="C584" t="str">
        <f t="shared" si="37"/>
        <v>Q4</v>
      </c>
      <c r="D584" t="str">
        <f t="shared" si="38"/>
        <v>FY2024</v>
      </c>
    </row>
    <row r="585" spans="1:4">
      <c r="A585" s="11">
        <f t="shared" si="39"/>
        <v>45600</v>
      </c>
      <c r="B585" t="str">
        <f t="shared" si="36"/>
        <v>Nov 2024</v>
      </c>
      <c r="C585" t="str">
        <f t="shared" si="37"/>
        <v>Q4</v>
      </c>
      <c r="D585" t="str">
        <f t="shared" si="38"/>
        <v>FY2024</v>
      </c>
    </row>
    <row r="586" spans="1:4">
      <c r="A586" s="11">
        <f t="shared" si="39"/>
        <v>45601</v>
      </c>
      <c r="B586" t="str">
        <f t="shared" si="36"/>
        <v>Nov 2024</v>
      </c>
      <c r="C586" t="str">
        <f t="shared" si="37"/>
        <v>Q4</v>
      </c>
      <c r="D586" t="str">
        <f t="shared" si="38"/>
        <v>FY2024</v>
      </c>
    </row>
    <row r="587" spans="1:4">
      <c r="A587" s="11">
        <f t="shared" si="39"/>
        <v>45602</v>
      </c>
      <c r="B587" t="str">
        <f t="shared" si="36"/>
        <v>Nov 2024</v>
      </c>
      <c r="C587" t="str">
        <f t="shared" si="37"/>
        <v>Q4</v>
      </c>
      <c r="D587" t="str">
        <f t="shared" si="38"/>
        <v>FY2024</v>
      </c>
    </row>
    <row r="588" spans="1:4">
      <c r="A588" s="11">
        <f t="shared" si="39"/>
        <v>45603</v>
      </c>
      <c r="B588" t="str">
        <f t="shared" si="36"/>
        <v>Nov 2024</v>
      </c>
      <c r="C588" t="str">
        <f t="shared" si="37"/>
        <v>Q4</v>
      </c>
      <c r="D588" t="str">
        <f t="shared" si="38"/>
        <v>FY2024</v>
      </c>
    </row>
    <row r="589" spans="1:4">
      <c r="A589" s="11">
        <f t="shared" si="39"/>
        <v>45604</v>
      </c>
      <c r="B589" t="str">
        <f t="shared" si="36"/>
        <v>Nov 2024</v>
      </c>
      <c r="C589" t="str">
        <f t="shared" si="37"/>
        <v>Q4</v>
      </c>
      <c r="D589" t="str">
        <f t="shared" si="38"/>
        <v>FY2024</v>
      </c>
    </row>
    <row r="590" spans="1:4">
      <c r="A590" s="11">
        <f t="shared" si="39"/>
        <v>45605</v>
      </c>
      <c r="B590" t="str">
        <f t="shared" si="36"/>
        <v>Nov 2024</v>
      </c>
      <c r="C590" t="str">
        <f t="shared" si="37"/>
        <v>Q4</v>
      </c>
      <c r="D590" t="str">
        <f t="shared" si="38"/>
        <v>FY2024</v>
      </c>
    </row>
    <row r="591" spans="1:4">
      <c r="A591" s="11">
        <f t="shared" si="39"/>
        <v>45606</v>
      </c>
      <c r="B591" t="str">
        <f t="shared" si="36"/>
        <v>Nov 2024</v>
      </c>
      <c r="C591" t="str">
        <f t="shared" si="37"/>
        <v>Q4</v>
      </c>
      <c r="D591" t="str">
        <f t="shared" si="38"/>
        <v>FY2024</v>
      </c>
    </row>
    <row r="592" spans="1:4">
      <c r="A592" s="11">
        <f t="shared" si="39"/>
        <v>45607</v>
      </c>
      <c r="B592" t="str">
        <f t="shared" si="36"/>
        <v>Nov 2024</v>
      </c>
      <c r="C592" t="str">
        <f t="shared" si="37"/>
        <v>Q4</v>
      </c>
      <c r="D592" t="str">
        <f t="shared" si="38"/>
        <v>FY2024</v>
      </c>
    </row>
    <row r="593" spans="1:4">
      <c r="A593" s="11">
        <f t="shared" si="39"/>
        <v>45608</v>
      </c>
      <c r="B593" t="str">
        <f t="shared" si="36"/>
        <v>Nov 2024</v>
      </c>
      <c r="C593" t="str">
        <f t="shared" si="37"/>
        <v>Q4</v>
      </c>
      <c r="D593" t="str">
        <f t="shared" si="38"/>
        <v>FY2024</v>
      </c>
    </row>
    <row r="594" spans="1:4">
      <c r="A594" s="11">
        <f t="shared" si="39"/>
        <v>45609</v>
      </c>
      <c r="B594" t="str">
        <f t="shared" si="36"/>
        <v>Nov 2024</v>
      </c>
      <c r="C594" t="str">
        <f t="shared" si="37"/>
        <v>Q4</v>
      </c>
      <c r="D594" t="str">
        <f t="shared" si="38"/>
        <v>FY2024</v>
      </c>
    </row>
    <row r="595" spans="1:4">
      <c r="A595" s="11">
        <f t="shared" si="39"/>
        <v>45610</v>
      </c>
      <c r="B595" t="str">
        <f t="shared" si="36"/>
        <v>Nov 2024</v>
      </c>
      <c r="C595" t="str">
        <f t="shared" si="37"/>
        <v>Q4</v>
      </c>
      <c r="D595" t="str">
        <f t="shared" si="38"/>
        <v>FY2024</v>
      </c>
    </row>
    <row r="596" spans="1:4">
      <c r="A596" s="11">
        <f t="shared" si="39"/>
        <v>45611</v>
      </c>
      <c r="B596" t="str">
        <f t="shared" si="36"/>
        <v>Nov 2024</v>
      </c>
      <c r="C596" t="str">
        <f t="shared" si="37"/>
        <v>Q4</v>
      </c>
      <c r="D596" t="str">
        <f t="shared" si="38"/>
        <v>FY2024</v>
      </c>
    </row>
    <row r="597" spans="1:4">
      <c r="A597" s="11">
        <f t="shared" si="39"/>
        <v>45612</v>
      </c>
      <c r="B597" t="str">
        <f t="shared" si="36"/>
        <v>Nov 2024</v>
      </c>
      <c r="C597" t="str">
        <f t="shared" si="37"/>
        <v>Q4</v>
      </c>
      <c r="D597" t="str">
        <f t="shared" si="38"/>
        <v>FY2024</v>
      </c>
    </row>
    <row r="598" spans="1:4">
      <c r="A598" s="11">
        <f t="shared" si="39"/>
        <v>45613</v>
      </c>
      <c r="B598" t="str">
        <f t="shared" si="36"/>
        <v>Nov 2024</v>
      </c>
      <c r="C598" t="str">
        <f t="shared" si="37"/>
        <v>Q4</v>
      </c>
      <c r="D598" t="str">
        <f t="shared" si="38"/>
        <v>FY2024</v>
      </c>
    </row>
    <row r="599" spans="1:4">
      <c r="A599" s="11">
        <f t="shared" si="39"/>
        <v>45614</v>
      </c>
      <c r="B599" t="str">
        <f t="shared" si="36"/>
        <v>Nov 2024</v>
      </c>
      <c r="C599" t="str">
        <f t="shared" si="37"/>
        <v>Q4</v>
      </c>
      <c r="D599" t="str">
        <f t="shared" si="38"/>
        <v>FY2024</v>
      </c>
    </row>
    <row r="600" spans="1:4">
      <c r="A600" s="11">
        <f t="shared" si="39"/>
        <v>45615</v>
      </c>
      <c r="B600" t="str">
        <f t="shared" si="36"/>
        <v>Nov 2024</v>
      </c>
      <c r="C600" t="str">
        <f t="shared" si="37"/>
        <v>Q4</v>
      </c>
      <c r="D600" t="str">
        <f t="shared" si="38"/>
        <v>FY2024</v>
      </c>
    </row>
    <row r="601" spans="1:4">
      <c r="A601" s="11">
        <f t="shared" si="39"/>
        <v>45616</v>
      </c>
      <c r="B601" t="str">
        <f t="shared" si="36"/>
        <v>Nov 2024</v>
      </c>
      <c r="C601" t="str">
        <f t="shared" si="37"/>
        <v>Q4</v>
      </c>
      <c r="D601" t="str">
        <f t="shared" si="38"/>
        <v>FY2024</v>
      </c>
    </row>
    <row r="602" spans="1:4">
      <c r="A602" s="11">
        <f t="shared" si="39"/>
        <v>45617</v>
      </c>
      <c r="B602" t="str">
        <f t="shared" si="36"/>
        <v>Nov 2024</v>
      </c>
      <c r="C602" t="str">
        <f t="shared" si="37"/>
        <v>Q4</v>
      </c>
      <c r="D602" t="str">
        <f t="shared" si="38"/>
        <v>FY2024</v>
      </c>
    </row>
    <row r="603" spans="1:4">
      <c r="A603" s="11">
        <f t="shared" si="39"/>
        <v>45618</v>
      </c>
      <c r="B603" t="str">
        <f t="shared" si="36"/>
        <v>Nov 2024</v>
      </c>
      <c r="C603" t="str">
        <f t="shared" si="37"/>
        <v>Q4</v>
      </c>
      <c r="D603" t="str">
        <f t="shared" si="38"/>
        <v>FY2024</v>
      </c>
    </row>
    <row r="604" spans="1:4">
      <c r="A604" s="11">
        <f t="shared" si="39"/>
        <v>45619</v>
      </c>
      <c r="B604" t="str">
        <f t="shared" si="36"/>
        <v>Nov 2024</v>
      </c>
      <c r="C604" t="str">
        <f t="shared" si="37"/>
        <v>Q4</v>
      </c>
      <c r="D604" t="str">
        <f t="shared" si="38"/>
        <v>FY2024</v>
      </c>
    </row>
    <row r="605" spans="1:4">
      <c r="A605" s="11">
        <f t="shared" si="39"/>
        <v>45620</v>
      </c>
      <c r="B605" t="str">
        <f t="shared" si="36"/>
        <v>Nov 2024</v>
      </c>
      <c r="C605" t="str">
        <f t="shared" si="37"/>
        <v>Q4</v>
      </c>
      <c r="D605" t="str">
        <f t="shared" si="38"/>
        <v>FY2024</v>
      </c>
    </row>
    <row r="606" spans="1:4">
      <c r="A606" s="11">
        <f t="shared" si="39"/>
        <v>45621</v>
      </c>
      <c r="B606" t="str">
        <f t="shared" si="36"/>
        <v>Nov 2024</v>
      </c>
      <c r="C606" t="str">
        <f t="shared" si="37"/>
        <v>Q4</v>
      </c>
      <c r="D606" t="str">
        <f t="shared" si="38"/>
        <v>FY2024</v>
      </c>
    </row>
    <row r="607" spans="1:4">
      <c r="A607" s="11">
        <f t="shared" si="39"/>
        <v>45622</v>
      </c>
      <c r="B607" t="str">
        <f t="shared" si="36"/>
        <v>Nov 2024</v>
      </c>
      <c r="C607" t="str">
        <f t="shared" si="37"/>
        <v>Q4</v>
      </c>
      <c r="D607" t="str">
        <f t="shared" si="38"/>
        <v>FY2024</v>
      </c>
    </row>
    <row r="608" spans="1:4">
      <c r="A608" s="11">
        <f t="shared" si="39"/>
        <v>45623</v>
      </c>
      <c r="B608" t="str">
        <f t="shared" si="36"/>
        <v>Nov 2024</v>
      </c>
      <c r="C608" t="str">
        <f t="shared" si="37"/>
        <v>Q4</v>
      </c>
      <c r="D608" t="str">
        <f t="shared" si="38"/>
        <v>FY2024</v>
      </c>
    </row>
    <row r="609" spans="1:4">
      <c r="A609" s="11">
        <f t="shared" si="39"/>
        <v>45624</v>
      </c>
      <c r="B609" t="str">
        <f t="shared" si="36"/>
        <v>Nov 2024</v>
      </c>
      <c r="C609" t="str">
        <f t="shared" si="37"/>
        <v>Q4</v>
      </c>
      <c r="D609" t="str">
        <f t="shared" si="38"/>
        <v>FY2024</v>
      </c>
    </row>
    <row r="610" spans="1:4">
      <c r="A610" s="11">
        <f t="shared" si="39"/>
        <v>45625</v>
      </c>
      <c r="B610" t="str">
        <f t="shared" si="36"/>
        <v>Nov 2024</v>
      </c>
      <c r="C610" t="str">
        <f t="shared" si="37"/>
        <v>Q4</v>
      </c>
      <c r="D610" t="str">
        <f t="shared" si="38"/>
        <v>FY2024</v>
      </c>
    </row>
    <row r="611" spans="1:4">
      <c r="A611" s="11">
        <f t="shared" si="39"/>
        <v>45626</v>
      </c>
      <c r="B611" t="str">
        <f t="shared" si="36"/>
        <v>Nov 2024</v>
      </c>
      <c r="C611" t="str">
        <f t="shared" si="37"/>
        <v>Q4</v>
      </c>
      <c r="D611" t="str">
        <f t="shared" si="38"/>
        <v>FY2024</v>
      </c>
    </row>
    <row r="612" spans="1:4">
      <c r="A612" s="11">
        <f t="shared" si="39"/>
        <v>45627</v>
      </c>
      <c r="B612" t="str">
        <f t="shared" si="36"/>
        <v>Dec 2024</v>
      </c>
      <c r="C612" t="str">
        <f t="shared" si="37"/>
        <v>Q4</v>
      </c>
      <c r="D612" t="str">
        <f t="shared" si="38"/>
        <v>FY2024</v>
      </c>
    </row>
    <row r="613" spans="1:4">
      <c r="A613" s="11">
        <f t="shared" si="39"/>
        <v>45628</v>
      </c>
      <c r="B613" t="str">
        <f t="shared" si="36"/>
        <v>Dec 2024</v>
      </c>
      <c r="C613" t="str">
        <f t="shared" si="37"/>
        <v>Q4</v>
      </c>
      <c r="D613" t="str">
        <f t="shared" si="38"/>
        <v>FY2024</v>
      </c>
    </row>
    <row r="614" spans="1:4">
      <c r="A614" s="11">
        <f t="shared" si="39"/>
        <v>45629</v>
      </c>
      <c r="B614" t="str">
        <f t="shared" si="36"/>
        <v>Dec 2024</v>
      </c>
      <c r="C614" t="str">
        <f t="shared" si="37"/>
        <v>Q4</v>
      </c>
      <c r="D614" t="str">
        <f t="shared" si="38"/>
        <v>FY2024</v>
      </c>
    </row>
    <row r="615" spans="1:4">
      <c r="A615" s="11">
        <f t="shared" si="39"/>
        <v>45630</v>
      </c>
      <c r="B615" t="str">
        <f t="shared" si="36"/>
        <v>Dec 2024</v>
      </c>
      <c r="C615" t="str">
        <f t="shared" si="37"/>
        <v>Q4</v>
      </c>
      <c r="D615" t="str">
        <f t="shared" si="38"/>
        <v>FY2024</v>
      </c>
    </row>
    <row r="616" spans="1:4">
      <c r="A616" s="11">
        <f t="shared" si="39"/>
        <v>45631</v>
      </c>
      <c r="B616" t="str">
        <f t="shared" si="36"/>
        <v>Dec 2024</v>
      </c>
      <c r="C616" t="str">
        <f t="shared" si="37"/>
        <v>Q4</v>
      </c>
      <c r="D616" t="str">
        <f t="shared" si="38"/>
        <v>FY2024</v>
      </c>
    </row>
    <row r="617" spans="1:4">
      <c r="A617" s="11">
        <f t="shared" si="39"/>
        <v>45632</v>
      </c>
      <c r="B617" t="str">
        <f t="shared" si="36"/>
        <v>Dec 2024</v>
      </c>
      <c r="C617" t="str">
        <f t="shared" si="37"/>
        <v>Q4</v>
      </c>
      <c r="D617" t="str">
        <f t="shared" si="38"/>
        <v>FY2024</v>
      </c>
    </row>
    <row r="618" spans="1:4">
      <c r="A618" s="11">
        <f t="shared" si="39"/>
        <v>45633</v>
      </c>
      <c r="B618" t="str">
        <f t="shared" si="36"/>
        <v>Dec 2024</v>
      </c>
      <c r="C618" t="str">
        <f t="shared" si="37"/>
        <v>Q4</v>
      </c>
      <c r="D618" t="str">
        <f t="shared" si="38"/>
        <v>FY2024</v>
      </c>
    </row>
    <row r="619" spans="1:4">
      <c r="A619" s="11">
        <f t="shared" si="39"/>
        <v>45634</v>
      </c>
      <c r="B619" t="str">
        <f t="shared" si="36"/>
        <v>Dec 2024</v>
      </c>
      <c r="C619" t="str">
        <f t="shared" si="37"/>
        <v>Q4</v>
      </c>
      <c r="D619" t="str">
        <f t="shared" si="38"/>
        <v>FY2024</v>
      </c>
    </row>
    <row r="620" spans="1:4">
      <c r="A620" s="11">
        <f t="shared" si="39"/>
        <v>45635</v>
      </c>
      <c r="B620" t="str">
        <f t="shared" si="36"/>
        <v>Dec 2024</v>
      </c>
      <c r="C620" t="str">
        <f t="shared" si="37"/>
        <v>Q4</v>
      </c>
      <c r="D620" t="str">
        <f t="shared" si="38"/>
        <v>FY2024</v>
      </c>
    </row>
    <row r="621" spans="1:4">
      <c r="A621" s="11">
        <f t="shared" si="39"/>
        <v>45636</v>
      </c>
      <c r="B621" t="str">
        <f t="shared" si="36"/>
        <v>Dec 2024</v>
      </c>
      <c r="C621" t="str">
        <f t="shared" si="37"/>
        <v>Q4</v>
      </c>
      <c r="D621" t="str">
        <f t="shared" si="38"/>
        <v>FY2024</v>
      </c>
    </row>
    <row r="622" spans="1:4">
      <c r="A622" s="11">
        <f t="shared" si="39"/>
        <v>45637</v>
      </c>
      <c r="B622" t="str">
        <f t="shared" si="36"/>
        <v>Dec 2024</v>
      </c>
      <c r="C622" t="str">
        <f t="shared" si="37"/>
        <v>Q4</v>
      </c>
      <c r="D622" t="str">
        <f t="shared" si="38"/>
        <v>FY2024</v>
      </c>
    </row>
    <row r="623" spans="1:4">
      <c r="A623" s="11">
        <f t="shared" si="39"/>
        <v>45638</v>
      </c>
      <c r="B623" t="str">
        <f t="shared" si="36"/>
        <v>Dec 2024</v>
      </c>
      <c r="C623" t="str">
        <f t="shared" si="37"/>
        <v>Q4</v>
      </c>
      <c r="D623" t="str">
        <f t="shared" si="38"/>
        <v>FY2024</v>
      </c>
    </row>
    <row r="624" spans="1:4">
      <c r="A624" s="11">
        <f t="shared" si="39"/>
        <v>45639</v>
      </c>
      <c r="B624" t="str">
        <f t="shared" si="36"/>
        <v>Dec 2024</v>
      </c>
      <c r="C624" t="str">
        <f t="shared" si="37"/>
        <v>Q4</v>
      </c>
      <c r="D624" t="str">
        <f t="shared" si="38"/>
        <v>FY2024</v>
      </c>
    </row>
    <row r="625" spans="1:4">
      <c r="A625" s="11">
        <f t="shared" si="39"/>
        <v>45640</v>
      </c>
      <c r="B625" t="str">
        <f t="shared" si="36"/>
        <v>Dec 2024</v>
      </c>
      <c r="C625" t="str">
        <f t="shared" si="37"/>
        <v>Q4</v>
      </c>
      <c r="D625" t="str">
        <f t="shared" si="38"/>
        <v>FY2024</v>
      </c>
    </row>
    <row r="626" spans="1:4">
      <c r="A626" s="11">
        <f t="shared" si="39"/>
        <v>45641</v>
      </c>
      <c r="B626" t="str">
        <f t="shared" si="36"/>
        <v>Dec 2024</v>
      </c>
      <c r="C626" t="str">
        <f t="shared" si="37"/>
        <v>Q4</v>
      </c>
      <c r="D626" t="str">
        <f t="shared" si="38"/>
        <v>FY2024</v>
      </c>
    </row>
    <row r="627" spans="1:4">
      <c r="A627" s="11">
        <f t="shared" si="39"/>
        <v>45642</v>
      </c>
      <c r="B627" t="str">
        <f t="shared" si="36"/>
        <v>Dec 2024</v>
      </c>
      <c r="C627" t="str">
        <f t="shared" si="37"/>
        <v>Q4</v>
      </c>
      <c r="D627" t="str">
        <f t="shared" si="38"/>
        <v>FY2024</v>
      </c>
    </row>
    <row r="628" spans="1:4">
      <c r="A628" s="11">
        <f t="shared" si="39"/>
        <v>45643</v>
      </c>
      <c r="B628" t="str">
        <f t="shared" si="36"/>
        <v>Dec 2024</v>
      </c>
      <c r="C628" t="str">
        <f t="shared" si="37"/>
        <v>Q4</v>
      </c>
      <c r="D628" t="str">
        <f t="shared" si="38"/>
        <v>FY2024</v>
      </c>
    </row>
    <row r="629" spans="1:4">
      <c r="A629" s="11">
        <f t="shared" si="39"/>
        <v>45644</v>
      </c>
      <c r="B629" t="str">
        <f t="shared" si="36"/>
        <v>Dec 2024</v>
      </c>
      <c r="C629" t="str">
        <f t="shared" si="37"/>
        <v>Q4</v>
      </c>
      <c r="D629" t="str">
        <f t="shared" si="38"/>
        <v>FY2024</v>
      </c>
    </row>
    <row r="630" spans="1:4">
      <c r="A630" s="11">
        <f t="shared" si="39"/>
        <v>45645</v>
      </c>
      <c r="B630" t="str">
        <f t="shared" si="36"/>
        <v>Dec 2024</v>
      </c>
      <c r="C630" t="str">
        <f t="shared" si="37"/>
        <v>Q4</v>
      </c>
      <c r="D630" t="str">
        <f t="shared" si="38"/>
        <v>FY2024</v>
      </c>
    </row>
    <row r="631" spans="1:4">
      <c r="A631" s="11">
        <f t="shared" si="39"/>
        <v>45646</v>
      </c>
      <c r="B631" t="str">
        <f t="shared" si="36"/>
        <v>Dec 2024</v>
      </c>
      <c r="C631" t="str">
        <f t="shared" si="37"/>
        <v>Q4</v>
      </c>
      <c r="D631" t="str">
        <f t="shared" si="38"/>
        <v>FY2024</v>
      </c>
    </row>
    <row r="632" spans="1:4">
      <c r="A632" s="11">
        <f t="shared" si="39"/>
        <v>45647</v>
      </c>
      <c r="B632" t="str">
        <f t="shared" si="36"/>
        <v>Dec 2024</v>
      </c>
      <c r="C632" t="str">
        <f t="shared" si="37"/>
        <v>Q4</v>
      </c>
      <c r="D632" t="str">
        <f t="shared" si="38"/>
        <v>FY2024</v>
      </c>
    </row>
    <row r="633" spans="1:4">
      <c r="A633" s="11">
        <f t="shared" si="39"/>
        <v>45648</v>
      </c>
      <c r="B633" t="str">
        <f t="shared" si="36"/>
        <v>Dec 2024</v>
      </c>
      <c r="C633" t="str">
        <f t="shared" si="37"/>
        <v>Q4</v>
      </c>
      <c r="D633" t="str">
        <f t="shared" si="38"/>
        <v>FY2024</v>
      </c>
    </row>
    <row r="634" spans="1:4">
      <c r="A634" s="11">
        <f t="shared" si="39"/>
        <v>45649</v>
      </c>
      <c r="B634" t="str">
        <f t="shared" si="36"/>
        <v>Dec 2024</v>
      </c>
      <c r="C634" t="str">
        <f t="shared" si="37"/>
        <v>Q4</v>
      </c>
      <c r="D634" t="str">
        <f t="shared" si="38"/>
        <v>FY2024</v>
      </c>
    </row>
    <row r="635" spans="1:4">
      <c r="A635" s="11">
        <f t="shared" si="39"/>
        <v>45650</v>
      </c>
      <c r="B635" t="str">
        <f t="shared" si="36"/>
        <v>Dec 2024</v>
      </c>
      <c r="C635" t="str">
        <f t="shared" si="37"/>
        <v>Q4</v>
      </c>
      <c r="D635" t="str">
        <f t="shared" si="38"/>
        <v>FY2024</v>
      </c>
    </row>
    <row r="636" spans="1:4">
      <c r="A636" s="11">
        <f t="shared" si="39"/>
        <v>45651</v>
      </c>
      <c r="B636" t="str">
        <f t="shared" si="36"/>
        <v>Dec 2024</v>
      </c>
      <c r="C636" t="str">
        <f t="shared" si="37"/>
        <v>Q4</v>
      </c>
      <c r="D636" t="str">
        <f t="shared" si="38"/>
        <v>FY2024</v>
      </c>
    </row>
    <row r="637" spans="1:4">
      <c r="A637" s="11">
        <f t="shared" si="39"/>
        <v>45652</v>
      </c>
      <c r="B637" t="str">
        <f t="shared" si="36"/>
        <v>Dec 2024</v>
      </c>
      <c r="C637" t="str">
        <f t="shared" si="37"/>
        <v>Q4</v>
      </c>
      <c r="D637" t="str">
        <f t="shared" si="38"/>
        <v>FY2024</v>
      </c>
    </row>
    <row r="638" spans="1:4">
      <c r="A638" s="11">
        <f t="shared" si="39"/>
        <v>45653</v>
      </c>
      <c r="B638" t="str">
        <f t="shared" si="36"/>
        <v>Dec 2024</v>
      </c>
      <c r="C638" t="str">
        <f t="shared" si="37"/>
        <v>Q4</v>
      </c>
      <c r="D638" t="str">
        <f t="shared" si="38"/>
        <v>FY2024</v>
      </c>
    </row>
    <row r="639" spans="1:4">
      <c r="A639" s="11">
        <f t="shared" si="39"/>
        <v>45654</v>
      </c>
      <c r="B639" t="str">
        <f t="shared" si="36"/>
        <v>Dec 2024</v>
      </c>
      <c r="C639" t="str">
        <f t="shared" si="37"/>
        <v>Q4</v>
      </c>
      <c r="D639" t="str">
        <f t="shared" si="38"/>
        <v>FY2024</v>
      </c>
    </row>
    <row r="640" spans="1:4">
      <c r="A640" s="11">
        <f t="shared" si="39"/>
        <v>45655</v>
      </c>
      <c r="B640" t="str">
        <f t="shared" si="36"/>
        <v>Dec 2024</v>
      </c>
      <c r="C640" t="str">
        <f t="shared" si="37"/>
        <v>Q4</v>
      </c>
      <c r="D640" t="str">
        <f t="shared" si="38"/>
        <v>FY2024</v>
      </c>
    </row>
    <row r="641" spans="1:4">
      <c r="A641" s="11">
        <f t="shared" si="39"/>
        <v>45656</v>
      </c>
      <c r="B641" t="str">
        <f t="shared" si="36"/>
        <v>Dec 2024</v>
      </c>
      <c r="C641" t="str">
        <f t="shared" si="37"/>
        <v>Q4</v>
      </c>
      <c r="D641" t="str">
        <f t="shared" si="38"/>
        <v>FY2024</v>
      </c>
    </row>
    <row r="642" spans="1:4">
      <c r="A642" s="11">
        <f t="shared" si="39"/>
        <v>45657</v>
      </c>
      <c r="B642" t="str">
        <f t="shared" si="36"/>
        <v>Dec 2024</v>
      </c>
      <c r="C642" t="str">
        <f t="shared" si="37"/>
        <v>Q4</v>
      </c>
      <c r="D642" t="str">
        <f t="shared" si="38"/>
        <v>FY2024</v>
      </c>
    </row>
    <row r="643" spans="1:4">
      <c r="A643" s="11">
        <f t="shared" si="39"/>
        <v>45658</v>
      </c>
      <c r="B643" t="str">
        <f t="shared" ref="B643:B706" si="40">TEXT(A643, "MMM_YYYY")</f>
        <v>Jan 2025</v>
      </c>
      <c r="C643" t="str">
        <f t="shared" ref="C643:C706" si="41">"Q" &amp; INT((MONTH(A643)-1)/3)+1</f>
        <v>Q1</v>
      </c>
      <c r="D643" t="str">
        <f t="shared" ref="D643:D706" si="42">"FY" &amp; IF(MONTH(A643)&gt;=4, YEAR(A643), YEAR(A643)-1)</f>
        <v>FY2024</v>
      </c>
    </row>
    <row r="644" spans="1:4">
      <c r="A644" s="11">
        <f t="shared" ref="A644:A707" si="43">A643+1</f>
        <v>45659</v>
      </c>
      <c r="B644" t="str">
        <f t="shared" si="40"/>
        <v>Jan 2025</v>
      </c>
      <c r="C644" t="str">
        <f t="shared" si="41"/>
        <v>Q1</v>
      </c>
      <c r="D644" t="str">
        <f t="shared" si="42"/>
        <v>FY2024</v>
      </c>
    </row>
    <row r="645" spans="1:4">
      <c r="A645" s="11">
        <f t="shared" si="43"/>
        <v>45660</v>
      </c>
      <c r="B645" t="str">
        <f t="shared" si="40"/>
        <v>Jan 2025</v>
      </c>
      <c r="C645" t="str">
        <f t="shared" si="41"/>
        <v>Q1</v>
      </c>
      <c r="D645" t="str">
        <f t="shared" si="42"/>
        <v>FY2024</v>
      </c>
    </row>
    <row r="646" spans="1:4">
      <c r="A646" s="11">
        <f t="shared" si="43"/>
        <v>45661</v>
      </c>
      <c r="B646" t="str">
        <f t="shared" si="40"/>
        <v>Jan 2025</v>
      </c>
      <c r="C646" t="str">
        <f t="shared" si="41"/>
        <v>Q1</v>
      </c>
      <c r="D646" t="str">
        <f t="shared" si="42"/>
        <v>FY2024</v>
      </c>
    </row>
    <row r="647" spans="1:4">
      <c r="A647" s="11">
        <f t="shared" si="43"/>
        <v>45662</v>
      </c>
      <c r="B647" t="str">
        <f t="shared" si="40"/>
        <v>Jan 2025</v>
      </c>
      <c r="C647" t="str">
        <f t="shared" si="41"/>
        <v>Q1</v>
      </c>
      <c r="D647" t="str">
        <f t="shared" si="42"/>
        <v>FY2024</v>
      </c>
    </row>
    <row r="648" spans="1:4">
      <c r="A648" s="11">
        <f t="shared" si="43"/>
        <v>45663</v>
      </c>
      <c r="B648" t="str">
        <f t="shared" si="40"/>
        <v>Jan 2025</v>
      </c>
      <c r="C648" t="str">
        <f t="shared" si="41"/>
        <v>Q1</v>
      </c>
      <c r="D648" t="str">
        <f t="shared" si="42"/>
        <v>FY2024</v>
      </c>
    </row>
    <row r="649" spans="1:4">
      <c r="A649" s="11">
        <f t="shared" si="43"/>
        <v>45664</v>
      </c>
      <c r="B649" t="str">
        <f t="shared" si="40"/>
        <v>Jan 2025</v>
      </c>
      <c r="C649" t="str">
        <f t="shared" si="41"/>
        <v>Q1</v>
      </c>
      <c r="D649" t="str">
        <f t="shared" si="42"/>
        <v>FY2024</v>
      </c>
    </row>
    <row r="650" spans="1:4">
      <c r="A650" s="11">
        <f t="shared" si="43"/>
        <v>45665</v>
      </c>
      <c r="B650" t="str">
        <f t="shared" si="40"/>
        <v>Jan 2025</v>
      </c>
      <c r="C650" t="str">
        <f t="shared" si="41"/>
        <v>Q1</v>
      </c>
      <c r="D650" t="str">
        <f t="shared" si="42"/>
        <v>FY2024</v>
      </c>
    </row>
    <row r="651" spans="1:4">
      <c r="A651" s="11">
        <f t="shared" si="43"/>
        <v>45666</v>
      </c>
      <c r="B651" t="str">
        <f t="shared" si="40"/>
        <v>Jan 2025</v>
      </c>
      <c r="C651" t="str">
        <f t="shared" si="41"/>
        <v>Q1</v>
      </c>
      <c r="D651" t="str">
        <f t="shared" si="42"/>
        <v>FY2024</v>
      </c>
    </row>
    <row r="652" spans="1:4">
      <c r="A652" s="11">
        <f t="shared" si="43"/>
        <v>45667</v>
      </c>
      <c r="B652" t="str">
        <f t="shared" si="40"/>
        <v>Jan 2025</v>
      </c>
      <c r="C652" t="str">
        <f t="shared" si="41"/>
        <v>Q1</v>
      </c>
      <c r="D652" t="str">
        <f t="shared" si="42"/>
        <v>FY2024</v>
      </c>
    </row>
    <row r="653" spans="1:4">
      <c r="A653" s="11">
        <f t="shared" si="43"/>
        <v>45668</v>
      </c>
      <c r="B653" t="str">
        <f t="shared" si="40"/>
        <v>Jan 2025</v>
      </c>
      <c r="C653" t="str">
        <f t="shared" si="41"/>
        <v>Q1</v>
      </c>
      <c r="D653" t="str">
        <f t="shared" si="42"/>
        <v>FY2024</v>
      </c>
    </row>
    <row r="654" spans="1:4">
      <c r="A654" s="11">
        <f t="shared" si="43"/>
        <v>45669</v>
      </c>
      <c r="B654" t="str">
        <f t="shared" si="40"/>
        <v>Jan 2025</v>
      </c>
      <c r="C654" t="str">
        <f t="shared" si="41"/>
        <v>Q1</v>
      </c>
      <c r="D654" t="str">
        <f t="shared" si="42"/>
        <v>FY2024</v>
      </c>
    </row>
    <row r="655" spans="1:4">
      <c r="A655" s="11">
        <f t="shared" si="43"/>
        <v>45670</v>
      </c>
      <c r="B655" t="str">
        <f t="shared" si="40"/>
        <v>Jan 2025</v>
      </c>
      <c r="C655" t="str">
        <f t="shared" si="41"/>
        <v>Q1</v>
      </c>
      <c r="D655" t="str">
        <f t="shared" si="42"/>
        <v>FY2024</v>
      </c>
    </row>
    <row r="656" spans="1:4">
      <c r="A656" s="11">
        <f t="shared" si="43"/>
        <v>45671</v>
      </c>
      <c r="B656" t="str">
        <f t="shared" si="40"/>
        <v>Jan 2025</v>
      </c>
      <c r="C656" t="str">
        <f t="shared" si="41"/>
        <v>Q1</v>
      </c>
      <c r="D656" t="str">
        <f t="shared" si="42"/>
        <v>FY2024</v>
      </c>
    </row>
    <row r="657" spans="1:4">
      <c r="A657" s="11">
        <f t="shared" si="43"/>
        <v>45672</v>
      </c>
      <c r="B657" t="str">
        <f t="shared" si="40"/>
        <v>Jan 2025</v>
      </c>
      <c r="C657" t="str">
        <f t="shared" si="41"/>
        <v>Q1</v>
      </c>
      <c r="D657" t="str">
        <f t="shared" si="42"/>
        <v>FY2024</v>
      </c>
    </row>
    <row r="658" spans="1:4">
      <c r="A658" s="11">
        <f t="shared" si="43"/>
        <v>45673</v>
      </c>
      <c r="B658" t="str">
        <f t="shared" si="40"/>
        <v>Jan 2025</v>
      </c>
      <c r="C658" t="str">
        <f t="shared" si="41"/>
        <v>Q1</v>
      </c>
      <c r="D658" t="str">
        <f t="shared" si="42"/>
        <v>FY2024</v>
      </c>
    </row>
    <row r="659" spans="1:4">
      <c r="A659" s="11">
        <f t="shared" si="43"/>
        <v>45674</v>
      </c>
      <c r="B659" t="str">
        <f t="shared" si="40"/>
        <v>Jan 2025</v>
      </c>
      <c r="C659" t="str">
        <f t="shared" si="41"/>
        <v>Q1</v>
      </c>
      <c r="D659" t="str">
        <f t="shared" si="42"/>
        <v>FY2024</v>
      </c>
    </row>
    <row r="660" spans="1:4">
      <c r="A660" s="11">
        <f t="shared" si="43"/>
        <v>45675</v>
      </c>
      <c r="B660" t="str">
        <f t="shared" si="40"/>
        <v>Jan 2025</v>
      </c>
      <c r="C660" t="str">
        <f t="shared" si="41"/>
        <v>Q1</v>
      </c>
      <c r="D660" t="str">
        <f t="shared" si="42"/>
        <v>FY2024</v>
      </c>
    </row>
    <row r="661" spans="1:4">
      <c r="A661" s="11">
        <f t="shared" si="43"/>
        <v>45676</v>
      </c>
      <c r="B661" t="str">
        <f t="shared" si="40"/>
        <v>Jan 2025</v>
      </c>
      <c r="C661" t="str">
        <f t="shared" si="41"/>
        <v>Q1</v>
      </c>
      <c r="D661" t="str">
        <f t="shared" si="42"/>
        <v>FY2024</v>
      </c>
    </row>
    <row r="662" spans="1:4">
      <c r="A662" s="11">
        <f t="shared" si="43"/>
        <v>45677</v>
      </c>
      <c r="B662" t="str">
        <f t="shared" si="40"/>
        <v>Jan 2025</v>
      </c>
      <c r="C662" t="str">
        <f t="shared" si="41"/>
        <v>Q1</v>
      </c>
      <c r="D662" t="str">
        <f t="shared" si="42"/>
        <v>FY2024</v>
      </c>
    </row>
    <row r="663" spans="1:4">
      <c r="A663" s="11">
        <f t="shared" si="43"/>
        <v>45678</v>
      </c>
      <c r="B663" t="str">
        <f t="shared" si="40"/>
        <v>Jan 2025</v>
      </c>
      <c r="C663" t="str">
        <f t="shared" si="41"/>
        <v>Q1</v>
      </c>
      <c r="D663" t="str">
        <f t="shared" si="42"/>
        <v>FY2024</v>
      </c>
    </row>
    <row r="664" spans="1:4">
      <c r="A664" s="11">
        <f t="shared" si="43"/>
        <v>45679</v>
      </c>
      <c r="B664" t="str">
        <f t="shared" si="40"/>
        <v>Jan 2025</v>
      </c>
      <c r="C664" t="str">
        <f t="shared" si="41"/>
        <v>Q1</v>
      </c>
      <c r="D664" t="str">
        <f t="shared" si="42"/>
        <v>FY2024</v>
      </c>
    </row>
    <row r="665" spans="1:4">
      <c r="A665" s="11">
        <f t="shared" si="43"/>
        <v>45680</v>
      </c>
      <c r="B665" t="str">
        <f t="shared" si="40"/>
        <v>Jan 2025</v>
      </c>
      <c r="C665" t="str">
        <f t="shared" si="41"/>
        <v>Q1</v>
      </c>
      <c r="D665" t="str">
        <f t="shared" si="42"/>
        <v>FY2024</v>
      </c>
    </row>
    <row r="666" spans="1:4">
      <c r="A666" s="11">
        <f t="shared" si="43"/>
        <v>45681</v>
      </c>
      <c r="B666" t="str">
        <f t="shared" si="40"/>
        <v>Jan 2025</v>
      </c>
      <c r="C666" t="str">
        <f t="shared" si="41"/>
        <v>Q1</v>
      </c>
      <c r="D666" t="str">
        <f t="shared" si="42"/>
        <v>FY2024</v>
      </c>
    </row>
    <row r="667" spans="1:4">
      <c r="A667" s="11">
        <f t="shared" si="43"/>
        <v>45682</v>
      </c>
      <c r="B667" t="str">
        <f t="shared" si="40"/>
        <v>Jan 2025</v>
      </c>
      <c r="C667" t="str">
        <f t="shared" si="41"/>
        <v>Q1</v>
      </c>
      <c r="D667" t="str">
        <f t="shared" si="42"/>
        <v>FY2024</v>
      </c>
    </row>
    <row r="668" spans="1:4">
      <c r="A668" s="11">
        <f t="shared" si="43"/>
        <v>45683</v>
      </c>
      <c r="B668" t="str">
        <f t="shared" si="40"/>
        <v>Jan 2025</v>
      </c>
      <c r="C668" t="str">
        <f t="shared" si="41"/>
        <v>Q1</v>
      </c>
      <c r="D668" t="str">
        <f t="shared" si="42"/>
        <v>FY2024</v>
      </c>
    </row>
    <row r="669" spans="1:4">
      <c r="A669" s="11">
        <f t="shared" si="43"/>
        <v>45684</v>
      </c>
      <c r="B669" t="str">
        <f t="shared" si="40"/>
        <v>Jan 2025</v>
      </c>
      <c r="C669" t="str">
        <f t="shared" si="41"/>
        <v>Q1</v>
      </c>
      <c r="D669" t="str">
        <f t="shared" si="42"/>
        <v>FY2024</v>
      </c>
    </row>
    <row r="670" spans="1:4">
      <c r="A670" s="11">
        <f t="shared" si="43"/>
        <v>45685</v>
      </c>
      <c r="B670" t="str">
        <f t="shared" si="40"/>
        <v>Jan 2025</v>
      </c>
      <c r="C670" t="str">
        <f t="shared" si="41"/>
        <v>Q1</v>
      </c>
      <c r="D670" t="str">
        <f t="shared" si="42"/>
        <v>FY2024</v>
      </c>
    </row>
    <row r="671" spans="1:4">
      <c r="A671" s="11">
        <f t="shared" si="43"/>
        <v>45686</v>
      </c>
      <c r="B671" t="str">
        <f t="shared" si="40"/>
        <v>Jan 2025</v>
      </c>
      <c r="C671" t="str">
        <f t="shared" si="41"/>
        <v>Q1</v>
      </c>
      <c r="D671" t="str">
        <f t="shared" si="42"/>
        <v>FY2024</v>
      </c>
    </row>
    <row r="672" spans="1:4">
      <c r="A672" s="11">
        <f t="shared" si="43"/>
        <v>45687</v>
      </c>
      <c r="B672" t="str">
        <f t="shared" si="40"/>
        <v>Jan 2025</v>
      </c>
      <c r="C672" t="str">
        <f t="shared" si="41"/>
        <v>Q1</v>
      </c>
      <c r="D672" t="str">
        <f t="shared" si="42"/>
        <v>FY2024</v>
      </c>
    </row>
    <row r="673" spans="1:4">
      <c r="A673" s="11">
        <f t="shared" si="43"/>
        <v>45688</v>
      </c>
      <c r="B673" t="str">
        <f t="shared" si="40"/>
        <v>Jan 2025</v>
      </c>
      <c r="C673" t="str">
        <f t="shared" si="41"/>
        <v>Q1</v>
      </c>
      <c r="D673" t="str">
        <f t="shared" si="42"/>
        <v>FY2024</v>
      </c>
    </row>
    <row r="674" spans="1:4">
      <c r="A674" s="11">
        <f t="shared" si="43"/>
        <v>45689</v>
      </c>
      <c r="B674" t="str">
        <f t="shared" si="40"/>
        <v>Feb 2025</v>
      </c>
      <c r="C674" t="str">
        <f t="shared" si="41"/>
        <v>Q1</v>
      </c>
      <c r="D674" t="str">
        <f t="shared" si="42"/>
        <v>FY2024</v>
      </c>
    </row>
    <row r="675" spans="1:4">
      <c r="A675" s="11">
        <f t="shared" si="43"/>
        <v>45690</v>
      </c>
      <c r="B675" t="str">
        <f t="shared" si="40"/>
        <v>Feb 2025</v>
      </c>
      <c r="C675" t="str">
        <f t="shared" si="41"/>
        <v>Q1</v>
      </c>
      <c r="D675" t="str">
        <f t="shared" si="42"/>
        <v>FY2024</v>
      </c>
    </row>
    <row r="676" spans="1:4">
      <c r="A676" s="11">
        <f t="shared" si="43"/>
        <v>45691</v>
      </c>
      <c r="B676" t="str">
        <f t="shared" si="40"/>
        <v>Feb 2025</v>
      </c>
      <c r="C676" t="str">
        <f t="shared" si="41"/>
        <v>Q1</v>
      </c>
      <c r="D676" t="str">
        <f t="shared" si="42"/>
        <v>FY2024</v>
      </c>
    </row>
    <row r="677" spans="1:4">
      <c r="A677" s="11">
        <f t="shared" si="43"/>
        <v>45692</v>
      </c>
      <c r="B677" t="str">
        <f t="shared" si="40"/>
        <v>Feb 2025</v>
      </c>
      <c r="C677" t="str">
        <f t="shared" si="41"/>
        <v>Q1</v>
      </c>
      <c r="D677" t="str">
        <f t="shared" si="42"/>
        <v>FY2024</v>
      </c>
    </row>
    <row r="678" spans="1:4">
      <c r="A678" s="11">
        <f t="shared" si="43"/>
        <v>45693</v>
      </c>
      <c r="B678" t="str">
        <f t="shared" si="40"/>
        <v>Feb 2025</v>
      </c>
      <c r="C678" t="str">
        <f t="shared" si="41"/>
        <v>Q1</v>
      </c>
      <c r="D678" t="str">
        <f t="shared" si="42"/>
        <v>FY2024</v>
      </c>
    </row>
    <row r="679" spans="1:4">
      <c r="A679" s="11">
        <f t="shared" si="43"/>
        <v>45694</v>
      </c>
      <c r="B679" t="str">
        <f t="shared" si="40"/>
        <v>Feb 2025</v>
      </c>
      <c r="C679" t="str">
        <f t="shared" si="41"/>
        <v>Q1</v>
      </c>
      <c r="D679" t="str">
        <f t="shared" si="42"/>
        <v>FY2024</v>
      </c>
    </row>
    <row r="680" spans="1:4">
      <c r="A680" s="11">
        <f t="shared" si="43"/>
        <v>45695</v>
      </c>
      <c r="B680" t="str">
        <f t="shared" si="40"/>
        <v>Feb 2025</v>
      </c>
      <c r="C680" t="str">
        <f t="shared" si="41"/>
        <v>Q1</v>
      </c>
      <c r="D680" t="str">
        <f t="shared" si="42"/>
        <v>FY2024</v>
      </c>
    </row>
    <row r="681" spans="1:4">
      <c r="A681" s="11">
        <f t="shared" si="43"/>
        <v>45696</v>
      </c>
      <c r="B681" t="str">
        <f t="shared" si="40"/>
        <v>Feb 2025</v>
      </c>
      <c r="C681" t="str">
        <f t="shared" si="41"/>
        <v>Q1</v>
      </c>
      <c r="D681" t="str">
        <f t="shared" si="42"/>
        <v>FY2024</v>
      </c>
    </row>
    <row r="682" spans="1:4">
      <c r="A682" s="11">
        <f t="shared" si="43"/>
        <v>45697</v>
      </c>
      <c r="B682" t="str">
        <f t="shared" si="40"/>
        <v>Feb 2025</v>
      </c>
      <c r="C682" t="str">
        <f t="shared" si="41"/>
        <v>Q1</v>
      </c>
      <c r="D682" t="str">
        <f t="shared" si="42"/>
        <v>FY2024</v>
      </c>
    </row>
    <row r="683" spans="1:4">
      <c r="A683" s="11">
        <f t="shared" si="43"/>
        <v>45698</v>
      </c>
      <c r="B683" t="str">
        <f t="shared" si="40"/>
        <v>Feb 2025</v>
      </c>
      <c r="C683" t="str">
        <f t="shared" si="41"/>
        <v>Q1</v>
      </c>
      <c r="D683" t="str">
        <f t="shared" si="42"/>
        <v>FY2024</v>
      </c>
    </row>
    <row r="684" spans="1:4">
      <c r="A684" s="11">
        <f t="shared" si="43"/>
        <v>45699</v>
      </c>
      <c r="B684" t="str">
        <f t="shared" si="40"/>
        <v>Feb 2025</v>
      </c>
      <c r="C684" t="str">
        <f t="shared" si="41"/>
        <v>Q1</v>
      </c>
      <c r="D684" t="str">
        <f t="shared" si="42"/>
        <v>FY2024</v>
      </c>
    </row>
    <row r="685" spans="1:4">
      <c r="A685" s="11">
        <f t="shared" si="43"/>
        <v>45700</v>
      </c>
      <c r="B685" t="str">
        <f t="shared" si="40"/>
        <v>Feb 2025</v>
      </c>
      <c r="C685" t="str">
        <f t="shared" si="41"/>
        <v>Q1</v>
      </c>
      <c r="D685" t="str">
        <f t="shared" si="42"/>
        <v>FY2024</v>
      </c>
    </row>
    <row r="686" spans="1:4">
      <c r="A686" s="11">
        <f t="shared" si="43"/>
        <v>45701</v>
      </c>
      <c r="B686" t="str">
        <f t="shared" si="40"/>
        <v>Feb 2025</v>
      </c>
      <c r="C686" t="str">
        <f t="shared" si="41"/>
        <v>Q1</v>
      </c>
      <c r="D686" t="str">
        <f t="shared" si="42"/>
        <v>FY2024</v>
      </c>
    </row>
    <row r="687" spans="1:4">
      <c r="A687" s="11">
        <f t="shared" si="43"/>
        <v>45702</v>
      </c>
      <c r="B687" t="str">
        <f t="shared" si="40"/>
        <v>Feb 2025</v>
      </c>
      <c r="C687" t="str">
        <f t="shared" si="41"/>
        <v>Q1</v>
      </c>
      <c r="D687" t="str">
        <f t="shared" si="42"/>
        <v>FY2024</v>
      </c>
    </row>
    <row r="688" spans="1:4">
      <c r="A688" s="11">
        <f t="shared" si="43"/>
        <v>45703</v>
      </c>
      <c r="B688" t="str">
        <f t="shared" si="40"/>
        <v>Feb 2025</v>
      </c>
      <c r="C688" t="str">
        <f t="shared" si="41"/>
        <v>Q1</v>
      </c>
      <c r="D688" t="str">
        <f t="shared" si="42"/>
        <v>FY2024</v>
      </c>
    </row>
    <row r="689" spans="1:4">
      <c r="A689" s="11">
        <f t="shared" si="43"/>
        <v>45704</v>
      </c>
      <c r="B689" t="str">
        <f t="shared" si="40"/>
        <v>Feb 2025</v>
      </c>
      <c r="C689" t="str">
        <f t="shared" si="41"/>
        <v>Q1</v>
      </c>
      <c r="D689" t="str">
        <f t="shared" si="42"/>
        <v>FY2024</v>
      </c>
    </row>
    <row r="690" spans="1:4">
      <c r="A690" s="11">
        <f t="shared" si="43"/>
        <v>45705</v>
      </c>
      <c r="B690" t="str">
        <f t="shared" si="40"/>
        <v>Feb 2025</v>
      </c>
      <c r="C690" t="str">
        <f t="shared" si="41"/>
        <v>Q1</v>
      </c>
      <c r="D690" t="str">
        <f t="shared" si="42"/>
        <v>FY2024</v>
      </c>
    </row>
    <row r="691" spans="1:4">
      <c r="A691" s="11">
        <f t="shared" si="43"/>
        <v>45706</v>
      </c>
      <c r="B691" t="str">
        <f t="shared" si="40"/>
        <v>Feb 2025</v>
      </c>
      <c r="C691" t="str">
        <f t="shared" si="41"/>
        <v>Q1</v>
      </c>
      <c r="D691" t="str">
        <f t="shared" si="42"/>
        <v>FY2024</v>
      </c>
    </row>
    <row r="692" spans="1:4">
      <c r="A692" s="11">
        <f t="shared" si="43"/>
        <v>45707</v>
      </c>
      <c r="B692" t="str">
        <f t="shared" si="40"/>
        <v>Feb 2025</v>
      </c>
      <c r="C692" t="str">
        <f t="shared" si="41"/>
        <v>Q1</v>
      </c>
      <c r="D692" t="str">
        <f t="shared" si="42"/>
        <v>FY2024</v>
      </c>
    </row>
    <row r="693" spans="1:4">
      <c r="A693" s="11">
        <f t="shared" si="43"/>
        <v>45708</v>
      </c>
      <c r="B693" t="str">
        <f t="shared" si="40"/>
        <v>Feb 2025</v>
      </c>
      <c r="C693" t="str">
        <f t="shared" si="41"/>
        <v>Q1</v>
      </c>
      <c r="D693" t="str">
        <f t="shared" si="42"/>
        <v>FY2024</v>
      </c>
    </row>
    <row r="694" spans="1:4">
      <c r="A694" s="11">
        <f t="shared" si="43"/>
        <v>45709</v>
      </c>
      <c r="B694" t="str">
        <f t="shared" si="40"/>
        <v>Feb 2025</v>
      </c>
      <c r="C694" t="str">
        <f t="shared" si="41"/>
        <v>Q1</v>
      </c>
      <c r="D694" t="str">
        <f t="shared" si="42"/>
        <v>FY2024</v>
      </c>
    </row>
    <row r="695" spans="1:4">
      <c r="A695" s="11">
        <f t="shared" si="43"/>
        <v>45710</v>
      </c>
      <c r="B695" t="str">
        <f t="shared" si="40"/>
        <v>Feb 2025</v>
      </c>
      <c r="C695" t="str">
        <f t="shared" si="41"/>
        <v>Q1</v>
      </c>
      <c r="D695" t="str">
        <f t="shared" si="42"/>
        <v>FY2024</v>
      </c>
    </row>
    <row r="696" spans="1:4">
      <c r="A696" s="11">
        <f t="shared" si="43"/>
        <v>45711</v>
      </c>
      <c r="B696" t="str">
        <f t="shared" si="40"/>
        <v>Feb 2025</v>
      </c>
      <c r="C696" t="str">
        <f t="shared" si="41"/>
        <v>Q1</v>
      </c>
      <c r="D696" t="str">
        <f t="shared" si="42"/>
        <v>FY2024</v>
      </c>
    </row>
    <row r="697" spans="1:4">
      <c r="A697" s="11">
        <f t="shared" si="43"/>
        <v>45712</v>
      </c>
      <c r="B697" t="str">
        <f t="shared" si="40"/>
        <v>Feb 2025</v>
      </c>
      <c r="C697" t="str">
        <f t="shared" si="41"/>
        <v>Q1</v>
      </c>
      <c r="D697" t="str">
        <f t="shared" si="42"/>
        <v>FY2024</v>
      </c>
    </row>
    <row r="698" spans="1:4">
      <c r="A698" s="11">
        <f t="shared" si="43"/>
        <v>45713</v>
      </c>
      <c r="B698" t="str">
        <f t="shared" si="40"/>
        <v>Feb 2025</v>
      </c>
      <c r="C698" t="str">
        <f t="shared" si="41"/>
        <v>Q1</v>
      </c>
      <c r="D698" t="str">
        <f t="shared" si="42"/>
        <v>FY2024</v>
      </c>
    </row>
    <row r="699" spans="1:4">
      <c r="A699" s="11">
        <f t="shared" si="43"/>
        <v>45714</v>
      </c>
      <c r="B699" t="str">
        <f t="shared" si="40"/>
        <v>Feb 2025</v>
      </c>
      <c r="C699" t="str">
        <f t="shared" si="41"/>
        <v>Q1</v>
      </c>
      <c r="D699" t="str">
        <f t="shared" si="42"/>
        <v>FY2024</v>
      </c>
    </row>
    <row r="700" spans="1:4">
      <c r="A700" s="11">
        <f t="shared" si="43"/>
        <v>45715</v>
      </c>
      <c r="B700" t="str">
        <f t="shared" si="40"/>
        <v>Feb 2025</v>
      </c>
      <c r="C700" t="str">
        <f t="shared" si="41"/>
        <v>Q1</v>
      </c>
      <c r="D700" t="str">
        <f t="shared" si="42"/>
        <v>FY2024</v>
      </c>
    </row>
    <row r="701" spans="1:4">
      <c r="A701" s="11">
        <f t="shared" si="43"/>
        <v>45716</v>
      </c>
      <c r="B701" t="str">
        <f t="shared" si="40"/>
        <v>Feb 2025</v>
      </c>
      <c r="C701" t="str">
        <f t="shared" si="41"/>
        <v>Q1</v>
      </c>
      <c r="D701" t="str">
        <f t="shared" si="42"/>
        <v>FY2024</v>
      </c>
    </row>
    <row r="702" spans="1:4">
      <c r="A702" s="11">
        <f t="shared" si="43"/>
        <v>45717</v>
      </c>
      <c r="B702" t="str">
        <f t="shared" si="40"/>
        <v>Mar 2025</v>
      </c>
      <c r="C702" t="str">
        <f t="shared" si="41"/>
        <v>Q1</v>
      </c>
      <c r="D702" t="str">
        <f t="shared" si="42"/>
        <v>FY2024</v>
      </c>
    </row>
    <row r="703" spans="1:4">
      <c r="A703" s="11">
        <f t="shared" si="43"/>
        <v>45718</v>
      </c>
      <c r="B703" t="str">
        <f t="shared" si="40"/>
        <v>Mar 2025</v>
      </c>
      <c r="C703" t="str">
        <f t="shared" si="41"/>
        <v>Q1</v>
      </c>
      <c r="D703" t="str">
        <f t="shared" si="42"/>
        <v>FY2024</v>
      </c>
    </row>
    <row r="704" spans="1:4">
      <c r="A704" s="11">
        <f t="shared" si="43"/>
        <v>45719</v>
      </c>
      <c r="B704" t="str">
        <f t="shared" si="40"/>
        <v>Mar 2025</v>
      </c>
      <c r="C704" t="str">
        <f t="shared" si="41"/>
        <v>Q1</v>
      </c>
      <c r="D704" t="str">
        <f t="shared" si="42"/>
        <v>FY2024</v>
      </c>
    </row>
    <row r="705" spans="1:4">
      <c r="A705" s="11">
        <f t="shared" si="43"/>
        <v>45720</v>
      </c>
      <c r="B705" t="str">
        <f t="shared" si="40"/>
        <v>Mar 2025</v>
      </c>
      <c r="C705" t="str">
        <f t="shared" si="41"/>
        <v>Q1</v>
      </c>
      <c r="D705" t="str">
        <f t="shared" si="42"/>
        <v>FY2024</v>
      </c>
    </row>
    <row r="706" spans="1:4">
      <c r="A706" s="11">
        <f t="shared" si="43"/>
        <v>45721</v>
      </c>
      <c r="B706" t="str">
        <f t="shared" si="40"/>
        <v>Mar 2025</v>
      </c>
      <c r="C706" t="str">
        <f t="shared" si="41"/>
        <v>Q1</v>
      </c>
      <c r="D706" t="str">
        <f t="shared" si="42"/>
        <v>FY2024</v>
      </c>
    </row>
    <row r="707" spans="1:4">
      <c r="A707" s="11">
        <f t="shared" si="43"/>
        <v>45722</v>
      </c>
      <c r="B707" t="str">
        <f t="shared" ref="B707:B770" si="44">TEXT(A707, "MMM_YYYY")</f>
        <v>Mar 2025</v>
      </c>
      <c r="C707" t="str">
        <f t="shared" ref="C707:C770" si="45">"Q" &amp; INT((MONTH(A707)-1)/3)+1</f>
        <v>Q1</v>
      </c>
      <c r="D707" t="str">
        <f t="shared" ref="D707:D770" si="46">"FY" &amp; IF(MONTH(A707)&gt;=4, YEAR(A707), YEAR(A707)-1)</f>
        <v>FY2024</v>
      </c>
    </row>
    <row r="708" spans="1:4">
      <c r="A708" s="11">
        <f t="shared" ref="A708:A771" si="47">A707+1</f>
        <v>45723</v>
      </c>
      <c r="B708" t="str">
        <f t="shared" si="44"/>
        <v>Mar 2025</v>
      </c>
      <c r="C708" t="str">
        <f t="shared" si="45"/>
        <v>Q1</v>
      </c>
      <c r="D708" t="str">
        <f t="shared" si="46"/>
        <v>FY2024</v>
      </c>
    </row>
    <row r="709" spans="1:4">
      <c r="A709" s="11">
        <f t="shared" si="47"/>
        <v>45724</v>
      </c>
      <c r="B709" t="str">
        <f t="shared" si="44"/>
        <v>Mar 2025</v>
      </c>
      <c r="C709" t="str">
        <f t="shared" si="45"/>
        <v>Q1</v>
      </c>
      <c r="D709" t="str">
        <f t="shared" si="46"/>
        <v>FY2024</v>
      </c>
    </row>
    <row r="710" spans="1:4">
      <c r="A710" s="11">
        <f t="shared" si="47"/>
        <v>45725</v>
      </c>
      <c r="B710" t="str">
        <f t="shared" si="44"/>
        <v>Mar 2025</v>
      </c>
      <c r="C710" t="str">
        <f t="shared" si="45"/>
        <v>Q1</v>
      </c>
      <c r="D710" t="str">
        <f t="shared" si="46"/>
        <v>FY2024</v>
      </c>
    </row>
    <row r="711" spans="1:4">
      <c r="A711" s="11">
        <f t="shared" si="47"/>
        <v>45726</v>
      </c>
      <c r="B711" t="str">
        <f t="shared" si="44"/>
        <v>Mar 2025</v>
      </c>
      <c r="C711" t="str">
        <f t="shared" si="45"/>
        <v>Q1</v>
      </c>
      <c r="D711" t="str">
        <f t="shared" si="46"/>
        <v>FY2024</v>
      </c>
    </row>
    <row r="712" spans="1:4">
      <c r="A712" s="11">
        <f t="shared" si="47"/>
        <v>45727</v>
      </c>
      <c r="B712" t="str">
        <f t="shared" si="44"/>
        <v>Mar 2025</v>
      </c>
      <c r="C712" t="str">
        <f t="shared" si="45"/>
        <v>Q1</v>
      </c>
      <c r="D712" t="str">
        <f t="shared" si="46"/>
        <v>FY2024</v>
      </c>
    </row>
    <row r="713" spans="1:4">
      <c r="A713" s="11">
        <f t="shared" si="47"/>
        <v>45728</v>
      </c>
      <c r="B713" t="str">
        <f t="shared" si="44"/>
        <v>Mar 2025</v>
      </c>
      <c r="C713" t="str">
        <f t="shared" si="45"/>
        <v>Q1</v>
      </c>
      <c r="D713" t="str">
        <f t="shared" si="46"/>
        <v>FY2024</v>
      </c>
    </row>
    <row r="714" spans="1:4">
      <c r="A714" s="11">
        <f t="shared" si="47"/>
        <v>45729</v>
      </c>
      <c r="B714" t="str">
        <f t="shared" si="44"/>
        <v>Mar 2025</v>
      </c>
      <c r="C714" t="str">
        <f t="shared" si="45"/>
        <v>Q1</v>
      </c>
      <c r="D714" t="str">
        <f t="shared" si="46"/>
        <v>FY2024</v>
      </c>
    </row>
    <row r="715" spans="1:4">
      <c r="A715" s="11">
        <f t="shared" si="47"/>
        <v>45730</v>
      </c>
      <c r="B715" t="str">
        <f t="shared" si="44"/>
        <v>Mar 2025</v>
      </c>
      <c r="C715" t="str">
        <f t="shared" si="45"/>
        <v>Q1</v>
      </c>
      <c r="D715" t="str">
        <f t="shared" si="46"/>
        <v>FY2024</v>
      </c>
    </row>
    <row r="716" spans="1:4">
      <c r="A716" s="11">
        <f t="shared" si="47"/>
        <v>45731</v>
      </c>
      <c r="B716" t="str">
        <f t="shared" si="44"/>
        <v>Mar 2025</v>
      </c>
      <c r="C716" t="str">
        <f t="shared" si="45"/>
        <v>Q1</v>
      </c>
      <c r="D716" t="str">
        <f t="shared" si="46"/>
        <v>FY2024</v>
      </c>
    </row>
    <row r="717" spans="1:4">
      <c r="A717" s="11">
        <f t="shared" si="47"/>
        <v>45732</v>
      </c>
      <c r="B717" t="str">
        <f t="shared" si="44"/>
        <v>Mar 2025</v>
      </c>
      <c r="C717" t="str">
        <f t="shared" si="45"/>
        <v>Q1</v>
      </c>
      <c r="D717" t="str">
        <f t="shared" si="46"/>
        <v>FY2024</v>
      </c>
    </row>
    <row r="718" spans="1:4">
      <c r="A718" s="11">
        <f t="shared" si="47"/>
        <v>45733</v>
      </c>
      <c r="B718" t="str">
        <f t="shared" si="44"/>
        <v>Mar 2025</v>
      </c>
      <c r="C718" t="str">
        <f t="shared" si="45"/>
        <v>Q1</v>
      </c>
      <c r="D718" t="str">
        <f t="shared" si="46"/>
        <v>FY2024</v>
      </c>
    </row>
    <row r="719" spans="1:4">
      <c r="A719" s="11">
        <f t="shared" si="47"/>
        <v>45734</v>
      </c>
      <c r="B719" t="str">
        <f t="shared" si="44"/>
        <v>Mar 2025</v>
      </c>
      <c r="C719" t="str">
        <f t="shared" si="45"/>
        <v>Q1</v>
      </c>
      <c r="D719" t="str">
        <f t="shared" si="46"/>
        <v>FY2024</v>
      </c>
    </row>
    <row r="720" spans="1:4">
      <c r="A720" s="11">
        <f t="shared" si="47"/>
        <v>45735</v>
      </c>
      <c r="B720" t="str">
        <f t="shared" si="44"/>
        <v>Mar 2025</v>
      </c>
      <c r="C720" t="str">
        <f t="shared" si="45"/>
        <v>Q1</v>
      </c>
      <c r="D720" t="str">
        <f t="shared" si="46"/>
        <v>FY2024</v>
      </c>
    </row>
    <row r="721" spans="1:4">
      <c r="A721" s="11">
        <f t="shared" si="47"/>
        <v>45736</v>
      </c>
      <c r="B721" t="str">
        <f t="shared" si="44"/>
        <v>Mar 2025</v>
      </c>
      <c r="C721" t="str">
        <f t="shared" si="45"/>
        <v>Q1</v>
      </c>
      <c r="D721" t="str">
        <f t="shared" si="46"/>
        <v>FY2024</v>
      </c>
    </row>
    <row r="722" spans="1:4">
      <c r="A722" s="11">
        <f t="shared" si="47"/>
        <v>45737</v>
      </c>
      <c r="B722" t="str">
        <f t="shared" si="44"/>
        <v>Mar 2025</v>
      </c>
      <c r="C722" t="str">
        <f t="shared" si="45"/>
        <v>Q1</v>
      </c>
      <c r="D722" t="str">
        <f t="shared" si="46"/>
        <v>FY2024</v>
      </c>
    </row>
    <row r="723" spans="1:4">
      <c r="A723" s="11">
        <f t="shared" si="47"/>
        <v>45738</v>
      </c>
      <c r="B723" t="str">
        <f t="shared" si="44"/>
        <v>Mar 2025</v>
      </c>
      <c r="C723" t="str">
        <f t="shared" si="45"/>
        <v>Q1</v>
      </c>
      <c r="D723" t="str">
        <f t="shared" si="46"/>
        <v>FY2024</v>
      </c>
    </row>
    <row r="724" spans="1:4">
      <c r="A724" s="11">
        <f t="shared" si="47"/>
        <v>45739</v>
      </c>
      <c r="B724" t="str">
        <f t="shared" si="44"/>
        <v>Mar 2025</v>
      </c>
      <c r="C724" t="str">
        <f t="shared" si="45"/>
        <v>Q1</v>
      </c>
      <c r="D724" t="str">
        <f t="shared" si="46"/>
        <v>FY2024</v>
      </c>
    </row>
    <row r="725" spans="1:4">
      <c r="A725" s="11">
        <f t="shared" si="47"/>
        <v>45740</v>
      </c>
      <c r="B725" t="str">
        <f t="shared" si="44"/>
        <v>Mar 2025</v>
      </c>
      <c r="C725" t="str">
        <f t="shared" si="45"/>
        <v>Q1</v>
      </c>
      <c r="D725" t="str">
        <f t="shared" si="46"/>
        <v>FY2024</v>
      </c>
    </row>
    <row r="726" spans="1:4">
      <c r="A726" s="11">
        <f t="shared" si="47"/>
        <v>45741</v>
      </c>
      <c r="B726" t="str">
        <f t="shared" si="44"/>
        <v>Mar 2025</v>
      </c>
      <c r="C726" t="str">
        <f t="shared" si="45"/>
        <v>Q1</v>
      </c>
      <c r="D726" t="str">
        <f t="shared" si="46"/>
        <v>FY2024</v>
      </c>
    </row>
    <row r="727" spans="1:4">
      <c r="A727" s="11">
        <f t="shared" si="47"/>
        <v>45742</v>
      </c>
      <c r="B727" t="str">
        <f t="shared" si="44"/>
        <v>Mar 2025</v>
      </c>
      <c r="C727" t="str">
        <f t="shared" si="45"/>
        <v>Q1</v>
      </c>
      <c r="D727" t="str">
        <f t="shared" si="46"/>
        <v>FY2024</v>
      </c>
    </row>
    <row r="728" spans="1:4">
      <c r="A728" s="11">
        <f t="shared" si="47"/>
        <v>45743</v>
      </c>
      <c r="B728" t="str">
        <f t="shared" si="44"/>
        <v>Mar 2025</v>
      </c>
      <c r="C728" t="str">
        <f t="shared" si="45"/>
        <v>Q1</v>
      </c>
      <c r="D728" t="str">
        <f t="shared" si="46"/>
        <v>FY2024</v>
      </c>
    </row>
    <row r="729" spans="1:4">
      <c r="A729" s="11">
        <f t="shared" si="47"/>
        <v>45744</v>
      </c>
      <c r="B729" t="str">
        <f t="shared" si="44"/>
        <v>Mar 2025</v>
      </c>
      <c r="C729" t="str">
        <f t="shared" si="45"/>
        <v>Q1</v>
      </c>
      <c r="D729" t="str">
        <f t="shared" si="46"/>
        <v>FY2024</v>
      </c>
    </row>
    <row r="730" spans="1:4">
      <c r="A730" s="11">
        <f t="shared" si="47"/>
        <v>45745</v>
      </c>
      <c r="B730" t="str">
        <f t="shared" si="44"/>
        <v>Mar 2025</v>
      </c>
      <c r="C730" t="str">
        <f t="shared" si="45"/>
        <v>Q1</v>
      </c>
      <c r="D730" t="str">
        <f t="shared" si="46"/>
        <v>FY2024</v>
      </c>
    </row>
    <row r="731" spans="1:4">
      <c r="A731" s="11">
        <f t="shared" si="47"/>
        <v>45746</v>
      </c>
      <c r="B731" t="str">
        <f t="shared" si="44"/>
        <v>Mar 2025</v>
      </c>
      <c r="C731" t="str">
        <f t="shared" si="45"/>
        <v>Q1</v>
      </c>
      <c r="D731" t="str">
        <f t="shared" si="46"/>
        <v>FY2024</v>
      </c>
    </row>
    <row r="732" spans="1:4">
      <c r="A732" s="11">
        <f t="shared" si="47"/>
        <v>45747</v>
      </c>
      <c r="B732" t="str">
        <f t="shared" si="44"/>
        <v>Mar 2025</v>
      </c>
      <c r="C732" t="str">
        <f t="shared" si="45"/>
        <v>Q1</v>
      </c>
      <c r="D732" t="str">
        <f t="shared" si="46"/>
        <v>FY2024</v>
      </c>
    </row>
    <row r="733" spans="1:4">
      <c r="A733" s="11">
        <f t="shared" si="47"/>
        <v>45748</v>
      </c>
      <c r="B733" t="str">
        <f t="shared" si="44"/>
        <v>Apr 2025</v>
      </c>
      <c r="C733" t="str">
        <f t="shared" si="45"/>
        <v>Q2</v>
      </c>
      <c r="D733" t="str">
        <f t="shared" si="46"/>
        <v>FY2025</v>
      </c>
    </row>
    <row r="734" spans="1:4">
      <c r="A734" s="11">
        <f t="shared" si="47"/>
        <v>45749</v>
      </c>
      <c r="B734" t="str">
        <f t="shared" si="44"/>
        <v>Apr 2025</v>
      </c>
      <c r="C734" t="str">
        <f t="shared" si="45"/>
        <v>Q2</v>
      </c>
      <c r="D734" t="str">
        <f t="shared" si="46"/>
        <v>FY2025</v>
      </c>
    </row>
    <row r="735" spans="1:4">
      <c r="A735" s="11">
        <f t="shared" si="47"/>
        <v>45750</v>
      </c>
      <c r="B735" t="str">
        <f t="shared" si="44"/>
        <v>Apr 2025</v>
      </c>
      <c r="C735" t="str">
        <f t="shared" si="45"/>
        <v>Q2</v>
      </c>
      <c r="D735" t="str">
        <f t="shared" si="46"/>
        <v>FY2025</v>
      </c>
    </row>
    <row r="736" spans="1:4">
      <c r="A736" s="11">
        <f t="shared" si="47"/>
        <v>45751</v>
      </c>
      <c r="B736" t="str">
        <f t="shared" si="44"/>
        <v>Apr 2025</v>
      </c>
      <c r="C736" t="str">
        <f t="shared" si="45"/>
        <v>Q2</v>
      </c>
      <c r="D736" t="str">
        <f t="shared" si="46"/>
        <v>FY2025</v>
      </c>
    </row>
    <row r="737" spans="1:4">
      <c r="A737" s="11">
        <f t="shared" si="47"/>
        <v>45752</v>
      </c>
      <c r="B737" t="str">
        <f t="shared" si="44"/>
        <v>Apr 2025</v>
      </c>
      <c r="C737" t="str">
        <f t="shared" si="45"/>
        <v>Q2</v>
      </c>
      <c r="D737" t="str">
        <f t="shared" si="46"/>
        <v>FY2025</v>
      </c>
    </row>
    <row r="738" spans="1:4">
      <c r="A738" s="11">
        <f t="shared" si="47"/>
        <v>45753</v>
      </c>
      <c r="B738" t="str">
        <f t="shared" si="44"/>
        <v>Apr 2025</v>
      </c>
      <c r="C738" t="str">
        <f t="shared" si="45"/>
        <v>Q2</v>
      </c>
      <c r="D738" t="str">
        <f t="shared" si="46"/>
        <v>FY2025</v>
      </c>
    </row>
    <row r="739" spans="1:4">
      <c r="A739" s="11">
        <f t="shared" si="47"/>
        <v>45754</v>
      </c>
      <c r="B739" t="str">
        <f t="shared" si="44"/>
        <v>Apr 2025</v>
      </c>
      <c r="C739" t="str">
        <f t="shared" si="45"/>
        <v>Q2</v>
      </c>
      <c r="D739" t="str">
        <f t="shared" si="46"/>
        <v>FY2025</v>
      </c>
    </row>
    <row r="740" spans="1:4">
      <c r="A740" s="11">
        <f t="shared" si="47"/>
        <v>45755</v>
      </c>
      <c r="B740" t="str">
        <f t="shared" si="44"/>
        <v>Apr 2025</v>
      </c>
      <c r="C740" t="str">
        <f t="shared" si="45"/>
        <v>Q2</v>
      </c>
      <c r="D740" t="str">
        <f t="shared" si="46"/>
        <v>FY2025</v>
      </c>
    </row>
    <row r="741" spans="1:4">
      <c r="A741" s="11">
        <f t="shared" si="47"/>
        <v>45756</v>
      </c>
      <c r="B741" t="str">
        <f t="shared" si="44"/>
        <v>Apr 2025</v>
      </c>
      <c r="C741" t="str">
        <f t="shared" si="45"/>
        <v>Q2</v>
      </c>
      <c r="D741" t="str">
        <f t="shared" si="46"/>
        <v>FY2025</v>
      </c>
    </row>
    <row r="742" spans="1:4">
      <c r="A742" s="11">
        <f t="shared" si="47"/>
        <v>45757</v>
      </c>
      <c r="B742" t="str">
        <f t="shared" si="44"/>
        <v>Apr 2025</v>
      </c>
      <c r="C742" t="str">
        <f t="shared" si="45"/>
        <v>Q2</v>
      </c>
      <c r="D742" t="str">
        <f t="shared" si="46"/>
        <v>FY2025</v>
      </c>
    </row>
    <row r="743" spans="1:4">
      <c r="A743" s="11">
        <f t="shared" si="47"/>
        <v>45758</v>
      </c>
      <c r="B743" t="str">
        <f t="shared" si="44"/>
        <v>Apr 2025</v>
      </c>
      <c r="C743" t="str">
        <f t="shared" si="45"/>
        <v>Q2</v>
      </c>
      <c r="D743" t="str">
        <f t="shared" si="46"/>
        <v>FY2025</v>
      </c>
    </row>
    <row r="744" spans="1:4">
      <c r="A744" s="11">
        <f t="shared" si="47"/>
        <v>45759</v>
      </c>
      <c r="B744" t="str">
        <f t="shared" si="44"/>
        <v>Apr 2025</v>
      </c>
      <c r="C744" t="str">
        <f t="shared" si="45"/>
        <v>Q2</v>
      </c>
      <c r="D744" t="str">
        <f t="shared" si="46"/>
        <v>FY2025</v>
      </c>
    </row>
    <row r="745" spans="1:4">
      <c r="A745" s="11">
        <f t="shared" si="47"/>
        <v>45760</v>
      </c>
      <c r="B745" t="str">
        <f t="shared" si="44"/>
        <v>Apr 2025</v>
      </c>
      <c r="C745" t="str">
        <f t="shared" si="45"/>
        <v>Q2</v>
      </c>
      <c r="D745" t="str">
        <f t="shared" si="46"/>
        <v>FY2025</v>
      </c>
    </row>
    <row r="746" spans="1:4">
      <c r="A746" s="11">
        <f t="shared" si="47"/>
        <v>45761</v>
      </c>
      <c r="B746" t="str">
        <f t="shared" si="44"/>
        <v>Apr 2025</v>
      </c>
      <c r="C746" t="str">
        <f t="shared" si="45"/>
        <v>Q2</v>
      </c>
      <c r="D746" t="str">
        <f t="shared" si="46"/>
        <v>FY2025</v>
      </c>
    </row>
    <row r="747" spans="1:4">
      <c r="A747" s="11">
        <f t="shared" si="47"/>
        <v>45762</v>
      </c>
      <c r="B747" t="str">
        <f t="shared" si="44"/>
        <v>Apr 2025</v>
      </c>
      <c r="C747" t="str">
        <f t="shared" si="45"/>
        <v>Q2</v>
      </c>
      <c r="D747" t="str">
        <f t="shared" si="46"/>
        <v>FY2025</v>
      </c>
    </row>
    <row r="748" spans="1:4">
      <c r="A748" s="11">
        <f t="shared" si="47"/>
        <v>45763</v>
      </c>
      <c r="B748" t="str">
        <f t="shared" si="44"/>
        <v>Apr 2025</v>
      </c>
      <c r="C748" t="str">
        <f t="shared" si="45"/>
        <v>Q2</v>
      </c>
      <c r="D748" t="str">
        <f t="shared" si="46"/>
        <v>FY2025</v>
      </c>
    </row>
    <row r="749" spans="1:4">
      <c r="A749" s="11">
        <f t="shared" si="47"/>
        <v>45764</v>
      </c>
      <c r="B749" t="str">
        <f t="shared" si="44"/>
        <v>Apr 2025</v>
      </c>
      <c r="C749" t="str">
        <f t="shared" si="45"/>
        <v>Q2</v>
      </c>
      <c r="D749" t="str">
        <f t="shared" si="46"/>
        <v>FY2025</v>
      </c>
    </row>
    <row r="750" spans="1:4">
      <c r="A750" s="11">
        <f t="shared" si="47"/>
        <v>45765</v>
      </c>
      <c r="B750" t="str">
        <f t="shared" si="44"/>
        <v>Apr 2025</v>
      </c>
      <c r="C750" t="str">
        <f t="shared" si="45"/>
        <v>Q2</v>
      </c>
      <c r="D750" t="str">
        <f t="shared" si="46"/>
        <v>FY2025</v>
      </c>
    </row>
    <row r="751" spans="1:4">
      <c r="A751" s="11">
        <f t="shared" si="47"/>
        <v>45766</v>
      </c>
      <c r="B751" t="str">
        <f t="shared" si="44"/>
        <v>Apr 2025</v>
      </c>
      <c r="C751" t="str">
        <f t="shared" si="45"/>
        <v>Q2</v>
      </c>
      <c r="D751" t="str">
        <f t="shared" si="46"/>
        <v>FY2025</v>
      </c>
    </row>
    <row r="752" spans="1:4">
      <c r="A752" s="11">
        <f t="shared" si="47"/>
        <v>45767</v>
      </c>
      <c r="B752" t="str">
        <f t="shared" si="44"/>
        <v>Apr 2025</v>
      </c>
      <c r="C752" t="str">
        <f t="shared" si="45"/>
        <v>Q2</v>
      </c>
      <c r="D752" t="str">
        <f t="shared" si="46"/>
        <v>FY2025</v>
      </c>
    </row>
    <row r="753" spans="1:4">
      <c r="A753" s="11">
        <f t="shared" si="47"/>
        <v>45768</v>
      </c>
      <c r="B753" t="str">
        <f t="shared" si="44"/>
        <v>Apr 2025</v>
      </c>
      <c r="C753" t="str">
        <f t="shared" si="45"/>
        <v>Q2</v>
      </c>
      <c r="D753" t="str">
        <f t="shared" si="46"/>
        <v>FY2025</v>
      </c>
    </row>
    <row r="754" spans="1:4">
      <c r="A754" s="11">
        <f t="shared" si="47"/>
        <v>45769</v>
      </c>
      <c r="B754" t="str">
        <f t="shared" si="44"/>
        <v>Apr 2025</v>
      </c>
      <c r="C754" t="str">
        <f t="shared" si="45"/>
        <v>Q2</v>
      </c>
      <c r="D754" t="str">
        <f t="shared" si="46"/>
        <v>FY2025</v>
      </c>
    </row>
    <row r="755" spans="1:4">
      <c r="A755" s="11">
        <f t="shared" si="47"/>
        <v>45770</v>
      </c>
      <c r="B755" t="str">
        <f t="shared" si="44"/>
        <v>Apr 2025</v>
      </c>
      <c r="C755" t="str">
        <f t="shared" si="45"/>
        <v>Q2</v>
      </c>
      <c r="D755" t="str">
        <f t="shared" si="46"/>
        <v>FY2025</v>
      </c>
    </row>
    <row r="756" spans="1:4">
      <c r="A756" s="11">
        <f t="shared" si="47"/>
        <v>45771</v>
      </c>
      <c r="B756" t="str">
        <f t="shared" si="44"/>
        <v>Apr 2025</v>
      </c>
      <c r="C756" t="str">
        <f t="shared" si="45"/>
        <v>Q2</v>
      </c>
      <c r="D756" t="str">
        <f t="shared" si="46"/>
        <v>FY2025</v>
      </c>
    </row>
    <row r="757" spans="1:4">
      <c r="A757" s="11">
        <f t="shared" si="47"/>
        <v>45772</v>
      </c>
      <c r="B757" t="str">
        <f t="shared" si="44"/>
        <v>Apr 2025</v>
      </c>
      <c r="C757" t="str">
        <f t="shared" si="45"/>
        <v>Q2</v>
      </c>
      <c r="D757" t="str">
        <f t="shared" si="46"/>
        <v>FY2025</v>
      </c>
    </row>
    <row r="758" spans="1:4">
      <c r="A758" s="11">
        <f t="shared" si="47"/>
        <v>45773</v>
      </c>
      <c r="B758" t="str">
        <f t="shared" si="44"/>
        <v>Apr 2025</v>
      </c>
      <c r="C758" t="str">
        <f t="shared" si="45"/>
        <v>Q2</v>
      </c>
      <c r="D758" t="str">
        <f t="shared" si="46"/>
        <v>FY2025</v>
      </c>
    </row>
    <row r="759" spans="1:4">
      <c r="A759" s="11">
        <f t="shared" si="47"/>
        <v>45774</v>
      </c>
      <c r="B759" t="str">
        <f t="shared" si="44"/>
        <v>Apr 2025</v>
      </c>
      <c r="C759" t="str">
        <f t="shared" si="45"/>
        <v>Q2</v>
      </c>
      <c r="D759" t="str">
        <f t="shared" si="46"/>
        <v>FY2025</v>
      </c>
    </row>
    <row r="760" spans="1:4">
      <c r="A760" s="11">
        <f t="shared" si="47"/>
        <v>45775</v>
      </c>
      <c r="B760" t="str">
        <f t="shared" si="44"/>
        <v>Apr 2025</v>
      </c>
      <c r="C760" t="str">
        <f t="shared" si="45"/>
        <v>Q2</v>
      </c>
      <c r="D760" t="str">
        <f t="shared" si="46"/>
        <v>FY2025</v>
      </c>
    </row>
    <row r="761" spans="1:4">
      <c r="A761" s="11">
        <f t="shared" si="47"/>
        <v>45776</v>
      </c>
      <c r="B761" t="str">
        <f t="shared" si="44"/>
        <v>Apr 2025</v>
      </c>
      <c r="C761" t="str">
        <f t="shared" si="45"/>
        <v>Q2</v>
      </c>
      <c r="D761" t="str">
        <f t="shared" si="46"/>
        <v>FY2025</v>
      </c>
    </row>
    <row r="762" spans="1:4">
      <c r="A762" s="11">
        <f t="shared" si="47"/>
        <v>45777</v>
      </c>
      <c r="B762" t="str">
        <f t="shared" si="44"/>
        <v>Apr 2025</v>
      </c>
      <c r="C762" t="str">
        <f t="shared" si="45"/>
        <v>Q2</v>
      </c>
      <c r="D762" t="str">
        <f t="shared" si="46"/>
        <v>FY2025</v>
      </c>
    </row>
    <row r="763" spans="1:4">
      <c r="A763" s="11">
        <f t="shared" si="47"/>
        <v>45778</v>
      </c>
      <c r="B763" t="str">
        <f t="shared" si="44"/>
        <v>May 2025</v>
      </c>
      <c r="C763" t="str">
        <f t="shared" si="45"/>
        <v>Q2</v>
      </c>
      <c r="D763" t="str">
        <f t="shared" si="46"/>
        <v>FY2025</v>
      </c>
    </row>
    <row r="764" spans="1:4">
      <c r="A764" s="11">
        <f t="shared" si="47"/>
        <v>45779</v>
      </c>
      <c r="B764" t="str">
        <f t="shared" si="44"/>
        <v>May 2025</v>
      </c>
      <c r="C764" t="str">
        <f t="shared" si="45"/>
        <v>Q2</v>
      </c>
      <c r="D764" t="str">
        <f t="shared" si="46"/>
        <v>FY2025</v>
      </c>
    </row>
    <row r="765" spans="1:4">
      <c r="A765" s="11">
        <f t="shared" si="47"/>
        <v>45780</v>
      </c>
      <c r="B765" t="str">
        <f t="shared" si="44"/>
        <v>May 2025</v>
      </c>
      <c r="C765" t="str">
        <f t="shared" si="45"/>
        <v>Q2</v>
      </c>
      <c r="D765" t="str">
        <f t="shared" si="46"/>
        <v>FY2025</v>
      </c>
    </row>
    <row r="766" spans="1:4">
      <c r="A766" s="11">
        <f t="shared" si="47"/>
        <v>45781</v>
      </c>
      <c r="B766" t="str">
        <f t="shared" si="44"/>
        <v>May 2025</v>
      </c>
      <c r="C766" t="str">
        <f t="shared" si="45"/>
        <v>Q2</v>
      </c>
      <c r="D766" t="str">
        <f t="shared" si="46"/>
        <v>FY2025</v>
      </c>
    </row>
    <row r="767" spans="1:4">
      <c r="A767" s="11">
        <f t="shared" si="47"/>
        <v>45782</v>
      </c>
      <c r="B767" t="str">
        <f t="shared" si="44"/>
        <v>May 2025</v>
      </c>
      <c r="C767" t="str">
        <f t="shared" si="45"/>
        <v>Q2</v>
      </c>
      <c r="D767" t="str">
        <f t="shared" si="46"/>
        <v>FY2025</v>
      </c>
    </row>
    <row r="768" spans="1:4">
      <c r="A768" s="11">
        <f t="shared" si="47"/>
        <v>45783</v>
      </c>
      <c r="B768" t="str">
        <f t="shared" si="44"/>
        <v>May 2025</v>
      </c>
      <c r="C768" t="str">
        <f t="shared" si="45"/>
        <v>Q2</v>
      </c>
      <c r="D768" t="str">
        <f t="shared" si="46"/>
        <v>FY2025</v>
      </c>
    </row>
    <row r="769" spans="1:4">
      <c r="A769" s="11">
        <f t="shared" si="47"/>
        <v>45784</v>
      </c>
      <c r="B769" t="str">
        <f t="shared" si="44"/>
        <v>May 2025</v>
      </c>
      <c r="C769" t="str">
        <f t="shared" si="45"/>
        <v>Q2</v>
      </c>
      <c r="D769" t="str">
        <f t="shared" si="46"/>
        <v>FY2025</v>
      </c>
    </row>
    <row r="770" spans="1:4">
      <c r="A770" s="11">
        <f t="shared" si="47"/>
        <v>45785</v>
      </c>
      <c r="B770" t="str">
        <f t="shared" si="44"/>
        <v>May 2025</v>
      </c>
      <c r="C770" t="str">
        <f t="shared" si="45"/>
        <v>Q2</v>
      </c>
      <c r="D770" t="str">
        <f t="shared" si="46"/>
        <v>FY2025</v>
      </c>
    </row>
    <row r="771" spans="1:4">
      <c r="A771" s="11">
        <f t="shared" si="47"/>
        <v>45786</v>
      </c>
      <c r="B771" t="str">
        <f t="shared" ref="B771:B834" si="48">TEXT(A771, "MMM_YYYY")</f>
        <v>May 2025</v>
      </c>
      <c r="C771" t="str">
        <f t="shared" ref="C771:C834" si="49">"Q" &amp; INT((MONTH(A771)-1)/3)+1</f>
        <v>Q2</v>
      </c>
      <c r="D771" t="str">
        <f t="shared" ref="D771:D834" si="50">"FY" &amp; IF(MONTH(A771)&gt;=4, YEAR(A771), YEAR(A771)-1)</f>
        <v>FY2025</v>
      </c>
    </row>
    <row r="772" spans="1:4">
      <c r="A772" s="11">
        <f t="shared" ref="A772:A835" si="51">A771+1</f>
        <v>45787</v>
      </c>
      <c r="B772" t="str">
        <f t="shared" si="48"/>
        <v>May 2025</v>
      </c>
      <c r="C772" t="str">
        <f t="shared" si="49"/>
        <v>Q2</v>
      </c>
      <c r="D772" t="str">
        <f t="shared" si="50"/>
        <v>FY2025</v>
      </c>
    </row>
    <row r="773" spans="1:4">
      <c r="A773" s="11">
        <f t="shared" si="51"/>
        <v>45788</v>
      </c>
      <c r="B773" t="str">
        <f t="shared" si="48"/>
        <v>May 2025</v>
      </c>
      <c r="C773" t="str">
        <f t="shared" si="49"/>
        <v>Q2</v>
      </c>
      <c r="D773" t="str">
        <f t="shared" si="50"/>
        <v>FY2025</v>
      </c>
    </row>
    <row r="774" spans="1:4">
      <c r="A774" s="11">
        <f t="shared" si="51"/>
        <v>45789</v>
      </c>
      <c r="B774" t="str">
        <f t="shared" si="48"/>
        <v>May 2025</v>
      </c>
      <c r="C774" t="str">
        <f t="shared" si="49"/>
        <v>Q2</v>
      </c>
      <c r="D774" t="str">
        <f t="shared" si="50"/>
        <v>FY2025</v>
      </c>
    </row>
    <row r="775" spans="1:4">
      <c r="A775" s="11">
        <f t="shared" si="51"/>
        <v>45790</v>
      </c>
      <c r="B775" t="str">
        <f t="shared" si="48"/>
        <v>May 2025</v>
      </c>
      <c r="C775" t="str">
        <f t="shared" si="49"/>
        <v>Q2</v>
      </c>
      <c r="D775" t="str">
        <f t="shared" si="50"/>
        <v>FY2025</v>
      </c>
    </row>
    <row r="776" spans="1:4">
      <c r="A776" s="11">
        <f t="shared" si="51"/>
        <v>45791</v>
      </c>
      <c r="B776" t="str">
        <f t="shared" si="48"/>
        <v>May 2025</v>
      </c>
      <c r="C776" t="str">
        <f t="shared" si="49"/>
        <v>Q2</v>
      </c>
      <c r="D776" t="str">
        <f t="shared" si="50"/>
        <v>FY2025</v>
      </c>
    </row>
    <row r="777" spans="1:4">
      <c r="A777" s="11">
        <f t="shared" si="51"/>
        <v>45792</v>
      </c>
      <c r="B777" t="str">
        <f t="shared" si="48"/>
        <v>May 2025</v>
      </c>
      <c r="C777" t="str">
        <f t="shared" si="49"/>
        <v>Q2</v>
      </c>
      <c r="D777" t="str">
        <f t="shared" si="50"/>
        <v>FY2025</v>
      </c>
    </row>
    <row r="778" spans="1:4">
      <c r="A778" s="11">
        <f t="shared" si="51"/>
        <v>45793</v>
      </c>
      <c r="B778" t="str">
        <f t="shared" si="48"/>
        <v>May 2025</v>
      </c>
      <c r="C778" t="str">
        <f t="shared" si="49"/>
        <v>Q2</v>
      </c>
      <c r="D778" t="str">
        <f t="shared" si="50"/>
        <v>FY2025</v>
      </c>
    </row>
    <row r="779" spans="1:4">
      <c r="A779" s="11">
        <f t="shared" si="51"/>
        <v>45794</v>
      </c>
      <c r="B779" t="str">
        <f t="shared" si="48"/>
        <v>May 2025</v>
      </c>
      <c r="C779" t="str">
        <f t="shared" si="49"/>
        <v>Q2</v>
      </c>
      <c r="D779" t="str">
        <f t="shared" si="50"/>
        <v>FY2025</v>
      </c>
    </row>
    <row r="780" spans="1:4">
      <c r="A780" s="11">
        <f t="shared" si="51"/>
        <v>45795</v>
      </c>
      <c r="B780" t="str">
        <f t="shared" si="48"/>
        <v>May 2025</v>
      </c>
      <c r="C780" t="str">
        <f t="shared" si="49"/>
        <v>Q2</v>
      </c>
      <c r="D780" t="str">
        <f t="shared" si="50"/>
        <v>FY2025</v>
      </c>
    </row>
    <row r="781" spans="1:4">
      <c r="A781" s="11">
        <f t="shared" si="51"/>
        <v>45796</v>
      </c>
      <c r="B781" t="str">
        <f t="shared" si="48"/>
        <v>May 2025</v>
      </c>
      <c r="C781" t="str">
        <f t="shared" si="49"/>
        <v>Q2</v>
      </c>
      <c r="D781" t="str">
        <f t="shared" si="50"/>
        <v>FY2025</v>
      </c>
    </row>
    <row r="782" spans="1:4">
      <c r="A782" s="11">
        <f t="shared" si="51"/>
        <v>45797</v>
      </c>
      <c r="B782" t="str">
        <f t="shared" si="48"/>
        <v>May 2025</v>
      </c>
      <c r="C782" t="str">
        <f t="shared" si="49"/>
        <v>Q2</v>
      </c>
      <c r="D782" t="str">
        <f t="shared" si="50"/>
        <v>FY2025</v>
      </c>
    </row>
    <row r="783" spans="1:4">
      <c r="A783" s="11">
        <f t="shared" si="51"/>
        <v>45798</v>
      </c>
      <c r="B783" t="str">
        <f t="shared" si="48"/>
        <v>May 2025</v>
      </c>
      <c r="C783" t="str">
        <f t="shared" si="49"/>
        <v>Q2</v>
      </c>
      <c r="D783" t="str">
        <f t="shared" si="50"/>
        <v>FY2025</v>
      </c>
    </row>
    <row r="784" spans="1:4">
      <c r="A784" s="11">
        <f t="shared" si="51"/>
        <v>45799</v>
      </c>
      <c r="B784" t="str">
        <f t="shared" si="48"/>
        <v>May 2025</v>
      </c>
      <c r="C784" t="str">
        <f t="shared" si="49"/>
        <v>Q2</v>
      </c>
      <c r="D784" t="str">
        <f t="shared" si="50"/>
        <v>FY2025</v>
      </c>
    </row>
    <row r="785" spans="1:4">
      <c r="A785" s="11">
        <f t="shared" si="51"/>
        <v>45800</v>
      </c>
      <c r="B785" t="str">
        <f t="shared" si="48"/>
        <v>May 2025</v>
      </c>
      <c r="C785" t="str">
        <f t="shared" si="49"/>
        <v>Q2</v>
      </c>
      <c r="D785" t="str">
        <f t="shared" si="50"/>
        <v>FY2025</v>
      </c>
    </row>
    <row r="786" spans="1:4">
      <c r="A786" s="11">
        <f t="shared" si="51"/>
        <v>45801</v>
      </c>
      <c r="B786" t="str">
        <f t="shared" si="48"/>
        <v>May 2025</v>
      </c>
      <c r="C786" t="str">
        <f t="shared" si="49"/>
        <v>Q2</v>
      </c>
      <c r="D786" t="str">
        <f t="shared" si="50"/>
        <v>FY2025</v>
      </c>
    </row>
    <row r="787" spans="1:4">
      <c r="A787" s="11">
        <f t="shared" si="51"/>
        <v>45802</v>
      </c>
      <c r="B787" t="str">
        <f t="shared" si="48"/>
        <v>May 2025</v>
      </c>
      <c r="C787" t="str">
        <f t="shared" si="49"/>
        <v>Q2</v>
      </c>
      <c r="D787" t="str">
        <f t="shared" si="50"/>
        <v>FY2025</v>
      </c>
    </row>
    <row r="788" spans="1:4">
      <c r="A788" s="11">
        <f t="shared" si="51"/>
        <v>45803</v>
      </c>
      <c r="B788" t="str">
        <f t="shared" si="48"/>
        <v>May 2025</v>
      </c>
      <c r="C788" t="str">
        <f t="shared" si="49"/>
        <v>Q2</v>
      </c>
      <c r="D788" t="str">
        <f t="shared" si="50"/>
        <v>FY2025</v>
      </c>
    </row>
    <row r="789" spans="1:4">
      <c r="A789" s="11">
        <f t="shared" si="51"/>
        <v>45804</v>
      </c>
      <c r="B789" t="str">
        <f t="shared" si="48"/>
        <v>May 2025</v>
      </c>
      <c r="C789" t="str">
        <f t="shared" si="49"/>
        <v>Q2</v>
      </c>
      <c r="D789" t="str">
        <f t="shared" si="50"/>
        <v>FY2025</v>
      </c>
    </row>
    <row r="790" spans="1:4">
      <c r="A790" s="11">
        <f t="shared" si="51"/>
        <v>45805</v>
      </c>
      <c r="B790" t="str">
        <f t="shared" si="48"/>
        <v>May 2025</v>
      </c>
      <c r="C790" t="str">
        <f t="shared" si="49"/>
        <v>Q2</v>
      </c>
      <c r="D790" t="str">
        <f t="shared" si="50"/>
        <v>FY2025</v>
      </c>
    </row>
    <row r="791" spans="1:4">
      <c r="A791" s="11">
        <f t="shared" si="51"/>
        <v>45806</v>
      </c>
      <c r="B791" t="str">
        <f t="shared" si="48"/>
        <v>May 2025</v>
      </c>
      <c r="C791" t="str">
        <f t="shared" si="49"/>
        <v>Q2</v>
      </c>
      <c r="D791" t="str">
        <f t="shared" si="50"/>
        <v>FY2025</v>
      </c>
    </row>
    <row r="792" spans="1:4">
      <c r="A792" s="11">
        <f t="shared" si="51"/>
        <v>45807</v>
      </c>
      <c r="B792" t="str">
        <f t="shared" si="48"/>
        <v>May 2025</v>
      </c>
      <c r="C792" t="str">
        <f t="shared" si="49"/>
        <v>Q2</v>
      </c>
      <c r="D792" t="str">
        <f t="shared" si="50"/>
        <v>FY2025</v>
      </c>
    </row>
    <row r="793" spans="1:4">
      <c r="A793" s="11">
        <f t="shared" si="51"/>
        <v>45808</v>
      </c>
      <c r="B793" t="str">
        <f t="shared" si="48"/>
        <v>May 2025</v>
      </c>
      <c r="C793" t="str">
        <f t="shared" si="49"/>
        <v>Q2</v>
      </c>
      <c r="D793" t="str">
        <f t="shared" si="50"/>
        <v>FY2025</v>
      </c>
    </row>
    <row r="794" spans="1:4">
      <c r="A794" s="11">
        <f t="shared" si="51"/>
        <v>45809</v>
      </c>
      <c r="B794" t="str">
        <f t="shared" si="48"/>
        <v>Jun 2025</v>
      </c>
      <c r="C794" t="str">
        <f t="shared" si="49"/>
        <v>Q2</v>
      </c>
      <c r="D794" t="str">
        <f t="shared" si="50"/>
        <v>FY2025</v>
      </c>
    </row>
    <row r="795" spans="1:4">
      <c r="A795" s="11">
        <f t="shared" si="51"/>
        <v>45810</v>
      </c>
      <c r="B795" t="str">
        <f t="shared" si="48"/>
        <v>Jun 2025</v>
      </c>
      <c r="C795" t="str">
        <f t="shared" si="49"/>
        <v>Q2</v>
      </c>
      <c r="D795" t="str">
        <f t="shared" si="50"/>
        <v>FY2025</v>
      </c>
    </row>
    <row r="796" spans="1:4">
      <c r="A796" s="11">
        <f t="shared" si="51"/>
        <v>45811</v>
      </c>
      <c r="B796" t="str">
        <f t="shared" si="48"/>
        <v>Jun 2025</v>
      </c>
      <c r="C796" t="str">
        <f t="shared" si="49"/>
        <v>Q2</v>
      </c>
      <c r="D796" t="str">
        <f t="shared" si="50"/>
        <v>FY2025</v>
      </c>
    </row>
    <row r="797" spans="1:4">
      <c r="A797" s="11">
        <f t="shared" si="51"/>
        <v>45812</v>
      </c>
      <c r="B797" t="str">
        <f t="shared" si="48"/>
        <v>Jun 2025</v>
      </c>
      <c r="C797" t="str">
        <f t="shared" si="49"/>
        <v>Q2</v>
      </c>
      <c r="D797" t="str">
        <f t="shared" si="50"/>
        <v>FY2025</v>
      </c>
    </row>
    <row r="798" spans="1:4">
      <c r="A798" s="11">
        <f t="shared" si="51"/>
        <v>45813</v>
      </c>
      <c r="B798" t="str">
        <f t="shared" si="48"/>
        <v>Jun 2025</v>
      </c>
      <c r="C798" t="str">
        <f t="shared" si="49"/>
        <v>Q2</v>
      </c>
      <c r="D798" t="str">
        <f t="shared" si="50"/>
        <v>FY2025</v>
      </c>
    </row>
    <row r="799" spans="1:4">
      <c r="A799" s="11">
        <f t="shared" si="51"/>
        <v>45814</v>
      </c>
      <c r="B799" t="str">
        <f t="shared" si="48"/>
        <v>Jun 2025</v>
      </c>
      <c r="C799" t="str">
        <f t="shared" si="49"/>
        <v>Q2</v>
      </c>
      <c r="D799" t="str">
        <f t="shared" si="50"/>
        <v>FY2025</v>
      </c>
    </row>
    <row r="800" spans="1:4">
      <c r="A800" s="11">
        <f t="shared" si="51"/>
        <v>45815</v>
      </c>
      <c r="B800" t="str">
        <f t="shared" si="48"/>
        <v>Jun 2025</v>
      </c>
      <c r="C800" t="str">
        <f t="shared" si="49"/>
        <v>Q2</v>
      </c>
      <c r="D800" t="str">
        <f t="shared" si="50"/>
        <v>FY2025</v>
      </c>
    </row>
    <row r="801" spans="1:4">
      <c r="A801" s="11">
        <f t="shared" si="51"/>
        <v>45816</v>
      </c>
      <c r="B801" t="str">
        <f t="shared" si="48"/>
        <v>Jun 2025</v>
      </c>
      <c r="C801" t="str">
        <f t="shared" si="49"/>
        <v>Q2</v>
      </c>
      <c r="D801" t="str">
        <f t="shared" si="50"/>
        <v>FY2025</v>
      </c>
    </row>
    <row r="802" spans="1:4">
      <c r="A802" s="11">
        <f t="shared" si="51"/>
        <v>45817</v>
      </c>
      <c r="B802" t="str">
        <f t="shared" si="48"/>
        <v>Jun 2025</v>
      </c>
      <c r="C802" t="str">
        <f t="shared" si="49"/>
        <v>Q2</v>
      </c>
      <c r="D802" t="str">
        <f t="shared" si="50"/>
        <v>FY2025</v>
      </c>
    </row>
    <row r="803" spans="1:4">
      <c r="A803" s="11">
        <f t="shared" si="51"/>
        <v>45818</v>
      </c>
      <c r="B803" t="str">
        <f t="shared" si="48"/>
        <v>Jun 2025</v>
      </c>
      <c r="C803" t="str">
        <f t="shared" si="49"/>
        <v>Q2</v>
      </c>
      <c r="D803" t="str">
        <f t="shared" si="50"/>
        <v>FY2025</v>
      </c>
    </row>
    <row r="804" spans="1:4">
      <c r="A804" s="11">
        <f t="shared" si="51"/>
        <v>45819</v>
      </c>
      <c r="B804" t="str">
        <f t="shared" si="48"/>
        <v>Jun 2025</v>
      </c>
      <c r="C804" t="str">
        <f t="shared" si="49"/>
        <v>Q2</v>
      </c>
      <c r="D804" t="str">
        <f t="shared" si="50"/>
        <v>FY2025</v>
      </c>
    </row>
    <row r="805" spans="1:4">
      <c r="A805" s="11">
        <f t="shared" si="51"/>
        <v>45820</v>
      </c>
      <c r="B805" t="str">
        <f t="shared" si="48"/>
        <v>Jun 2025</v>
      </c>
      <c r="C805" t="str">
        <f t="shared" si="49"/>
        <v>Q2</v>
      </c>
      <c r="D805" t="str">
        <f t="shared" si="50"/>
        <v>FY2025</v>
      </c>
    </row>
    <row r="806" spans="1:4">
      <c r="A806" s="11">
        <f t="shared" si="51"/>
        <v>45821</v>
      </c>
      <c r="B806" t="str">
        <f t="shared" si="48"/>
        <v>Jun 2025</v>
      </c>
      <c r="C806" t="str">
        <f t="shared" si="49"/>
        <v>Q2</v>
      </c>
      <c r="D806" t="str">
        <f t="shared" si="50"/>
        <v>FY2025</v>
      </c>
    </row>
    <row r="807" spans="1:4">
      <c r="A807" s="11">
        <f t="shared" si="51"/>
        <v>45822</v>
      </c>
      <c r="B807" t="str">
        <f t="shared" si="48"/>
        <v>Jun 2025</v>
      </c>
      <c r="C807" t="str">
        <f t="shared" si="49"/>
        <v>Q2</v>
      </c>
      <c r="D807" t="str">
        <f t="shared" si="50"/>
        <v>FY2025</v>
      </c>
    </row>
    <row r="808" spans="1:4">
      <c r="A808" s="11">
        <f t="shared" si="51"/>
        <v>45823</v>
      </c>
      <c r="B808" t="str">
        <f t="shared" si="48"/>
        <v>Jun 2025</v>
      </c>
      <c r="C808" t="str">
        <f t="shared" si="49"/>
        <v>Q2</v>
      </c>
      <c r="D808" t="str">
        <f t="shared" si="50"/>
        <v>FY2025</v>
      </c>
    </row>
    <row r="809" spans="1:4">
      <c r="A809" s="11">
        <f t="shared" si="51"/>
        <v>45824</v>
      </c>
      <c r="B809" t="str">
        <f t="shared" si="48"/>
        <v>Jun 2025</v>
      </c>
      <c r="C809" t="str">
        <f t="shared" si="49"/>
        <v>Q2</v>
      </c>
      <c r="D809" t="str">
        <f t="shared" si="50"/>
        <v>FY2025</v>
      </c>
    </row>
    <row r="810" spans="1:4">
      <c r="A810" s="11">
        <f t="shared" si="51"/>
        <v>45825</v>
      </c>
      <c r="B810" t="str">
        <f t="shared" si="48"/>
        <v>Jun 2025</v>
      </c>
      <c r="C810" t="str">
        <f t="shared" si="49"/>
        <v>Q2</v>
      </c>
      <c r="D810" t="str">
        <f t="shared" si="50"/>
        <v>FY2025</v>
      </c>
    </row>
    <row r="811" spans="1:4">
      <c r="A811" s="11">
        <f t="shared" si="51"/>
        <v>45826</v>
      </c>
      <c r="B811" t="str">
        <f t="shared" si="48"/>
        <v>Jun 2025</v>
      </c>
      <c r="C811" t="str">
        <f t="shared" si="49"/>
        <v>Q2</v>
      </c>
      <c r="D811" t="str">
        <f t="shared" si="50"/>
        <v>FY2025</v>
      </c>
    </row>
    <row r="812" spans="1:4">
      <c r="A812" s="11">
        <f t="shared" si="51"/>
        <v>45827</v>
      </c>
      <c r="B812" t="str">
        <f t="shared" si="48"/>
        <v>Jun 2025</v>
      </c>
      <c r="C812" t="str">
        <f t="shared" si="49"/>
        <v>Q2</v>
      </c>
      <c r="D812" t="str">
        <f t="shared" si="50"/>
        <v>FY2025</v>
      </c>
    </row>
    <row r="813" spans="1:4">
      <c r="A813" s="11">
        <f t="shared" si="51"/>
        <v>45828</v>
      </c>
      <c r="B813" t="str">
        <f t="shared" si="48"/>
        <v>Jun 2025</v>
      </c>
      <c r="C813" t="str">
        <f t="shared" si="49"/>
        <v>Q2</v>
      </c>
      <c r="D813" t="str">
        <f t="shared" si="50"/>
        <v>FY2025</v>
      </c>
    </row>
    <row r="814" spans="1:4">
      <c r="A814" s="11">
        <f t="shared" si="51"/>
        <v>45829</v>
      </c>
      <c r="B814" t="str">
        <f t="shared" si="48"/>
        <v>Jun 2025</v>
      </c>
      <c r="C814" t="str">
        <f t="shared" si="49"/>
        <v>Q2</v>
      </c>
      <c r="D814" t="str">
        <f t="shared" si="50"/>
        <v>FY2025</v>
      </c>
    </row>
    <row r="815" spans="1:4">
      <c r="A815" s="11">
        <f t="shared" si="51"/>
        <v>45830</v>
      </c>
      <c r="B815" t="str">
        <f t="shared" si="48"/>
        <v>Jun 2025</v>
      </c>
      <c r="C815" t="str">
        <f t="shared" si="49"/>
        <v>Q2</v>
      </c>
      <c r="D815" t="str">
        <f t="shared" si="50"/>
        <v>FY2025</v>
      </c>
    </row>
    <row r="816" spans="1:4">
      <c r="A816" s="11">
        <f t="shared" si="51"/>
        <v>45831</v>
      </c>
      <c r="B816" t="str">
        <f t="shared" si="48"/>
        <v>Jun 2025</v>
      </c>
      <c r="C816" t="str">
        <f t="shared" si="49"/>
        <v>Q2</v>
      </c>
      <c r="D816" t="str">
        <f t="shared" si="50"/>
        <v>FY2025</v>
      </c>
    </row>
    <row r="817" spans="1:4">
      <c r="A817" s="11">
        <f t="shared" si="51"/>
        <v>45832</v>
      </c>
      <c r="B817" t="str">
        <f t="shared" si="48"/>
        <v>Jun 2025</v>
      </c>
      <c r="C817" t="str">
        <f t="shared" si="49"/>
        <v>Q2</v>
      </c>
      <c r="D817" t="str">
        <f t="shared" si="50"/>
        <v>FY2025</v>
      </c>
    </row>
    <row r="818" spans="1:4">
      <c r="A818" s="11">
        <f t="shared" si="51"/>
        <v>45833</v>
      </c>
      <c r="B818" t="str">
        <f t="shared" si="48"/>
        <v>Jun 2025</v>
      </c>
      <c r="C818" t="str">
        <f t="shared" si="49"/>
        <v>Q2</v>
      </c>
      <c r="D818" t="str">
        <f t="shared" si="50"/>
        <v>FY2025</v>
      </c>
    </row>
    <row r="819" spans="1:4">
      <c r="A819" s="11">
        <f t="shared" si="51"/>
        <v>45834</v>
      </c>
      <c r="B819" t="str">
        <f t="shared" si="48"/>
        <v>Jun 2025</v>
      </c>
      <c r="C819" t="str">
        <f t="shared" si="49"/>
        <v>Q2</v>
      </c>
      <c r="D819" t="str">
        <f t="shared" si="50"/>
        <v>FY2025</v>
      </c>
    </row>
    <row r="820" spans="1:4">
      <c r="A820" s="11">
        <f t="shared" si="51"/>
        <v>45835</v>
      </c>
      <c r="B820" t="str">
        <f t="shared" si="48"/>
        <v>Jun 2025</v>
      </c>
      <c r="C820" t="str">
        <f t="shared" si="49"/>
        <v>Q2</v>
      </c>
      <c r="D820" t="str">
        <f t="shared" si="50"/>
        <v>FY2025</v>
      </c>
    </row>
    <row r="821" spans="1:4">
      <c r="A821" s="11">
        <f t="shared" si="51"/>
        <v>45836</v>
      </c>
      <c r="B821" t="str">
        <f t="shared" si="48"/>
        <v>Jun 2025</v>
      </c>
      <c r="C821" t="str">
        <f t="shared" si="49"/>
        <v>Q2</v>
      </c>
      <c r="D821" t="str">
        <f t="shared" si="50"/>
        <v>FY2025</v>
      </c>
    </row>
    <row r="822" spans="1:4">
      <c r="A822" s="11">
        <f t="shared" si="51"/>
        <v>45837</v>
      </c>
      <c r="B822" t="str">
        <f t="shared" si="48"/>
        <v>Jun 2025</v>
      </c>
      <c r="C822" t="str">
        <f t="shared" si="49"/>
        <v>Q2</v>
      </c>
      <c r="D822" t="str">
        <f t="shared" si="50"/>
        <v>FY2025</v>
      </c>
    </row>
    <row r="823" spans="1:4">
      <c r="A823" s="11">
        <f t="shared" si="51"/>
        <v>45838</v>
      </c>
      <c r="B823" t="str">
        <f t="shared" si="48"/>
        <v>Jun 2025</v>
      </c>
      <c r="C823" t="str">
        <f t="shared" si="49"/>
        <v>Q2</v>
      </c>
      <c r="D823" t="str">
        <f t="shared" si="50"/>
        <v>FY2025</v>
      </c>
    </row>
    <row r="824" spans="1:4">
      <c r="A824" s="11">
        <f t="shared" si="51"/>
        <v>45839</v>
      </c>
      <c r="B824" t="str">
        <f t="shared" si="48"/>
        <v>Jul 2025</v>
      </c>
      <c r="C824" t="str">
        <f t="shared" si="49"/>
        <v>Q3</v>
      </c>
      <c r="D824" t="str">
        <f t="shared" si="50"/>
        <v>FY2025</v>
      </c>
    </row>
    <row r="825" spans="1:4">
      <c r="A825" s="11">
        <f t="shared" si="51"/>
        <v>45840</v>
      </c>
      <c r="B825" t="str">
        <f t="shared" si="48"/>
        <v>Jul 2025</v>
      </c>
      <c r="C825" t="str">
        <f t="shared" si="49"/>
        <v>Q3</v>
      </c>
      <c r="D825" t="str">
        <f t="shared" si="50"/>
        <v>FY2025</v>
      </c>
    </row>
    <row r="826" spans="1:4">
      <c r="A826" s="11">
        <f t="shared" si="51"/>
        <v>45841</v>
      </c>
      <c r="B826" t="str">
        <f t="shared" si="48"/>
        <v>Jul 2025</v>
      </c>
      <c r="C826" t="str">
        <f t="shared" si="49"/>
        <v>Q3</v>
      </c>
      <c r="D826" t="str">
        <f t="shared" si="50"/>
        <v>FY2025</v>
      </c>
    </row>
    <row r="827" spans="1:4">
      <c r="A827" s="11">
        <f t="shared" si="51"/>
        <v>45842</v>
      </c>
      <c r="B827" t="str">
        <f t="shared" si="48"/>
        <v>Jul 2025</v>
      </c>
      <c r="C827" t="str">
        <f t="shared" si="49"/>
        <v>Q3</v>
      </c>
      <c r="D827" t="str">
        <f t="shared" si="50"/>
        <v>FY2025</v>
      </c>
    </row>
    <row r="828" spans="1:4">
      <c r="A828" s="11">
        <f t="shared" si="51"/>
        <v>45843</v>
      </c>
      <c r="B828" t="str">
        <f t="shared" si="48"/>
        <v>Jul 2025</v>
      </c>
      <c r="C828" t="str">
        <f t="shared" si="49"/>
        <v>Q3</v>
      </c>
      <c r="D828" t="str">
        <f t="shared" si="50"/>
        <v>FY2025</v>
      </c>
    </row>
    <row r="829" spans="1:4">
      <c r="A829" s="11">
        <f t="shared" si="51"/>
        <v>45844</v>
      </c>
      <c r="B829" t="str">
        <f t="shared" si="48"/>
        <v>Jul 2025</v>
      </c>
      <c r="C829" t="str">
        <f t="shared" si="49"/>
        <v>Q3</v>
      </c>
      <c r="D829" t="str">
        <f t="shared" si="50"/>
        <v>FY2025</v>
      </c>
    </row>
    <row r="830" spans="1:4">
      <c r="A830" s="11">
        <f t="shared" si="51"/>
        <v>45845</v>
      </c>
      <c r="B830" t="str">
        <f t="shared" si="48"/>
        <v>Jul 2025</v>
      </c>
      <c r="C830" t="str">
        <f t="shared" si="49"/>
        <v>Q3</v>
      </c>
      <c r="D830" t="str">
        <f t="shared" si="50"/>
        <v>FY2025</v>
      </c>
    </row>
    <row r="831" spans="1:4">
      <c r="A831" s="11">
        <f t="shared" si="51"/>
        <v>45846</v>
      </c>
      <c r="B831" t="str">
        <f t="shared" si="48"/>
        <v>Jul 2025</v>
      </c>
      <c r="C831" t="str">
        <f t="shared" si="49"/>
        <v>Q3</v>
      </c>
      <c r="D831" t="str">
        <f t="shared" si="50"/>
        <v>FY2025</v>
      </c>
    </row>
    <row r="832" spans="1:4">
      <c r="A832" s="11">
        <f t="shared" si="51"/>
        <v>45847</v>
      </c>
      <c r="B832" t="str">
        <f t="shared" si="48"/>
        <v>Jul 2025</v>
      </c>
      <c r="C832" t="str">
        <f t="shared" si="49"/>
        <v>Q3</v>
      </c>
      <c r="D832" t="str">
        <f t="shared" si="50"/>
        <v>FY2025</v>
      </c>
    </row>
    <row r="833" spans="1:4">
      <c r="A833" s="11">
        <f t="shared" si="51"/>
        <v>45848</v>
      </c>
      <c r="B833" t="str">
        <f t="shared" si="48"/>
        <v>Jul 2025</v>
      </c>
      <c r="C833" t="str">
        <f t="shared" si="49"/>
        <v>Q3</v>
      </c>
      <c r="D833" t="str">
        <f t="shared" si="50"/>
        <v>FY2025</v>
      </c>
    </row>
    <row r="834" spans="1:4">
      <c r="A834" s="11">
        <f t="shared" si="51"/>
        <v>45849</v>
      </c>
      <c r="B834" t="str">
        <f t="shared" si="48"/>
        <v>Jul 2025</v>
      </c>
      <c r="C834" t="str">
        <f t="shared" si="49"/>
        <v>Q3</v>
      </c>
      <c r="D834" t="str">
        <f t="shared" si="50"/>
        <v>FY2025</v>
      </c>
    </row>
    <row r="835" spans="1:4">
      <c r="A835" s="11">
        <f t="shared" si="51"/>
        <v>45850</v>
      </c>
      <c r="B835" t="str">
        <f t="shared" ref="B835:B898" si="52">TEXT(A835, "MMM_YYYY")</f>
        <v>Jul 2025</v>
      </c>
      <c r="C835" t="str">
        <f t="shared" ref="C835:C898" si="53">"Q" &amp; INT((MONTH(A835)-1)/3)+1</f>
        <v>Q3</v>
      </c>
      <c r="D835" t="str">
        <f t="shared" ref="D835:D898" si="54">"FY" &amp; IF(MONTH(A835)&gt;=4, YEAR(A835), YEAR(A835)-1)</f>
        <v>FY2025</v>
      </c>
    </row>
    <row r="836" spans="1:4">
      <c r="A836" s="11">
        <f t="shared" ref="A836:A899" si="55">A835+1</f>
        <v>45851</v>
      </c>
      <c r="B836" t="str">
        <f t="shared" si="52"/>
        <v>Jul 2025</v>
      </c>
      <c r="C836" t="str">
        <f t="shared" si="53"/>
        <v>Q3</v>
      </c>
      <c r="D836" t="str">
        <f t="shared" si="54"/>
        <v>FY2025</v>
      </c>
    </row>
    <row r="837" spans="1:4">
      <c r="A837" s="11">
        <f t="shared" si="55"/>
        <v>45852</v>
      </c>
      <c r="B837" t="str">
        <f t="shared" si="52"/>
        <v>Jul 2025</v>
      </c>
      <c r="C837" t="str">
        <f t="shared" si="53"/>
        <v>Q3</v>
      </c>
      <c r="D837" t="str">
        <f t="shared" si="54"/>
        <v>FY2025</v>
      </c>
    </row>
    <row r="838" spans="1:4">
      <c r="A838" s="11">
        <f t="shared" si="55"/>
        <v>45853</v>
      </c>
      <c r="B838" t="str">
        <f t="shared" si="52"/>
        <v>Jul 2025</v>
      </c>
      <c r="C838" t="str">
        <f t="shared" si="53"/>
        <v>Q3</v>
      </c>
      <c r="D838" t="str">
        <f t="shared" si="54"/>
        <v>FY2025</v>
      </c>
    </row>
    <row r="839" spans="1:4">
      <c r="A839" s="11">
        <f t="shared" si="55"/>
        <v>45854</v>
      </c>
      <c r="B839" t="str">
        <f t="shared" si="52"/>
        <v>Jul 2025</v>
      </c>
      <c r="C839" t="str">
        <f t="shared" si="53"/>
        <v>Q3</v>
      </c>
      <c r="D839" t="str">
        <f t="shared" si="54"/>
        <v>FY2025</v>
      </c>
    </row>
    <row r="840" spans="1:4">
      <c r="A840" s="11">
        <f t="shared" si="55"/>
        <v>45855</v>
      </c>
      <c r="B840" t="str">
        <f t="shared" si="52"/>
        <v>Jul 2025</v>
      </c>
      <c r="C840" t="str">
        <f t="shared" si="53"/>
        <v>Q3</v>
      </c>
      <c r="D840" t="str">
        <f t="shared" si="54"/>
        <v>FY2025</v>
      </c>
    </row>
    <row r="841" spans="1:4">
      <c r="A841" s="11">
        <f t="shared" si="55"/>
        <v>45856</v>
      </c>
      <c r="B841" t="str">
        <f t="shared" si="52"/>
        <v>Jul 2025</v>
      </c>
      <c r="C841" t="str">
        <f t="shared" si="53"/>
        <v>Q3</v>
      </c>
      <c r="D841" t="str">
        <f t="shared" si="54"/>
        <v>FY2025</v>
      </c>
    </row>
    <row r="842" spans="1:4">
      <c r="A842" s="11">
        <f t="shared" si="55"/>
        <v>45857</v>
      </c>
      <c r="B842" t="str">
        <f t="shared" si="52"/>
        <v>Jul 2025</v>
      </c>
      <c r="C842" t="str">
        <f t="shared" si="53"/>
        <v>Q3</v>
      </c>
      <c r="D842" t="str">
        <f t="shared" si="54"/>
        <v>FY2025</v>
      </c>
    </row>
    <row r="843" spans="1:4">
      <c r="A843" s="11">
        <f t="shared" si="55"/>
        <v>45858</v>
      </c>
      <c r="B843" t="str">
        <f t="shared" si="52"/>
        <v>Jul 2025</v>
      </c>
      <c r="C843" t="str">
        <f t="shared" si="53"/>
        <v>Q3</v>
      </c>
      <c r="D843" t="str">
        <f t="shared" si="54"/>
        <v>FY2025</v>
      </c>
    </row>
    <row r="844" spans="1:4">
      <c r="A844" s="11">
        <f t="shared" si="55"/>
        <v>45859</v>
      </c>
      <c r="B844" t="str">
        <f t="shared" si="52"/>
        <v>Jul 2025</v>
      </c>
      <c r="C844" t="str">
        <f t="shared" si="53"/>
        <v>Q3</v>
      </c>
      <c r="D844" t="str">
        <f t="shared" si="54"/>
        <v>FY2025</v>
      </c>
    </row>
    <row r="845" spans="1:4">
      <c r="A845" s="11">
        <f t="shared" si="55"/>
        <v>45860</v>
      </c>
      <c r="B845" t="str">
        <f t="shared" si="52"/>
        <v>Jul 2025</v>
      </c>
      <c r="C845" t="str">
        <f t="shared" si="53"/>
        <v>Q3</v>
      </c>
      <c r="D845" t="str">
        <f t="shared" si="54"/>
        <v>FY2025</v>
      </c>
    </row>
    <row r="846" spans="1:4">
      <c r="A846" s="11">
        <f t="shared" si="55"/>
        <v>45861</v>
      </c>
      <c r="B846" t="str">
        <f t="shared" si="52"/>
        <v>Jul 2025</v>
      </c>
      <c r="C846" t="str">
        <f t="shared" si="53"/>
        <v>Q3</v>
      </c>
      <c r="D846" t="str">
        <f t="shared" si="54"/>
        <v>FY2025</v>
      </c>
    </row>
    <row r="847" spans="1:4">
      <c r="A847" s="11">
        <f t="shared" si="55"/>
        <v>45862</v>
      </c>
      <c r="B847" t="str">
        <f t="shared" si="52"/>
        <v>Jul 2025</v>
      </c>
      <c r="C847" t="str">
        <f t="shared" si="53"/>
        <v>Q3</v>
      </c>
      <c r="D847" t="str">
        <f t="shared" si="54"/>
        <v>FY2025</v>
      </c>
    </row>
    <row r="848" spans="1:4">
      <c r="A848" s="11">
        <f t="shared" si="55"/>
        <v>45863</v>
      </c>
      <c r="B848" t="str">
        <f t="shared" si="52"/>
        <v>Jul 2025</v>
      </c>
      <c r="C848" t="str">
        <f t="shared" si="53"/>
        <v>Q3</v>
      </c>
      <c r="D848" t="str">
        <f t="shared" si="54"/>
        <v>FY2025</v>
      </c>
    </row>
    <row r="849" spans="1:4">
      <c r="A849" s="11">
        <f t="shared" si="55"/>
        <v>45864</v>
      </c>
      <c r="B849" t="str">
        <f t="shared" si="52"/>
        <v>Jul 2025</v>
      </c>
      <c r="C849" t="str">
        <f t="shared" si="53"/>
        <v>Q3</v>
      </c>
      <c r="D849" t="str">
        <f t="shared" si="54"/>
        <v>FY2025</v>
      </c>
    </row>
    <row r="850" spans="1:4">
      <c r="A850" s="11">
        <f t="shared" si="55"/>
        <v>45865</v>
      </c>
      <c r="B850" t="str">
        <f t="shared" si="52"/>
        <v>Jul 2025</v>
      </c>
      <c r="C850" t="str">
        <f t="shared" si="53"/>
        <v>Q3</v>
      </c>
      <c r="D850" t="str">
        <f t="shared" si="54"/>
        <v>FY2025</v>
      </c>
    </row>
    <row r="851" spans="1:4">
      <c r="A851" s="11">
        <f t="shared" si="55"/>
        <v>45866</v>
      </c>
      <c r="B851" t="str">
        <f t="shared" si="52"/>
        <v>Jul 2025</v>
      </c>
      <c r="C851" t="str">
        <f t="shared" si="53"/>
        <v>Q3</v>
      </c>
      <c r="D851" t="str">
        <f t="shared" si="54"/>
        <v>FY2025</v>
      </c>
    </row>
    <row r="852" spans="1:4">
      <c r="A852" s="11">
        <f t="shared" si="55"/>
        <v>45867</v>
      </c>
      <c r="B852" t="str">
        <f t="shared" si="52"/>
        <v>Jul 2025</v>
      </c>
      <c r="C852" t="str">
        <f t="shared" si="53"/>
        <v>Q3</v>
      </c>
      <c r="D852" t="str">
        <f t="shared" si="54"/>
        <v>FY2025</v>
      </c>
    </row>
    <row r="853" spans="1:4">
      <c r="A853" s="11">
        <f t="shared" si="55"/>
        <v>45868</v>
      </c>
      <c r="B853" t="str">
        <f t="shared" si="52"/>
        <v>Jul 2025</v>
      </c>
      <c r="C853" t="str">
        <f t="shared" si="53"/>
        <v>Q3</v>
      </c>
      <c r="D853" t="str">
        <f t="shared" si="54"/>
        <v>FY2025</v>
      </c>
    </row>
    <row r="854" spans="1:4">
      <c r="A854" s="11">
        <f t="shared" si="55"/>
        <v>45869</v>
      </c>
      <c r="B854" t="str">
        <f t="shared" si="52"/>
        <v>Jul 2025</v>
      </c>
      <c r="C854" t="str">
        <f t="shared" si="53"/>
        <v>Q3</v>
      </c>
      <c r="D854" t="str">
        <f t="shared" si="54"/>
        <v>FY2025</v>
      </c>
    </row>
    <row r="855" spans="1:4">
      <c r="A855" s="11">
        <f t="shared" si="55"/>
        <v>45870</v>
      </c>
      <c r="B855" t="str">
        <f t="shared" si="52"/>
        <v>Aug 2025</v>
      </c>
      <c r="C855" t="str">
        <f t="shared" si="53"/>
        <v>Q3</v>
      </c>
      <c r="D855" t="str">
        <f t="shared" si="54"/>
        <v>FY2025</v>
      </c>
    </row>
    <row r="856" spans="1:4">
      <c r="A856" s="11">
        <f t="shared" si="55"/>
        <v>45871</v>
      </c>
      <c r="B856" t="str">
        <f t="shared" si="52"/>
        <v>Aug 2025</v>
      </c>
      <c r="C856" t="str">
        <f t="shared" si="53"/>
        <v>Q3</v>
      </c>
      <c r="D856" t="str">
        <f t="shared" si="54"/>
        <v>FY2025</v>
      </c>
    </row>
    <row r="857" spans="1:4">
      <c r="A857" s="11">
        <f t="shared" si="55"/>
        <v>45872</v>
      </c>
      <c r="B857" t="str">
        <f t="shared" si="52"/>
        <v>Aug 2025</v>
      </c>
      <c r="C857" t="str">
        <f t="shared" si="53"/>
        <v>Q3</v>
      </c>
      <c r="D857" t="str">
        <f t="shared" si="54"/>
        <v>FY2025</v>
      </c>
    </row>
    <row r="858" spans="1:4">
      <c r="A858" s="11">
        <f t="shared" si="55"/>
        <v>45873</v>
      </c>
      <c r="B858" t="str">
        <f t="shared" si="52"/>
        <v>Aug 2025</v>
      </c>
      <c r="C858" t="str">
        <f t="shared" si="53"/>
        <v>Q3</v>
      </c>
      <c r="D858" t="str">
        <f t="shared" si="54"/>
        <v>FY2025</v>
      </c>
    </row>
    <row r="859" spans="1:4">
      <c r="A859" s="11">
        <f t="shared" si="55"/>
        <v>45874</v>
      </c>
      <c r="B859" t="str">
        <f t="shared" si="52"/>
        <v>Aug 2025</v>
      </c>
      <c r="C859" t="str">
        <f t="shared" si="53"/>
        <v>Q3</v>
      </c>
      <c r="D859" t="str">
        <f t="shared" si="54"/>
        <v>FY2025</v>
      </c>
    </row>
    <row r="860" spans="1:4">
      <c r="A860" s="11">
        <f t="shared" si="55"/>
        <v>45875</v>
      </c>
      <c r="B860" t="str">
        <f t="shared" si="52"/>
        <v>Aug 2025</v>
      </c>
      <c r="C860" t="str">
        <f t="shared" si="53"/>
        <v>Q3</v>
      </c>
      <c r="D860" t="str">
        <f t="shared" si="54"/>
        <v>FY2025</v>
      </c>
    </row>
    <row r="861" spans="1:4">
      <c r="A861" s="11">
        <f t="shared" si="55"/>
        <v>45876</v>
      </c>
      <c r="B861" t="str">
        <f t="shared" si="52"/>
        <v>Aug 2025</v>
      </c>
      <c r="C861" t="str">
        <f t="shared" si="53"/>
        <v>Q3</v>
      </c>
      <c r="D861" t="str">
        <f t="shared" si="54"/>
        <v>FY2025</v>
      </c>
    </row>
    <row r="862" spans="1:4">
      <c r="A862" s="11">
        <f t="shared" si="55"/>
        <v>45877</v>
      </c>
      <c r="B862" t="str">
        <f t="shared" si="52"/>
        <v>Aug 2025</v>
      </c>
      <c r="C862" t="str">
        <f t="shared" si="53"/>
        <v>Q3</v>
      </c>
      <c r="D862" t="str">
        <f t="shared" si="54"/>
        <v>FY2025</v>
      </c>
    </row>
    <row r="863" spans="1:4">
      <c r="A863" s="11">
        <f t="shared" si="55"/>
        <v>45878</v>
      </c>
      <c r="B863" t="str">
        <f t="shared" si="52"/>
        <v>Aug 2025</v>
      </c>
      <c r="C863" t="str">
        <f t="shared" si="53"/>
        <v>Q3</v>
      </c>
      <c r="D863" t="str">
        <f t="shared" si="54"/>
        <v>FY2025</v>
      </c>
    </row>
    <row r="864" spans="1:4">
      <c r="A864" s="11">
        <f t="shared" si="55"/>
        <v>45879</v>
      </c>
      <c r="B864" t="str">
        <f t="shared" si="52"/>
        <v>Aug 2025</v>
      </c>
      <c r="C864" t="str">
        <f t="shared" si="53"/>
        <v>Q3</v>
      </c>
      <c r="D864" t="str">
        <f t="shared" si="54"/>
        <v>FY2025</v>
      </c>
    </row>
    <row r="865" spans="1:4">
      <c r="A865" s="11">
        <f t="shared" si="55"/>
        <v>45880</v>
      </c>
      <c r="B865" t="str">
        <f t="shared" si="52"/>
        <v>Aug 2025</v>
      </c>
      <c r="C865" t="str">
        <f t="shared" si="53"/>
        <v>Q3</v>
      </c>
      <c r="D865" t="str">
        <f t="shared" si="54"/>
        <v>FY2025</v>
      </c>
    </row>
    <row r="866" spans="1:4">
      <c r="A866" s="11">
        <f t="shared" si="55"/>
        <v>45881</v>
      </c>
      <c r="B866" t="str">
        <f t="shared" si="52"/>
        <v>Aug 2025</v>
      </c>
      <c r="C866" t="str">
        <f t="shared" si="53"/>
        <v>Q3</v>
      </c>
      <c r="D866" t="str">
        <f t="shared" si="54"/>
        <v>FY2025</v>
      </c>
    </row>
    <row r="867" spans="1:4">
      <c r="A867" s="11">
        <f t="shared" si="55"/>
        <v>45882</v>
      </c>
      <c r="B867" t="str">
        <f t="shared" si="52"/>
        <v>Aug 2025</v>
      </c>
      <c r="C867" t="str">
        <f t="shared" si="53"/>
        <v>Q3</v>
      </c>
      <c r="D867" t="str">
        <f t="shared" si="54"/>
        <v>FY2025</v>
      </c>
    </row>
    <row r="868" spans="1:4">
      <c r="A868" s="11">
        <f t="shared" si="55"/>
        <v>45883</v>
      </c>
      <c r="B868" t="str">
        <f t="shared" si="52"/>
        <v>Aug 2025</v>
      </c>
      <c r="C868" t="str">
        <f t="shared" si="53"/>
        <v>Q3</v>
      </c>
      <c r="D868" t="str">
        <f t="shared" si="54"/>
        <v>FY2025</v>
      </c>
    </row>
    <row r="869" spans="1:4">
      <c r="A869" s="11">
        <f t="shared" si="55"/>
        <v>45884</v>
      </c>
      <c r="B869" t="str">
        <f t="shared" si="52"/>
        <v>Aug 2025</v>
      </c>
      <c r="C869" t="str">
        <f t="shared" si="53"/>
        <v>Q3</v>
      </c>
      <c r="D869" t="str">
        <f t="shared" si="54"/>
        <v>FY2025</v>
      </c>
    </row>
    <row r="870" spans="1:4">
      <c r="A870" s="11">
        <f t="shared" si="55"/>
        <v>45885</v>
      </c>
      <c r="B870" t="str">
        <f t="shared" si="52"/>
        <v>Aug 2025</v>
      </c>
      <c r="C870" t="str">
        <f t="shared" si="53"/>
        <v>Q3</v>
      </c>
      <c r="D870" t="str">
        <f t="shared" si="54"/>
        <v>FY2025</v>
      </c>
    </row>
    <row r="871" spans="1:4">
      <c r="A871" s="11">
        <f t="shared" si="55"/>
        <v>45886</v>
      </c>
      <c r="B871" t="str">
        <f t="shared" si="52"/>
        <v>Aug 2025</v>
      </c>
      <c r="C871" t="str">
        <f t="shared" si="53"/>
        <v>Q3</v>
      </c>
      <c r="D871" t="str">
        <f t="shared" si="54"/>
        <v>FY2025</v>
      </c>
    </row>
    <row r="872" spans="1:4">
      <c r="A872" s="11">
        <f t="shared" si="55"/>
        <v>45887</v>
      </c>
      <c r="B872" t="str">
        <f t="shared" si="52"/>
        <v>Aug 2025</v>
      </c>
      <c r="C872" t="str">
        <f t="shared" si="53"/>
        <v>Q3</v>
      </c>
      <c r="D872" t="str">
        <f t="shared" si="54"/>
        <v>FY2025</v>
      </c>
    </row>
    <row r="873" spans="1:4">
      <c r="A873" s="11">
        <f t="shared" si="55"/>
        <v>45888</v>
      </c>
      <c r="B873" t="str">
        <f t="shared" si="52"/>
        <v>Aug 2025</v>
      </c>
      <c r="C873" t="str">
        <f t="shared" si="53"/>
        <v>Q3</v>
      </c>
      <c r="D873" t="str">
        <f t="shared" si="54"/>
        <v>FY2025</v>
      </c>
    </row>
    <row r="874" spans="1:4">
      <c r="A874" s="11">
        <f t="shared" si="55"/>
        <v>45889</v>
      </c>
      <c r="B874" t="str">
        <f t="shared" si="52"/>
        <v>Aug 2025</v>
      </c>
      <c r="C874" t="str">
        <f t="shared" si="53"/>
        <v>Q3</v>
      </c>
      <c r="D874" t="str">
        <f t="shared" si="54"/>
        <v>FY2025</v>
      </c>
    </row>
    <row r="875" spans="1:4">
      <c r="A875" s="11">
        <f t="shared" si="55"/>
        <v>45890</v>
      </c>
      <c r="B875" t="str">
        <f t="shared" si="52"/>
        <v>Aug 2025</v>
      </c>
      <c r="C875" t="str">
        <f t="shared" si="53"/>
        <v>Q3</v>
      </c>
      <c r="D875" t="str">
        <f t="shared" si="54"/>
        <v>FY2025</v>
      </c>
    </row>
    <row r="876" spans="1:4">
      <c r="A876" s="11">
        <f t="shared" si="55"/>
        <v>45891</v>
      </c>
      <c r="B876" t="str">
        <f t="shared" si="52"/>
        <v>Aug 2025</v>
      </c>
      <c r="C876" t="str">
        <f t="shared" si="53"/>
        <v>Q3</v>
      </c>
      <c r="D876" t="str">
        <f t="shared" si="54"/>
        <v>FY2025</v>
      </c>
    </row>
    <row r="877" spans="1:4">
      <c r="A877" s="11">
        <f t="shared" si="55"/>
        <v>45892</v>
      </c>
      <c r="B877" t="str">
        <f t="shared" si="52"/>
        <v>Aug 2025</v>
      </c>
      <c r="C877" t="str">
        <f t="shared" si="53"/>
        <v>Q3</v>
      </c>
      <c r="D877" t="str">
        <f t="shared" si="54"/>
        <v>FY2025</v>
      </c>
    </row>
    <row r="878" spans="1:4">
      <c r="A878" s="11">
        <f t="shared" si="55"/>
        <v>45893</v>
      </c>
      <c r="B878" t="str">
        <f t="shared" si="52"/>
        <v>Aug 2025</v>
      </c>
      <c r="C878" t="str">
        <f t="shared" si="53"/>
        <v>Q3</v>
      </c>
      <c r="D878" t="str">
        <f t="shared" si="54"/>
        <v>FY2025</v>
      </c>
    </row>
    <row r="879" spans="1:4">
      <c r="A879" s="11">
        <f t="shared" si="55"/>
        <v>45894</v>
      </c>
      <c r="B879" t="str">
        <f t="shared" si="52"/>
        <v>Aug 2025</v>
      </c>
      <c r="C879" t="str">
        <f t="shared" si="53"/>
        <v>Q3</v>
      </c>
      <c r="D879" t="str">
        <f t="shared" si="54"/>
        <v>FY2025</v>
      </c>
    </row>
    <row r="880" spans="1:4">
      <c r="A880" s="11">
        <f t="shared" si="55"/>
        <v>45895</v>
      </c>
      <c r="B880" t="str">
        <f t="shared" si="52"/>
        <v>Aug 2025</v>
      </c>
      <c r="C880" t="str">
        <f t="shared" si="53"/>
        <v>Q3</v>
      </c>
      <c r="D880" t="str">
        <f t="shared" si="54"/>
        <v>FY2025</v>
      </c>
    </row>
    <row r="881" spans="1:4">
      <c r="A881" s="11">
        <f t="shared" si="55"/>
        <v>45896</v>
      </c>
      <c r="B881" t="str">
        <f t="shared" si="52"/>
        <v>Aug 2025</v>
      </c>
      <c r="C881" t="str">
        <f t="shared" si="53"/>
        <v>Q3</v>
      </c>
      <c r="D881" t="str">
        <f t="shared" si="54"/>
        <v>FY2025</v>
      </c>
    </row>
    <row r="882" spans="1:4">
      <c r="A882" s="11">
        <f t="shared" si="55"/>
        <v>45897</v>
      </c>
      <c r="B882" t="str">
        <f t="shared" si="52"/>
        <v>Aug 2025</v>
      </c>
      <c r="C882" t="str">
        <f t="shared" si="53"/>
        <v>Q3</v>
      </c>
      <c r="D882" t="str">
        <f t="shared" si="54"/>
        <v>FY2025</v>
      </c>
    </row>
    <row r="883" spans="1:4">
      <c r="A883" s="11">
        <f t="shared" si="55"/>
        <v>45898</v>
      </c>
      <c r="B883" t="str">
        <f t="shared" si="52"/>
        <v>Aug 2025</v>
      </c>
      <c r="C883" t="str">
        <f t="shared" si="53"/>
        <v>Q3</v>
      </c>
      <c r="D883" t="str">
        <f t="shared" si="54"/>
        <v>FY2025</v>
      </c>
    </row>
    <row r="884" spans="1:4">
      <c r="A884" s="11">
        <f t="shared" si="55"/>
        <v>45899</v>
      </c>
      <c r="B884" t="str">
        <f t="shared" si="52"/>
        <v>Aug 2025</v>
      </c>
      <c r="C884" t="str">
        <f t="shared" si="53"/>
        <v>Q3</v>
      </c>
      <c r="D884" t="str">
        <f t="shared" si="54"/>
        <v>FY2025</v>
      </c>
    </row>
    <row r="885" spans="1:4">
      <c r="A885" s="11">
        <f t="shared" si="55"/>
        <v>45900</v>
      </c>
      <c r="B885" t="str">
        <f t="shared" si="52"/>
        <v>Aug 2025</v>
      </c>
      <c r="C885" t="str">
        <f t="shared" si="53"/>
        <v>Q3</v>
      </c>
      <c r="D885" t="str">
        <f t="shared" si="54"/>
        <v>FY2025</v>
      </c>
    </row>
    <row r="886" spans="1:4">
      <c r="A886" s="11">
        <f t="shared" si="55"/>
        <v>45901</v>
      </c>
      <c r="B886" t="str">
        <f t="shared" si="52"/>
        <v>Sep 2025</v>
      </c>
      <c r="C886" t="str">
        <f t="shared" si="53"/>
        <v>Q3</v>
      </c>
      <c r="D886" t="str">
        <f t="shared" si="54"/>
        <v>FY2025</v>
      </c>
    </row>
    <row r="887" spans="1:4">
      <c r="A887" s="11">
        <f t="shared" si="55"/>
        <v>45902</v>
      </c>
      <c r="B887" t="str">
        <f t="shared" si="52"/>
        <v>Sep 2025</v>
      </c>
      <c r="C887" t="str">
        <f t="shared" si="53"/>
        <v>Q3</v>
      </c>
      <c r="D887" t="str">
        <f t="shared" si="54"/>
        <v>FY2025</v>
      </c>
    </row>
    <row r="888" spans="1:4">
      <c r="A888" s="11">
        <f t="shared" si="55"/>
        <v>45903</v>
      </c>
      <c r="B888" t="str">
        <f t="shared" si="52"/>
        <v>Sep 2025</v>
      </c>
      <c r="C888" t="str">
        <f t="shared" si="53"/>
        <v>Q3</v>
      </c>
      <c r="D888" t="str">
        <f t="shared" si="54"/>
        <v>FY2025</v>
      </c>
    </row>
    <row r="889" spans="1:4">
      <c r="A889" s="11">
        <f t="shared" si="55"/>
        <v>45904</v>
      </c>
      <c r="B889" t="str">
        <f t="shared" si="52"/>
        <v>Sep 2025</v>
      </c>
      <c r="C889" t="str">
        <f t="shared" si="53"/>
        <v>Q3</v>
      </c>
      <c r="D889" t="str">
        <f t="shared" si="54"/>
        <v>FY2025</v>
      </c>
    </row>
    <row r="890" spans="1:4">
      <c r="A890" s="11">
        <f t="shared" si="55"/>
        <v>45905</v>
      </c>
      <c r="B890" t="str">
        <f t="shared" si="52"/>
        <v>Sep 2025</v>
      </c>
      <c r="C890" t="str">
        <f t="shared" si="53"/>
        <v>Q3</v>
      </c>
      <c r="D890" t="str">
        <f t="shared" si="54"/>
        <v>FY2025</v>
      </c>
    </row>
    <row r="891" spans="1:4">
      <c r="A891" s="11">
        <f t="shared" si="55"/>
        <v>45906</v>
      </c>
      <c r="B891" t="str">
        <f t="shared" si="52"/>
        <v>Sep 2025</v>
      </c>
      <c r="C891" t="str">
        <f t="shared" si="53"/>
        <v>Q3</v>
      </c>
      <c r="D891" t="str">
        <f t="shared" si="54"/>
        <v>FY2025</v>
      </c>
    </row>
    <row r="892" spans="1:4">
      <c r="A892" s="11">
        <f t="shared" si="55"/>
        <v>45907</v>
      </c>
      <c r="B892" t="str">
        <f t="shared" si="52"/>
        <v>Sep 2025</v>
      </c>
      <c r="C892" t="str">
        <f t="shared" si="53"/>
        <v>Q3</v>
      </c>
      <c r="D892" t="str">
        <f t="shared" si="54"/>
        <v>FY2025</v>
      </c>
    </row>
    <row r="893" spans="1:4">
      <c r="A893" s="11">
        <f t="shared" si="55"/>
        <v>45908</v>
      </c>
      <c r="B893" t="str">
        <f t="shared" si="52"/>
        <v>Sep 2025</v>
      </c>
      <c r="C893" t="str">
        <f t="shared" si="53"/>
        <v>Q3</v>
      </c>
      <c r="D893" t="str">
        <f t="shared" si="54"/>
        <v>FY2025</v>
      </c>
    </row>
    <row r="894" spans="1:4">
      <c r="A894" s="11">
        <f t="shared" si="55"/>
        <v>45909</v>
      </c>
      <c r="B894" t="str">
        <f t="shared" si="52"/>
        <v>Sep 2025</v>
      </c>
      <c r="C894" t="str">
        <f t="shared" si="53"/>
        <v>Q3</v>
      </c>
      <c r="D894" t="str">
        <f t="shared" si="54"/>
        <v>FY2025</v>
      </c>
    </row>
    <row r="895" spans="1:4">
      <c r="A895" s="11">
        <f t="shared" si="55"/>
        <v>45910</v>
      </c>
      <c r="B895" t="str">
        <f t="shared" si="52"/>
        <v>Sep 2025</v>
      </c>
      <c r="C895" t="str">
        <f t="shared" si="53"/>
        <v>Q3</v>
      </c>
      <c r="D895" t="str">
        <f t="shared" si="54"/>
        <v>FY2025</v>
      </c>
    </row>
    <row r="896" spans="1:4">
      <c r="A896" s="11">
        <f t="shared" si="55"/>
        <v>45911</v>
      </c>
      <c r="B896" t="str">
        <f t="shared" si="52"/>
        <v>Sep 2025</v>
      </c>
      <c r="C896" t="str">
        <f t="shared" si="53"/>
        <v>Q3</v>
      </c>
      <c r="D896" t="str">
        <f t="shared" si="54"/>
        <v>FY2025</v>
      </c>
    </row>
    <row r="897" spans="1:4">
      <c r="A897" s="11">
        <f t="shared" si="55"/>
        <v>45912</v>
      </c>
      <c r="B897" t="str">
        <f t="shared" si="52"/>
        <v>Sep 2025</v>
      </c>
      <c r="C897" t="str">
        <f t="shared" si="53"/>
        <v>Q3</v>
      </c>
      <c r="D897" t="str">
        <f t="shared" si="54"/>
        <v>FY2025</v>
      </c>
    </row>
    <row r="898" spans="1:4">
      <c r="A898" s="11">
        <f t="shared" si="55"/>
        <v>45913</v>
      </c>
      <c r="B898" t="str">
        <f t="shared" si="52"/>
        <v>Sep 2025</v>
      </c>
      <c r="C898" t="str">
        <f t="shared" si="53"/>
        <v>Q3</v>
      </c>
      <c r="D898" t="str">
        <f t="shared" si="54"/>
        <v>FY2025</v>
      </c>
    </row>
    <row r="899" spans="1:4">
      <c r="A899" s="11">
        <f t="shared" si="55"/>
        <v>45914</v>
      </c>
      <c r="B899" t="str">
        <f t="shared" ref="B899:B962" si="56">TEXT(A899, "MMM_YYYY")</f>
        <v>Sep 2025</v>
      </c>
      <c r="C899" t="str">
        <f t="shared" ref="C899:C962" si="57">"Q" &amp; INT((MONTH(A899)-1)/3)+1</f>
        <v>Q3</v>
      </c>
      <c r="D899" t="str">
        <f t="shared" ref="D899:D962" si="58">"FY" &amp; IF(MONTH(A899)&gt;=4, YEAR(A899), YEAR(A899)-1)</f>
        <v>FY2025</v>
      </c>
    </row>
    <row r="900" spans="1:4">
      <c r="A900" s="11">
        <f t="shared" ref="A900:A963" si="59">A899+1</f>
        <v>45915</v>
      </c>
      <c r="B900" t="str">
        <f t="shared" si="56"/>
        <v>Sep 2025</v>
      </c>
      <c r="C900" t="str">
        <f t="shared" si="57"/>
        <v>Q3</v>
      </c>
      <c r="D900" t="str">
        <f t="shared" si="58"/>
        <v>FY2025</v>
      </c>
    </row>
    <row r="901" spans="1:4">
      <c r="A901" s="11">
        <f t="shared" si="59"/>
        <v>45916</v>
      </c>
      <c r="B901" t="str">
        <f t="shared" si="56"/>
        <v>Sep 2025</v>
      </c>
      <c r="C901" t="str">
        <f t="shared" si="57"/>
        <v>Q3</v>
      </c>
      <c r="D901" t="str">
        <f t="shared" si="58"/>
        <v>FY2025</v>
      </c>
    </row>
    <row r="902" spans="1:4">
      <c r="A902" s="11">
        <f t="shared" si="59"/>
        <v>45917</v>
      </c>
      <c r="B902" t="str">
        <f t="shared" si="56"/>
        <v>Sep 2025</v>
      </c>
      <c r="C902" t="str">
        <f t="shared" si="57"/>
        <v>Q3</v>
      </c>
      <c r="D902" t="str">
        <f t="shared" si="58"/>
        <v>FY2025</v>
      </c>
    </row>
    <row r="903" spans="1:4">
      <c r="A903" s="11">
        <f t="shared" si="59"/>
        <v>45918</v>
      </c>
      <c r="B903" t="str">
        <f t="shared" si="56"/>
        <v>Sep 2025</v>
      </c>
      <c r="C903" t="str">
        <f t="shared" si="57"/>
        <v>Q3</v>
      </c>
      <c r="D903" t="str">
        <f t="shared" si="58"/>
        <v>FY2025</v>
      </c>
    </row>
    <row r="904" spans="1:4">
      <c r="A904" s="11">
        <f t="shared" si="59"/>
        <v>45919</v>
      </c>
      <c r="B904" t="str">
        <f t="shared" si="56"/>
        <v>Sep 2025</v>
      </c>
      <c r="C904" t="str">
        <f t="shared" si="57"/>
        <v>Q3</v>
      </c>
      <c r="D904" t="str">
        <f t="shared" si="58"/>
        <v>FY2025</v>
      </c>
    </row>
    <row r="905" spans="1:4">
      <c r="A905" s="11">
        <f t="shared" si="59"/>
        <v>45920</v>
      </c>
      <c r="B905" t="str">
        <f t="shared" si="56"/>
        <v>Sep 2025</v>
      </c>
      <c r="C905" t="str">
        <f t="shared" si="57"/>
        <v>Q3</v>
      </c>
      <c r="D905" t="str">
        <f t="shared" si="58"/>
        <v>FY2025</v>
      </c>
    </row>
    <row r="906" spans="1:4">
      <c r="A906" s="11">
        <f t="shared" si="59"/>
        <v>45921</v>
      </c>
      <c r="B906" t="str">
        <f t="shared" si="56"/>
        <v>Sep 2025</v>
      </c>
      <c r="C906" t="str">
        <f t="shared" si="57"/>
        <v>Q3</v>
      </c>
      <c r="D906" t="str">
        <f t="shared" si="58"/>
        <v>FY2025</v>
      </c>
    </row>
    <row r="907" spans="1:4">
      <c r="A907" s="11">
        <f t="shared" si="59"/>
        <v>45922</v>
      </c>
      <c r="B907" t="str">
        <f t="shared" si="56"/>
        <v>Sep 2025</v>
      </c>
      <c r="C907" t="str">
        <f t="shared" si="57"/>
        <v>Q3</v>
      </c>
      <c r="D907" t="str">
        <f t="shared" si="58"/>
        <v>FY2025</v>
      </c>
    </row>
    <row r="908" spans="1:4">
      <c r="A908" s="11">
        <f t="shared" si="59"/>
        <v>45923</v>
      </c>
      <c r="B908" t="str">
        <f t="shared" si="56"/>
        <v>Sep 2025</v>
      </c>
      <c r="C908" t="str">
        <f t="shared" si="57"/>
        <v>Q3</v>
      </c>
      <c r="D908" t="str">
        <f t="shared" si="58"/>
        <v>FY2025</v>
      </c>
    </row>
    <row r="909" spans="1:4">
      <c r="A909" s="11">
        <f t="shared" si="59"/>
        <v>45924</v>
      </c>
      <c r="B909" t="str">
        <f t="shared" si="56"/>
        <v>Sep 2025</v>
      </c>
      <c r="C909" t="str">
        <f t="shared" si="57"/>
        <v>Q3</v>
      </c>
      <c r="D909" t="str">
        <f t="shared" si="58"/>
        <v>FY2025</v>
      </c>
    </row>
    <row r="910" spans="1:4">
      <c r="A910" s="11">
        <f t="shared" si="59"/>
        <v>45925</v>
      </c>
      <c r="B910" t="str">
        <f t="shared" si="56"/>
        <v>Sep 2025</v>
      </c>
      <c r="C910" t="str">
        <f t="shared" si="57"/>
        <v>Q3</v>
      </c>
      <c r="D910" t="str">
        <f t="shared" si="58"/>
        <v>FY2025</v>
      </c>
    </row>
    <row r="911" spans="1:4">
      <c r="A911" s="11">
        <f t="shared" si="59"/>
        <v>45926</v>
      </c>
      <c r="B911" t="str">
        <f t="shared" si="56"/>
        <v>Sep 2025</v>
      </c>
      <c r="C911" t="str">
        <f t="shared" si="57"/>
        <v>Q3</v>
      </c>
      <c r="D911" t="str">
        <f t="shared" si="58"/>
        <v>FY2025</v>
      </c>
    </row>
    <row r="912" spans="1:4">
      <c r="A912" s="11">
        <f t="shared" si="59"/>
        <v>45927</v>
      </c>
      <c r="B912" t="str">
        <f t="shared" si="56"/>
        <v>Sep 2025</v>
      </c>
      <c r="C912" t="str">
        <f t="shared" si="57"/>
        <v>Q3</v>
      </c>
      <c r="D912" t="str">
        <f t="shared" si="58"/>
        <v>FY2025</v>
      </c>
    </row>
    <row r="913" spans="1:4">
      <c r="A913" s="11">
        <f t="shared" si="59"/>
        <v>45928</v>
      </c>
      <c r="B913" t="str">
        <f t="shared" si="56"/>
        <v>Sep 2025</v>
      </c>
      <c r="C913" t="str">
        <f t="shared" si="57"/>
        <v>Q3</v>
      </c>
      <c r="D913" t="str">
        <f t="shared" si="58"/>
        <v>FY2025</v>
      </c>
    </row>
    <row r="914" spans="1:4">
      <c r="A914" s="11">
        <f t="shared" si="59"/>
        <v>45929</v>
      </c>
      <c r="B914" t="str">
        <f t="shared" si="56"/>
        <v>Sep 2025</v>
      </c>
      <c r="C914" t="str">
        <f t="shared" si="57"/>
        <v>Q3</v>
      </c>
      <c r="D914" t="str">
        <f t="shared" si="58"/>
        <v>FY2025</v>
      </c>
    </row>
    <row r="915" spans="1:4">
      <c r="A915" s="11">
        <f t="shared" si="59"/>
        <v>45930</v>
      </c>
      <c r="B915" t="str">
        <f t="shared" si="56"/>
        <v>Sep 2025</v>
      </c>
      <c r="C915" t="str">
        <f t="shared" si="57"/>
        <v>Q3</v>
      </c>
      <c r="D915" t="str">
        <f t="shared" si="58"/>
        <v>FY2025</v>
      </c>
    </row>
    <row r="916" spans="1:4">
      <c r="A916" s="11">
        <f t="shared" si="59"/>
        <v>45931</v>
      </c>
      <c r="B916" t="str">
        <f t="shared" si="56"/>
        <v>Oct 2025</v>
      </c>
      <c r="C916" t="str">
        <f t="shared" si="57"/>
        <v>Q4</v>
      </c>
      <c r="D916" t="str">
        <f t="shared" si="58"/>
        <v>FY2025</v>
      </c>
    </row>
    <row r="917" spans="1:4">
      <c r="A917" s="11">
        <f t="shared" si="59"/>
        <v>45932</v>
      </c>
      <c r="B917" t="str">
        <f t="shared" si="56"/>
        <v>Oct 2025</v>
      </c>
      <c r="C917" t="str">
        <f t="shared" si="57"/>
        <v>Q4</v>
      </c>
      <c r="D917" t="str">
        <f t="shared" si="58"/>
        <v>FY2025</v>
      </c>
    </row>
    <row r="918" spans="1:4">
      <c r="A918" s="11">
        <f t="shared" si="59"/>
        <v>45933</v>
      </c>
      <c r="B918" t="str">
        <f t="shared" si="56"/>
        <v>Oct 2025</v>
      </c>
      <c r="C918" t="str">
        <f t="shared" si="57"/>
        <v>Q4</v>
      </c>
      <c r="D918" t="str">
        <f t="shared" si="58"/>
        <v>FY2025</v>
      </c>
    </row>
    <row r="919" spans="1:4">
      <c r="A919" s="11">
        <f t="shared" si="59"/>
        <v>45934</v>
      </c>
      <c r="B919" t="str">
        <f t="shared" si="56"/>
        <v>Oct 2025</v>
      </c>
      <c r="C919" t="str">
        <f t="shared" si="57"/>
        <v>Q4</v>
      </c>
      <c r="D919" t="str">
        <f t="shared" si="58"/>
        <v>FY2025</v>
      </c>
    </row>
    <row r="920" spans="1:4">
      <c r="A920" s="11">
        <f t="shared" si="59"/>
        <v>45935</v>
      </c>
      <c r="B920" t="str">
        <f t="shared" si="56"/>
        <v>Oct 2025</v>
      </c>
      <c r="C920" t="str">
        <f t="shared" si="57"/>
        <v>Q4</v>
      </c>
      <c r="D920" t="str">
        <f t="shared" si="58"/>
        <v>FY2025</v>
      </c>
    </row>
    <row r="921" spans="1:4">
      <c r="A921" s="11">
        <f t="shared" si="59"/>
        <v>45936</v>
      </c>
      <c r="B921" t="str">
        <f t="shared" si="56"/>
        <v>Oct 2025</v>
      </c>
      <c r="C921" t="str">
        <f t="shared" si="57"/>
        <v>Q4</v>
      </c>
      <c r="D921" t="str">
        <f t="shared" si="58"/>
        <v>FY2025</v>
      </c>
    </row>
    <row r="922" spans="1:4">
      <c r="A922" s="11">
        <f t="shared" si="59"/>
        <v>45937</v>
      </c>
      <c r="B922" t="str">
        <f t="shared" si="56"/>
        <v>Oct 2025</v>
      </c>
      <c r="C922" t="str">
        <f t="shared" si="57"/>
        <v>Q4</v>
      </c>
      <c r="D922" t="str">
        <f t="shared" si="58"/>
        <v>FY2025</v>
      </c>
    </row>
    <row r="923" spans="1:4">
      <c r="A923" s="11">
        <f t="shared" si="59"/>
        <v>45938</v>
      </c>
      <c r="B923" t="str">
        <f t="shared" si="56"/>
        <v>Oct 2025</v>
      </c>
      <c r="C923" t="str">
        <f t="shared" si="57"/>
        <v>Q4</v>
      </c>
      <c r="D923" t="str">
        <f t="shared" si="58"/>
        <v>FY2025</v>
      </c>
    </row>
    <row r="924" spans="1:4">
      <c r="A924" s="11">
        <f t="shared" si="59"/>
        <v>45939</v>
      </c>
      <c r="B924" t="str">
        <f t="shared" si="56"/>
        <v>Oct 2025</v>
      </c>
      <c r="C924" t="str">
        <f t="shared" si="57"/>
        <v>Q4</v>
      </c>
      <c r="D924" t="str">
        <f t="shared" si="58"/>
        <v>FY2025</v>
      </c>
    </row>
    <row r="925" spans="1:4">
      <c r="A925" s="11">
        <f t="shared" si="59"/>
        <v>45940</v>
      </c>
      <c r="B925" t="str">
        <f t="shared" si="56"/>
        <v>Oct 2025</v>
      </c>
      <c r="C925" t="str">
        <f t="shared" si="57"/>
        <v>Q4</v>
      </c>
      <c r="D925" t="str">
        <f t="shared" si="58"/>
        <v>FY2025</v>
      </c>
    </row>
    <row r="926" spans="1:4">
      <c r="A926" s="11">
        <f t="shared" si="59"/>
        <v>45941</v>
      </c>
      <c r="B926" t="str">
        <f t="shared" si="56"/>
        <v>Oct 2025</v>
      </c>
      <c r="C926" t="str">
        <f t="shared" si="57"/>
        <v>Q4</v>
      </c>
      <c r="D926" t="str">
        <f t="shared" si="58"/>
        <v>FY2025</v>
      </c>
    </row>
    <row r="927" spans="1:4">
      <c r="A927" s="11">
        <f t="shared" si="59"/>
        <v>45942</v>
      </c>
      <c r="B927" t="str">
        <f t="shared" si="56"/>
        <v>Oct 2025</v>
      </c>
      <c r="C927" t="str">
        <f t="shared" si="57"/>
        <v>Q4</v>
      </c>
      <c r="D927" t="str">
        <f t="shared" si="58"/>
        <v>FY2025</v>
      </c>
    </row>
    <row r="928" spans="1:4">
      <c r="A928" s="11">
        <f t="shared" si="59"/>
        <v>45943</v>
      </c>
      <c r="B928" t="str">
        <f t="shared" si="56"/>
        <v>Oct 2025</v>
      </c>
      <c r="C928" t="str">
        <f t="shared" si="57"/>
        <v>Q4</v>
      </c>
      <c r="D928" t="str">
        <f t="shared" si="58"/>
        <v>FY2025</v>
      </c>
    </row>
    <row r="929" spans="1:4">
      <c r="A929" s="11">
        <f t="shared" si="59"/>
        <v>45944</v>
      </c>
      <c r="B929" t="str">
        <f t="shared" si="56"/>
        <v>Oct 2025</v>
      </c>
      <c r="C929" t="str">
        <f t="shared" si="57"/>
        <v>Q4</v>
      </c>
      <c r="D929" t="str">
        <f t="shared" si="58"/>
        <v>FY2025</v>
      </c>
    </row>
    <row r="930" spans="1:4">
      <c r="A930" s="11">
        <f t="shared" si="59"/>
        <v>45945</v>
      </c>
      <c r="B930" t="str">
        <f t="shared" si="56"/>
        <v>Oct 2025</v>
      </c>
      <c r="C930" t="str">
        <f t="shared" si="57"/>
        <v>Q4</v>
      </c>
      <c r="D930" t="str">
        <f t="shared" si="58"/>
        <v>FY2025</v>
      </c>
    </row>
    <row r="931" spans="1:4">
      <c r="A931" s="11">
        <f t="shared" si="59"/>
        <v>45946</v>
      </c>
      <c r="B931" t="str">
        <f t="shared" si="56"/>
        <v>Oct 2025</v>
      </c>
      <c r="C931" t="str">
        <f t="shared" si="57"/>
        <v>Q4</v>
      </c>
      <c r="D931" t="str">
        <f t="shared" si="58"/>
        <v>FY2025</v>
      </c>
    </row>
    <row r="932" spans="1:4">
      <c r="A932" s="11">
        <f t="shared" si="59"/>
        <v>45947</v>
      </c>
      <c r="B932" t="str">
        <f t="shared" si="56"/>
        <v>Oct 2025</v>
      </c>
      <c r="C932" t="str">
        <f t="shared" si="57"/>
        <v>Q4</v>
      </c>
      <c r="D932" t="str">
        <f t="shared" si="58"/>
        <v>FY2025</v>
      </c>
    </row>
    <row r="933" spans="1:4">
      <c r="A933" s="11">
        <f t="shared" si="59"/>
        <v>45948</v>
      </c>
      <c r="B933" t="str">
        <f t="shared" si="56"/>
        <v>Oct 2025</v>
      </c>
      <c r="C933" t="str">
        <f t="shared" si="57"/>
        <v>Q4</v>
      </c>
      <c r="D933" t="str">
        <f t="shared" si="58"/>
        <v>FY2025</v>
      </c>
    </row>
    <row r="934" spans="1:4">
      <c r="A934" s="11">
        <f t="shared" si="59"/>
        <v>45949</v>
      </c>
      <c r="B934" t="str">
        <f t="shared" si="56"/>
        <v>Oct 2025</v>
      </c>
      <c r="C934" t="str">
        <f t="shared" si="57"/>
        <v>Q4</v>
      </c>
      <c r="D934" t="str">
        <f t="shared" si="58"/>
        <v>FY2025</v>
      </c>
    </row>
    <row r="935" spans="1:4">
      <c r="A935" s="11">
        <f t="shared" si="59"/>
        <v>45950</v>
      </c>
      <c r="B935" t="str">
        <f t="shared" si="56"/>
        <v>Oct 2025</v>
      </c>
      <c r="C935" t="str">
        <f t="shared" si="57"/>
        <v>Q4</v>
      </c>
      <c r="D935" t="str">
        <f t="shared" si="58"/>
        <v>FY2025</v>
      </c>
    </row>
    <row r="936" spans="1:4">
      <c r="A936" s="11">
        <f t="shared" si="59"/>
        <v>45951</v>
      </c>
      <c r="B936" t="str">
        <f t="shared" si="56"/>
        <v>Oct 2025</v>
      </c>
      <c r="C936" t="str">
        <f t="shared" si="57"/>
        <v>Q4</v>
      </c>
      <c r="D936" t="str">
        <f t="shared" si="58"/>
        <v>FY2025</v>
      </c>
    </row>
    <row r="937" spans="1:4">
      <c r="A937" s="11">
        <f t="shared" si="59"/>
        <v>45952</v>
      </c>
      <c r="B937" t="str">
        <f t="shared" si="56"/>
        <v>Oct 2025</v>
      </c>
      <c r="C937" t="str">
        <f t="shared" si="57"/>
        <v>Q4</v>
      </c>
      <c r="D937" t="str">
        <f t="shared" si="58"/>
        <v>FY2025</v>
      </c>
    </row>
    <row r="938" spans="1:4">
      <c r="A938" s="11">
        <f t="shared" si="59"/>
        <v>45953</v>
      </c>
      <c r="B938" t="str">
        <f t="shared" si="56"/>
        <v>Oct 2025</v>
      </c>
      <c r="C938" t="str">
        <f t="shared" si="57"/>
        <v>Q4</v>
      </c>
      <c r="D938" t="str">
        <f t="shared" si="58"/>
        <v>FY2025</v>
      </c>
    </row>
    <row r="939" spans="1:4">
      <c r="A939" s="11">
        <f t="shared" si="59"/>
        <v>45954</v>
      </c>
      <c r="B939" t="str">
        <f t="shared" si="56"/>
        <v>Oct 2025</v>
      </c>
      <c r="C939" t="str">
        <f t="shared" si="57"/>
        <v>Q4</v>
      </c>
      <c r="D939" t="str">
        <f t="shared" si="58"/>
        <v>FY2025</v>
      </c>
    </row>
    <row r="940" spans="1:4">
      <c r="A940" s="11">
        <f t="shared" si="59"/>
        <v>45955</v>
      </c>
      <c r="B940" t="str">
        <f t="shared" si="56"/>
        <v>Oct 2025</v>
      </c>
      <c r="C940" t="str">
        <f t="shared" si="57"/>
        <v>Q4</v>
      </c>
      <c r="D940" t="str">
        <f t="shared" si="58"/>
        <v>FY2025</v>
      </c>
    </row>
    <row r="941" spans="1:4">
      <c r="A941" s="11">
        <f t="shared" si="59"/>
        <v>45956</v>
      </c>
      <c r="B941" t="str">
        <f t="shared" si="56"/>
        <v>Oct 2025</v>
      </c>
      <c r="C941" t="str">
        <f t="shared" si="57"/>
        <v>Q4</v>
      </c>
      <c r="D941" t="str">
        <f t="shared" si="58"/>
        <v>FY2025</v>
      </c>
    </row>
    <row r="942" spans="1:4">
      <c r="A942" s="11">
        <f t="shared" si="59"/>
        <v>45957</v>
      </c>
      <c r="B942" t="str">
        <f t="shared" si="56"/>
        <v>Oct 2025</v>
      </c>
      <c r="C942" t="str">
        <f t="shared" si="57"/>
        <v>Q4</v>
      </c>
      <c r="D942" t="str">
        <f t="shared" si="58"/>
        <v>FY2025</v>
      </c>
    </row>
    <row r="943" spans="1:4">
      <c r="A943" s="11">
        <f t="shared" si="59"/>
        <v>45958</v>
      </c>
      <c r="B943" t="str">
        <f t="shared" si="56"/>
        <v>Oct 2025</v>
      </c>
      <c r="C943" t="str">
        <f t="shared" si="57"/>
        <v>Q4</v>
      </c>
      <c r="D943" t="str">
        <f t="shared" si="58"/>
        <v>FY2025</v>
      </c>
    </row>
    <row r="944" spans="1:4">
      <c r="A944" s="11">
        <f t="shared" si="59"/>
        <v>45959</v>
      </c>
      <c r="B944" t="str">
        <f t="shared" si="56"/>
        <v>Oct 2025</v>
      </c>
      <c r="C944" t="str">
        <f t="shared" si="57"/>
        <v>Q4</v>
      </c>
      <c r="D944" t="str">
        <f t="shared" si="58"/>
        <v>FY2025</v>
      </c>
    </row>
    <row r="945" spans="1:4">
      <c r="A945" s="11">
        <f t="shared" si="59"/>
        <v>45960</v>
      </c>
      <c r="B945" t="str">
        <f t="shared" si="56"/>
        <v>Oct 2025</v>
      </c>
      <c r="C945" t="str">
        <f t="shared" si="57"/>
        <v>Q4</v>
      </c>
      <c r="D945" t="str">
        <f t="shared" si="58"/>
        <v>FY2025</v>
      </c>
    </row>
    <row r="946" spans="1:4">
      <c r="A946" s="11">
        <f t="shared" si="59"/>
        <v>45961</v>
      </c>
      <c r="B946" t="str">
        <f t="shared" si="56"/>
        <v>Oct 2025</v>
      </c>
      <c r="C946" t="str">
        <f t="shared" si="57"/>
        <v>Q4</v>
      </c>
      <c r="D946" t="str">
        <f t="shared" si="58"/>
        <v>FY2025</v>
      </c>
    </row>
    <row r="947" spans="1:4">
      <c r="A947" s="11">
        <f t="shared" si="59"/>
        <v>45962</v>
      </c>
      <c r="B947" t="str">
        <f t="shared" si="56"/>
        <v>Nov 2025</v>
      </c>
      <c r="C947" t="str">
        <f t="shared" si="57"/>
        <v>Q4</v>
      </c>
      <c r="D947" t="str">
        <f t="shared" si="58"/>
        <v>FY2025</v>
      </c>
    </row>
    <row r="948" spans="1:4">
      <c r="A948" s="11">
        <f t="shared" si="59"/>
        <v>45963</v>
      </c>
      <c r="B948" t="str">
        <f t="shared" si="56"/>
        <v>Nov 2025</v>
      </c>
      <c r="C948" t="str">
        <f t="shared" si="57"/>
        <v>Q4</v>
      </c>
      <c r="D948" t="str">
        <f t="shared" si="58"/>
        <v>FY2025</v>
      </c>
    </row>
    <row r="949" spans="1:4">
      <c r="A949" s="11">
        <f t="shared" si="59"/>
        <v>45964</v>
      </c>
      <c r="B949" t="str">
        <f t="shared" si="56"/>
        <v>Nov 2025</v>
      </c>
      <c r="C949" t="str">
        <f t="shared" si="57"/>
        <v>Q4</v>
      </c>
      <c r="D949" t="str">
        <f t="shared" si="58"/>
        <v>FY2025</v>
      </c>
    </row>
    <row r="950" spans="1:4">
      <c r="A950" s="11">
        <f t="shared" si="59"/>
        <v>45965</v>
      </c>
      <c r="B950" t="str">
        <f t="shared" si="56"/>
        <v>Nov 2025</v>
      </c>
      <c r="C950" t="str">
        <f t="shared" si="57"/>
        <v>Q4</v>
      </c>
      <c r="D950" t="str">
        <f t="shared" si="58"/>
        <v>FY2025</v>
      </c>
    </row>
    <row r="951" spans="1:4">
      <c r="A951" s="11">
        <f t="shared" si="59"/>
        <v>45966</v>
      </c>
      <c r="B951" t="str">
        <f t="shared" si="56"/>
        <v>Nov 2025</v>
      </c>
      <c r="C951" t="str">
        <f t="shared" si="57"/>
        <v>Q4</v>
      </c>
      <c r="D951" t="str">
        <f t="shared" si="58"/>
        <v>FY2025</v>
      </c>
    </row>
    <row r="952" spans="1:4">
      <c r="A952" s="11">
        <f t="shared" si="59"/>
        <v>45967</v>
      </c>
      <c r="B952" t="str">
        <f t="shared" si="56"/>
        <v>Nov 2025</v>
      </c>
      <c r="C952" t="str">
        <f t="shared" si="57"/>
        <v>Q4</v>
      </c>
      <c r="D952" t="str">
        <f t="shared" si="58"/>
        <v>FY2025</v>
      </c>
    </row>
    <row r="953" spans="1:4">
      <c r="A953" s="11">
        <f t="shared" si="59"/>
        <v>45968</v>
      </c>
      <c r="B953" t="str">
        <f t="shared" si="56"/>
        <v>Nov 2025</v>
      </c>
      <c r="C953" t="str">
        <f t="shared" si="57"/>
        <v>Q4</v>
      </c>
      <c r="D953" t="str">
        <f t="shared" si="58"/>
        <v>FY2025</v>
      </c>
    </row>
    <row r="954" spans="1:4">
      <c r="A954" s="11">
        <f t="shared" si="59"/>
        <v>45969</v>
      </c>
      <c r="B954" t="str">
        <f t="shared" si="56"/>
        <v>Nov 2025</v>
      </c>
      <c r="C954" t="str">
        <f t="shared" si="57"/>
        <v>Q4</v>
      </c>
      <c r="D954" t="str">
        <f t="shared" si="58"/>
        <v>FY2025</v>
      </c>
    </row>
    <row r="955" spans="1:4">
      <c r="A955" s="11">
        <f t="shared" si="59"/>
        <v>45970</v>
      </c>
      <c r="B955" t="str">
        <f t="shared" si="56"/>
        <v>Nov 2025</v>
      </c>
      <c r="C955" t="str">
        <f t="shared" si="57"/>
        <v>Q4</v>
      </c>
      <c r="D955" t="str">
        <f t="shared" si="58"/>
        <v>FY2025</v>
      </c>
    </row>
    <row r="956" spans="1:4">
      <c r="A956" s="11">
        <f t="shared" si="59"/>
        <v>45971</v>
      </c>
      <c r="B956" t="str">
        <f t="shared" si="56"/>
        <v>Nov 2025</v>
      </c>
      <c r="C956" t="str">
        <f t="shared" si="57"/>
        <v>Q4</v>
      </c>
      <c r="D956" t="str">
        <f t="shared" si="58"/>
        <v>FY2025</v>
      </c>
    </row>
    <row r="957" spans="1:4">
      <c r="A957" s="11">
        <f t="shared" si="59"/>
        <v>45972</v>
      </c>
      <c r="B957" t="str">
        <f t="shared" si="56"/>
        <v>Nov 2025</v>
      </c>
      <c r="C957" t="str">
        <f t="shared" si="57"/>
        <v>Q4</v>
      </c>
      <c r="D957" t="str">
        <f t="shared" si="58"/>
        <v>FY2025</v>
      </c>
    </row>
    <row r="958" spans="1:4">
      <c r="A958" s="11">
        <f t="shared" si="59"/>
        <v>45973</v>
      </c>
      <c r="B958" t="str">
        <f t="shared" si="56"/>
        <v>Nov 2025</v>
      </c>
      <c r="C958" t="str">
        <f t="shared" si="57"/>
        <v>Q4</v>
      </c>
      <c r="D958" t="str">
        <f t="shared" si="58"/>
        <v>FY2025</v>
      </c>
    </row>
    <row r="959" spans="1:4">
      <c r="A959" s="11">
        <f t="shared" si="59"/>
        <v>45974</v>
      </c>
      <c r="B959" t="str">
        <f t="shared" si="56"/>
        <v>Nov 2025</v>
      </c>
      <c r="C959" t="str">
        <f t="shared" si="57"/>
        <v>Q4</v>
      </c>
      <c r="D959" t="str">
        <f t="shared" si="58"/>
        <v>FY2025</v>
      </c>
    </row>
    <row r="960" spans="1:4">
      <c r="A960" s="11">
        <f t="shared" si="59"/>
        <v>45975</v>
      </c>
      <c r="B960" t="str">
        <f t="shared" si="56"/>
        <v>Nov 2025</v>
      </c>
      <c r="C960" t="str">
        <f t="shared" si="57"/>
        <v>Q4</v>
      </c>
      <c r="D960" t="str">
        <f t="shared" si="58"/>
        <v>FY2025</v>
      </c>
    </row>
    <row r="961" spans="1:4">
      <c r="A961" s="11">
        <f t="shared" si="59"/>
        <v>45976</v>
      </c>
      <c r="B961" t="str">
        <f t="shared" si="56"/>
        <v>Nov 2025</v>
      </c>
      <c r="C961" t="str">
        <f t="shared" si="57"/>
        <v>Q4</v>
      </c>
      <c r="D961" t="str">
        <f t="shared" si="58"/>
        <v>FY2025</v>
      </c>
    </row>
    <row r="962" spans="1:4">
      <c r="A962" s="11">
        <f t="shared" si="59"/>
        <v>45977</v>
      </c>
      <c r="B962" t="str">
        <f t="shared" si="56"/>
        <v>Nov 2025</v>
      </c>
      <c r="C962" t="str">
        <f t="shared" si="57"/>
        <v>Q4</v>
      </c>
      <c r="D962" t="str">
        <f t="shared" si="58"/>
        <v>FY2025</v>
      </c>
    </row>
    <row r="963" spans="1:4">
      <c r="A963" s="11">
        <f t="shared" si="59"/>
        <v>45978</v>
      </c>
      <c r="B963" t="str">
        <f t="shared" ref="B963:B1026" si="60">TEXT(A963, "MMM_YYYY")</f>
        <v>Nov 2025</v>
      </c>
      <c r="C963" t="str">
        <f t="shared" ref="C963:C1026" si="61">"Q" &amp; INT((MONTH(A963)-1)/3)+1</f>
        <v>Q4</v>
      </c>
      <c r="D963" t="str">
        <f t="shared" ref="D963:D1026" si="62">"FY" &amp; IF(MONTH(A963)&gt;=4, YEAR(A963), YEAR(A963)-1)</f>
        <v>FY2025</v>
      </c>
    </row>
    <row r="964" spans="1:4">
      <c r="A964" s="11">
        <f t="shared" ref="A964:A1027" si="63">A963+1</f>
        <v>45979</v>
      </c>
      <c r="B964" t="str">
        <f t="shared" si="60"/>
        <v>Nov 2025</v>
      </c>
      <c r="C964" t="str">
        <f t="shared" si="61"/>
        <v>Q4</v>
      </c>
      <c r="D964" t="str">
        <f t="shared" si="62"/>
        <v>FY2025</v>
      </c>
    </row>
    <row r="965" spans="1:4">
      <c r="A965" s="11">
        <f t="shared" si="63"/>
        <v>45980</v>
      </c>
      <c r="B965" t="str">
        <f t="shared" si="60"/>
        <v>Nov 2025</v>
      </c>
      <c r="C965" t="str">
        <f t="shared" si="61"/>
        <v>Q4</v>
      </c>
      <c r="D965" t="str">
        <f t="shared" si="62"/>
        <v>FY2025</v>
      </c>
    </row>
    <row r="966" spans="1:4">
      <c r="A966" s="11">
        <f t="shared" si="63"/>
        <v>45981</v>
      </c>
      <c r="B966" t="str">
        <f t="shared" si="60"/>
        <v>Nov 2025</v>
      </c>
      <c r="C966" t="str">
        <f t="shared" si="61"/>
        <v>Q4</v>
      </c>
      <c r="D966" t="str">
        <f t="shared" si="62"/>
        <v>FY2025</v>
      </c>
    </row>
    <row r="967" spans="1:4">
      <c r="A967" s="11">
        <f t="shared" si="63"/>
        <v>45982</v>
      </c>
      <c r="B967" t="str">
        <f t="shared" si="60"/>
        <v>Nov 2025</v>
      </c>
      <c r="C967" t="str">
        <f t="shared" si="61"/>
        <v>Q4</v>
      </c>
      <c r="D967" t="str">
        <f t="shared" si="62"/>
        <v>FY2025</v>
      </c>
    </row>
    <row r="968" spans="1:4">
      <c r="A968" s="11">
        <f t="shared" si="63"/>
        <v>45983</v>
      </c>
      <c r="B968" t="str">
        <f t="shared" si="60"/>
        <v>Nov 2025</v>
      </c>
      <c r="C968" t="str">
        <f t="shared" si="61"/>
        <v>Q4</v>
      </c>
      <c r="D968" t="str">
        <f t="shared" si="62"/>
        <v>FY2025</v>
      </c>
    </row>
    <row r="969" spans="1:4">
      <c r="A969" s="11">
        <f t="shared" si="63"/>
        <v>45984</v>
      </c>
      <c r="B969" t="str">
        <f t="shared" si="60"/>
        <v>Nov 2025</v>
      </c>
      <c r="C969" t="str">
        <f t="shared" si="61"/>
        <v>Q4</v>
      </c>
      <c r="D969" t="str">
        <f t="shared" si="62"/>
        <v>FY2025</v>
      </c>
    </row>
    <row r="970" spans="1:4">
      <c r="A970" s="11">
        <f t="shared" si="63"/>
        <v>45985</v>
      </c>
      <c r="B970" t="str">
        <f t="shared" si="60"/>
        <v>Nov 2025</v>
      </c>
      <c r="C970" t="str">
        <f t="shared" si="61"/>
        <v>Q4</v>
      </c>
      <c r="D970" t="str">
        <f t="shared" si="62"/>
        <v>FY2025</v>
      </c>
    </row>
    <row r="971" spans="1:4">
      <c r="A971" s="11">
        <f t="shared" si="63"/>
        <v>45986</v>
      </c>
      <c r="B971" t="str">
        <f t="shared" si="60"/>
        <v>Nov 2025</v>
      </c>
      <c r="C971" t="str">
        <f t="shared" si="61"/>
        <v>Q4</v>
      </c>
      <c r="D971" t="str">
        <f t="shared" si="62"/>
        <v>FY2025</v>
      </c>
    </row>
    <row r="972" spans="1:4">
      <c r="A972" s="11">
        <f t="shared" si="63"/>
        <v>45987</v>
      </c>
      <c r="B972" t="str">
        <f t="shared" si="60"/>
        <v>Nov 2025</v>
      </c>
      <c r="C972" t="str">
        <f t="shared" si="61"/>
        <v>Q4</v>
      </c>
      <c r="D972" t="str">
        <f t="shared" si="62"/>
        <v>FY2025</v>
      </c>
    </row>
    <row r="973" spans="1:4">
      <c r="A973" s="11">
        <f t="shared" si="63"/>
        <v>45988</v>
      </c>
      <c r="B973" t="str">
        <f t="shared" si="60"/>
        <v>Nov 2025</v>
      </c>
      <c r="C973" t="str">
        <f t="shared" si="61"/>
        <v>Q4</v>
      </c>
      <c r="D973" t="str">
        <f t="shared" si="62"/>
        <v>FY2025</v>
      </c>
    </row>
    <row r="974" spans="1:4">
      <c r="A974" s="11">
        <f t="shared" si="63"/>
        <v>45989</v>
      </c>
      <c r="B974" t="str">
        <f t="shared" si="60"/>
        <v>Nov 2025</v>
      </c>
      <c r="C974" t="str">
        <f t="shared" si="61"/>
        <v>Q4</v>
      </c>
      <c r="D974" t="str">
        <f t="shared" si="62"/>
        <v>FY2025</v>
      </c>
    </row>
    <row r="975" spans="1:4">
      <c r="A975" s="11">
        <f t="shared" si="63"/>
        <v>45990</v>
      </c>
      <c r="B975" t="str">
        <f t="shared" si="60"/>
        <v>Nov 2025</v>
      </c>
      <c r="C975" t="str">
        <f t="shared" si="61"/>
        <v>Q4</v>
      </c>
      <c r="D975" t="str">
        <f t="shared" si="62"/>
        <v>FY2025</v>
      </c>
    </row>
    <row r="976" spans="1:4">
      <c r="A976" s="11">
        <f t="shared" si="63"/>
        <v>45991</v>
      </c>
      <c r="B976" t="str">
        <f t="shared" si="60"/>
        <v>Nov 2025</v>
      </c>
      <c r="C976" t="str">
        <f t="shared" si="61"/>
        <v>Q4</v>
      </c>
      <c r="D976" t="str">
        <f t="shared" si="62"/>
        <v>FY2025</v>
      </c>
    </row>
    <row r="977" spans="1:4">
      <c r="A977" s="11">
        <f t="shared" si="63"/>
        <v>45992</v>
      </c>
      <c r="B977" t="str">
        <f t="shared" si="60"/>
        <v>Dec 2025</v>
      </c>
      <c r="C977" t="str">
        <f t="shared" si="61"/>
        <v>Q4</v>
      </c>
      <c r="D977" t="str">
        <f t="shared" si="62"/>
        <v>FY2025</v>
      </c>
    </row>
    <row r="978" spans="1:4">
      <c r="A978" s="11">
        <f t="shared" si="63"/>
        <v>45993</v>
      </c>
      <c r="B978" t="str">
        <f t="shared" si="60"/>
        <v>Dec 2025</v>
      </c>
      <c r="C978" t="str">
        <f t="shared" si="61"/>
        <v>Q4</v>
      </c>
      <c r="D978" t="str">
        <f t="shared" si="62"/>
        <v>FY2025</v>
      </c>
    </row>
    <row r="979" spans="1:4">
      <c r="A979" s="11">
        <f t="shared" si="63"/>
        <v>45994</v>
      </c>
      <c r="B979" t="str">
        <f t="shared" si="60"/>
        <v>Dec 2025</v>
      </c>
      <c r="C979" t="str">
        <f t="shared" si="61"/>
        <v>Q4</v>
      </c>
      <c r="D979" t="str">
        <f t="shared" si="62"/>
        <v>FY2025</v>
      </c>
    </row>
    <row r="980" spans="1:4">
      <c r="A980" s="11">
        <f t="shared" si="63"/>
        <v>45995</v>
      </c>
      <c r="B980" t="str">
        <f t="shared" si="60"/>
        <v>Dec 2025</v>
      </c>
      <c r="C980" t="str">
        <f t="shared" si="61"/>
        <v>Q4</v>
      </c>
      <c r="D980" t="str">
        <f t="shared" si="62"/>
        <v>FY2025</v>
      </c>
    </row>
    <row r="981" spans="1:4">
      <c r="A981" s="11">
        <f t="shared" si="63"/>
        <v>45996</v>
      </c>
      <c r="B981" t="str">
        <f t="shared" si="60"/>
        <v>Dec 2025</v>
      </c>
      <c r="C981" t="str">
        <f t="shared" si="61"/>
        <v>Q4</v>
      </c>
      <c r="D981" t="str">
        <f t="shared" si="62"/>
        <v>FY2025</v>
      </c>
    </row>
    <row r="982" spans="1:4">
      <c r="A982" s="11">
        <f t="shared" si="63"/>
        <v>45997</v>
      </c>
      <c r="B982" t="str">
        <f t="shared" si="60"/>
        <v>Dec 2025</v>
      </c>
      <c r="C982" t="str">
        <f t="shared" si="61"/>
        <v>Q4</v>
      </c>
      <c r="D982" t="str">
        <f t="shared" si="62"/>
        <v>FY2025</v>
      </c>
    </row>
    <row r="983" spans="1:4">
      <c r="A983" s="11">
        <f t="shared" si="63"/>
        <v>45998</v>
      </c>
      <c r="B983" t="str">
        <f t="shared" si="60"/>
        <v>Dec 2025</v>
      </c>
      <c r="C983" t="str">
        <f t="shared" si="61"/>
        <v>Q4</v>
      </c>
      <c r="D983" t="str">
        <f t="shared" si="62"/>
        <v>FY2025</v>
      </c>
    </row>
    <row r="984" spans="1:4">
      <c r="A984" s="11">
        <f t="shared" si="63"/>
        <v>45999</v>
      </c>
      <c r="B984" t="str">
        <f t="shared" si="60"/>
        <v>Dec 2025</v>
      </c>
      <c r="C984" t="str">
        <f t="shared" si="61"/>
        <v>Q4</v>
      </c>
      <c r="D984" t="str">
        <f t="shared" si="62"/>
        <v>FY2025</v>
      </c>
    </row>
    <row r="985" spans="1:4">
      <c r="A985" s="11">
        <f t="shared" si="63"/>
        <v>46000</v>
      </c>
      <c r="B985" t="str">
        <f t="shared" si="60"/>
        <v>Dec 2025</v>
      </c>
      <c r="C985" t="str">
        <f t="shared" si="61"/>
        <v>Q4</v>
      </c>
      <c r="D985" t="str">
        <f t="shared" si="62"/>
        <v>FY2025</v>
      </c>
    </row>
    <row r="986" spans="1:4">
      <c r="A986" s="11">
        <f t="shared" si="63"/>
        <v>46001</v>
      </c>
      <c r="B986" t="str">
        <f t="shared" si="60"/>
        <v>Dec 2025</v>
      </c>
      <c r="C986" t="str">
        <f t="shared" si="61"/>
        <v>Q4</v>
      </c>
      <c r="D986" t="str">
        <f t="shared" si="62"/>
        <v>FY2025</v>
      </c>
    </row>
    <row r="987" spans="1:4">
      <c r="A987" s="11">
        <f t="shared" si="63"/>
        <v>46002</v>
      </c>
      <c r="B987" t="str">
        <f t="shared" si="60"/>
        <v>Dec 2025</v>
      </c>
      <c r="C987" t="str">
        <f t="shared" si="61"/>
        <v>Q4</v>
      </c>
      <c r="D987" t="str">
        <f t="shared" si="62"/>
        <v>FY2025</v>
      </c>
    </row>
    <row r="988" spans="1:4">
      <c r="A988" s="11">
        <f t="shared" si="63"/>
        <v>46003</v>
      </c>
      <c r="B988" t="str">
        <f t="shared" si="60"/>
        <v>Dec 2025</v>
      </c>
      <c r="C988" t="str">
        <f t="shared" si="61"/>
        <v>Q4</v>
      </c>
      <c r="D988" t="str">
        <f t="shared" si="62"/>
        <v>FY2025</v>
      </c>
    </row>
    <row r="989" spans="1:4">
      <c r="A989" s="11">
        <f t="shared" si="63"/>
        <v>46004</v>
      </c>
      <c r="B989" t="str">
        <f t="shared" si="60"/>
        <v>Dec 2025</v>
      </c>
      <c r="C989" t="str">
        <f t="shared" si="61"/>
        <v>Q4</v>
      </c>
      <c r="D989" t="str">
        <f t="shared" si="62"/>
        <v>FY2025</v>
      </c>
    </row>
    <row r="990" spans="1:4">
      <c r="A990" s="11">
        <f t="shared" si="63"/>
        <v>46005</v>
      </c>
      <c r="B990" t="str">
        <f t="shared" si="60"/>
        <v>Dec 2025</v>
      </c>
      <c r="C990" t="str">
        <f t="shared" si="61"/>
        <v>Q4</v>
      </c>
      <c r="D990" t="str">
        <f t="shared" si="62"/>
        <v>FY2025</v>
      </c>
    </row>
    <row r="991" spans="1:4">
      <c r="A991" s="11">
        <f t="shared" si="63"/>
        <v>46006</v>
      </c>
      <c r="B991" t="str">
        <f t="shared" si="60"/>
        <v>Dec 2025</v>
      </c>
      <c r="C991" t="str">
        <f t="shared" si="61"/>
        <v>Q4</v>
      </c>
      <c r="D991" t="str">
        <f t="shared" si="62"/>
        <v>FY2025</v>
      </c>
    </row>
    <row r="992" spans="1:4">
      <c r="A992" s="11">
        <f t="shared" si="63"/>
        <v>46007</v>
      </c>
      <c r="B992" t="str">
        <f t="shared" si="60"/>
        <v>Dec 2025</v>
      </c>
      <c r="C992" t="str">
        <f t="shared" si="61"/>
        <v>Q4</v>
      </c>
      <c r="D992" t="str">
        <f t="shared" si="62"/>
        <v>FY2025</v>
      </c>
    </row>
    <row r="993" spans="1:4">
      <c r="A993" s="11">
        <f t="shared" si="63"/>
        <v>46008</v>
      </c>
      <c r="B993" t="str">
        <f t="shared" si="60"/>
        <v>Dec 2025</v>
      </c>
      <c r="C993" t="str">
        <f t="shared" si="61"/>
        <v>Q4</v>
      </c>
      <c r="D993" t="str">
        <f t="shared" si="62"/>
        <v>FY2025</v>
      </c>
    </row>
    <row r="994" spans="1:4">
      <c r="A994" s="11">
        <f t="shared" si="63"/>
        <v>46009</v>
      </c>
      <c r="B994" t="str">
        <f t="shared" si="60"/>
        <v>Dec 2025</v>
      </c>
      <c r="C994" t="str">
        <f t="shared" si="61"/>
        <v>Q4</v>
      </c>
      <c r="D994" t="str">
        <f t="shared" si="62"/>
        <v>FY2025</v>
      </c>
    </row>
    <row r="995" spans="1:4">
      <c r="A995" s="11">
        <f t="shared" si="63"/>
        <v>46010</v>
      </c>
      <c r="B995" t="str">
        <f t="shared" si="60"/>
        <v>Dec 2025</v>
      </c>
      <c r="C995" t="str">
        <f t="shared" si="61"/>
        <v>Q4</v>
      </c>
      <c r="D995" t="str">
        <f t="shared" si="62"/>
        <v>FY2025</v>
      </c>
    </row>
    <row r="996" spans="1:4">
      <c r="A996" s="11">
        <f t="shared" si="63"/>
        <v>46011</v>
      </c>
      <c r="B996" t="str">
        <f t="shared" si="60"/>
        <v>Dec 2025</v>
      </c>
      <c r="C996" t="str">
        <f t="shared" si="61"/>
        <v>Q4</v>
      </c>
      <c r="D996" t="str">
        <f t="shared" si="62"/>
        <v>FY2025</v>
      </c>
    </row>
    <row r="997" spans="1:4">
      <c r="A997" s="11">
        <f t="shared" si="63"/>
        <v>46012</v>
      </c>
      <c r="B997" t="str">
        <f t="shared" si="60"/>
        <v>Dec 2025</v>
      </c>
      <c r="C997" t="str">
        <f t="shared" si="61"/>
        <v>Q4</v>
      </c>
      <c r="D997" t="str">
        <f t="shared" si="62"/>
        <v>FY2025</v>
      </c>
    </row>
    <row r="998" spans="1:4">
      <c r="A998" s="11">
        <f t="shared" si="63"/>
        <v>46013</v>
      </c>
      <c r="B998" t="str">
        <f t="shared" si="60"/>
        <v>Dec 2025</v>
      </c>
      <c r="C998" t="str">
        <f t="shared" si="61"/>
        <v>Q4</v>
      </c>
      <c r="D998" t="str">
        <f t="shared" si="62"/>
        <v>FY2025</v>
      </c>
    </row>
    <row r="999" spans="1:4">
      <c r="A999" s="11">
        <f t="shared" si="63"/>
        <v>46014</v>
      </c>
      <c r="B999" t="str">
        <f t="shared" si="60"/>
        <v>Dec 2025</v>
      </c>
      <c r="C999" t="str">
        <f t="shared" si="61"/>
        <v>Q4</v>
      </c>
      <c r="D999" t="str">
        <f t="shared" si="62"/>
        <v>FY2025</v>
      </c>
    </row>
    <row r="1000" spans="1:4">
      <c r="A1000" s="11">
        <f t="shared" si="63"/>
        <v>46015</v>
      </c>
      <c r="B1000" t="str">
        <f t="shared" si="60"/>
        <v>Dec 2025</v>
      </c>
      <c r="C1000" t="str">
        <f t="shared" si="61"/>
        <v>Q4</v>
      </c>
      <c r="D1000" t="str">
        <f t="shared" si="62"/>
        <v>FY2025</v>
      </c>
    </row>
    <row r="1001" spans="1:4">
      <c r="A1001" s="11">
        <f t="shared" si="63"/>
        <v>46016</v>
      </c>
      <c r="B1001" t="str">
        <f t="shared" si="60"/>
        <v>Dec 2025</v>
      </c>
      <c r="C1001" t="str">
        <f t="shared" si="61"/>
        <v>Q4</v>
      </c>
      <c r="D1001" t="str">
        <f t="shared" si="62"/>
        <v>FY2025</v>
      </c>
    </row>
    <row r="1002" spans="1:4">
      <c r="A1002" s="11">
        <f t="shared" si="63"/>
        <v>46017</v>
      </c>
      <c r="B1002" t="str">
        <f t="shared" si="60"/>
        <v>Dec 2025</v>
      </c>
      <c r="C1002" t="str">
        <f t="shared" si="61"/>
        <v>Q4</v>
      </c>
      <c r="D1002" t="str">
        <f t="shared" si="62"/>
        <v>FY2025</v>
      </c>
    </row>
    <row r="1003" spans="1:4">
      <c r="A1003" s="11">
        <f t="shared" si="63"/>
        <v>46018</v>
      </c>
      <c r="B1003" t="str">
        <f t="shared" si="60"/>
        <v>Dec 2025</v>
      </c>
      <c r="C1003" t="str">
        <f t="shared" si="61"/>
        <v>Q4</v>
      </c>
      <c r="D1003" t="str">
        <f t="shared" si="62"/>
        <v>FY2025</v>
      </c>
    </row>
    <row r="1004" spans="1:4">
      <c r="A1004" s="11">
        <f t="shared" si="63"/>
        <v>46019</v>
      </c>
      <c r="B1004" t="str">
        <f t="shared" si="60"/>
        <v>Dec 2025</v>
      </c>
      <c r="C1004" t="str">
        <f t="shared" si="61"/>
        <v>Q4</v>
      </c>
      <c r="D1004" t="str">
        <f t="shared" si="62"/>
        <v>FY2025</v>
      </c>
    </row>
    <row r="1005" spans="1:4">
      <c r="A1005" s="11">
        <f t="shared" si="63"/>
        <v>46020</v>
      </c>
      <c r="B1005" t="str">
        <f t="shared" si="60"/>
        <v>Dec 2025</v>
      </c>
      <c r="C1005" t="str">
        <f t="shared" si="61"/>
        <v>Q4</v>
      </c>
      <c r="D1005" t="str">
        <f t="shared" si="62"/>
        <v>FY2025</v>
      </c>
    </row>
    <row r="1006" spans="1:4">
      <c r="A1006" s="11">
        <f t="shared" si="63"/>
        <v>46021</v>
      </c>
      <c r="B1006" t="str">
        <f t="shared" si="60"/>
        <v>Dec 2025</v>
      </c>
      <c r="C1006" t="str">
        <f t="shared" si="61"/>
        <v>Q4</v>
      </c>
      <c r="D1006" t="str">
        <f t="shared" si="62"/>
        <v>FY2025</v>
      </c>
    </row>
    <row r="1007" spans="1:4">
      <c r="A1007" s="11">
        <f t="shared" si="63"/>
        <v>46022</v>
      </c>
      <c r="B1007" t="str">
        <f t="shared" si="60"/>
        <v>Dec 2025</v>
      </c>
      <c r="C1007" t="str">
        <f t="shared" si="61"/>
        <v>Q4</v>
      </c>
      <c r="D1007" t="str">
        <f t="shared" si="62"/>
        <v>FY2025</v>
      </c>
    </row>
    <row r="1008" spans="1:4">
      <c r="A1008" s="11">
        <f t="shared" si="63"/>
        <v>46023</v>
      </c>
      <c r="B1008" t="str">
        <f t="shared" si="60"/>
        <v>Jan 2026</v>
      </c>
      <c r="C1008" t="str">
        <f t="shared" si="61"/>
        <v>Q1</v>
      </c>
      <c r="D1008" t="str">
        <f t="shared" si="62"/>
        <v>FY2025</v>
      </c>
    </row>
    <row r="1009" spans="1:4">
      <c r="A1009" s="11">
        <f t="shared" si="63"/>
        <v>46024</v>
      </c>
      <c r="B1009" t="str">
        <f t="shared" si="60"/>
        <v>Jan 2026</v>
      </c>
      <c r="C1009" t="str">
        <f t="shared" si="61"/>
        <v>Q1</v>
      </c>
      <c r="D1009" t="str">
        <f t="shared" si="62"/>
        <v>FY2025</v>
      </c>
    </row>
    <row r="1010" spans="1:4">
      <c r="A1010" s="11">
        <f t="shared" si="63"/>
        <v>46025</v>
      </c>
      <c r="B1010" t="str">
        <f t="shared" si="60"/>
        <v>Jan 2026</v>
      </c>
      <c r="C1010" t="str">
        <f t="shared" si="61"/>
        <v>Q1</v>
      </c>
      <c r="D1010" t="str">
        <f t="shared" si="62"/>
        <v>FY2025</v>
      </c>
    </row>
    <row r="1011" spans="1:4">
      <c r="A1011" s="11">
        <f t="shared" si="63"/>
        <v>46026</v>
      </c>
      <c r="B1011" t="str">
        <f t="shared" si="60"/>
        <v>Jan 2026</v>
      </c>
      <c r="C1011" t="str">
        <f t="shared" si="61"/>
        <v>Q1</v>
      </c>
      <c r="D1011" t="str">
        <f t="shared" si="62"/>
        <v>FY2025</v>
      </c>
    </row>
    <row r="1012" spans="1:4">
      <c r="A1012" s="11">
        <f t="shared" si="63"/>
        <v>46027</v>
      </c>
      <c r="B1012" t="str">
        <f t="shared" si="60"/>
        <v>Jan 2026</v>
      </c>
      <c r="C1012" t="str">
        <f t="shared" si="61"/>
        <v>Q1</v>
      </c>
      <c r="D1012" t="str">
        <f t="shared" si="62"/>
        <v>FY2025</v>
      </c>
    </row>
    <row r="1013" spans="1:4">
      <c r="A1013" s="11">
        <f t="shared" si="63"/>
        <v>46028</v>
      </c>
      <c r="B1013" t="str">
        <f t="shared" si="60"/>
        <v>Jan 2026</v>
      </c>
      <c r="C1013" t="str">
        <f t="shared" si="61"/>
        <v>Q1</v>
      </c>
      <c r="D1013" t="str">
        <f t="shared" si="62"/>
        <v>FY2025</v>
      </c>
    </row>
    <row r="1014" spans="1:4">
      <c r="A1014" s="11">
        <f t="shared" si="63"/>
        <v>46029</v>
      </c>
      <c r="B1014" t="str">
        <f t="shared" si="60"/>
        <v>Jan 2026</v>
      </c>
      <c r="C1014" t="str">
        <f t="shared" si="61"/>
        <v>Q1</v>
      </c>
      <c r="D1014" t="str">
        <f t="shared" si="62"/>
        <v>FY2025</v>
      </c>
    </row>
    <row r="1015" spans="1:4">
      <c r="A1015" s="11">
        <f t="shared" si="63"/>
        <v>46030</v>
      </c>
      <c r="B1015" t="str">
        <f t="shared" si="60"/>
        <v>Jan 2026</v>
      </c>
      <c r="C1015" t="str">
        <f t="shared" si="61"/>
        <v>Q1</v>
      </c>
      <c r="D1015" t="str">
        <f t="shared" si="62"/>
        <v>FY2025</v>
      </c>
    </row>
    <row r="1016" spans="1:4">
      <c r="A1016" s="11">
        <f t="shared" si="63"/>
        <v>46031</v>
      </c>
      <c r="B1016" t="str">
        <f t="shared" si="60"/>
        <v>Jan 2026</v>
      </c>
      <c r="C1016" t="str">
        <f t="shared" si="61"/>
        <v>Q1</v>
      </c>
      <c r="D1016" t="str">
        <f t="shared" si="62"/>
        <v>FY2025</v>
      </c>
    </row>
    <row r="1017" spans="1:4">
      <c r="A1017" s="11">
        <f t="shared" si="63"/>
        <v>46032</v>
      </c>
      <c r="B1017" t="str">
        <f t="shared" si="60"/>
        <v>Jan 2026</v>
      </c>
      <c r="C1017" t="str">
        <f t="shared" si="61"/>
        <v>Q1</v>
      </c>
      <c r="D1017" t="str">
        <f t="shared" si="62"/>
        <v>FY2025</v>
      </c>
    </row>
    <row r="1018" spans="1:4">
      <c r="A1018" s="11">
        <f t="shared" si="63"/>
        <v>46033</v>
      </c>
      <c r="B1018" t="str">
        <f t="shared" si="60"/>
        <v>Jan 2026</v>
      </c>
      <c r="C1018" t="str">
        <f t="shared" si="61"/>
        <v>Q1</v>
      </c>
      <c r="D1018" t="str">
        <f t="shared" si="62"/>
        <v>FY2025</v>
      </c>
    </row>
    <row r="1019" spans="1:4">
      <c r="A1019" s="11">
        <f t="shared" si="63"/>
        <v>46034</v>
      </c>
      <c r="B1019" t="str">
        <f t="shared" si="60"/>
        <v>Jan 2026</v>
      </c>
      <c r="C1019" t="str">
        <f t="shared" si="61"/>
        <v>Q1</v>
      </c>
      <c r="D1019" t="str">
        <f t="shared" si="62"/>
        <v>FY2025</v>
      </c>
    </row>
    <row r="1020" spans="1:4">
      <c r="A1020" s="11">
        <f t="shared" si="63"/>
        <v>46035</v>
      </c>
      <c r="B1020" t="str">
        <f t="shared" si="60"/>
        <v>Jan 2026</v>
      </c>
      <c r="C1020" t="str">
        <f t="shared" si="61"/>
        <v>Q1</v>
      </c>
      <c r="D1020" t="str">
        <f t="shared" si="62"/>
        <v>FY2025</v>
      </c>
    </row>
    <row r="1021" spans="1:4">
      <c r="A1021" s="11">
        <f t="shared" si="63"/>
        <v>46036</v>
      </c>
      <c r="B1021" t="str">
        <f t="shared" si="60"/>
        <v>Jan 2026</v>
      </c>
      <c r="C1021" t="str">
        <f t="shared" si="61"/>
        <v>Q1</v>
      </c>
      <c r="D1021" t="str">
        <f t="shared" si="62"/>
        <v>FY2025</v>
      </c>
    </row>
    <row r="1022" spans="1:4">
      <c r="A1022" s="11">
        <f t="shared" si="63"/>
        <v>46037</v>
      </c>
      <c r="B1022" t="str">
        <f t="shared" si="60"/>
        <v>Jan 2026</v>
      </c>
      <c r="C1022" t="str">
        <f t="shared" si="61"/>
        <v>Q1</v>
      </c>
      <c r="D1022" t="str">
        <f t="shared" si="62"/>
        <v>FY2025</v>
      </c>
    </row>
    <row r="1023" spans="1:4">
      <c r="A1023" s="11">
        <f t="shared" si="63"/>
        <v>46038</v>
      </c>
      <c r="B1023" t="str">
        <f t="shared" si="60"/>
        <v>Jan 2026</v>
      </c>
      <c r="C1023" t="str">
        <f t="shared" si="61"/>
        <v>Q1</v>
      </c>
      <c r="D1023" t="str">
        <f t="shared" si="62"/>
        <v>FY2025</v>
      </c>
    </row>
    <row r="1024" spans="1:4">
      <c r="A1024" s="11">
        <f t="shared" si="63"/>
        <v>46039</v>
      </c>
      <c r="B1024" t="str">
        <f t="shared" si="60"/>
        <v>Jan 2026</v>
      </c>
      <c r="C1024" t="str">
        <f t="shared" si="61"/>
        <v>Q1</v>
      </c>
      <c r="D1024" t="str">
        <f t="shared" si="62"/>
        <v>FY2025</v>
      </c>
    </row>
    <row r="1025" spans="1:4">
      <c r="A1025" s="11">
        <f t="shared" si="63"/>
        <v>46040</v>
      </c>
      <c r="B1025" t="str">
        <f t="shared" si="60"/>
        <v>Jan 2026</v>
      </c>
      <c r="C1025" t="str">
        <f t="shared" si="61"/>
        <v>Q1</v>
      </c>
      <c r="D1025" t="str">
        <f t="shared" si="62"/>
        <v>FY2025</v>
      </c>
    </row>
    <row r="1026" spans="1:4">
      <c r="A1026" s="11">
        <f t="shared" si="63"/>
        <v>46041</v>
      </c>
      <c r="B1026" t="str">
        <f t="shared" si="60"/>
        <v>Jan 2026</v>
      </c>
      <c r="C1026" t="str">
        <f t="shared" si="61"/>
        <v>Q1</v>
      </c>
      <c r="D1026" t="str">
        <f t="shared" si="62"/>
        <v>FY2025</v>
      </c>
    </row>
    <row r="1027" spans="1:4">
      <c r="A1027" s="11">
        <f t="shared" si="63"/>
        <v>46042</v>
      </c>
      <c r="B1027" t="str">
        <f t="shared" ref="B1027:B1090" si="64">TEXT(A1027, "MMM_YYYY")</f>
        <v>Jan 2026</v>
      </c>
      <c r="C1027" t="str">
        <f t="shared" ref="C1027:C1090" si="65">"Q" &amp; INT((MONTH(A1027)-1)/3)+1</f>
        <v>Q1</v>
      </c>
      <c r="D1027" t="str">
        <f t="shared" ref="D1027:D1090" si="66">"FY" &amp; IF(MONTH(A1027)&gt;=4, YEAR(A1027), YEAR(A1027)-1)</f>
        <v>FY2025</v>
      </c>
    </row>
    <row r="1028" spans="1:4">
      <c r="A1028" s="11">
        <f t="shared" ref="A1028:A1091" si="67">A1027+1</f>
        <v>46043</v>
      </c>
      <c r="B1028" t="str">
        <f t="shared" si="64"/>
        <v>Jan 2026</v>
      </c>
      <c r="C1028" t="str">
        <f t="shared" si="65"/>
        <v>Q1</v>
      </c>
      <c r="D1028" t="str">
        <f t="shared" si="66"/>
        <v>FY2025</v>
      </c>
    </row>
    <row r="1029" spans="1:4">
      <c r="A1029" s="11">
        <f t="shared" si="67"/>
        <v>46044</v>
      </c>
      <c r="B1029" t="str">
        <f t="shared" si="64"/>
        <v>Jan 2026</v>
      </c>
      <c r="C1029" t="str">
        <f t="shared" si="65"/>
        <v>Q1</v>
      </c>
      <c r="D1029" t="str">
        <f t="shared" si="66"/>
        <v>FY2025</v>
      </c>
    </row>
    <row r="1030" spans="1:4">
      <c r="A1030" s="11">
        <f t="shared" si="67"/>
        <v>46045</v>
      </c>
      <c r="B1030" t="str">
        <f t="shared" si="64"/>
        <v>Jan 2026</v>
      </c>
      <c r="C1030" t="str">
        <f t="shared" si="65"/>
        <v>Q1</v>
      </c>
      <c r="D1030" t="str">
        <f t="shared" si="66"/>
        <v>FY2025</v>
      </c>
    </row>
    <row r="1031" spans="1:4">
      <c r="A1031" s="11">
        <f t="shared" si="67"/>
        <v>46046</v>
      </c>
      <c r="B1031" t="str">
        <f t="shared" si="64"/>
        <v>Jan 2026</v>
      </c>
      <c r="C1031" t="str">
        <f t="shared" si="65"/>
        <v>Q1</v>
      </c>
      <c r="D1031" t="str">
        <f t="shared" si="66"/>
        <v>FY2025</v>
      </c>
    </row>
    <row r="1032" spans="1:4">
      <c r="A1032" s="11">
        <f t="shared" si="67"/>
        <v>46047</v>
      </c>
      <c r="B1032" t="str">
        <f t="shared" si="64"/>
        <v>Jan 2026</v>
      </c>
      <c r="C1032" t="str">
        <f t="shared" si="65"/>
        <v>Q1</v>
      </c>
      <c r="D1032" t="str">
        <f t="shared" si="66"/>
        <v>FY2025</v>
      </c>
    </row>
    <row r="1033" spans="1:4">
      <c r="A1033" s="11">
        <f t="shared" si="67"/>
        <v>46048</v>
      </c>
      <c r="B1033" t="str">
        <f t="shared" si="64"/>
        <v>Jan 2026</v>
      </c>
      <c r="C1033" t="str">
        <f t="shared" si="65"/>
        <v>Q1</v>
      </c>
      <c r="D1033" t="str">
        <f t="shared" si="66"/>
        <v>FY2025</v>
      </c>
    </row>
    <row r="1034" spans="1:4">
      <c r="A1034" s="11">
        <f t="shared" si="67"/>
        <v>46049</v>
      </c>
      <c r="B1034" t="str">
        <f t="shared" si="64"/>
        <v>Jan 2026</v>
      </c>
      <c r="C1034" t="str">
        <f t="shared" si="65"/>
        <v>Q1</v>
      </c>
      <c r="D1034" t="str">
        <f t="shared" si="66"/>
        <v>FY2025</v>
      </c>
    </row>
    <row r="1035" spans="1:4">
      <c r="A1035" s="11">
        <f t="shared" si="67"/>
        <v>46050</v>
      </c>
      <c r="B1035" t="str">
        <f t="shared" si="64"/>
        <v>Jan 2026</v>
      </c>
      <c r="C1035" t="str">
        <f t="shared" si="65"/>
        <v>Q1</v>
      </c>
      <c r="D1035" t="str">
        <f t="shared" si="66"/>
        <v>FY2025</v>
      </c>
    </row>
    <row r="1036" spans="1:4">
      <c r="A1036" s="11">
        <f t="shared" si="67"/>
        <v>46051</v>
      </c>
      <c r="B1036" t="str">
        <f t="shared" si="64"/>
        <v>Jan 2026</v>
      </c>
      <c r="C1036" t="str">
        <f t="shared" si="65"/>
        <v>Q1</v>
      </c>
      <c r="D1036" t="str">
        <f t="shared" si="66"/>
        <v>FY2025</v>
      </c>
    </row>
    <row r="1037" spans="1:4">
      <c r="A1037" s="11">
        <f t="shared" si="67"/>
        <v>46052</v>
      </c>
      <c r="B1037" t="str">
        <f t="shared" si="64"/>
        <v>Jan 2026</v>
      </c>
      <c r="C1037" t="str">
        <f t="shared" si="65"/>
        <v>Q1</v>
      </c>
      <c r="D1037" t="str">
        <f t="shared" si="66"/>
        <v>FY2025</v>
      </c>
    </row>
    <row r="1038" spans="1:4">
      <c r="A1038" s="11">
        <f t="shared" si="67"/>
        <v>46053</v>
      </c>
      <c r="B1038" t="str">
        <f t="shared" si="64"/>
        <v>Jan 2026</v>
      </c>
      <c r="C1038" t="str">
        <f t="shared" si="65"/>
        <v>Q1</v>
      </c>
      <c r="D1038" t="str">
        <f t="shared" si="66"/>
        <v>FY2025</v>
      </c>
    </row>
    <row r="1039" spans="1:4">
      <c r="A1039" s="11">
        <f t="shared" si="67"/>
        <v>46054</v>
      </c>
      <c r="B1039" t="str">
        <f t="shared" si="64"/>
        <v>Feb 2026</v>
      </c>
      <c r="C1039" t="str">
        <f t="shared" si="65"/>
        <v>Q1</v>
      </c>
      <c r="D1039" t="str">
        <f t="shared" si="66"/>
        <v>FY2025</v>
      </c>
    </row>
    <row r="1040" spans="1:4">
      <c r="A1040" s="11">
        <f t="shared" si="67"/>
        <v>46055</v>
      </c>
      <c r="B1040" t="str">
        <f t="shared" si="64"/>
        <v>Feb 2026</v>
      </c>
      <c r="C1040" t="str">
        <f t="shared" si="65"/>
        <v>Q1</v>
      </c>
      <c r="D1040" t="str">
        <f t="shared" si="66"/>
        <v>FY2025</v>
      </c>
    </row>
    <row r="1041" spans="1:4">
      <c r="A1041" s="11">
        <f t="shared" si="67"/>
        <v>46056</v>
      </c>
      <c r="B1041" t="str">
        <f t="shared" si="64"/>
        <v>Feb 2026</v>
      </c>
      <c r="C1041" t="str">
        <f t="shared" si="65"/>
        <v>Q1</v>
      </c>
      <c r="D1041" t="str">
        <f t="shared" si="66"/>
        <v>FY2025</v>
      </c>
    </row>
    <row r="1042" spans="1:4">
      <c r="A1042" s="11">
        <f t="shared" si="67"/>
        <v>46057</v>
      </c>
      <c r="B1042" t="str">
        <f t="shared" si="64"/>
        <v>Feb 2026</v>
      </c>
      <c r="C1042" t="str">
        <f t="shared" si="65"/>
        <v>Q1</v>
      </c>
      <c r="D1042" t="str">
        <f t="shared" si="66"/>
        <v>FY2025</v>
      </c>
    </row>
    <row r="1043" spans="1:4">
      <c r="A1043" s="11">
        <f t="shared" si="67"/>
        <v>46058</v>
      </c>
      <c r="B1043" t="str">
        <f t="shared" si="64"/>
        <v>Feb 2026</v>
      </c>
      <c r="C1043" t="str">
        <f t="shared" si="65"/>
        <v>Q1</v>
      </c>
      <c r="D1043" t="str">
        <f t="shared" si="66"/>
        <v>FY2025</v>
      </c>
    </row>
    <row r="1044" spans="1:4">
      <c r="A1044" s="11">
        <f t="shared" si="67"/>
        <v>46059</v>
      </c>
      <c r="B1044" t="str">
        <f t="shared" si="64"/>
        <v>Feb 2026</v>
      </c>
      <c r="C1044" t="str">
        <f t="shared" si="65"/>
        <v>Q1</v>
      </c>
      <c r="D1044" t="str">
        <f t="shared" si="66"/>
        <v>FY2025</v>
      </c>
    </row>
    <row r="1045" spans="1:4">
      <c r="A1045" s="11">
        <f t="shared" si="67"/>
        <v>46060</v>
      </c>
      <c r="B1045" t="str">
        <f t="shared" si="64"/>
        <v>Feb 2026</v>
      </c>
      <c r="C1045" t="str">
        <f t="shared" si="65"/>
        <v>Q1</v>
      </c>
      <c r="D1045" t="str">
        <f t="shared" si="66"/>
        <v>FY2025</v>
      </c>
    </row>
    <row r="1046" spans="1:4">
      <c r="A1046" s="11">
        <f t="shared" si="67"/>
        <v>46061</v>
      </c>
      <c r="B1046" t="str">
        <f t="shared" si="64"/>
        <v>Feb 2026</v>
      </c>
      <c r="C1046" t="str">
        <f t="shared" si="65"/>
        <v>Q1</v>
      </c>
      <c r="D1046" t="str">
        <f t="shared" si="66"/>
        <v>FY2025</v>
      </c>
    </row>
    <row r="1047" spans="1:4">
      <c r="A1047" s="11">
        <f t="shared" si="67"/>
        <v>46062</v>
      </c>
      <c r="B1047" t="str">
        <f t="shared" si="64"/>
        <v>Feb 2026</v>
      </c>
      <c r="C1047" t="str">
        <f t="shared" si="65"/>
        <v>Q1</v>
      </c>
      <c r="D1047" t="str">
        <f t="shared" si="66"/>
        <v>FY2025</v>
      </c>
    </row>
    <row r="1048" spans="1:4">
      <c r="A1048" s="11">
        <f t="shared" si="67"/>
        <v>46063</v>
      </c>
      <c r="B1048" t="str">
        <f t="shared" si="64"/>
        <v>Feb 2026</v>
      </c>
      <c r="C1048" t="str">
        <f t="shared" si="65"/>
        <v>Q1</v>
      </c>
      <c r="D1048" t="str">
        <f t="shared" si="66"/>
        <v>FY2025</v>
      </c>
    </row>
    <row r="1049" spans="1:4">
      <c r="A1049" s="11">
        <f t="shared" si="67"/>
        <v>46064</v>
      </c>
      <c r="B1049" t="str">
        <f t="shared" si="64"/>
        <v>Feb 2026</v>
      </c>
      <c r="C1049" t="str">
        <f t="shared" si="65"/>
        <v>Q1</v>
      </c>
      <c r="D1049" t="str">
        <f t="shared" si="66"/>
        <v>FY2025</v>
      </c>
    </row>
    <row r="1050" spans="1:4">
      <c r="A1050" s="11">
        <f t="shared" si="67"/>
        <v>46065</v>
      </c>
      <c r="B1050" t="str">
        <f t="shared" si="64"/>
        <v>Feb 2026</v>
      </c>
      <c r="C1050" t="str">
        <f t="shared" si="65"/>
        <v>Q1</v>
      </c>
      <c r="D1050" t="str">
        <f t="shared" si="66"/>
        <v>FY2025</v>
      </c>
    </row>
    <row r="1051" spans="1:4">
      <c r="A1051" s="11">
        <f t="shared" si="67"/>
        <v>46066</v>
      </c>
      <c r="B1051" t="str">
        <f t="shared" si="64"/>
        <v>Feb 2026</v>
      </c>
      <c r="C1051" t="str">
        <f t="shared" si="65"/>
        <v>Q1</v>
      </c>
      <c r="D1051" t="str">
        <f t="shared" si="66"/>
        <v>FY2025</v>
      </c>
    </row>
    <row r="1052" spans="1:4">
      <c r="A1052" s="11">
        <f t="shared" si="67"/>
        <v>46067</v>
      </c>
      <c r="B1052" t="str">
        <f t="shared" si="64"/>
        <v>Feb 2026</v>
      </c>
      <c r="C1052" t="str">
        <f t="shared" si="65"/>
        <v>Q1</v>
      </c>
      <c r="D1052" t="str">
        <f t="shared" si="66"/>
        <v>FY2025</v>
      </c>
    </row>
    <row r="1053" spans="1:4">
      <c r="A1053" s="11">
        <f t="shared" si="67"/>
        <v>46068</v>
      </c>
      <c r="B1053" t="str">
        <f t="shared" si="64"/>
        <v>Feb 2026</v>
      </c>
      <c r="C1053" t="str">
        <f t="shared" si="65"/>
        <v>Q1</v>
      </c>
      <c r="D1053" t="str">
        <f t="shared" si="66"/>
        <v>FY2025</v>
      </c>
    </row>
    <row r="1054" spans="1:4">
      <c r="A1054" s="11">
        <f t="shared" si="67"/>
        <v>46069</v>
      </c>
      <c r="B1054" t="str">
        <f t="shared" si="64"/>
        <v>Feb 2026</v>
      </c>
      <c r="C1054" t="str">
        <f t="shared" si="65"/>
        <v>Q1</v>
      </c>
      <c r="D1054" t="str">
        <f t="shared" si="66"/>
        <v>FY2025</v>
      </c>
    </row>
    <row r="1055" spans="1:4">
      <c r="A1055" s="11">
        <f t="shared" si="67"/>
        <v>46070</v>
      </c>
      <c r="B1055" t="str">
        <f t="shared" si="64"/>
        <v>Feb 2026</v>
      </c>
      <c r="C1055" t="str">
        <f t="shared" si="65"/>
        <v>Q1</v>
      </c>
      <c r="D1055" t="str">
        <f t="shared" si="66"/>
        <v>FY2025</v>
      </c>
    </row>
    <row r="1056" spans="1:4">
      <c r="A1056" s="11">
        <f t="shared" si="67"/>
        <v>46071</v>
      </c>
      <c r="B1056" t="str">
        <f t="shared" si="64"/>
        <v>Feb 2026</v>
      </c>
      <c r="C1056" t="str">
        <f t="shared" si="65"/>
        <v>Q1</v>
      </c>
      <c r="D1056" t="str">
        <f t="shared" si="66"/>
        <v>FY2025</v>
      </c>
    </row>
    <row r="1057" spans="1:4">
      <c r="A1057" s="11">
        <f t="shared" si="67"/>
        <v>46072</v>
      </c>
      <c r="B1057" t="str">
        <f t="shared" si="64"/>
        <v>Feb 2026</v>
      </c>
      <c r="C1057" t="str">
        <f t="shared" si="65"/>
        <v>Q1</v>
      </c>
      <c r="D1057" t="str">
        <f t="shared" si="66"/>
        <v>FY2025</v>
      </c>
    </row>
    <row r="1058" spans="1:4">
      <c r="A1058" s="11">
        <f t="shared" si="67"/>
        <v>46073</v>
      </c>
      <c r="B1058" t="str">
        <f t="shared" si="64"/>
        <v>Feb 2026</v>
      </c>
      <c r="C1058" t="str">
        <f t="shared" si="65"/>
        <v>Q1</v>
      </c>
      <c r="D1058" t="str">
        <f t="shared" si="66"/>
        <v>FY2025</v>
      </c>
    </row>
    <row r="1059" spans="1:4">
      <c r="A1059" s="11">
        <f t="shared" si="67"/>
        <v>46074</v>
      </c>
      <c r="B1059" t="str">
        <f t="shared" si="64"/>
        <v>Feb 2026</v>
      </c>
      <c r="C1059" t="str">
        <f t="shared" si="65"/>
        <v>Q1</v>
      </c>
      <c r="D1059" t="str">
        <f t="shared" si="66"/>
        <v>FY2025</v>
      </c>
    </row>
    <row r="1060" spans="1:4">
      <c r="A1060" s="11">
        <f t="shared" si="67"/>
        <v>46075</v>
      </c>
      <c r="B1060" t="str">
        <f t="shared" si="64"/>
        <v>Feb 2026</v>
      </c>
      <c r="C1060" t="str">
        <f t="shared" si="65"/>
        <v>Q1</v>
      </c>
      <c r="D1060" t="str">
        <f t="shared" si="66"/>
        <v>FY2025</v>
      </c>
    </row>
    <row r="1061" spans="1:4">
      <c r="A1061" s="11">
        <f t="shared" si="67"/>
        <v>46076</v>
      </c>
      <c r="B1061" t="str">
        <f t="shared" si="64"/>
        <v>Feb 2026</v>
      </c>
      <c r="C1061" t="str">
        <f t="shared" si="65"/>
        <v>Q1</v>
      </c>
      <c r="D1061" t="str">
        <f t="shared" si="66"/>
        <v>FY2025</v>
      </c>
    </row>
    <row r="1062" spans="1:4">
      <c r="A1062" s="11">
        <f t="shared" si="67"/>
        <v>46077</v>
      </c>
      <c r="B1062" t="str">
        <f t="shared" si="64"/>
        <v>Feb 2026</v>
      </c>
      <c r="C1062" t="str">
        <f t="shared" si="65"/>
        <v>Q1</v>
      </c>
      <c r="D1062" t="str">
        <f t="shared" si="66"/>
        <v>FY2025</v>
      </c>
    </row>
    <row r="1063" spans="1:4">
      <c r="A1063" s="11">
        <f t="shared" si="67"/>
        <v>46078</v>
      </c>
      <c r="B1063" t="str">
        <f t="shared" si="64"/>
        <v>Feb 2026</v>
      </c>
      <c r="C1063" t="str">
        <f t="shared" si="65"/>
        <v>Q1</v>
      </c>
      <c r="D1063" t="str">
        <f t="shared" si="66"/>
        <v>FY2025</v>
      </c>
    </row>
    <row r="1064" spans="1:4">
      <c r="A1064" s="11">
        <f t="shared" si="67"/>
        <v>46079</v>
      </c>
      <c r="B1064" t="str">
        <f t="shared" si="64"/>
        <v>Feb 2026</v>
      </c>
      <c r="C1064" t="str">
        <f t="shared" si="65"/>
        <v>Q1</v>
      </c>
      <c r="D1064" t="str">
        <f t="shared" si="66"/>
        <v>FY2025</v>
      </c>
    </row>
    <row r="1065" spans="1:4">
      <c r="A1065" s="11">
        <f t="shared" si="67"/>
        <v>46080</v>
      </c>
      <c r="B1065" t="str">
        <f t="shared" si="64"/>
        <v>Feb 2026</v>
      </c>
      <c r="C1065" t="str">
        <f t="shared" si="65"/>
        <v>Q1</v>
      </c>
      <c r="D1065" t="str">
        <f t="shared" si="66"/>
        <v>FY2025</v>
      </c>
    </row>
    <row r="1066" spans="1:4">
      <c r="A1066" s="11">
        <f t="shared" si="67"/>
        <v>46081</v>
      </c>
      <c r="B1066" t="str">
        <f t="shared" si="64"/>
        <v>Feb 2026</v>
      </c>
      <c r="C1066" t="str">
        <f t="shared" si="65"/>
        <v>Q1</v>
      </c>
      <c r="D1066" t="str">
        <f t="shared" si="66"/>
        <v>FY2025</v>
      </c>
    </row>
    <row r="1067" spans="1:4">
      <c r="A1067" s="11">
        <f t="shared" si="67"/>
        <v>46082</v>
      </c>
      <c r="B1067" t="str">
        <f t="shared" si="64"/>
        <v>Mar 2026</v>
      </c>
      <c r="C1067" t="str">
        <f t="shared" si="65"/>
        <v>Q1</v>
      </c>
      <c r="D1067" t="str">
        <f t="shared" si="66"/>
        <v>FY2025</v>
      </c>
    </row>
    <row r="1068" spans="1:4">
      <c r="A1068" s="11">
        <f t="shared" si="67"/>
        <v>46083</v>
      </c>
      <c r="B1068" t="str">
        <f t="shared" si="64"/>
        <v>Mar 2026</v>
      </c>
      <c r="C1068" t="str">
        <f t="shared" si="65"/>
        <v>Q1</v>
      </c>
      <c r="D1068" t="str">
        <f t="shared" si="66"/>
        <v>FY2025</v>
      </c>
    </row>
    <row r="1069" spans="1:4">
      <c r="A1069" s="11">
        <f t="shared" si="67"/>
        <v>46084</v>
      </c>
      <c r="B1069" t="str">
        <f t="shared" si="64"/>
        <v>Mar 2026</v>
      </c>
      <c r="C1069" t="str">
        <f t="shared" si="65"/>
        <v>Q1</v>
      </c>
      <c r="D1069" t="str">
        <f t="shared" si="66"/>
        <v>FY2025</v>
      </c>
    </row>
    <row r="1070" spans="1:4">
      <c r="A1070" s="11">
        <f t="shared" si="67"/>
        <v>46085</v>
      </c>
      <c r="B1070" t="str">
        <f t="shared" si="64"/>
        <v>Mar 2026</v>
      </c>
      <c r="C1070" t="str">
        <f t="shared" si="65"/>
        <v>Q1</v>
      </c>
      <c r="D1070" t="str">
        <f t="shared" si="66"/>
        <v>FY2025</v>
      </c>
    </row>
    <row r="1071" spans="1:4">
      <c r="A1071" s="11">
        <f t="shared" si="67"/>
        <v>46086</v>
      </c>
      <c r="B1071" t="str">
        <f t="shared" si="64"/>
        <v>Mar 2026</v>
      </c>
      <c r="C1071" t="str">
        <f t="shared" si="65"/>
        <v>Q1</v>
      </c>
      <c r="D1071" t="str">
        <f t="shared" si="66"/>
        <v>FY2025</v>
      </c>
    </row>
    <row r="1072" spans="1:4">
      <c r="A1072" s="11">
        <f t="shared" si="67"/>
        <v>46087</v>
      </c>
      <c r="B1072" t="str">
        <f t="shared" si="64"/>
        <v>Mar 2026</v>
      </c>
      <c r="C1072" t="str">
        <f t="shared" si="65"/>
        <v>Q1</v>
      </c>
      <c r="D1072" t="str">
        <f t="shared" si="66"/>
        <v>FY2025</v>
      </c>
    </row>
    <row r="1073" spans="1:4">
      <c r="A1073" s="11">
        <f t="shared" si="67"/>
        <v>46088</v>
      </c>
      <c r="B1073" t="str">
        <f t="shared" si="64"/>
        <v>Mar 2026</v>
      </c>
      <c r="C1073" t="str">
        <f t="shared" si="65"/>
        <v>Q1</v>
      </c>
      <c r="D1073" t="str">
        <f t="shared" si="66"/>
        <v>FY2025</v>
      </c>
    </row>
    <row r="1074" spans="1:4">
      <c r="A1074" s="11">
        <f t="shared" si="67"/>
        <v>46089</v>
      </c>
      <c r="B1074" t="str">
        <f t="shared" si="64"/>
        <v>Mar 2026</v>
      </c>
      <c r="C1074" t="str">
        <f t="shared" si="65"/>
        <v>Q1</v>
      </c>
      <c r="D1074" t="str">
        <f t="shared" si="66"/>
        <v>FY2025</v>
      </c>
    </row>
    <row r="1075" spans="1:4">
      <c r="A1075" s="11">
        <f t="shared" si="67"/>
        <v>46090</v>
      </c>
      <c r="B1075" t="str">
        <f t="shared" si="64"/>
        <v>Mar 2026</v>
      </c>
      <c r="C1075" t="str">
        <f t="shared" si="65"/>
        <v>Q1</v>
      </c>
      <c r="D1075" t="str">
        <f t="shared" si="66"/>
        <v>FY2025</v>
      </c>
    </row>
    <row r="1076" spans="1:4">
      <c r="A1076" s="11">
        <f t="shared" si="67"/>
        <v>46091</v>
      </c>
      <c r="B1076" t="str">
        <f t="shared" si="64"/>
        <v>Mar 2026</v>
      </c>
      <c r="C1076" t="str">
        <f t="shared" si="65"/>
        <v>Q1</v>
      </c>
      <c r="D1076" t="str">
        <f t="shared" si="66"/>
        <v>FY2025</v>
      </c>
    </row>
    <row r="1077" spans="1:4">
      <c r="A1077" s="11">
        <f t="shared" si="67"/>
        <v>46092</v>
      </c>
      <c r="B1077" t="str">
        <f t="shared" si="64"/>
        <v>Mar 2026</v>
      </c>
      <c r="C1077" t="str">
        <f t="shared" si="65"/>
        <v>Q1</v>
      </c>
      <c r="D1077" t="str">
        <f t="shared" si="66"/>
        <v>FY2025</v>
      </c>
    </row>
    <row r="1078" spans="1:4">
      <c r="A1078" s="11">
        <f t="shared" si="67"/>
        <v>46093</v>
      </c>
      <c r="B1078" t="str">
        <f t="shared" si="64"/>
        <v>Mar 2026</v>
      </c>
      <c r="C1078" t="str">
        <f t="shared" si="65"/>
        <v>Q1</v>
      </c>
      <c r="D1078" t="str">
        <f t="shared" si="66"/>
        <v>FY2025</v>
      </c>
    </row>
    <row r="1079" spans="1:4">
      <c r="A1079" s="11">
        <f t="shared" si="67"/>
        <v>46094</v>
      </c>
      <c r="B1079" t="str">
        <f t="shared" si="64"/>
        <v>Mar 2026</v>
      </c>
      <c r="C1079" t="str">
        <f t="shared" si="65"/>
        <v>Q1</v>
      </c>
      <c r="D1079" t="str">
        <f t="shared" si="66"/>
        <v>FY2025</v>
      </c>
    </row>
    <row r="1080" spans="1:4">
      <c r="A1080" s="11">
        <f t="shared" si="67"/>
        <v>46095</v>
      </c>
      <c r="B1080" t="str">
        <f t="shared" si="64"/>
        <v>Mar 2026</v>
      </c>
      <c r="C1080" t="str">
        <f t="shared" si="65"/>
        <v>Q1</v>
      </c>
      <c r="D1080" t="str">
        <f t="shared" si="66"/>
        <v>FY2025</v>
      </c>
    </row>
    <row r="1081" spans="1:4">
      <c r="A1081" s="11">
        <f t="shared" si="67"/>
        <v>46096</v>
      </c>
      <c r="B1081" t="str">
        <f t="shared" si="64"/>
        <v>Mar 2026</v>
      </c>
      <c r="C1081" t="str">
        <f t="shared" si="65"/>
        <v>Q1</v>
      </c>
      <c r="D1081" t="str">
        <f t="shared" si="66"/>
        <v>FY2025</v>
      </c>
    </row>
    <row r="1082" spans="1:4">
      <c r="A1082" s="11">
        <f t="shared" si="67"/>
        <v>46097</v>
      </c>
      <c r="B1082" t="str">
        <f t="shared" si="64"/>
        <v>Mar 2026</v>
      </c>
      <c r="C1082" t="str">
        <f t="shared" si="65"/>
        <v>Q1</v>
      </c>
      <c r="D1082" t="str">
        <f t="shared" si="66"/>
        <v>FY2025</v>
      </c>
    </row>
    <row r="1083" spans="1:4">
      <c r="A1083" s="11">
        <f t="shared" si="67"/>
        <v>46098</v>
      </c>
      <c r="B1083" t="str">
        <f t="shared" si="64"/>
        <v>Mar 2026</v>
      </c>
      <c r="C1083" t="str">
        <f t="shared" si="65"/>
        <v>Q1</v>
      </c>
      <c r="D1083" t="str">
        <f t="shared" si="66"/>
        <v>FY2025</v>
      </c>
    </row>
    <row r="1084" spans="1:4">
      <c r="A1084" s="11">
        <f t="shared" si="67"/>
        <v>46099</v>
      </c>
      <c r="B1084" t="str">
        <f t="shared" si="64"/>
        <v>Mar 2026</v>
      </c>
      <c r="C1084" t="str">
        <f t="shared" si="65"/>
        <v>Q1</v>
      </c>
      <c r="D1084" t="str">
        <f t="shared" si="66"/>
        <v>FY2025</v>
      </c>
    </row>
    <row r="1085" spans="1:4">
      <c r="A1085" s="11">
        <f t="shared" si="67"/>
        <v>46100</v>
      </c>
      <c r="B1085" t="str">
        <f t="shared" si="64"/>
        <v>Mar 2026</v>
      </c>
      <c r="C1085" t="str">
        <f t="shared" si="65"/>
        <v>Q1</v>
      </c>
      <c r="D1085" t="str">
        <f t="shared" si="66"/>
        <v>FY2025</v>
      </c>
    </row>
    <row r="1086" spans="1:4">
      <c r="A1086" s="11">
        <f t="shared" si="67"/>
        <v>46101</v>
      </c>
      <c r="B1086" t="str">
        <f t="shared" si="64"/>
        <v>Mar 2026</v>
      </c>
      <c r="C1086" t="str">
        <f t="shared" si="65"/>
        <v>Q1</v>
      </c>
      <c r="D1086" t="str">
        <f t="shared" si="66"/>
        <v>FY2025</v>
      </c>
    </row>
    <row r="1087" spans="1:4">
      <c r="A1087" s="11">
        <f t="shared" si="67"/>
        <v>46102</v>
      </c>
      <c r="B1087" t="str">
        <f t="shared" si="64"/>
        <v>Mar 2026</v>
      </c>
      <c r="C1087" t="str">
        <f t="shared" si="65"/>
        <v>Q1</v>
      </c>
      <c r="D1087" t="str">
        <f t="shared" si="66"/>
        <v>FY2025</v>
      </c>
    </row>
    <row r="1088" spans="1:4">
      <c r="A1088" s="11">
        <f t="shared" si="67"/>
        <v>46103</v>
      </c>
      <c r="B1088" t="str">
        <f t="shared" si="64"/>
        <v>Mar 2026</v>
      </c>
      <c r="C1088" t="str">
        <f t="shared" si="65"/>
        <v>Q1</v>
      </c>
      <c r="D1088" t="str">
        <f t="shared" si="66"/>
        <v>FY2025</v>
      </c>
    </row>
    <row r="1089" spans="1:4">
      <c r="A1089" s="11">
        <f t="shared" si="67"/>
        <v>46104</v>
      </c>
      <c r="B1089" t="str">
        <f t="shared" si="64"/>
        <v>Mar 2026</v>
      </c>
      <c r="C1089" t="str">
        <f t="shared" si="65"/>
        <v>Q1</v>
      </c>
      <c r="D1089" t="str">
        <f t="shared" si="66"/>
        <v>FY2025</v>
      </c>
    </row>
    <row r="1090" spans="1:4">
      <c r="A1090" s="11">
        <f t="shared" si="67"/>
        <v>46105</v>
      </c>
      <c r="B1090" t="str">
        <f t="shared" si="64"/>
        <v>Mar 2026</v>
      </c>
      <c r="C1090" t="str">
        <f t="shared" si="65"/>
        <v>Q1</v>
      </c>
      <c r="D1090" t="str">
        <f t="shared" si="66"/>
        <v>FY2025</v>
      </c>
    </row>
    <row r="1091" spans="1:4">
      <c r="A1091" s="11">
        <f t="shared" si="67"/>
        <v>46106</v>
      </c>
      <c r="B1091" t="str">
        <f t="shared" ref="B1091:B1154" si="68">TEXT(A1091, "MMM_YYYY")</f>
        <v>Mar 2026</v>
      </c>
      <c r="C1091" t="str">
        <f t="shared" ref="C1091:C1154" si="69">"Q" &amp; INT((MONTH(A1091)-1)/3)+1</f>
        <v>Q1</v>
      </c>
      <c r="D1091" t="str">
        <f t="shared" ref="D1091:D1154" si="70">"FY" &amp; IF(MONTH(A1091)&gt;=4, YEAR(A1091), YEAR(A1091)-1)</f>
        <v>FY2025</v>
      </c>
    </row>
    <row r="1092" spans="1:4">
      <c r="A1092" s="11">
        <f t="shared" ref="A1092:A1155" si="71">A1091+1</f>
        <v>46107</v>
      </c>
      <c r="B1092" t="str">
        <f t="shared" si="68"/>
        <v>Mar 2026</v>
      </c>
      <c r="C1092" t="str">
        <f t="shared" si="69"/>
        <v>Q1</v>
      </c>
      <c r="D1092" t="str">
        <f t="shared" si="70"/>
        <v>FY2025</v>
      </c>
    </row>
    <row r="1093" spans="1:4">
      <c r="A1093" s="11">
        <f t="shared" si="71"/>
        <v>46108</v>
      </c>
      <c r="B1093" t="str">
        <f t="shared" si="68"/>
        <v>Mar 2026</v>
      </c>
      <c r="C1093" t="str">
        <f t="shared" si="69"/>
        <v>Q1</v>
      </c>
      <c r="D1093" t="str">
        <f t="shared" si="70"/>
        <v>FY2025</v>
      </c>
    </row>
    <row r="1094" spans="1:4">
      <c r="A1094" s="11">
        <f t="shared" si="71"/>
        <v>46109</v>
      </c>
      <c r="B1094" t="str">
        <f t="shared" si="68"/>
        <v>Mar 2026</v>
      </c>
      <c r="C1094" t="str">
        <f t="shared" si="69"/>
        <v>Q1</v>
      </c>
      <c r="D1094" t="str">
        <f t="shared" si="70"/>
        <v>FY2025</v>
      </c>
    </row>
    <row r="1095" spans="1:4">
      <c r="A1095" s="11">
        <f t="shared" si="71"/>
        <v>46110</v>
      </c>
      <c r="B1095" t="str">
        <f t="shared" si="68"/>
        <v>Mar 2026</v>
      </c>
      <c r="C1095" t="str">
        <f t="shared" si="69"/>
        <v>Q1</v>
      </c>
      <c r="D1095" t="str">
        <f t="shared" si="70"/>
        <v>FY2025</v>
      </c>
    </row>
    <row r="1096" spans="1:4">
      <c r="A1096" s="11">
        <f t="shared" si="71"/>
        <v>46111</v>
      </c>
      <c r="B1096" t="str">
        <f t="shared" si="68"/>
        <v>Mar 2026</v>
      </c>
      <c r="C1096" t="str">
        <f t="shared" si="69"/>
        <v>Q1</v>
      </c>
      <c r="D1096" t="str">
        <f t="shared" si="70"/>
        <v>FY2025</v>
      </c>
    </row>
    <row r="1097" spans="1:4">
      <c r="A1097" s="11">
        <f t="shared" si="71"/>
        <v>46112</v>
      </c>
      <c r="B1097" t="str">
        <f t="shared" si="68"/>
        <v>Mar 2026</v>
      </c>
      <c r="C1097" t="str">
        <f t="shared" si="69"/>
        <v>Q1</v>
      </c>
      <c r="D1097" t="str">
        <f t="shared" si="70"/>
        <v>FY2025</v>
      </c>
    </row>
    <row r="1098" spans="1:4">
      <c r="A1098" s="11">
        <f t="shared" si="71"/>
        <v>46113</v>
      </c>
      <c r="B1098" t="str">
        <f t="shared" si="68"/>
        <v>Apr 2026</v>
      </c>
      <c r="C1098" t="str">
        <f t="shared" si="69"/>
        <v>Q2</v>
      </c>
      <c r="D1098" t="str">
        <f t="shared" si="70"/>
        <v>FY2026</v>
      </c>
    </row>
    <row r="1099" spans="1:4">
      <c r="A1099" s="11">
        <f t="shared" si="71"/>
        <v>46114</v>
      </c>
      <c r="B1099" t="str">
        <f t="shared" si="68"/>
        <v>Apr 2026</v>
      </c>
      <c r="C1099" t="str">
        <f t="shared" si="69"/>
        <v>Q2</v>
      </c>
      <c r="D1099" t="str">
        <f t="shared" si="70"/>
        <v>FY2026</v>
      </c>
    </row>
    <row r="1100" spans="1:4">
      <c r="A1100" s="11">
        <f t="shared" si="71"/>
        <v>46115</v>
      </c>
      <c r="B1100" t="str">
        <f t="shared" si="68"/>
        <v>Apr 2026</v>
      </c>
      <c r="C1100" t="str">
        <f t="shared" si="69"/>
        <v>Q2</v>
      </c>
      <c r="D1100" t="str">
        <f t="shared" si="70"/>
        <v>FY2026</v>
      </c>
    </row>
    <row r="1101" spans="1:4">
      <c r="A1101" s="11">
        <f t="shared" si="71"/>
        <v>46116</v>
      </c>
      <c r="B1101" t="str">
        <f t="shared" si="68"/>
        <v>Apr 2026</v>
      </c>
      <c r="C1101" t="str">
        <f t="shared" si="69"/>
        <v>Q2</v>
      </c>
      <c r="D1101" t="str">
        <f t="shared" si="70"/>
        <v>FY2026</v>
      </c>
    </row>
    <row r="1102" spans="1:4">
      <c r="A1102" s="11">
        <f t="shared" si="71"/>
        <v>46117</v>
      </c>
      <c r="B1102" t="str">
        <f t="shared" si="68"/>
        <v>Apr 2026</v>
      </c>
      <c r="C1102" t="str">
        <f t="shared" si="69"/>
        <v>Q2</v>
      </c>
      <c r="D1102" t="str">
        <f t="shared" si="70"/>
        <v>FY2026</v>
      </c>
    </row>
    <row r="1103" spans="1:4">
      <c r="A1103" s="11">
        <f t="shared" si="71"/>
        <v>46118</v>
      </c>
      <c r="B1103" t="str">
        <f t="shared" si="68"/>
        <v>Apr 2026</v>
      </c>
      <c r="C1103" t="str">
        <f t="shared" si="69"/>
        <v>Q2</v>
      </c>
      <c r="D1103" t="str">
        <f t="shared" si="70"/>
        <v>FY2026</v>
      </c>
    </row>
    <row r="1104" spans="1:4">
      <c r="A1104" s="11">
        <f t="shared" si="71"/>
        <v>46119</v>
      </c>
      <c r="B1104" t="str">
        <f t="shared" si="68"/>
        <v>Apr 2026</v>
      </c>
      <c r="C1104" t="str">
        <f t="shared" si="69"/>
        <v>Q2</v>
      </c>
      <c r="D1104" t="str">
        <f t="shared" si="70"/>
        <v>FY2026</v>
      </c>
    </row>
    <row r="1105" spans="1:4">
      <c r="A1105" s="11">
        <f t="shared" si="71"/>
        <v>46120</v>
      </c>
      <c r="B1105" t="str">
        <f t="shared" si="68"/>
        <v>Apr 2026</v>
      </c>
      <c r="C1105" t="str">
        <f t="shared" si="69"/>
        <v>Q2</v>
      </c>
      <c r="D1105" t="str">
        <f t="shared" si="70"/>
        <v>FY2026</v>
      </c>
    </row>
    <row r="1106" spans="1:4">
      <c r="A1106" s="11">
        <f t="shared" si="71"/>
        <v>46121</v>
      </c>
      <c r="B1106" t="str">
        <f t="shared" si="68"/>
        <v>Apr 2026</v>
      </c>
      <c r="C1106" t="str">
        <f t="shared" si="69"/>
        <v>Q2</v>
      </c>
      <c r="D1106" t="str">
        <f t="shared" si="70"/>
        <v>FY2026</v>
      </c>
    </row>
    <row r="1107" spans="1:4">
      <c r="A1107" s="11">
        <f t="shared" si="71"/>
        <v>46122</v>
      </c>
      <c r="B1107" t="str">
        <f t="shared" si="68"/>
        <v>Apr 2026</v>
      </c>
      <c r="C1107" t="str">
        <f t="shared" si="69"/>
        <v>Q2</v>
      </c>
      <c r="D1107" t="str">
        <f t="shared" si="70"/>
        <v>FY2026</v>
      </c>
    </row>
    <row r="1108" spans="1:4">
      <c r="A1108" s="11">
        <f t="shared" si="71"/>
        <v>46123</v>
      </c>
      <c r="B1108" t="str">
        <f t="shared" si="68"/>
        <v>Apr 2026</v>
      </c>
      <c r="C1108" t="str">
        <f t="shared" si="69"/>
        <v>Q2</v>
      </c>
      <c r="D1108" t="str">
        <f t="shared" si="70"/>
        <v>FY2026</v>
      </c>
    </row>
    <row r="1109" spans="1:4">
      <c r="A1109" s="11">
        <f t="shared" si="71"/>
        <v>46124</v>
      </c>
      <c r="B1109" t="str">
        <f t="shared" si="68"/>
        <v>Apr 2026</v>
      </c>
      <c r="C1109" t="str">
        <f t="shared" si="69"/>
        <v>Q2</v>
      </c>
      <c r="D1109" t="str">
        <f t="shared" si="70"/>
        <v>FY2026</v>
      </c>
    </row>
    <row r="1110" spans="1:4">
      <c r="A1110" s="11">
        <f t="shared" si="71"/>
        <v>46125</v>
      </c>
      <c r="B1110" t="str">
        <f t="shared" si="68"/>
        <v>Apr 2026</v>
      </c>
      <c r="C1110" t="str">
        <f t="shared" si="69"/>
        <v>Q2</v>
      </c>
      <c r="D1110" t="str">
        <f t="shared" si="70"/>
        <v>FY2026</v>
      </c>
    </row>
    <row r="1111" spans="1:4">
      <c r="A1111" s="11">
        <f t="shared" si="71"/>
        <v>46126</v>
      </c>
      <c r="B1111" t="str">
        <f t="shared" si="68"/>
        <v>Apr 2026</v>
      </c>
      <c r="C1111" t="str">
        <f t="shared" si="69"/>
        <v>Q2</v>
      </c>
      <c r="D1111" t="str">
        <f t="shared" si="70"/>
        <v>FY2026</v>
      </c>
    </row>
    <row r="1112" spans="1:4">
      <c r="A1112" s="11">
        <f t="shared" si="71"/>
        <v>46127</v>
      </c>
      <c r="B1112" t="str">
        <f t="shared" si="68"/>
        <v>Apr 2026</v>
      </c>
      <c r="C1112" t="str">
        <f t="shared" si="69"/>
        <v>Q2</v>
      </c>
      <c r="D1112" t="str">
        <f t="shared" si="70"/>
        <v>FY2026</v>
      </c>
    </row>
    <row r="1113" spans="1:4">
      <c r="A1113" s="11">
        <f t="shared" si="71"/>
        <v>46128</v>
      </c>
      <c r="B1113" t="str">
        <f t="shared" si="68"/>
        <v>Apr 2026</v>
      </c>
      <c r="C1113" t="str">
        <f t="shared" si="69"/>
        <v>Q2</v>
      </c>
      <c r="D1113" t="str">
        <f t="shared" si="70"/>
        <v>FY2026</v>
      </c>
    </row>
    <row r="1114" spans="1:4">
      <c r="A1114" s="11">
        <f t="shared" si="71"/>
        <v>46129</v>
      </c>
      <c r="B1114" t="str">
        <f t="shared" si="68"/>
        <v>Apr 2026</v>
      </c>
      <c r="C1114" t="str">
        <f t="shared" si="69"/>
        <v>Q2</v>
      </c>
      <c r="D1114" t="str">
        <f t="shared" si="70"/>
        <v>FY2026</v>
      </c>
    </row>
    <row r="1115" spans="1:4">
      <c r="A1115" s="11">
        <f t="shared" si="71"/>
        <v>46130</v>
      </c>
      <c r="B1115" t="str">
        <f t="shared" si="68"/>
        <v>Apr 2026</v>
      </c>
      <c r="C1115" t="str">
        <f t="shared" si="69"/>
        <v>Q2</v>
      </c>
      <c r="D1115" t="str">
        <f t="shared" si="70"/>
        <v>FY2026</v>
      </c>
    </row>
    <row r="1116" spans="1:4">
      <c r="A1116" s="11">
        <f t="shared" si="71"/>
        <v>46131</v>
      </c>
      <c r="B1116" t="str">
        <f t="shared" si="68"/>
        <v>Apr 2026</v>
      </c>
      <c r="C1116" t="str">
        <f t="shared" si="69"/>
        <v>Q2</v>
      </c>
      <c r="D1116" t="str">
        <f t="shared" si="70"/>
        <v>FY2026</v>
      </c>
    </row>
    <row r="1117" spans="1:4">
      <c r="A1117" s="11">
        <f t="shared" si="71"/>
        <v>46132</v>
      </c>
      <c r="B1117" t="str">
        <f t="shared" si="68"/>
        <v>Apr 2026</v>
      </c>
      <c r="C1117" t="str">
        <f t="shared" si="69"/>
        <v>Q2</v>
      </c>
      <c r="D1117" t="str">
        <f t="shared" si="70"/>
        <v>FY2026</v>
      </c>
    </row>
    <row r="1118" spans="1:4">
      <c r="A1118" s="11">
        <f t="shared" si="71"/>
        <v>46133</v>
      </c>
      <c r="B1118" t="str">
        <f t="shared" si="68"/>
        <v>Apr 2026</v>
      </c>
      <c r="C1118" t="str">
        <f t="shared" si="69"/>
        <v>Q2</v>
      </c>
      <c r="D1118" t="str">
        <f t="shared" si="70"/>
        <v>FY2026</v>
      </c>
    </row>
    <row r="1119" spans="1:4">
      <c r="A1119" s="11">
        <f t="shared" si="71"/>
        <v>46134</v>
      </c>
      <c r="B1119" t="str">
        <f t="shared" si="68"/>
        <v>Apr 2026</v>
      </c>
      <c r="C1119" t="str">
        <f t="shared" si="69"/>
        <v>Q2</v>
      </c>
      <c r="D1119" t="str">
        <f t="shared" si="70"/>
        <v>FY2026</v>
      </c>
    </row>
    <row r="1120" spans="1:4">
      <c r="A1120" s="11">
        <f t="shared" si="71"/>
        <v>46135</v>
      </c>
      <c r="B1120" t="str">
        <f t="shared" si="68"/>
        <v>Apr 2026</v>
      </c>
      <c r="C1120" t="str">
        <f t="shared" si="69"/>
        <v>Q2</v>
      </c>
      <c r="D1120" t="str">
        <f t="shared" si="70"/>
        <v>FY2026</v>
      </c>
    </row>
    <row r="1121" spans="1:4">
      <c r="A1121" s="11">
        <f t="shared" si="71"/>
        <v>46136</v>
      </c>
      <c r="B1121" t="str">
        <f t="shared" si="68"/>
        <v>Apr 2026</v>
      </c>
      <c r="C1121" t="str">
        <f t="shared" si="69"/>
        <v>Q2</v>
      </c>
      <c r="D1121" t="str">
        <f t="shared" si="70"/>
        <v>FY2026</v>
      </c>
    </row>
    <row r="1122" spans="1:4">
      <c r="A1122" s="11">
        <f t="shared" si="71"/>
        <v>46137</v>
      </c>
      <c r="B1122" t="str">
        <f t="shared" si="68"/>
        <v>Apr 2026</v>
      </c>
      <c r="C1122" t="str">
        <f t="shared" si="69"/>
        <v>Q2</v>
      </c>
      <c r="D1122" t="str">
        <f t="shared" si="70"/>
        <v>FY2026</v>
      </c>
    </row>
    <row r="1123" spans="1:4">
      <c r="A1123" s="11">
        <f t="shared" si="71"/>
        <v>46138</v>
      </c>
      <c r="B1123" t="str">
        <f t="shared" si="68"/>
        <v>Apr 2026</v>
      </c>
      <c r="C1123" t="str">
        <f t="shared" si="69"/>
        <v>Q2</v>
      </c>
      <c r="D1123" t="str">
        <f t="shared" si="70"/>
        <v>FY2026</v>
      </c>
    </row>
    <row r="1124" spans="1:4">
      <c r="A1124" s="11">
        <f t="shared" si="71"/>
        <v>46139</v>
      </c>
      <c r="B1124" t="str">
        <f t="shared" si="68"/>
        <v>Apr 2026</v>
      </c>
      <c r="C1124" t="str">
        <f t="shared" si="69"/>
        <v>Q2</v>
      </c>
      <c r="D1124" t="str">
        <f t="shared" si="70"/>
        <v>FY2026</v>
      </c>
    </row>
    <row r="1125" spans="1:4">
      <c r="A1125" s="11">
        <f t="shared" si="71"/>
        <v>46140</v>
      </c>
      <c r="B1125" t="str">
        <f t="shared" si="68"/>
        <v>Apr 2026</v>
      </c>
      <c r="C1125" t="str">
        <f t="shared" si="69"/>
        <v>Q2</v>
      </c>
      <c r="D1125" t="str">
        <f t="shared" si="70"/>
        <v>FY2026</v>
      </c>
    </row>
    <row r="1126" spans="1:4">
      <c r="A1126" s="11">
        <f t="shared" si="71"/>
        <v>46141</v>
      </c>
      <c r="B1126" t="str">
        <f t="shared" si="68"/>
        <v>Apr 2026</v>
      </c>
      <c r="C1126" t="str">
        <f t="shared" si="69"/>
        <v>Q2</v>
      </c>
      <c r="D1126" t="str">
        <f t="shared" si="70"/>
        <v>FY2026</v>
      </c>
    </row>
    <row r="1127" spans="1:4">
      <c r="A1127" s="11">
        <f t="shared" si="71"/>
        <v>46142</v>
      </c>
      <c r="B1127" t="str">
        <f t="shared" si="68"/>
        <v>Apr 2026</v>
      </c>
      <c r="C1127" t="str">
        <f t="shared" si="69"/>
        <v>Q2</v>
      </c>
      <c r="D1127" t="str">
        <f t="shared" si="70"/>
        <v>FY2026</v>
      </c>
    </row>
    <row r="1128" spans="1:4">
      <c r="A1128" s="11">
        <f t="shared" si="71"/>
        <v>46143</v>
      </c>
      <c r="B1128" t="str">
        <f t="shared" si="68"/>
        <v>May 2026</v>
      </c>
      <c r="C1128" t="str">
        <f t="shared" si="69"/>
        <v>Q2</v>
      </c>
      <c r="D1128" t="str">
        <f t="shared" si="70"/>
        <v>FY2026</v>
      </c>
    </row>
    <row r="1129" spans="1:4">
      <c r="A1129" s="11">
        <f t="shared" si="71"/>
        <v>46144</v>
      </c>
      <c r="B1129" t="str">
        <f t="shared" si="68"/>
        <v>May 2026</v>
      </c>
      <c r="C1129" t="str">
        <f t="shared" si="69"/>
        <v>Q2</v>
      </c>
      <c r="D1129" t="str">
        <f t="shared" si="70"/>
        <v>FY2026</v>
      </c>
    </row>
    <row r="1130" spans="1:4">
      <c r="A1130" s="11">
        <f t="shared" si="71"/>
        <v>46145</v>
      </c>
      <c r="B1130" t="str">
        <f t="shared" si="68"/>
        <v>May 2026</v>
      </c>
      <c r="C1130" t="str">
        <f t="shared" si="69"/>
        <v>Q2</v>
      </c>
      <c r="D1130" t="str">
        <f t="shared" si="70"/>
        <v>FY2026</v>
      </c>
    </row>
    <row r="1131" spans="1:4">
      <c r="A1131" s="11">
        <f t="shared" si="71"/>
        <v>46146</v>
      </c>
      <c r="B1131" t="str">
        <f t="shared" si="68"/>
        <v>May 2026</v>
      </c>
      <c r="C1131" t="str">
        <f t="shared" si="69"/>
        <v>Q2</v>
      </c>
      <c r="D1131" t="str">
        <f t="shared" si="70"/>
        <v>FY2026</v>
      </c>
    </row>
    <row r="1132" spans="1:4">
      <c r="A1132" s="11">
        <f t="shared" si="71"/>
        <v>46147</v>
      </c>
      <c r="B1132" t="str">
        <f t="shared" si="68"/>
        <v>May 2026</v>
      </c>
      <c r="C1132" t="str">
        <f t="shared" si="69"/>
        <v>Q2</v>
      </c>
      <c r="D1132" t="str">
        <f t="shared" si="70"/>
        <v>FY2026</v>
      </c>
    </row>
    <row r="1133" spans="1:4">
      <c r="A1133" s="11">
        <f t="shared" si="71"/>
        <v>46148</v>
      </c>
      <c r="B1133" t="str">
        <f t="shared" si="68"/>
        <v>May 2026</v>
      </c>
      <c r="C1133" t="str">
        <f t="shared" si="69"/>
        <v>Q2</v>
      </c>
      <c r="D1133" t="str">
        <f t="shared" si="70"/>
        <v>FY2026</v>
      </c>
    </row>
    <row r="1134" spans="1:4">
      <c r="A1134" s="11">
        <f t="shared" si="71"/>
        <v>46149</v>
      </c>
      <c r="B1134" t="str">
        <f t="shared" si="68"/>
        <v>May 2026</v>
      </c>
      <c r="C1134" t="str">
        <f t="shared" si="69"/>
        <v>Q2</v>
      </c>
      <c r="D1134" t="str">
        <f t="shared" si="70"/>
        <v>FY2026</v>
      </c>
    </row>
    <row r="1135" spans="1:4">
      <c r="A1135" s="11">
        <f t="shared" si="71"/>
        <v>46150</v>
      </c>
      <c r="B1135" t="str">
        <f t="shared" si="68"/>
        <v>May 2026</v>
      </c>
      <c r="C1135" t="str">
        <f t="shared" si="69"/>
        <v>Q2</v>
      </c>
      <c r="D1135" t="str">
        <f t="shared" si="70"/>
        <v>FY2026</v>
      </c>
    </row>
    <row r="1136" spans="1:4">
      <c r="A1136" s="11">
        <f t="shared" si="71"/>
        <v>46151</v>
      </c>
      <c r="B1136" t="str">
        <f t="shared" si="68"/>
        <v>May 2026</v>
      </c>
      <c r="C1136" t="str">
        <f t="shared" si="69"/>
        <v>Q2</v>
      </c>
      <c r="D1136" t="str">
        <f t="shared" si="70"/>
        <v>FY2026</v>
      </c>
    </row>
    <row r="1137" spans="1:4">
      <c r="A1137" s="11">
        <f t="shared" si="71"/>
        <v>46152</v>
      </c>
      <c r="B1137" t="str">
        <f t="shared" si="68"/>
        <v>May 2026</v>
      </c>
      <c r="C1137" t="str">
        <f t="shared" si="69"/>
        <v>Q2</v>
      </c>
      <c r="D1137" t="str">
        <f t="shared" si="70"/>
        <v>FY2026</v>
      </c>
    </row>
    <row r="1138" spans="1:4">
      <c r="A1138" s="11">
        <f t="shared" si="71"/>
        <v>46153</v>
      </c>
      <c r="B1138" t="str">
        <f t="shared" si="68"/>
        <v>May 2026</v>
      </c>
      <c r="C1138" t="str">
        <f t="shared" si="69"/>
        <v>Q2</v>
      </c>
      <c r="D1138" t="str">
        <f t="shared" si="70"/>
        <v>FY2026</v>
      </c>
    </row>
    <row r="1139" spans="1:4">
      <c r="A1139" s="11">
        <f t="shared" si="71"/>
        <v>46154</v>
      </c>
      <c r="B1139" t="str">
        <f t="shared" si="68"/>
        <v>May 2026</v>
      </c>
      <c r="C1139" t="str">
        <f t="shared" si="69"/>
        <v>Q2</v>
      </c>
      <c r="D1139" t="str">
        <f t="shared" si="70"/>
        <v>FY2026</v>
      </c>
    </row>
    <row r="1140" spans="1:4">
      <c r="A1140" s="11">
        <f t="shared" si="71"/>
        <v>46155</v>
      </c>
      <c r="B1140" t="str">
        <f t="shared" si="68"/>
        <v>May 2026</v>
      </c>
      <c r="C1140" t="str">
        <f t="shared" si="69"/>
        <v>Q2</v>
      </c>
      <c r="D1140" t="str">
        <f t="shared" si="70"/>
        <v>FY2026</v>
      </c>
    </row>
    <row r="1141" spans="1:4">
      <c r="A1141" s="11">
        <f t="shared" si="71"/>
        <v>46156</v>
      </c>
      <c r="B1141" t="str">
        <f t="shared" si="68"/>
        <v>May 2026</v>
      </c>
      <c r="C1141" t="str">
        <f t="shared" si="69"/>
        <v>Q2</v>
      </c>
      <c r="D1141" t="str">
        <f t="shared" si="70"/>
        <v>FY2026</v>
      </c>
    </row>
    <row r="1142" spans="1:4">
      <c r="A1142" s="11">
        <f t="shared" si="71"/>
        <v>46157</v>
      </c>
      <c r="B1142" t="str">
        <f t="shared" si="68"/>
        <v>May 2026</v>
      </c>
      <c r="C1142" t="str">
        <f t="shared" si="69"/>
        <v>Q2</v>
      </c>
      <c r="D1142" t="str">
        <f t="shared" si="70"/>
        <v>FY2026</v>
      </c>
    </row>
    <row r="1143" spans="1:4">
      <c r="A1143" s="11">
        <f t="shared" si="71"/>
        <v>46158</v>
      </c>
      <c r="B1143" t="str">
        <f t="shared" si="68"/>
        <v>May 2026</v>
      </c>
      <c r="C1143" t="str">
        <f t="shared" si="69"/>
        <v>Q2</v>
      </c>
      <c r="D1143" t="str">
        <f t="shared" si="70"/>
        <v>FY2026</v>
      </c>
    </row>
    <row r="1144" spans="1:4">
      <c r="A1144" s="11">
        <f t="shared" si="71"/>
        <v>46159</v>
      </c>
      <c r="B1144" t="str">
        <f t="shared" si="68"/>
        <v>May 2026</v>
      </c>
      <c r="C1144" t="str">
        <f t="shared" si="69"/>
        <v>Q2</v>
      </c>
      <c r="D1144" t="str">
        <f t="shared" si="70"/>
        <v>FY2026</v>
      </c>
    </row>
    <row r="1145" spans="1:4">
      <c r="A1145" s="11">
        <f t="shared" si="71"/>
        <v>46160</v>
      </c>
      <c r="B1145" t="str">
        <f t="shared" si="68"/>
        <v>May 2026</v>
      </c>
      <c r="C1145" t="str">
        <f t="shared" si="69"/>
        <v>Q2</v>
      </c>
      <c r="D1145" t="str">
        <f t="shared" si="70"/>
        <v>FY2026</v>
      </c>
    </row>
    <row r="1146" spans="1:4">
      <c r="A1146" s="11">
        <f t="shared" si="71"/>
        <v>46161</v>
      </c>
      <c r="B1146" t="str">
        <f t="shared" si="68"/>
        <v>May 2026</v>
      </c>
      <c r="C1146" t="str">
        <f t="shared" si="69"/>
        <v>Q2</v>
      </c>
      <c r="D1146" t="str">
        <f t="shared" si="70"/>
        <v>FY2026</v>
      </c>
    </row>
    <row r="1147" spans="1:4">
      <c r="A1147" s="11">
        <f t="shared" si="71"/>
        <v>46162</v>
      </c>
      <c r="B1147" t="str">
        <f t="shared" si="68"/>
        <v>May 2026</v>
      </c>
      <c r="C1147" t="str">
        <f t="shared" si="69"/>
        <v>Q2</v>
      </c>
      <c r="D1147" t="str">
        <f t="shared" si="70"/>
        <v>FY2026</v>
      </c>
    </row>
    <row r="1148" spans="1:4">
      <c r="A1148" s="11">
        <f t="shared" si="71"/>
        <v>46163</v>
      </c>
      <c r="B1148" t="str">
        <f t="shared" si="68"/>
        <v>May 2026</v>
      </c>
      <c r="C1148" t="str">
        <f t="shared" si="69"/>
        <v>Q2</v>
      </c>
      <c r="D1148" t="str">
        <f t="shared" si="70"/>
        <v>FY2026</v>
      </c>
    </row>
    <row r="1149" spans="1:4">
      <c r="A1149" s="11">
        <f t="shared" si="71"/>
        <v>46164</v>
      </c>
      <c r="B1149" t="str">
        <f t="shared" si="68"/>
        <v>May 2026</v>
      </c>
      <c r="C1149" t="str">
        <f t="shared" si="69"/>
        <v>Q2</v>
      </c>
      <c r="D1149" t="str">
        <f t="shared" si="70"/>
        <v>FY2026</v>
      </c>
    </row>
    <row r="1150" spans="1:4">
      <c r="A1150" s="11">
        <f t="shared" si="71"/>
        <v>46165</v>
      </c>
      <c r="B1150" t="str">
        <f t="shared" si="68"/>
        <v>May 2026</v>
      </c>
      <c r="C1150" t="str">
        <f t="shared" si="69"/>
        <v>Q2</v>
      </c>
      <c r="D1150" t="str">
        <f t="shared" si="70"/>
        <v>FY2026</v>
      </c>
    </row>
    <row r="1151" spans="1:4">
      <c r="A1151" s="11">
        <f t="shared" si="71"/>
        <v>46166</v>
      </c>
      <c r="B1151" t="str">
        <f t="shared" si="68"/>
        <v>May 2026</v>
      </c>
      <c r="C1151" t="str">
        <f t="shared" si="69"/>
        <v>Q2</v>
      </c>
      <c r="D1151" t="str">
        <f t="shared" si="70"/>
        <v>FY2026</v>
      </c>
    </row>
    <row r="1152" spans="1:4">
      <c r="A1152" s="11">
        <f t="shared" si="71"/>
        <v>46167</v>
      </c>
      <c r="B1152" t="str">
        <f t="shared" si="68"/>
        <v>May 2026</v>
      </c>
      <c r="C1152" t="str">
        <f t="shared" si="69"/>
        <v>Q2</v>
      </c>
      <c r="D1152" t="str">
        <f t="shared" si="70"/>
        <v>FY2026</v>
      </c>
    </row>
    <row r="1153" spans="1:4">
      <c r="A1153" s="11">
        <f t="shared" si="71"/>
        <v>46168</v>
      </c>
      <c r="B1153" t="str">
        <f t="shared" si="68"/>
        <v>May 2026</v>
      </c>
      <c r="C1153" t="str">
        <f t="shared" si="69"/>
        <v>Q2</v>
      </c>
      <c r="D1153" t="str">
        <f t="shared" si="70"/>
        <v>FY2026</v>
      </c>
    </row>
    <row r="1154" spans="1:4">
      <c r="A1154" s="11">
        <f t="shared" si="71"/>
        <v>46169</v>
      </c>
      <c r="B1154" t="str">
        <f t="shared" si="68"/>
        <v>May 2026</v>
      </c>
      <c r="C1154" t="str">
        <f t="shared" si="69"/>
        <v>Q2</v>
      </c>
      <c r="D1154" t="str">
        <f t="shared" si="70"/>
        <v>FY2026</v>
      </c>
    </row>
    <row r="1155" spans="1:4">
      <c r="A1155" s="11">
        <f t="shared" si="71"/>
        <v>46170</v>
      </c>
      <c r="B1155" t="str">
        <f t="shared" ref="B1155:B1179" si="72">TEXT(A1155, "MMM_YYYY")</f>
        <v>May 2026</v>
      </c>
      <c r="C1155" t="str">
        <f t="shared" ref="C1155:C1179" si="73">"Q" &amp; INT((MONTH(A1155)-1)/3)+1</f>
        <v>Q2</v>
      </c>
      <c r="D1155" t="str">
        <f t="shared" ref="D1155:D1179" si="74">"FY" &amp; IF(MONTH(A1155)&gt;=4, YEAR(A1155), YEAR(A1155)-1)</f>
        <v>FY2026</v>
      </c>
    </row>
    <row r="1156" spans="1:4">
      <c r="A1156" s="11">
        <f t="shared" ref="A1156:A1220" si="75">A1155+1</f>
        <v>46171</v>
      </c>
      <c r="B1156" t="str">
        <f t="shared" si="72"/>
        <v>May 2026</v>
      </c>
      <c r="C1156" t="str">
        <f t="shared" si="73"/>
        <v>Q2</v>
      </c>
      <c r="D1156" t="str">
        <f t="shared" si="74"/>
        <v>FY2026</v>
      </c>
    </row>
    <row r="1157" spans="1:4">
      <c r="A1157" s="11">
        <f t="shared" si="75"/>
        <v>46172</v>
      </c>
      <c r="B1157" t="str">
        <f t="shared" si="72"/>
        <v>May 2026</v>
      </c>
      <c r="C1157" t="str">
        <f t="shared" si="73"/>
        <v>Q2</v>
      </c>
      <c r="D1157" t="str">
        <f t="shared" si="74"/>
        <v>FY2026</v>
      </c>
    </row>
    <row r="1158" spans="1:4">
      <c r="A1158" s="11">
        <f t="shared" si="75"/>
        <v>46173</v>
      </c>
      <c r="B1158" t="str">
        <f t="shared" si="72"/>
        <v>May 2026</v>
      </c>
      <c r="C1158" t="str">
        <f t="shared" si="73"/>
        <v>Q2</v>
      </c>
      <c r="D1158" t="str">
        <f t="shared" si="74"/>
        <v>FY2026</v>
      </c>
    </row>
    <row r="1159" spans="1:4">
      <c r="A1159" s="11">
        <f t="shared" si="75"/>
        <v>46174</v>
      </c>
      <c r="B1159" t="str">
        <f t="shared" si="72"/>
        <v>Jun 2026</v>
      </c>
      <c r="C1159" t="str">
        <f t="shared" si="73"/>
        <v>Q2</v>
      </c>
      <c r="D1159" t="str">
        <f t="shared" si="74"/>
        <v>FY2026</v>
      </c>
    </row>
    <row r="1160" spans="1:4">
      <c r="A1160" s="11">
        <f t="shared" si="75"/>
        <v>46175</v>
      </c>
      <c r="B1160" t="str">
        <f t="shared" si="72"/>
        <v>Jun 2026</v>
      </c>
      <c r="C1160" t="str">
        <f t="shared" si="73"/>
        <v>Q2</v>
      </c>
      <c r="D1160" t="str">
        <f t="shared" si="74"/>
        <v>FY2026</v>
      </c>
    </row>
    <row r="1161" spans="1:4">
      <c r="A1161" s="11">
        <f t="shared" si="75"/>
        <v>46176</v>
      </c>
      <c r="B1161" t="str">
        <f t="shared" si="72"/>
        <v>Jun 2026</v>
      </c>
      <c r="C1161" t="str">
        <f t="shared" si="73"/>
        <v>Q2</v>
      </c>
      <c r="D1161" t="str">
        <f t="shared" si="74"/>
        <v>FY2026</v>
      </c>
    </row>
    <row r="1162" spans="1:4">
      <c r="A1162" s="11">
        <f t="shared" si="75"/>
        <v>46177</v>
      </c>
      <c r="B1162" t="str">
        <f t="shared" si="72"/>
        <v>Jun 2026</v>
      </c>
      <c r="C1162" t="str">
        <f t="shared" si="73"/>
        <v>Q2</v>
      </c>
      <c r="D1162" t="str">
        <f t="shared" si="74"/>
        <v>FY2026</v>
      </c>
    </row>
    <row r="1163" spans="1:4">
      <c r="A1163" s="11">
        <f t="shared" si="75"/>
        <v>46178</v>
      </c>
      <c r="B1163" t="str">
        <f t="shared" si="72"/>
        <v>Jun 2026</v>
      </c>
      <c r="C1163" t="str">
        <f t="shared" si="73"/>
        <v>Q2</v>
      </c>
      <c r="D1163" t="str">
        <f t="shared" si="74"/>
        <v>FY2026</v>
      </c>
    </row>
    <row r="1164" spans="1:4">
      <c r="A1164" s="11">
        <f t="shared" si="75"/>
        <v>46179</v>
      </c>
      <c r="B1164" t="str">
        <f t="shared" si="72"/>
        <v>Jun 2026</v>
      </c>
      <c r="C1164" t="str">
        <f t="shared" si="73"/>
        <v>Q2</v>
      </c>
      <c r="D1164" t="str">
        <f t="shared" si="74"/>
        <v>FY2026</v>
      </c>
    </row>
    <row r="1165" spans="1:4">
      <c r="A1165" s="11">
        <f t="shared" si="75"/>
        <v>46180</v>
      </c>
      <c r="B1165" t="str">
        <f t="shared" si="72"/>
        <v>Jun 2026</v>
      </c>
      <c r="C1165" t="str">
        <f t="shared" si="73"/>
        <v>Q2</v>
      </c>
      <c r="D1165" t="str">
        <f t="shared" si="74"/>
        <v>FY2026</v>
      </c>
    </row>
    <row r="1166" spans="1:4">
      <c r="A1166" s="11">
        <f t="shared" si="75"/>
        <v>46181</v>
      </c>
      <c r="B1166" t="str">
        <f t="shared" si="72"/>
        <v>Jun 2026</v>
      </c>
      <c r="C1166" t="str">
        <f t="shared" si="73"/>
        <v>Q2</v>
      </c>
      <c r="D1166" t="str">
        <f t="shared" si="74"/>
        <v>FY2026</v>
      </c>
    </row>
    <row r="1167" spans="1:4">
      <c r="A1167" s="11">
        <f t="shared" si="75"/>
        <v>46182</v>
      </c>
      <c r="B1167" t="str">
        <f t="shared" si="72"/>
        <v>Jun 2026</v>
      </c>
      <c r="C1167" t="str">
        <f t="shared" si="73"/>
        <v>Q2</v>
      </c>
      <c r="D1167" t="str">
        <f t="shared" si="74"/>
        <v>FY2026</v>
      </c>
    </row>
    <row r="1168" spans="1:4">
      <c r="A1168" s="11">
        <f t="shared" si="75"/>
        <v>46183</v>
      </c>
      <c r="B1168" t="str">
        <f t="shared" si="72"/>
        <v>Jun 2026</v>
      </c>
      <c r="C1168" t="str">
        <f t="shared" si="73"/>
        <v>Q2</v>
      </c>
      <c r="D1168" t="str">
        <f t="shared" si="74"/>
        <v>FY2026</v>
      </c>
    </row>
    <row r="1169" spans="1:4">
      <c r="A1169" s="11">
        <f t="shared" si="75"/>
        <v>46184</v>
      </c>
      <c r="B1169" t="str">
        <f t="shared" si="72"/>
        <v>Jun 2026</v>
      </c>
      <c r="C1169" t="str">
        <f t="shared" si="73"/>
        <v>Q2</v>
      </c>
      <c r="D1169" t="str">
        <f t="shared" si="74"/>
        <v>FY2026</v>
      </c>
    </row>
    <row r="1170" spans="1:4">
      <c r="A1170" s="11">
        <f t="shared" si="75"/>
        <v>46185</v>
      </c>
      <c r="B1170" t="str">
        <f t="shared" si="72"/>
        <v>Jun 2026</v>
      </c>
      <c r="C1170" t="str">
        <f t="shared" si="73"/>
        <v>Q2</v>
      </c>
      <c r="D1170" t="str">
        <f t="shared" si="74"/>
        <v>FY2026</v>
      </c>
    </row>
    <row r="1171" spans="1:4">
      <c r="A1171" s="11">
        <f t="shared" si="75"/>
        <v>46186</v>
      </c>
      <c r="B1171" t="str">
        <f t="shared" si="72"/>
        <v>Jun 2026</v>
      </c>
      <c r="C1171" t="str">
        <f t="shared" si="73"/>
        <v>Q2</v>
      </c>
      <c r="D1171" t="str">
        <f t="shared" si="74"/>
        <v>FY2026</v>
      </c>
    </row>
    <row r="1172" spans="1:4">
      <c r="A1172" s="11">
        <f t="shared" si="75"/>
        <v>46187</v>
      </c>
      <c r="B1172" t="str">
        <f t="shared" si="72"/>
        <v>Jun 2026</v>
      </c>
      <c r="C1172" t="str">
        <f t="shared" si="73"/>
        <v>Q2</v>
      </c>
      <c r="D1172" t="str">
        <f t="shared" si="74"/>
        <v>FY2026</v>
      </c>
    </row>
    <row r="1173" spans="1:4">
      <c r="A1173" s="11">
        <f t="shared" si="75"/>
        <v>46188</v>
      </c>
      <c r="B1173" t="str">
        <f t="shared" si="72"/>
        <v>Jun 2026</v>
      </c>
      <c r="C1173" t="str">
        <f t="shared" si="73"/>
        <v>Q2</v>
      </c>
      <c r="D1173" t="str">
        <f t="shared" si="74"/>
        <v>FY2026</v>
      </c>
    </row>
    <row r="1174" spans="1:4">
      <c r="A1174" s="11">
        <f t="shared" si="75"/>
        <v>46189</v>
      </c>
      <c r="B1174" t="str">
        <f t="shared" si="72"/>
        <v>Jun 2026</v>
      </c>
      <c r="C1174" t="str">
        <f t="shared" si="73"/>
        <v>Q2</v>
      </c>
      <c r="D1174" t="str">
        <f t="shared" si="74"/>
        <v>FY2026</v>
      </c>
    </row>
    <row r="1175" spans="1:4">
      <c r="A1175" s="11">
        <f t="shared" si="75"/>
        <v>46190</v>
      </c>
      <c r="B1175" t="str">
        <f t="shared" si="72"/>
        <v>Jun 2026</v>
      </c>
      <c r="C1175" t="str">
        <f t="shared" si="73"/>
        <v>Q2</v>
      </c>
      <c r="D1175" t="str">
        <f t="shared" si="74"/>
        <v>FY2026</v>
      </c>
    </row>
    <row r="1176" spans="1:4">
      <c r="A1176" s="11">
        <f t="shared" si="75"/>
        <v>46191</v>
      </c>
      <c r="B1176" t="str">
        <f t="shared" si="72"/>
        <v>Jun 2026</v>
      </c>
      <c r="C1176" t="str">
        <f t="shared" si="73"/>
        <v>Q2</v>
      </c>
      <c r="D1176" t="str">
        <f t="shared" si="74"/>
        <v>FY2026</v>
      </c>
    </row>
    <row r="1177" spans="1:4">
      <c r="A1177" s="11">
        <f t="shared" si="75"/>
        <v>46192</v>
      </c>
      <c r="B1177" t="str">
        <f t="shared" si="72"/>
        <v>Jun 2026</v>
      </c>
      <c r="C1177" t="str">
        <f t="shared" si="73"/>
        <v>Q2</v>
      </c>
      <c r="D1177" t="str">
        <f t="shared" si="74"/>
        <v>FY2026</v>
      </c>
    </row>
    <row r="1178" spans="1:4">
      <c r="A1178" s="11">
        <f t="shared" si="75"/>
        <v>46193</v>
      </c>
      <c r="B1178" t="str">
        <f t="shared" si="72"/>
        <v>Jun 2026</v>
      </c>
      <c r="C1178" t="str">
        <f t="shared" si="73"/>
        <v>Q2</v>
      </c>
      <c r="D1178" t="str">
        <f t="shared" si="74"/>
        <v>FY2026</v>
      </c>
    </row>
    <row r="1179" spans="1:4">
      <c r="A1179" s="11">
        <f t="shared" si="75"/>
        <v>46194</v>
      </c>
      <c r="B1179" t="str">
        <f t="shared" si="72"/>
        <v>Jun 2026</v>
      </c>
      <c r="C1179" t="str">
        <f t="shared" si="73"/>
        <v>Q2</v>
      </c>
      <c r="D1179" t="str">
        <f t="shared" si="74"/>
        <v>FY2026</v>
      </c>
    </row>
    <row r="1180" spans="1:4">
      <c r="A1180" s="11">
        <f t="shared" si="75"/>
        <v>46195</v>
      </c>
      <c r="B1180" t="str">
        <f>TEXT(A1180, "MMM_YYYY")</f>
        <v>Jun 2026</v>
      </c>
      <c r="C1180" t="str">
        <f>"Q" &amp; INT((MONTH(A1180)-1)/3)+1</f>
        <v>Q2</v>
      </c>
      <c r="D1180" t="str">
        <f>"FY" &amp; IF(MONTH(A1180)&gt;=4, YEAR(A1180), YEAR(A1180)-1)</f>
        <v>FY2026</v>
      </c>
    </row>
    <row r="1181" spans="1:4">
      <c r="A1181" s="11">
        <f t="shared" si="75"/>
        <v>46196</v>
      </c>
      <c r="B1181" t="str">
        <f t="shared" ref="B1181:B1244" si="76">TEXT(A1181, "MMM_YYYY")</f>
        <v>Jun 2026</v>
      </c>
      <c r="C1181" t="str">
        <f t="shared" ref="C1181:C1219" si="77">"Q" &amp; INT((MONTH(A1181)-1)/3)+1</f>
        <v>Q2</v>
      </c>
      <c r="D1181" t="str">
        <f t="shared" ref="D1181:D1219" si="78">"FY" &amp; IF(MONTH(A1181)&gt;=4, YEAR(A1181), YEAR(A1181)-1)</f>
        <v>FY2026</v>
      </c>
    </row>
    <row r="1182" spans="1:4">
      <c r="A1182" s="11">
        <f t="shared" si="75"/>
        <v>46197</v>
      </c>
      <c r="B1182" t="str">
        <f t="shared" si="76"/>
        <v>Jun 2026</v>
      </c>
      <c r="C1182" t="str">
        <f t="shared" si="77"/>
        <v>Q2</v>
      </c>
      <c r="D1182" t="str">
        <f t="shared" si="78"/>
        <v>FY2026</v>
      </c>
    </row>
    <row r="1183" spans="1:4">
      <c r="A1183" s="11">
        <f t="shared" si="75"/>
        <v>46198</v>
      </c>
      <c r="B1183" t="str">
        <f t="shared" si="76"/>
        <v>Jun 2026</v>
      </c>
      <c r="C1183" t="str">
        <f t="shared" si="77"/>
        <v>Q2</v>
      </c>
      <c r="D1183" t="str">
        <f t="shared" si="78"/>
        <v>FY2026</v>
      </c>
    </row>
    <row r="1184" spans="1:4">
      <c r="A1184" s="11">
        <f t="shared" si="75"/>
        <v>46199</v>
      </c>
      <c r="B1184" t="str">
        <f t="shared" si="76"/>
        <v>Jun 2026</v>
      </c>
      <c r="C1184" t="str">
        <f t="shared" si="77"/>
        <v>Q2</v>
      </c>
      <c r="D1184" t="str">
        <f t="shared" si="78"/>
        <v>FY2026</v>
      </c>
    </row>
    <row r="1185" spans="1:4">
      <c r="A1185" s="11">
        <f t="shared" si="75"/>
        <v>46200</v>
      </c>
      <c r="B1185" t="str">
        <f t="shared" si="76"/>
        <v>Jun 2026</v>
      </c>
      <c r="C1185" t="str">
        <f t="shared" si="77"/>
        <v>Q2</v>
      </c>
      <c r="D1185" t="str">
        <f t="shared" si="78"/>
        <v>FY2026</v>
      </c>
    </row>
    <row r="1186" spans="1:4">
      <c r="A1186" s="11">
        <f t="shared" si="75"/>
        <v>46201</v>
      </c>
      <c r="B1186" t="str">
        <f t="shared" si="76"/>
        <v>Jun 2026</v>
      </c>
      <c r="C1186" t="str">
        <f t="shared" si="77"/>
        <v>Q2</v>
      </c>
      <c r="D1186" t="str">
        <f t="shared" si="78"/>
        <v>FY2026</v>
      </c>
    </row>
    <row r="1187" spans="1:4">
      <c r="A1187" s="11">
        <f t="shared" si="75"/>
        <v>46202</v>
      </c>
      <c r="B1187" t="str">
        <f t="shared" si="76"/>
        <v>Jun 2026</v>
      </c>
      <c r="C1187" t="str">
        <f t="shared" si="77"/>
        <v>Q2</v>
      </c>
      <c r="D1187" t="str">
        <f t="shared" si="78"/>
        <v>FY2026</v>
      </c>
    </row>
    <row r="1188" spans="1:4">
      <c r="A1188" s="11">
        <f t="shared" si="75"/>
        <v>46203</v>
      </c>
      <c r="B1188" t="str">
        <f t="shared" si="76"/>
        <v>Jun 2026</v>
      </c>
      <c r="C1188" t="str">
        <f t="shared" si="77"/>
        <v>Q2</v>
      </c>
      <c r="D1188" t="str">
        <f t="shared" si="78"/>
        <v>FY2026</v>
      </c>
    </row>
    <row r="1189" spans="1:4">
      <c r="A1189" s="11">
        <f t="shared" si="75"/>
        <v>46204</v>
      </c>
      <c r="B1189" t="str">
        <f t="shared" si="76"/>
        <v>Jul 2026</v>
      </c>
      <c r="C1189" t="str">
        <f t="shared" si="77"/>
        <v>Q3</v>
      </c>
      <c r="D1189" t="str">
        <f t="shared" si="78"/>
        <v>FY2026</v>
      </c>
    </row>
    <row r="1190" spans="1:4">
      <c r="A1190" s="11">
        <f t="shared" si="75"/>
        <v>46205</v>
      </c>
      <c r="B1190" t="str">
        <f t="shared" si="76"/>
        <v>Jul 2026</v>
      </c>
      <c r="C1190" t="str">
        <f t="shared" si="77"/>
        <v>Q3</v>
      </c>
      <c r="D1190" t="str">
        <f t="shared" si="78"/>
        <v>FY2026</v>
      </c>
    </row>
    <row r="1191" spans="1:4">
      <c r="A1191" s="11">
        <f t="shared" si="75"/>
        <v>46206</v>
      </c>
      <c r="B1191" t="str">
        <f t="shared" si="76"/>
        <v>Jul 2026</v>
      </c>
      <c r="C1191" t="str">
        <f t="shared" si="77"/>
        <v>Q3</v>
      </c>
      <c r="D1191" t="str">
        <f t="shared" si="78"/>
        <v>FY2026</v>
      </c>
    </row>
    <row r="1192" spans="1:4">
      <c r="A1192" s="11">
        <f t="shared" si="75"/>
        <v>46207</v>
      </c>
      <c r="B1192" t="str">
        <f t="shared" si="76"/>
        <v>Jul 2026</v>
      </c>
      <c r="C1192" t="str">
        <f t="shared" si="77"/>
        <v>Q3</v>
      </c>
      <c r="D1192" t="str">
        <f t="shared" si="78"/>
        <v>FY2026</v>
      </c>
    </row>
    <row r="1193" spans="1:4">
      <c r="A1193" s="11">
        <f t="shared" si="75"/>
        <v>46208</v>
      </c>
      <c r="B1193" t="str">
        <f t="shared" si="76"/>
        <v>Jul 2026</v>
      </c>
      <c r="C1193" t="str">
        <f t="shared" si="77"/>
        <v>Q3</v>
      </c>
      <c r="D1193" t="str">
        <f t="shared" si="78"/>
        <v>FY2026</v>
      </c>
    </row>
    <row r="1194" spans="1:4">
      <c r="A1194" s="11">
        <f t="shared" si="75"/>
        <v>46209</v>
      </c>
      <c r="B1194" t="str">
        <f t="shared" si="76"/>
        <v>Jul 2026</v>
      </c>
      <c r="C1194" t="str">
        <f t="shared" si="77"/>
        <v>Q3</v>
      </c>
      <c r="D1194" t="str">
        <f t="shared" si="78"/>
        <v>FY2026</v>
      </c>
    </row>
    <row r="1195" spans="1:4">
      <c r="A1195" s="11">
        <f t="shared" si="75"/>
        <v>46210</v>
      </c>
      <c r="B1195" t="str">
        <f t="shared" si="76"/>
        <v>Jul 2026</v>
      </c>
      <c r="C1195" t="str">
        <f t="shared" si="77"/>
        <v>Q3</v>
      </c>
      <c r="D1195" t="str">
        <f t="shared" si="78"/>
        <v>FY2026</v>
      </c>
    </row>
    <row r="1196" spans="1:4">
      <c r="A1196" s="11">
        <f t="shared" si="75"/>
        <v>46211</v>
      </c>
      <c r="B1196" t="str">
        <f t="shared" si="76"/>
        <v>Jul 2026</v>
      </c>
      <c r="C1196" t="str">
        <f t="shared" si="77"/>
        <v>Q3</v>
      </c>
      <c r="D1196" t="str">
        <f t="shared" si="78"/>
        <v>FY2026</v>
      </c>
    </row>
    <row r="1197" spans="1:4">
      <c r="A1197" s="11">
        <f t="shared" si="75"/>
        <v>46212</v>
      </c>
      <c r="B1197" t="str">
        <f t="shared" si="76"/>
        <v>Jul 2026</v>
      </c>
      <c r="C1197" t="str">
        <f t="shared" si="77"/>
        <v>Q3</v>
      </c>
      <c r="D1197" t="str">
        <f t="shared" si="78"/>
        <v>FY2026</v>
      </c>
    </row>
    <row r="1198" spans="1:4">
      <c r="A1198" s="11">
        <f t="shared" si="75"/>
        <v>46213</v>
      </c>
      <c r="B1198" t="str">
        <f t="shared" si="76"/>
        <v>Jul 2026</v>
      </c>
      <c r="C1198" t="str">
        <f t="shared" si="77"/>
        <v>Q3</v>
      </c>
      <c r="D1198" t="str">
        <f t="shared" si="78"/>
        <v>FY2026</v>
      </c>
    </row>
    <row r="1199" spans="1:4">
      <c r="A1199" s="11">
        <f t="shared" si="75"/>
        <v>46214</v>
      </c>
      <c r="B1199" t="str">
        <f t="shared" si="76"/>
        <v>Jul 2026</v>
      </c>
      <c r="C1199" t="str">
        <f t="shared" si="77"/>
        <v>Q3</v>
      </c>
      <c r="D1199" t="str">
        <f t="shared" si="78"/>
        <v>FY2026</v>
      </c>
    </row>
    <row r="1200" spans="1:4">
      <c r="A1200" s="11">
        <f t="shared" si="75"/>
        <v>46215</v>
      </c>
      <c r="B1200" t="str">
        <f t="shared" si="76"/>
        <v>Jul 2026</v>
      </c>
      <c r="C1200" t="str">
        <f t="shared" si="77"/>
        <v>Q3</v>
      </c>
      <c r="D1200" t="str">
        <f t="shared" si="78"/>
        <v>FY2026</v>
      </c>
    </row>
    <row r="1201" spans="1:4">
      <c r="A1201" s="11">
        <f t="shared" si="75"/>
        <v>46216</v>
      </c>
      <c r="B1201" t="str">
        <f t="shared" si="76"/>
        <v>Jul 2026</v>
      </c>
      <c r="C1201" t="str">
        <f t="shared" si="77"/>
        <v>Q3</v>
      </c>
      <c r="D1201" t="str">
        <f t="shared" si="78"/>
        <v>FY2026</v>
      </c>
    </row>
    <row r="1202" spans="1:4">
      <c r="A1202" s="11">
        <f t="shared" si="75"/>
        <v>46217</v>
      </c>
      <c r="B1202" t="str">
        <f t="shared" si="76"/>
        <v>Jul 2026</v>
      </c>
      <c r="C1202" t="str">
        <f t="shared" si="77"/>
        <v>Q3</v>
      </c>
      <c r="D1202" t="str">
        <f t="shared" si="78"/>
        <v>FY2026</v>
      </c>
    </row>
    <row r="1203" spans="1:4">
      <c r="A1203" s="11">
        <f t="shared" si="75"/>
        <v>46218</v>
      </c>
      <c r="B1203" t="str">
        <f t="shared" si="76"/>
        <v>Jul 2026</v>
      </c>
      <c r="C1203" t="str">
        <f t="shared" si="77"/>
        <v>Q3</v>
      </c>
      <c r="D1203" t="str">
        <f t="shared" si="78"/>
        <v>FY2026</v>
      </c>
    </row>
    <row r="1204" spans="1:4">
      <c r="A1204" s="11">
        <f t="shared" si="75"/>
        <v>46219</v>
      </c>
      <c r="B1204" t="str">
        <f t="shared" si="76"/>
        <v>Jul 2026</v>
      </c>
      <c r="C1204" t="str">
        <f t="shared" si="77"/>
        <v>Q3</v>
      </c>
      <c r="D1204" t="str">
        <f t="shared" si="78"/>
        <v>FY2026</v>
      </c>
    </row>
    <row r="1205" spans="1:4">
      <c r="A1205" s="11">
        <f t="shared" si="75"/>
        <v>46220</v>
      </c>
      <c r="B1205" t="str">
        <f t="shared" si="76"/>
        <v>Jul 2026</v>
      </c>
      <c r="C1205" t="str">
        <f t="shared" si="77"/>
        <v>Q3</v>
      </c>
      <c r="D1205" t="str">
        <f t="shared" si="78"/>
        <v>FY2026</v>
      </c>
    </row>
    <row r="1206" spans="1:4">
      <c r="A1206" s="11">
        <f t="shared" si="75"/>
        <v>46221</v>
      </c>
      <c r="B1206" t="str">
        <f t="shared" si="76"/>
        <v>Jul 2026</v>
      </c>
      <c r="C1206" t="str">
        <f t="shared" si="77"/>
        <v>Q3</v>
      </c>
      <c r="D1206" t="str">
        <f t="shared" si="78"/>
        <v>FY2026</v>
      </c>
    </row>
    <row r="1207" spans="1:4">
      <c r="A1207" s="11">
        <f t="shared" si="75"/>
        <v>46222</v>
      </c>
      <c r="B1207" t="str">
        <f t="shared" si="76"/>
        <v>Jul 2026</v>
      </c>
      <c r="C1207" t="str">
        <f t="shared" si="77"/>
        <v>Q3</v>
      </c>
      <c r="D1207" t="str">
        <f t="shared" si="78"/>
        <v>FY2026</v>
      </c>
    </row>
    <row r="1208" spans="1:4">
      <c r="A1208" s="11">
        <f t="shared" si="75"/>
        <v>46223</v>
      </c>
      <c r="B1208" t="str">
        <f t="shared" si="76"/>
        <v>Jul 2026</v>
      </c>
      <c r="C1208" t="str">
        <f t="shared" si="77"/>
        <v>Q3</v>
      </c>
      <c r="D1208" t="str">
        <f t="shared" si="78"/>
        <v>FY2026</v>
      </c>
    </row>
    <row r="1209" spans="1:4">
      <c r="A1209" s="11">
        <f t="shared" si="75"/>
        <v>46224</v>
      </c>
      <c r="B1209" t="str">
        <f t="shared" si="76"/>
        <v>Jul 2026</v>
      </c>
      <c r="C1209" t="str">
        <f t="shared" si="77"/>
        <v>Q3</v>
      </c>
      <c r="D1209" t="str">
        <f t="shared" si="78"/>
        <v>FY2026</v>
      </c>
    </row>
    <row r="1210" spans="1:4">
      <c r="A1210" s="11">
        <f t="shared" si="75"/>
        <v>46225</v>
      </c>
      <c r="B1210" t="str">
        <f t="shared" si="76"/>
        <v>Jul 2026</v>
      </c>
      <c r="C1210" t="str">
        <f t="shared" si="77"/>
        <v>Q3</v>
      </c>
      <c r="D1210" t="str">
        <f t="shared" si="78"/>
        <v>FY2026</v>
      </c>
    </row>
    <row r="1211" spans="1:4">
      <c r="A1211" s="11">
        <f t="shared" si="75"/>
        <v>46226</v>
      </c>
      <c r="B1211" t="str">
        <f t="shared" si="76"/>
        <v>Jul 2026</v>
      </c>
      <c r="C1211" t="str">
        <f t="shared" si="77"/>
        <v>Q3</v>
      </c>
      <c r="D1211" t="str">
        <f t="shared" si="78"/>
        <v>FY2026</v>
      </c>
    </row>
    <row r="1212" spans="1:4">
      <c r="A1212" s="11">
        <f t="shared" si="75"/>
        <v>46227</v>
      </c>
      <c r="B1212" t="str">
        <f t="shared" si="76"/>
        <v>Jul 2026</v>
      </c>
      <c r="C1212" t="str">
        <f t="shared" si="77"/>
        <v>Q3</v>
      </c>
      <c r="D1212" t="str">
        <f t="shared" si="78"/>
        <v>FY2026</v>
      </c>
    </row>
    <row r="1213" spans="1:4">
      <c r="A1213" s="11">
        <f t="shared" si="75"/>
        <v>46228</v>
      </c>
      <c r="B1213" t="str">
        <f t="shared" si="76"/>
        <v>Jul 2026</v>
      </c>
      <c r="C1213" t="str">
        <f t="shared" si="77"/>
        <v>Q3</v>
      </c>
      <c r="D1213" t="str">
        <f t="shared" si="78"/>
        <v>FY2026</v>
      </c>
    </row>
    <row r="1214" spans="1:4">
      <c r="A1214" s="11">
        <f t="shared" si="75"/>
        <v>46229</v>
      </c>
      <c r="B1214" t="str">
        <f t="shared" si="76"/>
        <v>Jul 2026</v>
      </c>
      <c r="C1214" t="str">
        <f t="shared" si="77"/>
        <v>Q3</v>
      </c>
      <c r="D1214" t="str">
        <f t="shared" si="78"/>
        <v>FY2026</v>
      </c>
    </row>
    <row r="1215" spans="1:4">
      <c r="A1215" s="11">
        <f t="shared" si="75"/>
        <v>46230</v>
      </c>
      <c r="B1215" t="str">
        <f t="shared" si="76"/>
        <v>Jul 2026</v>
      </c>
      <c r="C1215" t="str">
        <f t="shared" si="77"/>
        <v>Q3</v>
      </c>
      <c r="D1215" t="str">
        <f t="shared" si="78"/>
        <v>FY2026</v>
      </c>
    </row>
    <row r="1216" spans="1:4">
      <c r="A1216" s="11">
        <f t="shared" si="75"/>
        <v>46231</v>
      </c>
      <c r="B1216" t="str">
        <f t="shared" si="76"/>
        <v>Jul 2026</v>
      </c>
      <c r="C1216" t="str">
        <f t="shared" si="77"/>
        <v>Q3</v>
      </c>
      <c r="D1216" t="str">
        <f t="shared" si="78"/>
        <v>FY2026</v>
      </c>
    </row>
    <row r="1217" spans="1:4">
      <c r="A1217" s="11">
        <f t="shared" si="75"/>
        <v>46232</v>
      </c>
      <c r="B1217" t="str">
        <f t="shared" si="76"/>
        <v>Jul 2026</v>
      </c>
      <c r="C1217" t="str">
        <f t="shared" si="77"/>
        <v>Q3</v>
      </c>
      <c r="D1217" t="str">
        <f t="shared" si="78"/>
        <v>FY2026</v>
      </c>
    </row>
    <row r="1218" spans="1:4">
      <c r="A1218" s="11">
        <f t="shared" si="75"/>
        <v>46233</v>
      </c>
      <c r="B1218" t="str">
        <f t="shared" si="76"/>
        <v>Jul 2026</v>
      </c>
      <c r="C1218" t="str">
        <f t="shared" si="77"/>
        <v>Q3</v>
      </c>
      <c r="D1218" t="str">
        <f t="shared" si="78"/>
        <v>FY2026</v>
      </c>
    </row>
    <row r="1219" spans="1:4">
      <c r="A1219" s="11">
        <f t="shared" si="75"/>
        <v>46234</v>
      </c>
      <c r="B1219" t="str">
        <f t="shared" si="76"/>
        <v>Jul 2026</v>
      </c>
      <c r="C1219" t="str">
        <f t="shared" si="77"/>
        <v>Q3</v>
      </c>
      <c r="D1219" t="str">
        <f t="shared" si="78"/>
        <v>FY2026</v>
      </c>
    </row>
    <row r="1220" spans="1:4">
      <c r="A1220" s="11">
        <f t="shared" si="75"/>
        <v>46235</v>
      </c>
      <c r="B1220" t="str">
        <f t="shared" si="76"/>
        <v>Aug 2026</v>
      </c>
      <c r="C1220" t="str">
        <f t="shared" ref="C1220:C1228" si="79">"Q" &amp; INT((MONTH(A1220)-1)/3)+1</f>
        <v>Q3</v>
      </c>
      <c r="D1220" t="str">
        <f t="shared" ref="D1220:D1228" si="80">"FY" &amp; IF(MONTH(A1220)&gt;=4, YEAR(A1220), YEAR(A1220)-1)</f>
        <v>FY2026</v>
      </c>
    </row>
    <row r="1221" spans="1:4">
      <c r="A1221" s="11">
        <f t="shared" ref="A1221:A1227" si="81">A1220+1</f>
        <v>46236</v>
      </c>
      <c r="B1221" t="str">
        <f t="shared" si="76"/>
        <v>Aug 2026</v>
      </c>
      <c r="C1221" t="str">
        <f t="shared" si="79"/>
        <v>Q3</v>
      </c>
      <c r="D1221" t="str">
        <f t="shared" si="80"/>
        <v>FY2026</v>
      </c>
    </row>
    <row r="1222" spans="1:4">
      <c r="A1222" s="11">
        <f t="shared" si="81"/>
        <v>46237</v>
      </c>
      <c r="B1222" t="str">
        <f t="shared" si="76"/>
        <v>Aug 2026</v>
      </c>
      <c r="C1222" t="str">
        <f t="shared" si="79"/>
        <v>Q3</v>
      </c>
      <c r="D1222" t="str">
        <f t="shared" si="80"/>
        <v>FY2026</v>
      </c>
    </row>
    <row r="1223" spans="1:4">
      <c r="A1223" s="11">
        <f t="shared" si="81"/>
        <v>46238</v>
      </c>
      <c r="B1223" t="str">
        <f t="shared" si="76"/>
        <v>Aug 2026</v>
      </c>
      <c r="C1223" t="str">
        <f t="shared" si="79"/>
        <v>Q3</v>
      </c>
      <c r="D1223" t="str">
        <f t="shared" si="80"/>
        <v>FY2026</v>
      </c>
    </row>
    <row r="1224" spans="1:4">
      <c r="A1224" s="11">
        <f t="shared" si="81"/>
        <v>46239</v>
      </c>
      <c r="B1224" t="str">
        <f t="shared" si="76"/>
        <v>Aug 2026</v>
      </c>
      <c r="C1224" t="str">
        <f t="shared" si="79"/>
        <v>Q3</v>
      </c>
      <c r="D1224" t="str">
        <f t="shared" si="80"/>
        <v>FY2026</v>
      </c>
    </row>
    <row r="1225" spans="1:4">
      <c r="A1225" s="11">
        <f t="shared" si="81"/>
        <v>46240</v>
      </c>
      <c r="B1225" t="str">
        <f t="shared" si="76"/>
        <v>Aug 2026</v>
      </c>
      <c r="C1225" t="str">
        <f t="shared" si="79"/>
        <v>Q3</v>
      </c>
      <c r="D1225" t="str">
        <f t="shared" si="80"/>
        <v>FY2026</v>
      </c>
    </row>
    <row r="1226" spans="1:4">
      <c r="A1226" s="11">
        <f t="shared" si="81"/>
        <v>46241</v>
      </c>
      <c r="B1226" t="str">
        <f t="shared" si="76"/>
        <v>Aug 2026</v>
      </c>
      <c r="C1226" t="str">
        <f t="shared" si="79"/>
        <v>Q3</v>
      </c>
      <c r="D1226" t="str">
        <f t="shared" si="80"/>
        <v>FY2026</v>
      </c>
    </row>
    <row r="1227" spans="1:4">
      <c r="A1227" s="11">
        <f t="shared" si="81"/>
        <v>46242</v>
      </c>
      <c r="B1227" t="str">
        <f t="shared" si="76"/>
        <v>Aug 2026</v>
      </c>
      <c r="C1227" t="str">
        <f t="shared" si="79"/>
        <v>Q3</v>
      </c>
      <c r="D1227" t="str">
        <f t="shared" si="80"/>
        <v>FY2026</v>
      </c>
    </row>
    <row r="1228" spans="1:4">
      <c r="A1228" s="11">
        <f>A1227+1</f>
        <v>46243</v>
      </c>
      <c r="B1228" t="str">
        <f t="shared" si="76"/>
        <v>Aug 2026</v>
      </c>
      <c r="C1228" t="str">
        <f t="shared" si="79"/>
        <v>Q3</v>
      </c>
      <c r="D1228" t="str">
        <f t="shared" si="80"/>
        <v>FY2026</v>
      </c>
    </row>
    <row r="1229" spans="1:4">
      <c r="A1229" s="11">
        <f t="shared" ref="A1229:A1250" si="82">A1228+1</f>
        <v>46244</v>
      </c>
      <c r="B1229" t="str">
        <f t="shared" si="76"/>
        <v>Aug 2026</v>
      </c>
      <c r="C1229" t="str">
        <f t="shared" ref="C1229:C1250" si="83">"Q" &amp; INT((MONTH(A1229)-1)/3)+1</f>
        <v>Q3</v>
      </c>
      <c r="D1229" t="str">
        <f t="shared" ref="D1229:D1250" si="84">"FY" &amp; IF(MONTH(A1229)&gt;=4, YEAR(A1229), YEAR(A1229)-1)</f>
        <v>FY2026</v>
      </c>
    </row>
    <row r="1230" spans="1:4">
      <c r="A1230" s="11">
        <f t="shared" si="82"/>
        <v>46245</v>
      </c>
      <c r="B1230" t="str">
        <f t="shared" si="76"/>
        <v>Aug 2026</v>
      </c>
      <c r="C1230" t="str">
        <f t="shared" si="83"/>
        <v>Q3</v>
      </c>
      <c r="D1230" t="str">
        <f t="shared" si="84"/>
        <v>FY2026</v>
      </c>
    </row>
    <row r="1231" spans="1:4">
      <c r="A1231" s="11">
        <f t="shared" si="82"/>
        <v>46246</v>
      </c>
      <c r="B1231" t="str">
        <f t="shared" si="76"/>
        <v>Aug 2026</v>
      </c>
      <c r="C1231" t="str">
        <f t="shared" si="83"/>
        <v>Q3</v>
      </c>
      <c r="D1231" t="str">
        <f t="shared" si="84"/>
        <v>FY2026</v>
      </c>
    </row>
    <row r="1232" spans="1:4">
      <c r="A1232" s="11">
        <f t="shared" si="82"/>
        <v>46247</v>
      </c>
      <c r="B1232" t="str">
        <f t="shared" si="76"/>
        <v>Aug 2026</v>
      </c>
      <c r="C1232" t="str">
        <f t="shared" si="83"/>
        <v>Q3</v>
      </c>
      <c r="D1232" t="str">
        <f t="shared" si="84"/>
        <v>FY2026</v>
      </c>
    </row>
    <row r="1233" spans="1:4">
      <c r="A1233" s="11">
        <f t="shared" si="82"/>
        <v>46248</v>
      </c>
      <c r="B1233" t="str">
        <f t="shared" si="76"/>
        <v>Aug 2026</v>
      </c>
      <c r="C1233" t="str">
        <f t="shared" si="83"/>
        <v>Q3</v>
      </c>
      <c r="D1233" t="str">
        <f t="shared" si="84"/>
        <v>FY2026</v>
      </c>
    </row>
    <row r="1234" spans="1:4">
      <c r="A1234" s="11">
        <f t="shared" si="82"/>
        <v>46249</v>
      </c>
      <c r="B1234" t="str">
        <f t="shared" si="76"/>
        <v>Aug 2026</v>
      </c>
      <c r="C1234" t="str">
        <f t="shared" si="83"/>
        <v>Q3</v>
      </c>
      <c r="D1234" t="str">
        <f t="shared" si="84"/>
        <v>FY2026</v>
      </c>
    </row>
    <row r="1235" spans="1:4">
      <c r="A1235" s="11">
        <f t="shared" si="82"/>
        <v>46250</v>
      </c>
      <c r="B1235" t="str">
        <f t="shared" si="76"/>
        <v>Aug 2026</v>
      </c>
      <c r="C1235" t="str">
        <f t="shared" si="83"/>
        <v>Q3</v>
      </c>
      <c r="D1235" t="str">
        <f t="shared" si="84"/>
        <v>FY2026</v>
      </c>
    </row>
    <row r="1236" spans="1:4">
      <c r="A1236" s="11">
        <f t="shared" si="82"/>
        <v>46251</v>
      </c>
      <c r="B1236" t="str">
        <f t="shared" si="76"/>
        <v>Aug 2026</v>
      </c>
      <c r="C1236" t="str">
        <f t="shared" si="83"/>
        <v>Q3</v>
      </c>
      <c r="D1236" t="str">
        <f t="shared" si="84"/>
        <v>FY2026</v>
      </c>
    </row>
    <row r="1237" spans="1:4">
      <c r="A1237" s="11">
        <f t="shared" si="82"/>
        <v>46252</v>
      </c>
      <c r="B1237" t="str">
        <f t="shared" si="76"/>
        <v>Aug 2026</v>
      </c>
      <c r="C1237" t="str">
        <f t="shared" si="83"/>
        <v>Q3</v>
      </c>
      <c r="D1237" t="str">
        <f t="shared" si="84"/>
        <v>FY2026</v>
      </c>
    </row>
    <row r="1238" spans="1:4">
      <c r="A1238" s="11">
        <f t="shared" si="82"/>
        <v>46253</v>
      </c>
      <c r="B1238" t="str">
        <f t="shared" si="76"/>
        <v>Aug 2026</v>
      </c>
      <c r="C1238" t="str">
        <f t="shared" si="83"/>
        <v>Q3</v>
      </c>
      <c r="D1238" t="str">
        <f t="shared" si="84"/>
        <v>FY2026</v>
      </c>
    </row>
    <row r="1239" spans="1:4">
      <c r="A1239" s="11">
        <f t="shared" si="82"/>
        <v>46254</v>
      </c>
      <c r="B1239" t="str">
        <f t="shared" si="76"/>
        <v>Aug 2026</v>
      </c>
      <c r="C1239" t="str">
        <f t="shared" si="83"/>
        <v>Q3</v>
      </c>
      <c r="D1239" t="str">
        <f t="shared" si="84"/>
        <v>FY2026</v>
      </c>
    </row>
    <row r="1240" spans="1:4">
      <c r="A1240" s="11">
        <f t="shared" si="82"/>
        <v>46255</v>
      </c>
      <c r="B1240" t="str">
        <f t="shared" si="76"/>
        <v>Aug 2026</v>
      </c>
      <c r="C1240" t="str">
        <f t="shared" si="83"/>
        <v>Q3</v>
      </c>
      <c r="D1240" t="str">
        <f t="shared" si="84"/>
        <v>FY2026</v>
      </c>
    </row>
    <row r="1241" spans="1:4">
      <c r="A1241" s="11">
        <f t="shared" si="82"/>
        <v>46256</v>
      </c>
      <c r="B1241" t="str">
        <f t="shared" si="76"/>
        <v>Aug 2026</v>
      </c>
      <c r="C1241" t="str">
        <f t="shared" si="83"/>
        <v>Q3</v>
      </c>
      <c r="D1241" t="str">
        <f t="shared" si="84"/>
        <v>FY2026</v>
      </c>
    </row>
    <row r="1242" spans="1:4">
      <c r="A1242" s="11">
        <f t="shared" si="82"/>
        <v>46257</v>
      </c>
      <c r="B1242" t="str">
        <f t="shared" si="76"/>
        <v>Aug 2026</v>
      </c>
      <c r="C1242" t="str">
        <f t="shared" si="83"/>
        <v>Q3</v>
      </c>
      <c r="D1242" t="str">
        <f t="shared" si="84"/>
        <v>FY2026</v>
      </c>
    </row>
    <row r="1243" spans="1:4">
      <c r="A1243" s="11">
        <f>A1242+1</f>
        <v>46258</v>
      </c>
      <c r="B1243" t="str">
        <f t="shared" si="76"/>
        <v>Aug 2026</v>
      </c>
      <c r="C1243" t="str">
        <f t="shared" si="83"/>
        <v>Q3</v>
      </c>
      <c r="D1243" t="str">
        <f t="shared" si="84"/>
        <v>FY2026</v>
      </c>
    </row>
    <row r="1244" spans="1:4">
      <c r="A1244" s="11">
        <f t="shared" si="82"/>
        <v>46259</v>
      </c>
      <c r="B1244" t="str">
        <f t="shared" si="76"/>
        <v>Aug 2026</v>
      </c>
      <c r="C1244" t="str">
        <f t="shared" si="83"/>
        <v>Q3</v>
      </c>
      <c r="D1244" t="str">
        <f t="shared" si="84"/>
        <v>FY2026</v>
      </c>
    </row>
    <row r="1245" spans="1:4">
      <c r="A1245" s="11">
        <f t="shared" si="82"/>
        <v>46260</v>
      </c>
      <c r="B1245" t="str">
        <f t="shared" ref="B1245:B1250" si="85">TEXT(A1245, "MMM_YYYY")</f>
        <v>Aug 2026</v>
      </c>
      <c r="C1245" t="str">
        <f t="shared" si="83"/>
        <v>Q3</v>
      </c>
      <c r="D1245" t="str">
        <f t="shared" si="84"/>
        <v>FY2026</v>
      </c>
    </row>
    <row r="1246" spans="1:4">
      <c r="A1246" s="11">
        <f t="shared" si="82"/>
        <v>46261</v>
      </c>
      <c r="B1246" t="str">
        <f t="shared" si="85"/>
        <v>Aug 2026</v>
      </c>
      <c r="C1246" t="str">
        <f t="shared" si="83"/>
        <v>Q3</v>
      </c>
      <c r="D1246" t="str">
        <f t="shared" si="84"/>
        <v>FY2026</v>
      </c>
    </row>
    <row r="1247" spans="1:4">
      <c r="A1247" s="11">
        <f t="shared" si="82"/>
        <v>46262</v>
      </c>
      <c r="B1247" t="str">
        <f t="shared" si="85"/>
        <v>Aug 2026</v>
      </c>
      <c r="C1247" t="str">
        <f t="shared" si="83"/>
        <v>Q3</v>
      </c>
      <c r="D1247" t="str">
        <f t="shared" si="84"/>
        <v>FY2026</v>
      </c>
    </row>
    <row r="1248" spans="1:4">
      <c r="A1248" s="11">
        <f t="shared" si="82"/>
        <v>46263</v>
      </c>
      <c r="B1248" t="str">
        <f t="shared" si="85"/>
        <v>Aug 2026</v>
      </c>
      <c r="C1248" t="str">
        <f t="shared" si="83"/>
        <v>Q3</v>
      </c>
      <c r="D1248" t="str">
        <f t="shared" si="84"/>
        <v>FY2026</v>
      </c>
    </row>
    <row r="1249" spans="1:4">
      <c r="A1249" s="11">
        <f t="shared" si="82"/>
        <v>46264</v>
      </c>
      <c r="B1249" t="str">
        <f t="shared" si="85"/>
        <v>Aug 2026</v>
      </c>
      <c r="C1249" t="str">
        <f t="shared" si="83"/>
        <v>Q3</v>
      </c>
      <c r="D1249" t="str">
        <f t="shared" si="84"/>
        <v>FY2026</v>
      </c>
    </row>
    <row r="1250" spans="1:4">
      <c r="A1250" s="11">
        <f t="shared" si="82"/>
        <v>46265</v>
      </c>
      <c r="B1250" t="str">
        <f t="shared" si="85"/>
        <v>Aug 2026</v>
      </c>
      <c r="C1250" t="str">
        <f t="shared" si="83"/>
        <v>Q3</v>
      </c>
      <c r="D1250" t="str">
        <f t="shared" si="84"/>
        <v>FY2026</v>
      </c>
    </row>
    <row r="1251" spans="1:4">
      <c r="A1251" s="11"/>
    </row>
    <row r="1252" spans="1:4">
      <c r="A1252" s="11"/>
    </row>
  </sheetData>
  <phoneticPr fontId="8" type="noConversion"/>
  <pageMargins left="0.7" right="0.7" top="0.75" bottom="0.75" header="0.3" footer="0.3"/>
  <ignoredErrors>
    <ignoredError sqref="C2:C3 C4:C33"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7178-500E-43CC-94EA-75F44BC1AB3B}">
  <dimension ref="A1:C11"/>
  <sheetViews>
    <sheetView workbookViewId="0"/>
  </sheetViews>
  <sheetFormatPr defaultColWidth="13.6640625" defaultRowHeight="14.4"/>
  <cols>
    <col min="1" max="1" width="17.33203125" customWidth="1"/>
    <col min="3" max="3" width="18.6640625" customWidth="1"/>
  </cols>
  <sheetData>
    <row r="1" spans="1:3" ht="15" thickBot="1">
      <c r="A1" s="8" t="s">
        <v>12</v>
      </c>
      <c r="B1" s="8" t="s">
        <v>4746</v>
      </c>
      <c r="C1" s="8" t="s">
        <v>4747</v>
      </c>
    </row>
    <row r="2" spans="1:3" ht="15" thickBot="1">
      <c r="A2" s="12" t="s">
        <v>136</v>
      </c>
      <c r="B2" s="12">
        <v>12000000</v>
      </c>
      <c r="C2" s="12" t="s">
        <v>63</v>
      </c>
    </row>
    <row r="3" spans="1:3" ht="28.2" thickBot="1">
      <c r="A3" s="12" t="s">
        <v>61</v>
      </c>
      <c r="B3" s="12">
        <v>400000</v>
      </c>
      <c r="C3" s="12" t="s">
        <v>63</v>
      </c>
    </row>
    <row r="4" spans="1:3" ht="28.2" thickBot="1">
      <c r="A4" s="12" t="s">
        <v>22</v>
      </c>
      <c r="B4" s="12">
        <v>2050000</v>
      </c>
      <c r="C4" s="12" t="s">
        <v>25</v>
      </c>
    </row>
    <row r="5" spans="1:3" ht="28.2" thickBot="1">
      <c r="A5" s="12" t="s">
        <v>73</v>
      </c>
      <c r="B5" s="12">
        <v>1600000</v>
      </c>
      <c r="C5" s="12" t="s">
        <v>25</v>
      </c>
    </row>
    <row r="6" spans="1:3" ht="15" thickBot="1">
      <c r="A6" s="12" t="s">
        <v>440</v>
      </c>
      <c r="B6" s="12">
        <v>1480000</v>
      </c>
      <c r="C6" s="12" t="s">
        <v>33</v>
      </c>
    </row>
    <row r="7" spans="1:3" ht="28.2" thickBot="1">
      <c r="A7" s="12" t="s">
        <v>44</v>
      </c>
      <c r="B7" s="12">
        <v>1250000</v>
      </c>
      <c r="C7" s="12" t="s">
        <v>33</v>
      </c>
    </row>
    <row r="8" spans="1:3" ht="15" thickBot="1">
      <c r="A8" s="12" t="s">
        <v>78</v>
      </c>
      <c r="B8" s="12">
        <v>920000</v>
      </c>
      <c r="C8" s="12" t="s">
        <v>79</v>
      </c>
    </row>
    <row r="9" spans="1:3" ht="15" thickBot="1">
      <c r="A9" s="12" t="s">
        <v>38</v>
      </c>
      <c r="B9" s="12">
        <v>730000</v>
      </c>
      <c r="C9" s="12" t="s">
        <v>33</v>
      </c>
    </row>
    <row r="10" spans="1:3" ht="15" thickBot="1">
      <c r="A10" s="12" t="s">
        <v>31</v>
      </c>
      <c r="B10" s="12">
        <v>570000</v>
      </c>
      <c r="C10" s="12" t="s">
        <v>33</v>
      </c>
    </row>
    <row r="11" spans="1:3">
      <c r="A11" s="13" t="s">
        <v>157</v>
      </c>
      <c r="B11" s="13">
        <v>0</v>
      </c>
      <c r="C11" s="13" t="s">
        <v>25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F963E-C8DB-44FE-BAB0-E838C177E2FA}">
  <dimension ref="A1:F14"/>
  <sheetViews>
    <sheetView zoomScale="70" workbookViewId="0">
      <selection activeCell="H22" sqref="H22"/>
    </sheetView>
  </sheetViews>
  <sheetFormatPr defaultRowHeight="14.4"/>
  <cols>
    <col min="1" max="1" width="24.44140625" customWidth="1"/>
    <col min="2" max="3" width="19.21875" customWidth="1"/>
    <col min="4" max="5" width="18" customWidth="1"/>
    <col min="6" max="6" width="16.109375" customWidth="1"/>
  </cols>
  <sheetData>
    <row r="1" spans="1:6" ht="18">
      <c r="A1" s="16" t="s">
        <v>4810</v>
      </c>
    </row>
    <row r="2" spans="1:6">
      <c r="A2" s="17" t="s">
        <v>4811</v>
      </c>
    </row>
    <row r="4" spans="1:6">
      <c r="A4" s="1" t="s">
        <v>12</v>
      </c>
      <c r="B4" s="1" t="s">
        <v>4829</v>
      </c>
      <c r="C4" s="1" t="s">
        <v>4830</v>
      </c>
      <c r="D4" s="1" t="s">
        <v>4812</v>
      </c>
      <c r="E4" s="1" t="s">
        <v>4813</v>
      </c>
      <c r="F4" s="1" t="s">
        <v>4814</v>
      </c>
    </row>
    <row r="5" spans="1:6">
      <c r="A5" t="s">
        <v>136</v>
      </c>
      <c r="B5" s="19">
        <v>10500000</v>
      </c>
      <c r="C5" s="19">
        <v>12000000</v>
      </c>
      <c r="D5" s="18">
        <f>B5*12</f>
        <v>126000000</v>
      </c>
      <c r="E5" s="18">
        <f>C5*12</f>
        <v>144000000</v>
      </c>
      <c r="F5" t="s">
        <v>4815</v>
      </c>
    </row>
    <row r="6" spans="1:6">
      <c r="A6" t="s">
        <v>61</v>
      </c>
      <c r="B6" s="19">
        <v>350000</v>
      </c>
      <c r="C6" s="19">
        <v>400000</v>
      </c>
      <c r="D6" s="18">
        <f t="shared" ref="D6:D13" si="0">B6*12</f>
        <v>4200000</v>
      </c>
      <c r="E6" s="18">
        <f t="shared" ref="E6:E13" si="1">C6*12</f>
        <v>4800000</v>
      </c>
      <c r="F6" t="s">
        <v>4815</v>
      </c>
    </row>
    <row r="7" spans="1:6">
      <c r="A7" t="s">
        <v>22</v>
      </c>
      <c r="B7" s="19">
        <v>1800000</v>
      </c>
      <c r="C7" s="19">
        <v>2050000</v>
      </c>
      <c r="D7" s="18">
        <f t="shared" si="0"/>
        <v>21600000</v>
      </c>
      <c r="E7" s="18">
        <f t="shared" si="1"/>
        <v>24600000</v>
      </c>
      <c r="F7" t="s">
        <v>4816</v>
      </c>
    </row>
    <row r="8" spans="1:6">
      <c r="A8" t="s">
        <v>73</v>
      </c>
      <c r="B8" s="19">
        <v>1400000</v>
      </c>
      <c r="C8" s="19">
        <v>1600000</v>
      </c>
      <c r="D8" s="18">
        <f t="shared" si="0"/>
        <v>16800000</v>
      </c>
      <c r="E8" s="18">
        <f t="shared" si="1"/>
        <v>19200000</v>
      </c>
      <c r="F8" t="s">
        <v>4817</v>
      </c>
    </row>
    <row r="9" spans="1:6">
      <c r="A9" t="s">
        <v>440</v>
      </c>
      <c r="B9" s="19">
        <v>1300000</v>
      </c>
      <c r="C9" s="19">
        <v>1480000</v>
      </c>
      <c r="D9" s="18">
        <f t="shared" si="0"/>
        <v>15600000</v>
      </c>
      <c r="E9" s="18">
        <f t="shared" si="1"/>
        <v>17760000</v>
      </c>
      <c r="F9" t="s">
        <v>4817</v>
      </c>
    </row>
    <row r="10" spans="1:6">
      <c r="A10" t="s">
        <v>44</v>
      </c>
      <c r="B10" s="19">
        <v>1100000</v>
      </c>
      <c r="C10" s="19">
        <v>1250000</v>
      </c>
      <c r="D10" s="18">
        <f t="shared" si="0"/>
        <v>13200000</v>
      </c>
      <c r="E10" s="18">
        <f t="shared" si="1"/>
        <v>15000000</v>
      </c>
      <c r="F10" t="s">
        <v>4817</v>
      </c>
    </row>
    <row r="11" spans="1:6">
      <c r="A11" t="s">
        <v>78</v>
      </c>
      <c r="B11" s="19">
        <v>810000</v>
      </c>
      <c r="C11" s="19">
        <v>920000</v>
      </c>
      <c r="D11" s="18">
        <f t="shared" si="0"/>
        <v>9720000</v>
      </c>
      <c r="E11" s="18">
        <f t="shared" si="1"/>
        <v>11040000</v>
      </c>
      <c r="F11" t="s">
        <v>4818</v>
      </c>
    </row>
    <row r="12" spans="1:6">
      <c r="A12" t="s">
        <v>38</v>
      </c>
      <c r="B12" s="19">
        <v>640000</v>
      </c>
      <c r="C12" s="19">
        <v>730000</v>
      </c>
      <c r="D12" s="18">
        <f t="shared" si="0"/>
        <v>7680000</v>
      </c>
      <c r="E12" s="18">
        <f t="shared" si="1"/>
        <v>8760000</v>
      </c>
      <c r="F12" t="s">
        <v>4817</v>
      </c>
    </row>
    <row r="13" spans="1:6">
      <c r="A13" t="s">
        <v>31</v>
      </c>
      <c r="B13" s="19">
        <v>500000</v>
      </c>
      <c r="C13" s="19">
        <v>570000</v>
      </c>
      <c r="D13" s="18">
        <f t="shared" si="0"/>
        <v>6000000</v>
      </c>
      <c r="E13" s="18">
        <f t="shared" si="1"/>
        <v>6840000</v>
      </c>
      <c r="F13" t="s">
        <v>4817</v>
      </c>
    </row>
    <row r="14" spans="1:6">
      <c r="A14" s="1" t="s">
        <v>4819</v>
      </c>
      <c r="B14" s="18">
        <f>SUM(B5:B13)</f>
        <v>18400000</v>
      </c>
      <c r="C14" s="18">
        <f>SUM(C5:C13)</f>
        <v>21000000</v>
      </c>
      <c r="D14" s="18">
        <f>SUM(D5:D13)</f>
        <v>220800000</v>
      </c>
      <c r="E14" s="18">
        <f>SUM(E5:E13)</f>
        <v>252000000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CF7BA-F59A-459E-97CB-F4FEF8ED8898}">
  <dimension ref="A1:K27"/>
  <sheetViews>
    <sheetView topLeftCell="A4" zoomScale="123" workbookViewId="0">
      <selection activeCell="F3" activeCellId="2" sqref="A3:A27 E3:E27 F3:F27"/>
    </sheetView>
  </sheetViews>
  <sheetFormatPr defaultRowHeight="14.4"/>
  <cols>
    <col min="1" max="1" width="11" customWidth="1"/>
    <col min="4" max="4" width="15.33203125" bestFit="1" customWidth="1"/>
    <col min="5" max="5" width="15" bestFit="1" customWidth="1"/>
    <col min="6" max="6" width="10.21875" bestFit="1" customWidth="1"/>
    <col min="7" max="7" width="11.5546875" bestFit="1" customWidth="1"/>
    <col min="8" max="8" width="10.21875" bestFit="1" customWidth="1"/>
    <col min="9" max="9" width="14" bestFit="1" customWidth="1"/>
    <col min="10" max="10" width="14.44140625" bestFit="1" customWidth="1"/>
    <col min="11" max="11" width="17" bestFit="1" customWidth="1"/>
    <col min="12" max="12" width="10" bestFit="1" customWidth="1"/>
  </cols>
  <sheetData>
    <row r="1" spans="1:11" ht="18">
      <c r="A1" s="16" t="s">
        <v>4820</v>
      </c>
    </row>
    <row r="3" spans="1:11">
      <c r="A3" s="8" t="s">
        <v>4744</v>
      </c>
      <c r="B3" s="8" t="s">
        <v>16</v>
      </c>
      <c r="C3" s="8" t="s">
        <v>17</v>
      </c>
      <c r="D3" s="8" t="s">
        <v>4821</v>
      </c>
      <c r="E3" s="8" t="s">
        <v>4822</v>
      </c>
      <c r="F3" s="8" t="s">
        <v>4823</v>
      </c>
      <c r="G3" s="8" t="s">
        <v>4824</v>
      </c>
      <c r="H3" s="8" t="s">
        <v>4825</v>
      </c>
      <c r="I3" s="8" t="s">
        <v>4826</v>
      </c>
      <c r="J3" s="8" t="s">
        <v>4827</v>
      </c>
      <c r="K3" s="8" t="s">
        <v>4828</v>
      </c>
    </row>
    <row r="4" spans="1:11">
      <c r="A4" s="20">
        <v>45017</v>
      </c>
      <c r="B4" t="s">
        <v>26</v>
      </c>
      <c r="C4" t="s">
        <v>34</v>
      </c>
      <c r="D4" s="18">
        <f>SUMIFS(Transactions_Clean[Amount(₹)],Transactions_Clean[Month],A4,Transactions_Clean[Category],"Revenue")</f>
        <v>1972620</v>
      </c>
      <c r="E4" s="18">
        <f>ROUND(SUMIFS(Transactions_Clean[Adj_Amount],Transactions_Clean[Month],A4,Transactions_Clean[Category],"&lt;&gt;Revenue"),0)</f>
        <v>-1951643</v>
      </c>
      <c r="F4" s="18">
        <f>IF(B4="FY2024",SUM(Budget_Table[FY2024_Budget])/8,SUM(Budget_Table[FY2025_Budget])/8)*-1</f>
        <v>-2300000</v>
      </c>
      <c r="G4" s="18">
        <f>E4-F4</f>
        <v>348357</v>
      </c>
      <c r="H4" s="22">
        <f>IFERROR(G4/F4,0)</f>
        <v>-0.15145956521739132</v>
      </c>
      <c r="I4" s="18">
        <f>D4+E4</f>
        <v>20977</v>
      </c>
      <c r="J4" s="22">
        <f>0</f>
        <v>0</v>
      </c>
      <c r="K4" s="18">
        <f>I4</f>
        <v>20977</v>
      </c>
    </row>
    <row r="5" spans="1:11">
      <c r="A5" s="20">
        <v>45047</v>
      </c>
      <c r="B5" t="s">
        <v>26</v>
      </c>
      <c r="C5" t="s">
        <v>34</v>
      </c>
      <c r="D5" s="18">
        <f>SUMIFS(Transactions_Clean[Amount(₹)],Transactions_Clean[Month],A5,Transactions_Clean[Category],"Revenue")</f>
        <v>2105291</v>
      </c>
      <c r="E5" s="18">
        <f>ROUND(SUMIFS(Transactions_Clean[Adj_Amount],Transactions_Clean[Month],A5,Transactions_Clean[Category],"&lt;&gt;Revenue"),0)</f>
        <v>-1916959</v>
      </c>
      <c r="F5" s="18">
        <f>IF(B5="FY2024",SUM(Budget_Table[FY2024_Budget])/8,SUM(Budget_Table[FY2025_Budget])/8)*-1</f>
        <v>-2300000</v>
      </c>
      <c r="G5" s="18">
        <f t="shared" ref="G5:G27" si="0">E5-F5</f>
        <v>383041</v>
      </c>
      <c r="H5" s="22">
        <f t="shared" ref="H5:H27" si="1">IFERROR(G5/F5,0)</f>
        <v>-0.1665395652173913</v>
      </c>
      <c r="I5" s="18">
        <f t="shared" ref="I5:I26" si="2">D5+E5</f>
        <v>188332</v>
      </c>
      <c r="J5" s="22">
        <f>IFERROR((I5-I4)/ABS(I4),0)</f>
        <v>7.9780235496019447</v>
      </c>
      <c r="K5" s="18">
        <f>IF(B5&lt;&gt;B4,I5,K4+I5)</f>
        <v>209309</v>
      </c>
    </row>
    <row r="6" spans="1:11">
      <c r="A6" s="20">
        <v>45078</v>
      </c>
      <c r="B6" t="s">
        <v>26</v>
      </c>
      <c r="C6" t="s">
        <v>34</v>
      </c>
      <c r="D6" s="18">
        <f>SUMIFS(Transactions_Clean[Amount(₹)],Transactions_Clean[Month],A6,Transactions_Clean[Category],"Revenue")</f>
        <v>2104112</v>
      </c>
      <c r="E6" s="18">
        <f>ROUND(SUMIFS(Transactions_Clean[Adj_Amount],Transactions_Clean[Month],A6,Transactions_Clean[Category],"&lt;&gt;Revenue"),0)</f>
        <v>-1997447</v>
      </c>
      <c r="F6" s="18">
        <f>IF(B6="FY2024",SUM(Budget_Table[FY2024_Budget])/8,SUM(Budget_Table[FY2025_Budget])/8)*-1</f>
        <v>-2300000</v>
      </c>
      <c r="G6" s="18">
        <f t="shared" si="0"/>
        <v>302553</v>
      </c>
      <c r="H6" s="22">
        <f t="shared" si="1"/>
        <v>-0.13154478260869565</v>
      </c>
      <c r="I6" s="18">
        <f t="shared" si="2"/>
        <v>106665</v>
      </c>
      <c r="J6" s="22">
        <f t="shared" ref="J6:J27" si="3">IFERROR((I6-I5)/ABS(I5),0)</f>
        <v>-0.43363315846483869</v>
      </c>
      <c r="K6" s="18">
        <f t="shared" ref="K6:K27" si="4">IF(B6&lt;&gt;B5,I6,K5+I6)</f>
        <v>315974</v>
      </c>
    </row>
    <row r="7" spans="1:11">
      <c r="A7" s="20">
        <v>45108</v>
      </c>
      <c r="B7" t="s">
        <v>26</v>
      </c>
      <c r="C7" t="s">
        <v>40</v>
      </c>
      <c r="D7" s="18">
        <f>SUMIFS(Transactions_Clean[Amount(₹)],Transactions_Clean[Month],A7,Transactions_Clean[Category],"Revenue")</f>
        <v>2175577</v>
      </c>
      <c r="E7" s="18">
        <f>ROUND(SUMIFS(Transactions_Clean[Adj_Amount],Transactions_Clean[Month],A7,Transactions_Clean[Category],"&lt;&gt;Revenue"),0)</f>
        <v>-1984305</v>
      </c>
      <c r="F7" s="18">
        <f>IF(B7="FY2024",SUM(Budget_Table[FY2024_Budget])/8,SUM(Budget_Table[FY2025_Budget])/8)*-1</f>
        <v>-2300000</v>
      </c>
      <c r="G7" s="18">
        <f t="shared" si="0"/>
        <v>315695</v>
      </c>
      <c r="H7" s="22">
        <f t="shared" si="1"/>
        <v>-0.13725869565217391</v>
      </c>
      <c r="I7" s="18">
        <f t="shared" si="2"/>
        <v>191272</v>
      </c>
      <c r="J7" s="22">
        <f t="shared" si="3"/>
        <v>0.7932030187971687</v>
      </c>
      <c r="K7" s="18">
        <f t="shared" si="4"/>
        <v>507246</v>
      </c>
    </row>
    <row r="8" spans="1:11">
      <c r="A8" s="20">
        <v>45139</v>
      </c>
      <c r="B8" t="s">
        <v>26</v>
      </c>
      <c r="C8" t="s">
        <v>40</v>
      </c>
      <c r="D8" s="18">
        <f>SUMIFS(Transactions_Clean[Amount(₹)],Transactions_Clean[Month],A8,Transactions_Clean[Category],"Revenue")</f>
        <v>2239717</v>
      </c>
      <c r="E8" s="18">
        <f>ROUND(SUMIFS(Transactions_Clean[Adj_Amount],Transactions_Clean[Month],A8,Transactions_Clean[Category],"&lt;&gt;Revenue"),0)</f>
        <v>-1988904</v>
      </c>
      <c r="F8" s="18">
        <f>IF(B8="FY2024",SUM(Budget_Table[FY2024_Budget])/8,SUM(Budget_Table[FY2025_Budget])/8)*-1</f>
        <v>-2300000</v>
      </c>
      <c r="G8" s="18">
        <f t="shared" si="0"/>
        <v>311096</v>
      </c>
      <c r="H8" s="22">
        <f t="shared" si="1"/>
        <v>-0.1352591304347826</v>
      </c>
      <c r="I8" s="18">
        <f t="shared" si="2"/>
        <v>250813</v>
      </c>
      <c r="J8" s="22">
        <f t="shared" si="3"/>
        <v>0.31128968170981641</v>
      </c>
      <c r="K8" s="18">
        <f t="shared" si="4"/>
        <v>758059</v>
      </c>
    </row>
    <row r="9" spans="1:11">
      <c r="A9" s="20">
        <v>45170</v>
      </c>
      <c r="B9" t="s">
        <v>26</v>
      </c>
      <c r="C9" t="s">
        <v>40</v>
      </c>
      <c r="D9" s="18">
        <f>SUMIFS(Transactions_Clean[Amount(₹)],Transactions_Clean[Month],A9,Transactions_Clean[Category],"Revenue")</f>
        <v>2190025</v>
      </c>
      <c r="E9" s="18">
        <f>ROUND(SUMIFS(Transactions_Clean[Adj_Amount],Transactions_Clean[Month],A9,Transactions_Clean[Category],"&lt;&gt;Revenue"),0)</f>
        <v>-1918445</v>
      </c>
      <c r="F9" s="18">
        <f>IF(B9="FY2024",SUM(Budget_Table[FY2024_Budget])/8,SUM(Budget_Table[FY2025_Budget])/8)*-1</f>
        <v>-2300000</v>
      </c>
      <c r="G9" s="18">
        <f t="shared" si="0"/>
        <v>381555</v>
      </c>
      <c r="H9" s="22">
        <f t="shared" si="1"/>
        <v>-0.16589347826086956</v>
      </c>
      <c r="I9" s="18">
        <f t="shared" si="2"/>
        <v>271580</v>
      </c>
      <c r="J9" s="22">
        <f t="shared" si="3"/>
        <v>8.2798738502390223E-2</v>
      </c>
      <c r="K9" s="18">
        <f t="shared" si="4"/>
        <v>1029639</v>
      </c>
    </row>
    <row r="10" spans="1:11">
      <c r="A10" s="20">
        <v>45200</v>
      </c>
      <c r="B10" t="s">
        <v>26</v>
      </c>
      <c r="C10" t="s">
        <v>48</v>
      </c>
      <c r="D10" s="18">
        <f>SUMIFS(Transactions_Clean[Amount(₹)],Transactions_Clean[Month],A10,Transactions_Clean[Category],"Revenue")</f>
        <v>2296508</v>
      </c>
      <c r="E10" s="18">
        <f>ROUND(SUMIFS(Transactions_Clean[Adj_Amount],Transactions_Clean[Month],A10,Transactions_Clean[Category],"&lt;&gt;Revenue"),0)</f>
        <v>-2105213</v>
      </c>
      <c r="F10" s="18">
        <f>IF(B10="FY2024",SUM(Budget_Table[FY2024_Budget])/8,SUM(Budget_Table[FY2025_Budget])/8)*-1</f>
        <v>-2300000</v>
      </c>
      <c r="G10" s="18">
        <f t="shared" si="0"/>
        <v>194787</v>
      </c>
      <c r="H10" s="22">
        <f t="shared" si="1"/>
        <v>-8.4690000000000001E-2</v>
      </c>
      <c r="I10" s="18">
        <f t="shared" si="2"/>
        <v>191295</v>
      </c>
      <c r="J10" s="22">
        <f t="shared" si="3"/>
        <v>-0.29562191619412326</v>
      </c>
      <c r="K10" s="18">
        <f t="shared" si="4"/>
        <v>1220934</v>
      </c>
    </row>
    <row r="11" spans="1:11">
      <c r="A11" s="20">
        <v>45231</v>
      </c>
      <c r="B11" t="s">
        <v>26</v>
      </c>
      <c r="C11" t="s">
        <v>48</v>
      </c>
      <c r="D11" s="18">
        <f>SUMIFS(Transactions_Clean[Amount(₹)],Transactions_Clean[Month],A11,Transactions_Clean[Category],"Revenue")</f>
        <v>2426744</v>
      </c>
      <c r="E11" s="18">
        <f>ROUND(SUMIFS(Transactions_Clean[Adj_Amount],Transactions_Clean[Month],A11,Transactions_Clean[Category],"&lt;&gt;Revenue"),0)</f>
        <v>-2046198</v>
      </c>
      <c r="F11" s="18">
        <f>IF(B11="FY2024",SUM(Budget_Table[FY2024_Budget])/8,SUM(Budget_Table[FY2025_Budget])/8)*-1</f>
        <v>-2300000</v>
      </c>
      <c r="G11" s="18">
        <f t="shared" si="0"/>
        <v>253802</v>
      </c>
      <c r="H11" s="22">
        <f t="shared" si="1"/>
        <v>-0.11034869565217391</v>
      </c>
      <c r="I11" s="18">
        <f t="shared" si="2"/>
        <v>380546</v>
      </c>
      <c r="J11" s="22">
        <f t="shared" si="3"/>
        <v>0.98931493243419844</v>
      </c>
      <c r="K11" s="18">
        <f t="shared" si="4"/>
        <v>1601480</v>
      </c>
    </row>
    <row r="12" spans="1:11">
      <c r="A12" s="20">
        <v>45261</v>
      </c>
      <c r="B12" t="s">
        <v>26</v>
      </c>
      <c r="C12" t="s">
        <v>48</v>
      </c>
      <c r="D12" s="18">
        <f>SUMIFS(Transactions_Clean[Amount(₹)],Transactions_Clean[Month],A12,Transactions_Clean[Category],"Revenue")</f>
        <v>2505462</v>
      </c>
      <c r="E12" s="18">
        <f>ROUND(SUMIFS(Transactions_Clean[Adj_Amount],Transactions_Clean[Month],A12,Transactions_Clean[Category],"&lt;&gt;Revenue"),0)</f>
        <v>-2046088</v>
      </c>
      <c r="F12" s="18">
        <f>IF(B12="FY2024",SUM(Budget_Table[FY2024_Budget])/8,SUM(Budget_Table[FY2025_Budget])/8)*-1</f>
        <v>-2300000</v>
      </c>
      <c r="G12" s="18">
        <f t="shared" si="0"/>
        <v>253912</v>
      </c>
      <c r="H12" s="22">
        <f t="shared" si="1"/>
        <v>-0.11039652173913043</v>
      </c>
      <c r="I12" s="18">
        <f t="shared" si="2"/>
        <v>459374</v>
      </c>
      <c r="J12" s="22">
        <f t="shared" si="3"/>
        <v>0.20714447136482844</v>
      </c>
      <c r="K12" s="18">
        <f t="shared" si="4"/>
        <v>2060854</v>
      </c>
    </row>
    <row r="13" spans="1:11">
      <c r="A13" s="20">
        <v>45292</v>
      </c>
      <c r="B13" t="s">
        <v>26</v>
      </c>
      <c r="C13" t="s">
        <v>27</v>
      </c>
      <c r="D13" s="18">
        <f>SUMIFS(Transactions_Clean[Amount(₹)],Transactions_Clean[Month],A13,Transactions_Clean[Category],"Revenue")</f>
        <v>2794846</v>
      </c>
      <c r="E13" s="18">
        <f>ROUND(SUMIFS(Transactions_Clean[Adj_Amount],Transactions_Clean[Month],A13,Transactions_Clean[Category],"&lt;&gt;Revenue"),0)</f>
        <v>-2032985</v>
      </c>
      <c r="F13" s="18">
        <f>IF(B13="FY2024",SUM(Budget_Table[FY2024_Budget])/8,SUM(Budget_Table[FY2025_Budget])/8)*-1</f>
        <v>-2300000</v>
      </c>
      <c r="G13" s="18">
        <f t="shared" si="0"/>
        <v>267015</v>
      </c>
      <c r="H13" s="22">
        <f t="shared" si="1"/>
        <v>-0.11609347826086956</v>
      </c>
      <c r="I13" s="18">
        <f t="shared" si="2"/>
        <v>761861</v>
      </c>
      <c r="J13" s="22">
        <f t="shared" si="3"/>
        <v>0.65847653545912477</v>
      </c>
      <c r="K13" s="18">
        <f t="shared" si="4"/>
        <v>2822715</v>
      </c>
    </row>
    <row r="14" spans="1:11">
      <c r="A14" s="20">
        <v>45323</v>
      </c>
      <c r="B14" t="s">
        <v>26</v>
      </c>
      <c r="C14" t="s">
        <v>27</v>
      </c>
      <c r="D14" s="18">
        <f>SUMIFS(Transactions_Clean[Amount(₹)],Transactions_Clean[Month],A14,Transactions_Clean[Category],"Revenue")</f>
        <v>1678995</v>
      </c>
      <c r="E14" s="18">
        <f>ROUND(SUMIFS(Transactions_Clean[Adj_Amount],Transactions_Clean[Month],A14,Transactions_Clean[Category],"&lt;&gt;Revenue"),0)</f>
        <v>-2005125</v>
      </c>
      <c r="F14" s="18">
        <f>IF(B14="FY2024",SUM(Budget_Table[FY2024_Budget])/8,SUM(Budget_Table[FY2025_Budget])/8)*-1</f>
        <v>-2300000</v>
      </c>
      <c r="G14" s="18">
        <f t="shared" si="0"/>
        <v>294875</v>
      </c>
      <c r="H14" s="22">
        <f t="shared" si="1"/>
        <v>-0.12820652173913044</v>
      </c>
      <c r="I14" s="18">
        <f t="shared" si="2"/>
        <v>-326130</v>
      </c>
      <c r="J14" s="22">
        <f t="shared" si="3"/>
        <v>-1.4280702122828179</v>
      </c>
      <c r="K14" s="18">
        <f t="shared" si="4"/>
        <v>2496585</v>
      </c>
    </row>
    <row r="15" spans="1:11">
      <c r="A15" s="20">
        <v>45352</v>
      </c>
      <c r="B15" t="s">
        <v>26</v>
      </c>
      <c r="C15" t="s">
        <v>27</v>
      </c>
      <c r="D15" s="18">
        <f>SUMIFS(Transactions_Clean[Amount(₹)],Transactions_Clean[Month],A15,Transactions_Clean[Category],"Revenue")</f>
        <v>2793334</v>
      </c>
      <c r="E15" s="18">
        <f>ROUND(SUMIFS(Transactions_Clean[Adj_Amount],Transactions_Clean[Month],A15,Transactions_Clean[Category],"&lt;&gt;Revenue"),0)</f>
        <v>-2060813</v>
      </c>
      <c r="F15" s="18">
        <f>IF(B15="FY2024",SUM(Budget_Table[FY2024_Budget])/8,SUM(Budget_Table[FY2025_Budget])/8)*-1</f>
        <v>-2300000</v>
      </c>
      <c r="G15" s="18">
        <f t="shared" si="0"/>
        <v>239187</v>
      </c>
      <c r="H15" s="22">
        <f t="shared" si="1"/>
        <v>-0.10399434782608695</v>
      </c>
      <c r="I15" s="18">
        <f t="shared" si="2"/>
        <v>732521</v>
      </c>
      <c r="J15" s="22">
        <f t="shared" si="3"/>
        <v>3.2461012479686016</v>
      </c>
      <c r="K15" s="18">
        <f t="shared" si="4"/>
        <v>3229106</v>
      </c>
    </row>
    <row r="16" spans="1:11">
      <c r="A16" s="20">
        <v>45383</v>
      </c>
      <c r="B16" t="s">
        <v>45</v>
      </c>
      <c r="C16" t="s">
        <v>34</v>
      </c>
      <c r="D16" s="18">
        <f>SUMIFS(Transactions_Clean[Amount(₹)],Transactions_Clean[Month],A16,Transactions_Clean[Category],"Revenue")</f>
        <v>2280919</v>
      </c>
      <c r="E16" s="18">
        <f>ROUND(SUMIFS(Transactions_Clean[Adj_Amount],Transactions_Clean[Month],A16,Transactions_Clean[Category],"&lt;&gt;Revenue"),0)</f>
        <v>-1876954</v>
      </c>
      <c r="F16" s="18">
        <f>IF(B16="FY2024",SUM(Budget_Table[FY2024_Budget])/8,SUM(Budget_Table[FY2025_Budget])/8)*-1</f>
        <v>-2625000</v>
      </c>
      <c r="G16" s="18">
        <f t="shared" si="0"/>
        <v>748046</v>
      </c>
      <c r="H16" s="22">
        <f t="shared" si="1"/>
        <v>-0.28496990476190476</v>
      </c>
      <c r="I16" s="18">
        <f t="shared" si="2"/>
        <v>403965</v>
      </c>
      <c r="J16" s="22">
        <f t="shared" si="3"/>
        <v>-0.44852775551827184</v>
      </c>
      <c r="K16" s="18">
        <f t="shared" si="4"/>
        <v>403965</v>
      </c>
    </row>
    <row r="17" spans="1:11">
      <c r="A17" s="20">
        <v>45413</v>
      </c>
      <c r="B17" t="s">
        <v>45</v>
      </c>
      <c r="C17" t="s">
        <v>34</v>
      </c>
      <c r="D17" s="18">
        <f>SUMIFS(Transactions_Clean[Amount(₹)],Transactions_Clean[Month],A17,Transactions_Clean[Category],"Revenue")</f>
        <v>1768689</v>
      </c>
      <c r="E17" s="18">
        <f>ROUND(SUMIFS(Transactions_Clean[Adj_Amount],Transactions_Clean[Month],A17,Transactions_Clean[Category],"&lt;&gt;Revenue"),0)</f>
        <v>-2036488</v>
      </c>
      <c r="F17" s="18">
        <f>IF(B17="FY2024",SUM(Budget_Table[FY2024_Budget])/8,SUM(Budget_Table[FY2025_Budget])/8)*-1</f>
        <v>-2625000</v>
      </c>
      <c r="G17" s="18">
        <f t="shared" si="0"/>
        <v>588512</v>
      </c>
      <c r="H17" s="22">
        <f t="shared" si="1"/>
        <v>-0.22419504761904763</v>
      </c>
      <c r="I17" s="18">
        <f t="shared" si="2"/>
        <v>-267799</v>
      </c>
      <c r="J17" s="22">
        <f t="shared" si="3"/>
        <v>-1.6629262436102137</v>
      </c>
      <c r="K17" s="18">
        <f t="shared" si="4"/>
        <v>136166</v>
      </c>
    </row>
    <row r="18" spans="1:11">
      <c r="A18" s="20">
        <v>45444</v>
      </c>
      <c r="B18" t="s">
        <v>45</v>
      </c>
      <c r="C18" t="s">
        <v>34</v>
      </c>
      <c r="D18" s="18">
        <f>SUMIFS(Transactions_Clean[Amount(₹)],Transactions_Clean[Month],A18,Transactions_Clean[Category],"Revenue")</f>
        <v>2423226</v>
      </c>
      <c r="E18" s="18">
        <f>ROUND(SUMIFS(Transactions_Clean[Adj_Amount],Transactions_Clean[Month],A18,Transactions_Clean[Category],"&lt;&gt;Revenue"),0)</f>
        <v>-1924916</v>
      </c>
      <c r="F18" s="18">
        <f>IF(B18="FY2024",SUM(Budget_Table[FY2024_Budget])/8,SUM(Budget_Table[FY2025_Budget])/8)*-1</f>
        <v>-2625000</v>
      </c>
      <c r="G18" s="18">
        <f t="shared" si="0"/>
        <v>700084</v>
      </c>
      <c r="H18" s="22">
        <f t="shared" si="1"/>
        <v>-0.26669866666666664</v>
      </c>
      <c r="I18" s="18">
        <f t="shared" si="2"/>
        <v>498310</v>
      </c>
      <c r="J18" s="22">
        <f t="shared" si="3"/>
        <v>2.8607612425737212</v>
      </c>
      <c r="K18" s="18">
        <f t="shared" si="4"/>
        <v>634476</v>
      </c>
    </row>
    <row r="19" spans="1:11">
      <c r="A19" s="20">
        <v>45474</v>
      </c>
      <c r="B19" t="s">
        <v>45</v>
      </c>
      <c r="C19" t="s">
        <v>40</v>
      </c>
      <c r="D19" s="18">
        <f>SUMIFS(Transactions_Clean[Amount(₹)],Transactions_Clean[Month],A19,Transactions_Clean[Category],"Revenue")</f>
        <v>3025932</v>
      </c>
      <c r="E19" s="18">
        <f>ROUND(SUMIFS(Transactions_Clean[Adj_Amount],Transactions_Clean[Month],A19,Transactions_Clean[Category],"&lt;&gt;Revenue"),0)</f>
        <v>-1910902</v>
      </c>
      <c r="F19" s="18">
        <f>IF(B19="FY2024",SUM(Budget_Table[FY2024_Budget])/8,SUM(Budget_Table[FY2025_Budget])/8)*-1</f>
        <v>-2625000</v>
      </c>
      <c r="G19" s="18">
        <f t="shared" si="0"/>
        <v>714098</v>
      </c>
      <c r="H19" s="22">
        <f t="shared" si="1"/>
        <v>-0.27203733333333335</v>
      </c>
      <c r="I19" s="18">
        <f t="shared" si="2"/>
        <v>1115030</v>
      </c>
      <c r="J19" s="22">
        <f t="shared" si="3"/>
        <v>1.2376231663021011</v>
      </c>
      <c r="K19" s="18">
        <f t="shared" si="4"/>
        <v>1749506</v>
      </c>
    </row>
    <row r="20" spans="1:11">
      <c r="A20" s="20">
        <v>45505</v>
      </c>
      <c r="B20" t="s">
        <v>45</v>
      </c>
      <c r="C20" t="s">
        <v>40</v>
      </c>
      <c r="D20" s="18">
        <f>SUMIFS(Transactions_Clean[Amount(₹)],Transactions_Clean[Month],A20,Transactions_Clean[Category],"Revenue")</f>
        <v>2491752</v>
      </c>
      <c r="E20" s="18">
        <f>ROUND(SUMIFS(Transactions_Clean[Adj_Amount],Transactions_Clean[Month],A20,Transactions_Clean[Category],"&lt;&gt;Revenue"),0)</f>
        <v>-2076138</v>
      </c>
      <c r="F20" s="18">
        <f>IF(B20="FY2024",SUM(Budget_Table[FY2024_Budget])/8,SUM(Budget_Table[FY2025_Budget])/8)*-1</f>
        <v>-2625000</v>
      </c>
      <c r="G20" s="18">
        <f t="shared" si="0"/>
        <v>548862</v>
      </c>
      <c r="H20" s="22">
        <f t="shared" si="1"/>
        <v>-0.2090902857142857</v>
      </c>
      <c r="I20" s="18">
        <f t="shared" si="2"/>
        <v>415614</v>
      </c>
      <c r="J20" s="22">
        <f t="shared" si="3"/>
        <v>-0.62726204676107367</v>
      </c>
      <c r="K20" s="18">
        <f t="shared" si="4"/>
        <v>2165120</v>
      </c>
    </row>
    <row r="21" spans="1:11">
      <c r="A21" s="20">
        <v>45536</v>
      </c>
      <c r="B21" t="s">
        <v>45</v>
      </c>
      <c r="C21" t="s">
        <v>40</v>
      </c>
      <c r="D21" s="18">
        <f>SUMIFS(Transactions_Clean[Amount(₹)],Transactions_Clean[Month],A21,Transactions_Clean[Category],"Revenue")</f>
        <v>2496985</v>
      </c>
      <c r="E21" s="18">
        <f>ROUND(SUMIFS(Transactions_Clean[Adj_Amount],Transactions_Clean[Month],A21,Transactions_Clean[Category],"&lt;&gt;Revenue"),0)</f>
        <v>-2009638</v>
      </c>
      <c r="F21" s="18">
        <f>IF(B21="FY2024",SUM(Budget_Table[FY2024_Budget])/8,SUM(Budget_Table[FY2025_Budget])/8)*-1</f>
        <v>-2625000</v>
      </c>
      <c r="G21" s="18">
        <f t="shared" si="0"/>
        <v>615362</v>
      </c>
      <c r="H21" s="22">
        <f t="shared" si="1"/>
        <v>-0.23442361904761905</v>
      </c>
      <c r="I21" s="18">
        <f t="shared" si="2"/>
        <v>487347</v>
      </c>
      <c r="J21" s="22">
        <f t="shared" si="3"/>
        <v>0.17259524462602319</v>
      </c>
      <c r="K21" s="18">
        <f t="shared" si="4"/>
        <v>2652467</v>
      </c>
    </row>
    <row r="22" spans="1:11">
      <c r="A22" s="20">
        <v>45566</v>
      </c>
      <c r="B22" t="s">
        <v>45</v>
      </c>
      <c r="C22" t="s">
        <v>48</v>
      </c>
      <c r="D22" s="18">
        <f>SUMIFS(Transactions_Clean[Amount(₹)],Transactions_Clean[Month],A22,Transactions_Clean[Category],"Revenue")</f>
        <v>1941592</v>
      </c>
      <c r="E22" s="18">
        <f>ROUND(SUMIFS(Transactions_Clean[Adj_Amount],Transactions_Clean[Month],A22,Transactions_Clean[Category],"&lt;&gt;Revenue"),0)</f>
        <v>-2054068</v>
      </c>
      <c r="F22" s="18">
        <f>IF(B22="FY2024",SUM(Budget_Table[FY2024_Budget])/8,SUM(Budget_Table[FY2025_Budget])/8)*-1</f>
        <v>-2625000</v>
      </c>
      <c r="G22" s="18">
        <f t="shared" si="0"/>
        <v>570932</v>
      </c>
      <c r="H22" s="22">
        <f t="shared" si="1"/>
        <v>-0.21749790476190475</v>
      </c>
      <c r="I22" s="18">
        <f t="shared" si="2"/>
        <v>-112476</v>
      </c>
      <c r="J22" s="22">
        <f t="shared" si="3"/>
        <v>-1.2307924333175335</v>
      </c>
      <c r="K22" s="18">
        <f t="shared" si="4"/>
        <v>2539991</v>
      </c>
    </row>
    <row r="23" spans="1:11">
      <c r="A23" s="20">
        <v>45597</v>
      </c>
      <c r="B23" t="s">
        <v>45</v>
      </c>
      <c r="C23" t="s">
        <v>48</v>
      </c>
      <c r="D23" s="18">
        <f>SUMIFS(Transactions_Clean[Amount(₹)],Transactions_Clean[Month],A23,Transactions_Clean[Category],"Revenue")</f>
        <v>3334604</v>
      </c>
      <c r="E23" s="18">
        <f>ROUND(SUMIFS(Transactions_Clean[Adj_Amount],Transactions_Clean[Month],A23,Transactions_Clean[Category],"&lt;&gt;Revenue"),0)</f>
        <v>-2022745</v>
      </c>
      <c r="F23" s="18">
        <f>IF(B23="FY2024",SUM(Budget_Table[FY2024_Budget])/8,SUM(Budget_Table[FY2025_Budget])/8)*-1</f>
        <v>-2625000</v>
      </c>
      <c r="G23" s="18">
        <f t="shared" si="0"/>
        <v>602255</v>
      </c>
      <c r="H23" s="22">
        <f t="shared" si="1"/>
        <v>-0.22943047619047618</v>
      </c>
      <c r="I23" s="18">
        <f t="shared" si="2"/>
        <v>1311859</v>
      </c>
      <c r="J23" s="22">
        <f t="shared" si="3"/>
        <v>12.663457093068743</v>
      </c>
      <c r="K23" s="18">
        <f t="shared" si="4"/>
        <v>3851850</v>
      </c>
    </row>
    <row r="24" spans="1:11">
      <c r="A24" s="20">
        <v>45627</v>
      </c>
      <c r="B24" t="s">
        <v>45</v>
      </c>
      <c r="C24" t="s">
        <v>48</v>
      </c>
      <c r="D24" s="18">
        <f>SUMIFS(Transactions_Clean[Amount(₹)],Transactions_Clean[Month],A24,Transactions_Clean[Category],"Revenue")</f>
        <v>2054369</v>
      </c>
      <c r="E24" s="18">
        <f>ROUND(SUMIFS(Transactions_Clean[Adj_Amount],Transactions_Clean[Month],A24,Transactions_Clean[Category],"&lt;&gt;Revenue"),0)</f>
        <v>-2167653</v>
      </c>
      <c r="F24" s="18">
        <f>IF(B24="FY2024",SUM(Budget_Table[FY2024_Budget])/8,SUM(Budget_Table[FY2025_Budget])/8)*-1</f>
        <v>-2625000</v>
      </c>
      <c r="G24" s="18">
        <f t="shared" si="0"/>
        <v>457347</v>
      </c>
      <c r="H24" s="22">
        <f t="shared" si="1"/>
        <v>-0.17422742857142856</v>
      </c>
      <c r="I24" s="18">
        <f t="shared" si="2"/>
        <v>-113284</v>
      </c>
      <c r="J24" s="22">
        <f t="shared" si="3"/>
        <v>-1.0863537925950884</v>
      </c>
      <c r="K24" s="18">
        <f t="shared" si="4"/>
        <v>3738566</v>
      </c>
    </row>
    <row r="25" spans="1:11">
      <c r="A25" s="20">
        <v>45658</v>
      </c>
      <c r="B25" t="s">
        <v>45</v>
      </c>
      <c r="C25" t="s">
        <v>27</v>
      </c>
      <c r="D25" s="18">
        <f>SUMIFS(Transactions_Clean[Amount(₹)],Transactions_Clean[Month],A25,Transactions_Clean[Category],"Revenue")</f>
        <v>3270458</v>
      </c>
      <c r="E25" s="18">
        <f>ROUND(SUMIFS(Transactions_Clean[Adj_Amount],Transactions_Clean[Month],A25,Transactions_Clean[Category],"&lt;&gt;Revenue"),0)</f>
        <v>-1915808</v>
      </c>
      <c r="F25" s="18">
        <f>IF(B25="FY2024",SUM(Budget_Table[FY2024_Budget])/8,SUM(Budget_Table[FY2025_Budget])/8)*-1</f>
        <v>-2625000</v>
      </c>
      <c r="G25" s="18">
        <f t="shared" si="0"/>
        <v>709192</v>
      </c>
      <c r="H25" s="22">
        <f t="shared" si="1"/>
        <v>-0.27016838095238094</v>
      </c>
      <c r="I25" s="18">
        <f t="shared" si="2"/>
        <v>1354650</v>
      </c>
      <c r="J25" s="22">
        <f t="shared" si="3"/>
        <v>12.957999364429222</v>
      </c>
      <c r="K25" s="18">
        <f t="shared" si="4"/>
        <v>5093216</v>
      </c>
    </row>
    <row r="26" spans="1:11">
      <c r="A26" s="20">
        <v>45689</v>
      </c>
      <c r="B26" t="s">
        <v>45</v>
      </c>
      <c r="C26" t="s">
        <v>27</v>
      </c>
      <c r="D26" s="18">
        <f>SUMIFS(Transactions_Clean[Amount(₹)],Transactions_Clean[Month],A26,Transactions_Clean[Category],"Revenue")</f>
        <v>2502070</v>
      </c>
      <c r="E26" s="18">
        <f>ROUND(SUMIFS(Transactions_Clean[Adj_Amount],Transactions_Clean[Month],A26,Transactions_Clean[Category],"&lt;&gt;Revenue"),0)</f>
        <v>-1977449</v>
      </c>
      <c r="F26" s="18">
        <f>IF(B26="FY2024",SUM(Budget_Table[FY2024_Budget])/8,SUM(Budget_Table[FY2025_Budget])/8)*-1</f>
        <v>-2625000</v>
      </c>
      <c r="G26" s="18">
        <f t="shared" si="0"/>
        <v>647551</v>
      </c>
      <c r="H26" s="22">
        <f t="shared" si="1"/>
        <v>-0.24668609523809523</v>
      </c>
      <c r="I26" s="18">
        <f t="shared" si="2"/>
        <v>524621</v>
      </c>
      <c r="J26" s="22">
        <f t="shared" si="3"/>
        <v>-0.61272579633115565</v>
      </c>
      <c r="K26" s="18">
        <f t="shared" si="4"/>
        <v>5617837</v>
      </c>
    </row>
    <row r="27" spans="1:11">
      <c r="A27" s="20">
        <v>45717</v>
      </c>
      <c r="B27" t="s">
        <v>45</v>
      </c>
      <c r="C27" t="s">
        <v>27</v>
      </c>
      <c r="D27" s="18">
        <f>SUMIFS(Transactions_Clean[Amount(₹)],Transactions_Clean[Month],A27,Transactions_Clean[Category],"Revenue")</f>
        <v>2462606</v>
      </c>
      <c r="E27" s="18">
        <f>ROUND(SUMIFS(Transactions_Clean[Adj_Amount],Transactions_Clean[Month],A27,Transactions_Clean[Category],"&lt;&gt;Revenue"),0)</f>
        <v>-1917381</v>
      </c>
      <c r="F27" s="18">
        <f>IF(B27="FY2024",SUM(Budget_Table[FY2024_Budget])/8,SUM(Budget_Table[FY2025_Budget])/8)*-1</f>
        <v>-2625000</v>
      </c>
      <c r="G27" s="18">
        <f t="shared" si="0"/>
        <v>707619</v>
      </c>
      <c r="H27" s="22">
        <f t="shared" si="1"/>
        <v>-0.26956914285714284</v>
      </c>
      <c r="I27" s="18">
        <f>D27+E27</f>
        <v>545225</v>
      </c>
      <c r="J27" s="22">
        <f t="shared" si="3"/>
        <v>3.9274066421283171E-2</v>
      </c>
      <c r="K27" s="18">
        <f t="shared" si="4"/>
        <v>6163062</v>
      </c>
    </row>
  </sheetData>
  <phoneticPr fontId="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B2A75-3A3D-4C28-83FB-63EA59618B9B}">
  <dimension ref="B1:R14"/>
  <sheetViews>
    <sheetView showGridLines="0" topLeftCell="A14" zoomScale="48" zoomScaleNormal="98" workbookViewId="0">
      <selection activeCell="O62" sqref="O62"/>
    </sheetView>
  </sheetViews>
  <sheetFormatPr defaultRowHeight="14.4"/>
  <cols>
    <col min="1" max="18" width="12.77734375" style="23" customWidth="1"/>
    <col min="19" max="16384" width="8.88671875" style="23"/>
  </cols>
  <sheetData>
    <row r="1" spans="2:18" ht="14.4" customHeight="1">
      <c r="B1" s="62" t="s">
        <v>4832</v>
      </c>
      <c r="C1" s="63"/>
      <c r="D1" s="63"/>
      <c r="E1" s="63"/>
      <c r="F1" s="63"/>
      <c r="G1" s="63"/>
      <c r="H1" s="63"/>
      <c r="I1" s="63"/>
      <c r="J1" s="63"/>
      <c r="K1" s="63"/>
      <c r="L1" s="63"/>
      <c r="M1" s="63"/>
      <c r="N1" s="63"/>
      <c r="P1" s="31"/>
      <c r="Q1" s="31"/>
      <c r="R1" s="31"/>
    </row>
    <row r="2" spans="2:18" ht="14.4" customHeight="1">
      <c r="B2" s="63"/>
      <c r="C2" s="63"/>
      <c r="D2" s="63"/>
      <c r="E2" s="63"/>
      <c r="F2" s="63"/>
      <c r="G2" s="63"/>
      <c r="H2" s="63"/>
      <c r="I2" s="63"/>
      <c r="J2" s="63"/>
      <c r="K2" s="63"/>
      <c r="L2" s="63"/>
      <c r="M2" s="63"/>
      <c r="N2" s="63"/>
      <c r="O2" s="31"/>
      <c r="P2" s="31"/>
      <c r="Q2" s="31"/>
      <c r="R2" s="31"/>
    </row>
    <row r="3" spans="2:18" ht="15" thickBot="1"/>
    <row r="4" spans="2:18">
      <c r="B4" s="32" t="s">
        <v>4833</v>
      </c>
      <c r="C4" s="64"/>
      <c r="D4" s="65"/>
      <c r="E4" s="29"/>
      <c r="F4" s="69" t="s">
        <v>4834</v>
      </c>
      <c r="G4" s="70"/>
      <c r="H4" s="71"/>
      <c r="I4" s="29"/>
      <c r="J4" s="32" t="s">
        <v>4835</v>
      </c>
      <c r="K4" s="33"/>
      <c r="L4" s="34"/>
    </row>
    <row r="5" spans="2:18">
      <c r="B5" s="66"/>
      <c r="C5" s="67"/>
      <c r="D5" s="68"/>
      <c r="E5" s="29"/>
      <c r="F5" s="72"/>
      <c r="G5" s="73"/>
      <c r="H5" s="74"/>
      <c r="I5" s="29"/>
      <c r="J5" s="35"/>
      <c r="K5" s="36"/>
      <c r="L5" s="37"/>
    </row>
    <row r="6" spans="2:18">
      <c r="B6" s="44">
        <f>SUMIF(Monthly_Summary!B4:B27,"FY2025",Monthly_Summary!D4:D27)</f>
        <v>30053202</v>
      </c>
      <c r="C6" s="45"/>
      <c r="D6" s="46"/>
      <c r="E6" s="29"/>
      <c r="F6" s="75">
        <f>SUMIF(Monthly_Summary!B4:B27,"FY2025",Monthly_Summary!E4:E27)</f>
        <v>-23890140</v>
      </c>
      <c r="G6" s="76"/>
      <c r="H6" s="77"/>
      <c r="I6" s="29"/>
      <c r="J6" s="44">
        <f>SUMIF(Monthly_Summary!B4:B27,"FY2025",Monthly_Summary!I4:I27)</f>
        <v>6163062</v>
      </c>
      <c r="K6" s="45"/>
      <c r="L6" s="46"/>
    </row>
    <row r="7" spans="2:18">
      <c r="B7" s="44"/>
      <c r="C7" s="45"/>
      <c r="D7" s="46"/>
      <c r="E7" s="29"/>
      <c r="F7" s="75"/>
      <c r="G7" s="76"/>
      <c r="H7" s="77"/>
      <c r="I7" s="29"/>
      <c r="J7" s="44"/>
      <c r="K7" s="45"/>
      <c r="L7" s="46"/>
    </row>
    <row r="8" spans="2:18" ht="15" thickBot="1">
      <c r="B8" s="47"/>
      <c r="C8" s="48"/>
      <c r="D8" s="49"/>
      <c r="E8" s="29"/>
      <c r="F8" s="78"/>
      <c r="G8" s="79"/>
      <c r="H8" s="80"/>
      <c r="I8" s="29"/>
      <c r="J8" s="47"/>
      <c r="K8" s="48"/>
      <c r="L8" s="49"/>
    </row>
    <row r="9" spans="2:18" ht="15" thickBot="1">
      <c r="B9" s="29"/>
      <c r="C9" s="29"/>
      <c r="D9" s="29"/>
      <c r="E9" s="29"/>
      <c r="F9" s="30"/>
      <c r="G9" s="29"/>
      <c r="H9" s="29"/>
      <c r="I9" s="29"/>
      <c r="J9" s="29"/>
      <c r="K9" s="29"/>
      <c r="L9" s="29"/>
    </row>
    <row r="10" spans="2:18">
      <c r="B10" s="32" t="s">
        <v>4836</v>
      </c>
      <c r="C10" s="33"/>
      <c r="D10" s="34"/>
      <c r="E10" s="29"/>
      <c r="F10" s="32" t="s">
        <v>4837</v>
      </c>
      <c r="G10" s="33"/>
      <c r="H10" s="34"/>
      <c r="I10" s="29"/>
      <c r="J10" s="50" t="s">
        <v>4838</v>
      </c>
      <c r="K10" s="51"/>
      <c r="L10" s="52"/>
    </row>
    <row r="11" spans="2:18">
      <c r="B11" s="35"/>
      <c r="C11" s="36"/>
      <c r="D11" s="37"/>
      <c r="E11" s="29"/>
      <c r="F11" s="35"/>
      <c r="G11" s="36"/>
      <c r="H11" s="37"/>
      <c r="I11" s="29"/>
      <c r="J11" s="53"/>
      <c r="K11" s="54"/>
      <c r="L11" s="55"/>
    </row>
    <row r="12" spans="2:18">
      <c r="B12" s="38">
        <f>SUMIF(Monthly_Summary!B4:B27,"FY2025",Monthly_Summary!D4:D27)/SUMIF(Monthly_Summary!B4:B27,"FY2024",Monthly_Summary!D4:D27)-1</f>
        <v>0.10152650175486921</v>
      </c>
      <c r="C12" s="39"/>
      <c r="D12" s="40"/>
      <c r="E12" s="29"/>
      <c r="F12" s="44">
        <f>MAX(Monthly_Summary!D4:D27)</f>
        <v>3334604</v>
      </c>
      <c r="G12" s="45"/>
      <c r="H12" s="46"/>
      <c r="I12" s="29"/>
      <c r="J12" s="56">
        <f>AVERAGEIF(Monthly_Summary!B4:B27,"FY2025",Monthly_Summary!H4:H27)</f>
        <v>-0.2415828571428571</v>
      </c>
      <c r="K12" s="57"/>
      <c r="L12" s="58"/>
    </row>
    <row r="13" spans="2:18">
      <c r="B13" s="38"/>
      <c r="C13" s="39"/>
      <c r="D13" s="40"/>
      <c r="E13" s="29"/>
      <c r="F13" s="44"/>
      <c r="G13" s="45"/>
      <c r="H13" s="46"/>
      <c r="I13" s="29"/>
      <c r="J13" s="56"/>
      <c r="K13" s="57"/>
      <c r="L13" s="58"/>
    </row>
    <row r="14" spans="2:18" ht="15" thickBot="1">
      <c r="B14" s="41"/>
      <c r="C14" s="42"/>
      <c r="D14" s="43"/>
      <c r="E14" s="29"/>
      <c r="F14" s="47"/>
      <c r="G14" s="48"/>
      <c r="H14" s="49"/>
      <c r="I14" s="29"/>
      <c r="J14" s="59"/>
      <c r="K14" s="60"/>
      <c r="L14" s="61"/>
    </row>
  </sheetData>
  <mergeCells count="13">
    <mergeCell ref="B1:N2"/>
    <mergeCell ref="B4:D5"/>
    <mergeCell ref="B6:D8"/>
    <mergeCell ref="F4:H5"/>
    <mergeCell ref="F6:H8"/>
    <mergeCell ref="J4:L5"/>
    <mergeCell ref="J6:L8"/>
    <mergeCell ref="B10:D11"/>
    <mergeCell ref="B12:D14"/>
    <mergeCell ref="F10:H11"/>
    <mergeCell ref="F12:H14"/>
    <mergeCell ref="J10:L11"/>
    <mergeCell ref="J12:L14"/>
  </mergeCells>
  <phoneticPr fontId="8"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2B7A-C1F2-489D-AB36-6972F4FFC817}">
  <dimension ref="A1:L27"/>
  <sheetViews>
    <sheetView showGridLines="0" zoomScale="76" workbookViewId="0">
      <selection activeCell="C7" sqref="C7"/>
    </sheetView>
  </sheetViews>
  <sheetFormatPr defaultRowHeight="14.4"/>
  <cols>
    <col min="1" max="1" width="10.5546875" customWidth="1"/>
    <col min="2" max="2" width="8.33203125" customWidth="1"/>
    <col min="3" max="9" width="10.5546875" customWidth="1"/>
    <col min="10" max="15" width="11.5546875" customWidth="1"/>
  </cols>
  <sheetData>
    <row r="1" spans="1:12">
      <c r="A1" s="81" t="s">
        <v>4839</v>
      </c>
      <c r="B1" s="82"/>
      <c r="C1" s="82"/>
      <c r="D1" s="82"/>
      <c r="E1" s="82"/>
      <c r="F1" s="82"/>
      <c r="G1" s="82"/>
      <c r="H1" s="82"/>
      <c r="I1" s="82"/>
      <c r="J1" s="82"/>
      <c r="K1" s="82"/>
      <c r="L1" s="82"/>
    </row>
    <row r="2" spans="1:12">
      <c r="A2" s="82"/>
      <c r="B2" s="82"/>
      <c r="C2" s="82"/>
      <c r="D2" s="82"/>
      <c r="E2" s="82"/>
      <c r="F2" s="82"/>
      <c r="G2" s="82"/>
      <c r="H2" s="82"/>
      <c r="I2" s="82"/>
      <c r="J2" s="82"/>
      <c r="K2" s="82"/>
      <c r="L2" s="82"/>
    </row>
    <row r="5" spans="1:12">
      <c r="A5" t="s">
        <v>4840</v>
      </c>
    </row>
    <row r="6" spans="1:12">
      <c r="A6" t="s">
        <v>4847</v>
      </c>
    </row>
    <row r="8" spans="1:12">
      <c r="A8" t="s">
        <v>4841</v>
      </c>
    </row>
    <row r="9" spans="1:12">
      <c r="A9" t="s">
        <v>4846</v>
      </c>
    </row>
    <row r="11" spans="1:12">
      <c r="A11" t="s">
        <v>4842</v>
      </c>
    </row>
    <row r="12" spans="1:12">
      <c r="A12" t="s">
        <v>4845</v>
      </c>
    </row>
    <row r="14" spans="1:12">
      <c r="A14" t="s">
        <v>4843</v>
      </c>
    </row>
    <row r="15" spans="1:12">
      <c r="A15" t="s">
        <v>4848</v>
      </c>
    </row>
    <row r="17" spans="1:1">
      <c r="A17" t="s">
        <v>4844</v>
      </c>
    </row>
    <row r="18" spans="1:1">
      <c r="A18" t="s">
        <v>4849</v>
      </c>
    </row>
    <row r="20" spans="1:1">
      <c r="A20" t="s">
        <v>4850</v>
      </c>
    </row>
    <row r="21" spans="1:1">
      <c r="A21" t="s">
        <v>4851</v>
      </c>
    </row>
    <row r="23" spans="1:1">
      <c r="A23" t="s">
        <v>4852</v>
      </c>
    </row>
    <row r="24" spans="1:1">
      <c r="A24" t="s">
        <v>4853</v>
      </c>
    </row>
    <row r="26" spans="1:1">
      <c r="A26" t="s">
        <v>4854</v>
      </c>
    </row>
    <row r="27" spans="1:1">
      <c r="A27" t="s">
        <v>4855</v>
      </c>
    </row>
  </sheetData>
  <mergeCells count="1">
    <mergeCell ref="A1:L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0D261-8A80-4A09-978F-33113B44D4CE}">
  <dimension ref="B1:L21"/>
  <sheetViews>
    <sheetView showGridLines="0" topLeftCell="A2" zoomScale="138" workbookViewId="0">
      <selection activeCell="B27" sqref="B27"/>
    </sheetView>
  </sheetViews>
  <sheetFormatPr defaultRowHeight="14.4"/>
  <cols>
    <col min="2" max="2" width="91.6640625" customWidth="1"/>
  </cols>
  <sheetData>
    <row r="1" spans="2:12">
      <c r="B1" s="81" t="s">
        <v>4856</v>
      </c>
      <c r="C1" s="82"/>
      <c r="D1" s="82"/>
      <c r="E1" s="82"/>
      <c r="F1" s="82"/>
      <c r="G1" s="82"/>
      <c r="H1" s="82"/>
      <c r="I1" s="82"/>
      <c r="J1" s="82"/>
      <c r="K1" s="82"/>
      <c r="L1" s="82"/>
    </row>
    <row r="2" spans="2:12">
      <c r="B2" s="82"/>
      <c r="C2" s="82"/>
      <c r="D2" s="82"/>
      <c r="E2" s="82"/>
      <c r="F2" s="82"/>
      <c r="G2" s="82"/>
      <c r="H2" s="82"/>
      <c r="I2" s="82"/>
      <c r="J2" s="82"/>
      <c r="K2" s="82"/>
      <c r="L2" s="82"/>
    </row>
    <row r="3" spans="2:12">
      <c r="B3" s="24" t="s">
        <v>4857</v>
      </c>
    </row>
    <row r="5" spans="2:12" ht="15.6">
      <c r="B5" s="25" t="s">
        <v>4858</v>
      </c>
    </row>
    <row r="6" spans="2:12" s="27" customFormat="1" ht="28.8">
      <c r="B6" s="27" t="s">
        <v>4859</v>
      </c>
    </row>
    <row r="8" spans="2:12" ht="15.6">
      <c r="B8" s="25" t="s">
        <v>4860</v>
      </c>
    </row>
    <row r="9" spans="2:12" s="27" customFormat="1" ht="43.2">
      <c r="B9" s="27" t="s">
        <v>4861</v>
      </c>
    </row>
    <row r="11" spans="2:12" ht="15.6">
      <c r="B11" s="25" t="s">
        <v>4862</v>
      </c>
    </row>
    <row r="12" spans="2:12" s="27" customFormat="1" ht="28.8">
      <c r="B12" s="27" t="s">
        <v>4863</v>
      </c>
    </row>
    <row r="14" spans="2:12" ht="15.6">
      <c r="B14" s="25" t="s">
        <v>4864</v>
      </c>
    </row>
    <row r="15" spans="2:12" s="27" customFormat="1" ht="43.2">
      <c r="B15" s="27" t="s">
        <v>4865</v>
      </c>
    </row>
    <row r="17" spans="2:2" ht="15.6">
      <c r="B17" s="25" t="s">
        <v>4866</v>
      </c>
    </row>
    <row r="18" spans="2:2" s="27" customFormat="1" ht="43.2">
      <c r="B18" s="27" t="s">
        <v>4867</v>
      </c>
    </row>
    <row r="20" spans="2:2" ht="15.6">
      <c r="B20" s="26" t="s">
        <v>4868</v>
      </c>
    </row>
    <row r="21" spans="2:2" s="27" customFormat="1" ht="40.200000000000003">
      <c r="B21" s="28" t="s">
        <v>4869</v>
      </c>
    </row>
  </sheetData>
  <mergeCells count="1">
    <mergeCell ref="B1:L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  
</file>

<file path=customXml/item12.xml>�� 
</file>

<file path=customXml/item13.xml>�� 
</file>

<file path=customXml/item14.xml>�� 
</file>

<file path=customXml/item15.xml>�� �  �  
</file>

<file path=customXml/item16.xml>�� 
</file>

<file path=customXml/item17.xml>�� 
</file>

<file path=customXml/item18.xml>�� 
</file>

<file path=customXml/item19.xml>�� �  �  
</file>

<file path=customXml/itemProps1.xml><?xml version="1.0" encoding="utf-8"?>
<ds:datastoreItem xmlns:ds="http://schemas.openxmlformats.org/officeDocument/2006/customXml" ds:itemID="{A0401640-9D7A-42FB-984B-C08ABF2971AD}">
  <ds:schemaRefs/>
</ds:datastoreItem>
</file>

<file path=customXml/itemProps2.xml><?xml version="1.0" encoding="utf-8"?>
<ds:datastoreItem xmlns:ds="http://schemas.openxmlformats.org/officeDocument/2006/customXml" ds:itemID="{EC2BE5CC-CF99-4D14-94B2-8F22123E6EDE}">
  <ds:schemaRefs/>
</ds:datastoreItem>
</file>

<file path=customXml/itemProps3.xml><?xml version="1.0" encoding="utf-8"?>
<ds:datastoreItem xmlns:ds="http://schemas.openxmlformats.org/officeDocument/2006/customXml" ds:itemID="{DEB7C5B1-3A69-4500-808D-85E3834794B4}">
  <ds:schemaRefs/>
</ds:datastoreItem>
</file>

<file path=customXml/itemProps4.xml><?xml version="1.0" encoding="utf-8"?>
<ds:datastoreItem xmlns:ds="http://schemas.openxmlformats.org/officeDocument/2006/customXml" ds:itemID="{C82D550D-8C3E-4FB9-8DE5-224CF610C77A}">
  <ds:schemaRefs>
    <ds:schemaRef ds:uri="http://schemas.microsoft.com/DataMashup"/>
  </ds:schemaRefs>
</ds:datastoreItem>
</file>

<file path=customXml/itemProps5.xml><?xml version="1.0" encoding="utf-8"?>
<ds:datastoreItem xmlns:ds="http://schemas.openxmlformats.org/officeDocument/2006/customXml" ds:itemID="{D340F8CE-A4A3-47B3-BD90-692E3E7464CF}">
  <ds:schemaRefs/>
</ds:datastoreItem>
</file>

<file path=customXml/itemProps6.xml><?xml version="1.0" encoding="utf-8"?>
<ds:datastoreItem xmlns:ds="http://schemas.openxmlformats.org/officeDocument/2006/customXml" ds:itemID="{D3D2FC47-3DA7-42B3-B296-071753A8A5FE}">
  <ds:schemaRefs/>
</ds:datastoreItem>
</file>

<file path=customXml/itemProps7.xml><?xml version="1.0" encoding="utf-8"?>
<ds:datastoreItem xmlns:ds="http://schemas.openxmlformats.org/officeDocument/2006/customXml" ds:itemID="{5BBF5D54-342F-491C-9F2E-E49004BA007F}">
  <ds:schemaRefs/>
</ds:datastoreItem>
</file>

<file path=customXml/itemProps8.xml><?xml version="1.0" encoding="utf-8"?>
<ds:datastoreItem xmlns:ds="http://schemas.openxmlformats.org/officeDocument/2006/customXml" ds:itemID="{C440DF5F-4990-4781-BFF4-55514F49C770}">
  <ds:schemaRefs/>
</ds:datastoreItem>
</file>

<file path=customXml/itemProps9.xml><?xml version="1.0" encoding="utf-8"?>
<ds:datastoreItem xmlns:ds="http://schemas.openxmlformats.org/officeDocument/2006/customXml" ds:itemID="{4FF9B1D8-4DA3-43FA-8EAD-2032B26F7ACB}">
  <ds:schemaRefs/>
</ds:datastoreItem>
</file>

<file path=customXml/itemProps10.xml><?xml version="1.0" encoding="utf-8"?>
<ds:datastoreItem xmlns:ds="http://schemas.openxmlformats.org/officeDocument/2006/customXml" ds:itemID="{D9B23B04-D207-4BC0-B4B2-05CD17E4CEA0}">
  <ds:schemaRefs/>
</ds:datastoreItem>
</file>

<file path=customXml/itemProps11.xml><?xml version="1.0" encoding="utf-8"?>
<ds:datastoreItem xmlns:ds="http://schemas.openxmlformats.org/officeDocument/2006/customXml" ds:itemID="{9437F446-560C-4548-BCD7-61746A1C1EE0}">
  <ds:schemaRefs/>
</ds:datastoreItem>
</file>

<file path=customXml/itemProps12.xml><?xml version="1.0" encoding="utf-8"?>
<ds:datastoreItem xmlns:ds="http://schemas.openxmlformats.org/officeDocument/2006/customXml" ds:itemID="{7312BBAE-C1FB-4895-BA09-4C0579D67C83}">
  <ds:schemaRefs/>
</ds:datastoreItem>
</file>

<file path=customXml/itemProps13.xml><?xml version="1.0" encoding="utf-8"?>
<ds:datastoreItem xmlns:ds="http://schemas.openxmlformats.org/officeDocument/2006/customXml" ds:itemID="{4839F1D7-0B95-4CF8-A987-AE2162E72563}">
  <ds:schemaRefs/>
</ds:datastoreItem>
</file>

<file path=customXml/itemProps14.xml><?xml version="1.0" encoding="utf-8"?>
<ds:datastoreItem xmlns:ds="http://schemas.openxmlformats.org/officeDocument/2006/customXml" ds:itemID="{9A0BCCF3-F754-4C91-8198-010463689FA6}">
  <ds:schemaRefs/>
</ds:datastoreItem>
</file>

<file path=customXml/itemProps15.xml><?xml version="1.0" encoding="utf-8"?>
<ds:datastoreItem xmlns:ds="http://schemas.openxmlformats.org/officeDocument/2006/customXml" ds:itemID="{00AD5DFD-5D49-4D31-8278-FD5B21E8A832}">
  <ds:schemaRefs/>
</ds:datastoreItem>
</file>

<file path=customXml/itemProps16.xml><?xml version="1.0" encoding="utf-8"?>
<ds:datastoreItem xmlns:ds="http://schemas.openxmlformats.org/officeDocument/2006/customXml" ds:itemID="{A1B1E595-A0CF-4941-9900-F3063F694BD7}">
  <ds:schemaRefs/>
</ds:datastoreItem>
</file>

<file path=customXml/itemProps17.xml><?xml version="1.0" encoding="utf-8"?>
<ds:datastoreItem xmlns:ds="http://schemas.openxmlformats.org/officeDocument/2006/customXml" ds:itemID="{8931904C-EB33-42F3-95E3-6689FBCC95D9}">
  <ds:schemaRefs/>
</ds:datastoreItem>
</file>

<file path=customXml/itemProps18.xml><?xml version="1.0" encoding="utf-8"?>
<ds:datastoreItem xmlns:ds="http://schemas.openxmlformats.org/officeDocument/2006/customXml" ds:itemID="{47FFFFBE-C26B-4409-AAD0-F65674335248}">
  <ds:schemaRefs/>
</ds:datastoreItem>
</file>

<file path=customXml/itemProps19.xml><?xml version="1.0" encoding="utf-8"?>
<ds:datastoreItem xmlns:ds="http://schemas.openxmlformats.org/officeDocument/2006/customXml" ds:itemID="{3A18CF20-69EA-4365-955E-FFBA24EFA3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Cleaned_Data</vt:lpstr>
      <vt:lpstr>Raw_Data</vt:lpstr>
      <vt:lpstr>Dim_Calendar</vt:lpstr>
      <vt:lpstr>Dim_Category</vt:lpstr>
      <vt:lpstr>Budget</vt:lpstr>
      <vt:lpstr>Monthly_Summary</vt:lpstr>
      <vt:lpstr>Dashboard</vt:lpstr>
      <vt:lpstr>Business_Questions</vt:lpstr>
      <vt:lpstr>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Kriti Tiwari</dc:creator>
  <cp:lastModifiedBy>Kriti Tiwari</cp:lastModifiedBy>
  <dcterms:created xsi:type="dcterms:W3CDTF">2026-06-22T16:00:36Z</dcterms:created>
  <dcterms:modified xsi:type="dcterms:W3CDTF">2026-07-27T16:12:27Z</dcterms:modified>
</cp:coreProperties>
</file>